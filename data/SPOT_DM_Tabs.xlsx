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M Inputs" sheetId="1" state="visible" r:id="rId3"/>
    <sheet name="DM GM Bridge" sheetId="2" state="visible" r:id="rId4"/>
    <sheet name="DM Sensitivity" sheetId="3" state="visible" r:id="rId5"/>
    <sheet name="DM Evidence" sheetId="4" state="visible" r:id="rId6"/>
    <sheet name="DM Data Sentiment" sheetId="5" state="visible" r:id="rId7"/>
    <sheet name="DM Data Scored Posts" sheetId="6" state="visible" r:id="rId8"/>
    <sheet name="DM Data Campaigns" sheetId="7" state="visible" r:id="rId9"/>
    <sheet name="DM Data Artist Report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<sst xmlns="http://schemas.openxmlformats.org/spreadsheetml/2006/main" count="18138" uniqueCount="8446">
  <si>
    <t xml:space="preserve">Discovery Mode &amp; Marketplace Assumptions</t>
  </si>
  <si>
    <t xml:space="preserve">FY'24</t>
  </si>
  <si>
    <t xml:space="preserve">FY'25</t>
  </si>
  <si>
    <t xml:space="preserve">FY'26E</t>
  </si>
  <si>
    <t xml:space="preserve">FY'27E</t>
  </si>
  <si>
    <t xml:space="preserve">Notes</t>
  </si>
  <si>
    <t xml:space="preserve">Case selector (repoint to Valuation!$C$3 when the tabs are added to the model)</t>
  </si>
  <si>
    <t xml:space="preserve">Base</t>
  </si>
  <si>
    <t xml:space="preserve">Drives the FY'26E-FY'27E paths in section E. Bear = adverse for SPOT (autoplay surfaces shrink, enrollment capped, Marquee flat); Bull = the street-style continuation.</t>
  </si>
  <si>
    <t xml:space="preserve">A. Group revenue, €M (denominator for basis points)</t>
  </si>
  <si>
    <t xml:space="preserve">Total revenue</t>
  </si>
  <si>
    <t xml:space="preserve">FY'24-FY'25: Form 20-F (FY'25 Premium 15,350, Ad-Supported 1,836). FY'26E-FY'27E: same placeholders as the audiobook tabs; link to IS total revenue.</t>
  </si>
  <si>
    <t xml:space="preserve">% y/y growth</t>
  </si>
  <si>
    <t xml:space="preserve">Marketplace gross profit must grow at least this fast to hold its margin contribution flat.</t>
  </si>
  <si>
    <t xml:space="preserve">B. Reported gross margin and reference points</t>
  </si>
  <si>
    <t xml:space="preserve">Consolidated gross margin</t>
  </si>
  <si>
    <t xml:space="preserve">FY'24: 30.1% (Q1-Q4 27.6/29.2/31.1/32.2 weighted). FY'25: 32.0% (20-F; Q4 33.1%). FY'26E-FY'27E: consensus placeholders, link to the consensus tab.</t>
  </si>
  <si>
    <t xml:space="preserve">Premium gross margin</t>
  </si>
  <si>
    <t xml:space="preserve">20-F: 29% FY'23, 33% FY'24, 34% FY'25; Q2-26 35%. Discovery Mode accrues almost entirely here ('music royalty costs net of certain marketplace programs').</t>
  </si>
  <si>
    <t xml:space="preserve">Latest quarter: Q2-26 reported (FY'26E col) and Q3-26 guided (FY'27E col)</t>
  </si>
  <si>
    <t xml:space="preserve">Q2-26 letter: 33.4%, +193 bp y/y; Q3-26 guide 32.9% on €5.0bn revenue.</t>
  </si>
  <si>
    <t xml:space="preserve">2030 target: gross margin, low end (FY'24 col) and high end (FY'25 col)</t>
  </si>
  <si>
    <t xml:space="preserve">Investor Day 21 May 2026: 35-40% gross margin by 2030, mid-teens revenue CAGR, operating margin above 20%.</t>
  </si>
  <si>
    <t xml:space="preserve">Consensus y/y gross-margin expansion, bp (context)</t>
  </si>
  <si>
    <t xml:space="preserve">Placeholders: 33.2% vs 32.0% and ~34.5% vs 33.2%. Link to the consensus tab (same cells as the audiobook tabs).</t>
  </si>
  <si>
    <t xml:space="preserve">Non-marketplace y/y gross-margin expansion, bp (pricing, audiobooks, podcasts, ad mix)</t>
  </si>
  <si>
    <t xml:space="preserve">Placeholder so the illustrative path on the bridge lands near H1-26 actuals (33.0-33.4%) and the Q3 guide under the Base case. Replace with the model's own GM build excluding marketplace.</t>
  </si>
  <si>
    <t xml:space="preserve">C. Marketplace disclosures (Discovery Mode + Marquee + Showcase), €M</t>
  </si>
  <si>
    <t xml:space="preserve">Marketplace gross profit contribution, 2021</t>
  </si>
  <si>
    <t xml:space="preserve">Investor Day 8 Jun 2022: 'more than €160 million' in 2021 (under €20 million in 2018). Treated as the floor.</t>
  </si>
  <si>
    <t xml:space="preserve">Marketplace gross profit, 2025 as a multiple of 2021</t>
  </si>
  <si>
    <t xml:space="preserve">Investor Day 21 May 2026: 2025 marketplace gross profit was four times 2021. Implies a ~41% CAGR 2021-25.</t>
  </si>
  <si>
    <t xml:space="preserve">Marketplace gross profit, €M</t>
  </si>
  <si>
    <t xml:space="preserve">FY'25 = 2021 x multiple (floor). FY'24 is not disclosed: interpolated at the 2021-25 CAGR, so the FY'25 y/y effect on the bridge is an estimate.</t>
  </si>
  <si>
    <t xml:space="preserve">Discovery Mode share of marketplace gross profit (FY'25 col)</t>
  </si>
  <si>
    <t xml:space="preserve">KEY LEVER. Not disclosed. Marquee/Showcase are booked as Ad-Supported revenue and that whole segment earned only €330M of gross profit in FY'25 (20-F), which caps them at roughly €150-250M and puts Discovery Mode at 60-80% of marketplace. Used in 'DM share' calibration mode to solve the enrolled share on the bridge; ignored in 'Measured s' mode.</t>
  </si>
  <si>
    <t xml:space="preserve">Calibration mode, FY'25: 'DM share' solves s from the share above; 'Measured s' solves the share from the measured s in section E</t>
  </si>
  <si>
    <t xml:space="preserve">DM share</t>
  </si>
  <si>
    <t xml:space="preserve">The FY'25 identity D = pool x e x s x discount has one free variable. Type exactly 'DM share' or 'Measured s'. Never overwrite the solved cell on the bridge (D12): that breaks the identity and makes FY'25 look like a decline against FY'24.</t>
  </si>
  <si>
    <t xml:space="preserve">D. Music royalty pool, €M (the pool the Discovery Mode discount is taken from)</t>
  </si>
  <si>
    <t xml:space="preserve">Royalties paid to music rights holders</t>
  </si>
  <si>
    <t xml:space="preserve">Loud &amp; Clear: $10bn in 2024 and $11bn in 2025, converted at ~1.08 / ~1.09. After all discounts, so the pre-discount pool is ~3% higher. FY'26E-FY'27E scale with revenue at the FY'25 ratio (royalties are the greater of a % of revenue and per-subscriber minimums).</t>
  </si>
  <si>
    <t xml:space="preserve">   as % of total revenue</t>
  </si>
  <si>
    <t xml:space="preserve">E. Discovery Mode structural levers</t>
  </si>
  <si>
    <t xml:space="preserve">DM royalty discount on DM-context streams</t>
  </si>
  <si>
    <t xml:space="preserve">Program term: the rights holder accepts a 30% lower royalty on streams served in Radio, Autoplay and (from Jan 2024) Mixes. Set a lower FY'27E value to model a claw-back at the major-label renewals.</t>
  </si>
  <si>
    <t xml:space="preserve">e: share of all streams served from DM-eligible surfaces (Radio + Autoplay + Mixes), FY'25</t>
  </si>
  <si>
    <t xml:space="preserve">KEY LEVER (Topic 3). Not disclosed. The 2018 prospectus put Spotify-programmed listening at ~30% before Autoplay became default-on and before Smart Shuffle and the Mixes expansion; Spotify says 33% of discoveries happen in algorithmic contexts. Range 25-35%. 'Autoplay growth' moves this lever.</t>
  </si>
  <si>
    <t xml:space="preserve">e, FY'26E-FY'27E (active case) = FY'25 + case change below</t>
  </si>
  <si>
    <t xml:space="preserve">Bull: autoplay / programmed listening keeps gaining share and new surfaces (Smart Shuffle, DJ sessions) are added. Base: slow drift (Reddit mentions of autoplay/recs peaked in 2025; DJ/Smart Shuffle discussion halved since 2024; Smart Shuffle removable from Apr-25). Bear: no growth, or surfaces lose share (users disable autoplay, AI-slop clean-up trims recommendation volume). Case rows are changes vs FY'25 in points.</t>
  </si>
  <si>
    <t xml:space="preserve">Bear</t>
  </si>
  <si>
    <t xml:space="preserve">Bull</t>
  </si>
  <si>
    <t xml:space="preserve">Measured s, FY'25: enrolled share of eligible-surface streams from sampling (used only in 'Measured s' mode)</t>
  </si>
  <si>
    <t xml:space="preserve">Spotify burner-account method (tools/dm_autoplay): share of tracks served in Autoplay / Radio sessions that are Discovery Mode-enrolled, weighted by plays. Enter the sampled figure here and switch the calibration mode in section C; the bridge then back-solves the DM share of marketplace.</t>
  </si>
  <si>
    <t xml:space="preserve">s: enrolled share of eligible-surface streams, FY'25 (active)</t>
  </si>
  <si>
    <t xml:space="preserve">KEY LEVER (Topic 2). In 'DM share' mode this is solved on the bridge: s = Discovery Mode gross profit / (pool x e x discount). In 'Measured s' mode it is the measured figure above. Do not type over this cell or bridge D12.</t>
  </si>
  <si>
    <t xml:space="preserve">s, FY'26E-FY'27E (active case) = FY'25 + case change below</t>
  </si>
  <si>
    <t xml:space="preserve">Bull: enrollment keeps rising. Base: creeps up because staying in is defensive (opting out cut radio/autoplay streams 50-70% in the charted cases) even as the lift fades. Bear: flat to down (label pushback, Congressional scrutiny, lifts too small to justify 30%). Case rows are changes vs FY'25 in points, so they stay valid whichever calibration mode is on.</t>
  </si>
  <si>
    <t xml:space="preserve">Marquee + Showcase gross profit growth, % y/y (active case)</t>
  </si>
  <si>
    <t xml:space="preserve">Marquee (sponsored recommendation, CPC) and Showcase (home banner) sold to labels; near-100% margin Ad-Supported revenue. Bull +20% (extends 2021-25); Base +10% (below revenue growth, so a small drag in bp); Bear flat.</t>
  </si>
  <si>
    <t xml:space="preserve">Colour key: blue = hard-coded input (notes give source or derivation); light gold = forecast assumption, case-driven cell or placeholder to link to the model; yellow = key lever; black = formula.</t>
  </si>
  <si>
    <t xml:space="preserve">Discovery Mode &amp; Marketplace Gross Margin Bridge</t>
  </si>
  <si>
    <t xml:space="preserve">€ in millions unless stated.  M = D + Q:  D = Discovery Mode royalty discount retained (a reduction of cost of revenue),  Q = Marquee and Showcase gross profit (Ad-Supported revenue).  Discovery Mode reallocates a fixed pool of Radio / Autoplay / Mixes slots; it does not create streams, so D = pool x e x s x discount whether or not the artist gains.</t>
  </si>
  <si>
    <t xml:space="preserve">1. Calibration at FY'25 (values in the FY'25 column)</t>
  </si>
  <si>
    <t xml:space="preserve">Marketplace gross profit (disclosed: 4x 2021)</t>
  </si>
  <si>
    <t xml:space="preserve">FY'24 interpolated, FY'25 floor; see inputs section C.</t>
  </si>
  <si>
    <t xml:space="preserve">Discovery Mode share of marketplace gross profit (input in 'DM share' mode; solved in 'Measured s' mode)</t>
  </si>
  <si>
    <t xml:space="preserve">Calibration mode is set on the inputs tab (section C). FY'24 uses the same share, so both years sit on one definition.</t>
  </si>
  <si>
    <t xml:space="preserve">D: Discovery Mode gross profit</t>
  </si>
  <si>
    <t xml:space="preserve">FY'24 at the same share: estimate.</t>
  </si>
  <si>
    <t xml:space="preserve">Q: Marquee + Showcase gross profit</t>
  </si>
  <si>
    <t xml:space="preserve">Royalty pool on eligible surfaces = pool x e</t>
  </si>
  <si>
    <t xml:space="preserve">s: enrolled share of eligible-surface streams = D / (pool x e x discount), or the measured figure</t>
  </si>
  <si>
    <t xml:space="preserve">Topic 2 of the triangulation matrix. Solved cell: do not type over it. Above 100% means the DM share or e is set too high.</t>
  </si>
  <si>
    <t xml:space="preserve">DM-context enrolled streams as a share of all streams = e x s</t>
  </si>
  <si>
    <t xml:space="preserve">'Share of streams via Discovery Mode' as the calls will phrase it.</t>
  </si>
  <si>
    <t xml:space="preserve">Ceiling: D at 100% enrollment of today's surfaces</t>
  </si>
  <si>
    <t xml:space="preserve">Remaining runway at today's surfaces and discount, €M</t>
  </si>
  <si>
    <t xml:space="preserve">The whole remaining Discovery Mode lever, before any new surface or a bigger discount.</t>
  </si>
  <si>
    <t xml:space="preserve">   as bp of FY'25 revenue</t>
  </si>
  <si>
    <t xml:space="preserve">2. Discovery Mode Gross Profit (D)</t>
  </si>
  <si>
    <t xml:space="preserve">e: eligible-surface share of streams</t>
  </si>
  <si>
    <t xml:space="preserve">FY'26E-FY'27E follow the case selector on the inputs tab.</t>
  </si>
  <si>
    <t xml:space="preserve">s: enrolled share of eligible-surface streams</t>
  </si>
  <si>
    <t xml:space="preserve">   e x s: enrolled DM-context streams, share of all streams</t>
  </si>
  <si>
    <t xml:space="preserve">Music royalty pool</t>
  </si>
  <si>
    <t xml:space="preserve">DM royalty discount</t>
  </si>
  <si>
    <t xml:space="preserve">D: Discovery Mode gross profit = pool x e x s x discount</t>
  </si>
  <si>
    <t xml:space="preserve">FY'24 from the marketplace estimate (section 1); FY'25 reproduces the calibration by construction.</t>
  </si>
  <si>
    <t xml:space="preserve">3. Marquee + Showcase Gross Profit (Q)</t>
  </si>
  <si>
    <t xml:space="preserve">% y/y Growth</t>
  </si>
  <si>
    <t xml:space="preserve">FY'25 implied by the interpolation; FY'26E-FY'27E follow the case selector.</t>
  </si>
  <si>
    <t xml:space="preserve">4. Marketplace Contribution to Gross Profit and Gross Margin</t>
  </si>
  <si>
    <t xml:space="preserve">Marketplace Contribution to Gross Profit (M)</t>
  </si>
  <si>
    <t xml:space="preserve">Level. Already inside reported FY'24-FY'25 gross profit; for the forecast use the y/y effect row below, not this level.</t>
  </si>
  <si>
    <t xml:space="preserve">Total Revenue</t>
  </si>
  <si>
    <t xml:space="preserve">% Contribution to Gross Margin, bp</t>
  </si>
  <si>
    <t xml:space="preserve">Level: what marketplace does to gross margin in each year versus no marketplace.</t>
  </si>
  <si>
    <t xml:space="preserve">Y/y Change in Contribution, €M</t>
  </si>
  <si>
    <t xml:space="preserve">Y/y Gross Margin Effect, bp</t>
  </si>
  <si>
    <t xml:space="preserve">Add to the model's y/y gross-margin expansion from other drivers (negative = drag). FY'25 is an estimate of what marketplace contributed to the +190 bp reported; management says about a third of expansion came from the music business.</t>
  </si>
  <si>
    <t xml:space="preserve">   of which Discovery Mode (change in D), bp</t>
  </si>
  <si>
    <t xml:space="preserve">   of which Marquee + Showcase (change in Q), bp</t>
  </si>
  <si>
    <t xml:space="preserve">Implied marketplace gross profit growth, % y/y</t>
  </si>
  <si>
    <t xml:space="preserve">2021-25 disclosed CAGR ~41%.</t>
  </si>
  <si>
    <t xml:space="preserve">Growth needed to hold the contribution flat = revenue growth, % y/y</t>
  </si>
  <si>
    <t xml:space="preserve">Gross margin is a ratio: a marketplace growing slower than this is a drag in bp while still growing in euros.</t>
  </si>
  <si>
    <t xml:space="preserve">Marketplace effect as % of consensus expansion (context)</t>
  </si>
  <si>
    <t xml:space="preserve">Positive = marketplace supplies that share of the expansion the Street expects; negative = it eats into it.</t>
  </si>
  <si>
    <t xml:space="preserve">5. Illustrative gross-margin path (context; replace the non-marketplace placeholder with the model's own build)</t>
  </si>
  <si>
    <t xml:space="preserve">Reported (FY'24-FY'25) / consensus (FY'26E-FY'27E) gross margin</t>
  </si>
  <si>
    <t xml:space="preserve">Non-marketplace y/y expansion, bp (placeholder from inputs)</t>
  </si>
  <si>
    <t xml:space="preserve">Illustrative gross margin = prior year + non-marketplace + marketplace effect</t>
  </si>
  <si>
    <t xml:space="preserve">   Gap to consensus, bp</t>
  </si>
  <si>
    <t xml:space="preserve">   Reference: 2030 target range</t>
  </si>
  <si>
    <t xml:space="preserve">Low end in the FY'24 column, high end in the FY'25 column; direction marker only.</t>
  </si>
  <si>
    <t xml:space="preserve">6. The three cases side by side (computed from the scenario rows on the inputs tab; independent of the selector)</t>
  </si>
  <si>
    <t xml:space="preserve">Bull: D, Discovery Mode gross profit</t>
  </si>
  <si>
    <t xml:space="preserve">Bull: Q, Marquee + Showcase gross profit</t>
  </si>
  <si>
    <t xml:space="preserve">Bull: M = D + Q</t>
  </si>
  <si>
    <t xml:space="preserve">Bull: y/y gross margin effect, bp</t>
  </si>
  <si>
    <t xml:space="preserve">Bull: illustrative gross margin</t>
  </si>
  <si>
    <t xml:space="preserve">Surfaces and enrollment both keep rising; marketplace keeps adding margin.</t>
  </si>
  <si>
    <t xml:space="preserve">Base: D, Discovery Mode gross profit</t>
  </si>
  <si>
    <t xml:space="preserve">Base: Q, Marquee + Showcase gross profit</t>
  </si>
  <si>
    <t xml:space="preserve">Base: M = D + Q</t>
  </si>
  <si>
    <t xml:space="preserve">Base: y/y gross margin effect, bp</t>
  </si>
  <si>
    <t xml:space="preserve">Base: illustrative gross margin</t>
  </si>
  <si>
    <t xml:space="preserve">What the two datasets describe: slow drift in surfaces, enrollment creeping up because staying in is defensive; marketplace roughly neutral to slightly positive for the margin path.</t>
  </si>
  <si>
    <t xml:space="preserve">Bear: D, Discovery Mode gross profit</t>
  </si>
  <si>
    <t xml:space="preserve">Bear: Q, Marquee + Showcase gross profit</t>
  </si>
  <si>
    <t xml:space="preserve">Bear: M = D + Q</t>
  </si>
  <si>
    <t xml:space="preserve">Bear: y/y gross margin effect, bp</t>
  </si>
  <si>
    <t xml:space="preserve">Bear: illustrative gross margin</t>
  </si>
  <si>
    <t xml:space="preserve">Enrollment slips and Marquee stalls; marketplace becomes a drag because it grows slower than revenue.</t>
  </si>
  <si>
    <t xml:space="preserve">Discovery Mode Sensitivities</t>
  </si>
  <si>
    <t xml:space="preserve">FY'27E Discovery Mode contribution to gross margin, bp, for e (rows) x s (columns). Uses the FY'27E royalty pool, discount and revenue from the bridge. Compare with the FY'25 level at the bottom.</t>
  </si>
  <si>
    <t xml:space="preserve">e  \  s</t>
  </si>
  <si>
    <t xml:space="preserve">FY'25 Discovery Mode contribution, bp (bridge)</t>
  </si>
  <si>
    <t xml:space="preserve">FY'25 e and s (bridge)</t>
  </si>
  <si>
    <t xml:space="preserve">Reading: each 10 pt of enrolled share is worth pool x e x 10% x discount / revenue (roughly 55 bp in FY'27E at e = 33%); with e and s flat the lever adds nothing further in bp. Cells beyond s = 100% are impossible.</t>
  </si>
  <si>
    <t xml:space="preserve">Implied FY'25 enrolled share s for e (rows) x Discovery Mode share of marketplace gross profit (columns). The expert-call answers on Topics 2 and 3 should land in one of these cells; above 100% is impossible.</t>
  </si>
  <si>
    <t xml:space="preserve">e  \  DM share of marketplace GP</t>
  </si>
  <si>
    <t xml:space="preserve">FY'27E y/y marketplace gross margin effect, bp, for the active case with e (rows) x s (columns) in FY'27E; Q and FY'26E held at the active case.</t>
  </si>
  <si>
    <t xml:space="preserve">What the Two Datasets Say, Mapped to the Levers</t>
  </si>
  <si>
    <t xml:space="preserve">2023</t>
  </si>
  <si>
    <t xml:space="preserve">2024</t>
  </si>
  <si>
    <t xml:space="preserve">2025</t>
  </si>
  <si>
    <t xml:space="preserve">2026 YTD</t>
  </si>
  <si>
    <t xml:space="preserve">Every number on this tab is a link to 'DM Data Sentiment', 'DM Data Campaigns' or 'DM Data Artist Reports'. Column G names the lever on the inputs tab the item informs: e = eligible-surface share (autoplay), s = enrolled share, quality = engagement of DM streams, backlash = regulatory / listener risk.</t>
  </si>
  <si>
    <t xml:space="preserve">1. Autoplay / recommendation discussion, r/spotify + r/truespotify (lever: e)</t>
  </si>
  <si>
    <t xml:space="preserve">Posts about autoplay / recommendations, share of all posts</t>
  </si>
  <si>
    <t xml:space="preserve">e</t>
  </si>
  <si>
    <t xml:space="preserve">Rose through 2025 and slipped in 2026 YTD. Weak evidence of a plateau: the 2026 archive is thin after June and total subreddit volume is falling.</t>
  </si>
  <si>
    <t xml:space="preserve">Posts mentioning DJ / daylist / Smart Shuffle, share of topic posts</t>
  </si>
  <si>
    <t xml:space="preserve">The AI DJ / Smart Shuffle novelty is fading: mention share down from 20% to 14-16%, and Smart Shuffle became removable in April 2025 (959-upvote post).</t>
  </si>
  <si>
    <t xml:space="preserve">Posts mentioning Discover Weekly / Release Radar, share of topic posts</t>
  </si>
  <si>
    <t xml:space="preserve">Posts on AI-generated music, share of topic posts</t>
  </si>
  <si>
    <t xml:space="preserve">e (quality)</t>
  </si>
  <si>
    <t xml:space="preserve">From 0.3% to 4.6%. The clean-up Spotify announced in Sept 2025 (AI labels, spam filter) trims recommendation inventory: the main channel by which e could fall.</t>
  </si>
  <si>
    <t xml:space="preserve">Posts on repetitive / same songs, share of topic posts</t>
  </si>
  <si>
    <t xml:space="preserve">quality</t>
  </si>
  <si>
    <t xml:space="preserve">The listener-side symptom of low-intent DM streams; rising every year.</t>
  </si>
  <si>
    <t xml:space="preserve">Posts on paid / pushed content (Discovery Mode, payola, sponsored), share of topic posts</t>
  </si>
  <si>
    <t xml:space="preserve">backlash</t>
  </si>
  <si>
    <t xml:space="preserve">Small but at its highest in 2026. Listeners do not see the program by name (one post in 4,000 says 'discovery mode'); they see 'sponsored recs'.</t>
  </si>
  <si>
    <t xml:space="preserve">2. Sentiment of the scored sample, 1,000 posts per year (lever: e, churn)</t>
  </si>
  <si>
    <t xml:space="preserve">Share negative, headline</t>
  </si>
  <si>
    <t xml:space="preserve">Share negative, intact posts only (the cleaner series)</t>
  </si>
  <si>
    <t xml:space="preserve">e, churn</t>
  </si>
  <si>
    <t xml:space="preserve">Removed posts score ~21% negative vs ~40% for intact ones and were 26% of the 2023 sample but 4-5% in 2025-26. On intact posts the deterioration is ~5-6 pt, not 8; still rising, 2026 H1 the worst half, 2026 Q3 back to 39%.</t>
  </si>
  <si>
    <t xml:space="preserve">Net sentiment, pp</t>
  </si>
  <si>
    <t xml:space="preserve">Share of scored posts with cancel / switch language</t>
  </si>
  <si>
    <t xml:space="preserve">churn</t>
  </si>
  <si>
    <t xml:space="preserve">56 posts in total; directional only.</t>
  </si>
  <si>
    <t xml:space="preserve">Discovery love posts, share positive</t>
  </si>
  <si>
    <t xml:space="preserve">The pro-recommendation pocket is stable: the base is polarising, not uniformly souring.</t>
  </si>
  <si>
    <t xml:space="preserve">DJ / daylist / Smart Shuffle posts, share negative</t>
  </si>
  <si>
    <t xml:space="preserve">Discover Weekly / Release Radar posts, share negative</t>
  </si>
  <si>
    <t xml:space="preserve">3. Discovery Mode efficacy, artist side (levers: s, quality)</t>
  </si>
  <si>
    <t xml:space="preserve">Value</t>
  </si>
  <si>
    <t xml:space="preserve">n</t>
  </si>
  <si>
    <t xml:space="preserve">Lever</t>
  </si>
  <si>
    <t xml:space="preserve">Median Spotify-reported lift, campaigns Aug 2023 - Nov 2024</t>
  </si>
  <si>
    <t xml:space="preserve">s</t>
  </si>
  <si>
    <t xml:space="preserve">Lift = DM-context streams in campaign / prior 28 days - 1. Direction consistent with a crowded pool; magnitude not evidence (n = 4 vs 3).</t>
  </si>
  <si>
    <t xml:space="preserve">Median Spotify-reported lift, campaigns Jan 2025 - Jul 2026</t>
  </si>
  <si>
    <t xml:space="preserve">Billboard reports the same fade from managers: 200-300% gains in year one, 20-30% later.</t>
  </si>
  <si>
    <t xml:space="preserve">Saves + playlist adds per Discovery Mode listener, median</t>
  </si>
  <si>
    <t xml:space="preserve">Spotify's own intent metric; 0.7-4.8% per campaign, latest (Sep 2026) the lowest.</t>
  </si>
  <si>
    <t xml:space="preserve">Saves per listener, artists' overall audience, median</t>
  </si>
  <si>
    <t xml:space="preserve">Different definition, so an order of magnitude: DM streams are ~16x lower intent. They still carry a royalty, at 70%.</t>
  </si>
  <si>
    <t xml:space="preserve">Overall audience keeps the song this many times more often</t>
  </si>
  <si>
    <t xml:space="preserve">Share of first-hand reports that went up: artists under 10k listeners</t>
  </si>
  <si>
    <t xml:space="preserve">All eight small artists went up; the long tail keeps enrolling.</t>
  </si>
  <si>
    <t xml:space="preserve">Share of first-hand reports that went up: artists 10k+ listeners</t>
  </si>
  <si>
    <t xml:space="preserve">Above 10k it is a coin flip; mid-size independents are the enrollment that can leave.</t>
  </si>
  <si>
    <t xml:space="preserve">Share of first-hand reports that went up: all</t>
  </si>
  <si>
    <t xml:space="preserve">First-hand reports saying Discover Weekly / algorithmic streams fell after opting in</t>
  </si>
  <si>
    <t xml:space="preserve">The 'suppression' complaint: enrolling may trade editorial / Discover Weekly reach for Radio / Autoplay reach.</t>
  </si>
  <si>
    <t xml:space="preserve">DM-context streams as share of an enrolled established artist's streams, median</t>
  </si>
  <si>
    <t xml:space="preserve">3.5-5% for 500k+ monthly-stream artists; 33-50% for catalog-heavy or tiny artists.</t>
  </si>
  <si>
    <t xml:space="preserve">Switching Discovery Mode off: average change in radio / autoplay streams (two charted cases)</t>
  </si>
  <si>
    <t xml:space="preserve">s (defensive)</t>
  </si>
  <si>
    <t xml:space="preserve">Enrollment has become defensive, which supports enrollment creeping up even as the lift fades: good for s, bad for the program's reputation.</t>
  </si>
  <si>
    <t xml:space="preserve">Artist pairs: up / down in 2023 (early rollout)</t>
  </si>
  <si>
    <t xml:space="preserve">The 18 numeric pairs trend toward 'Up' over time (mix shift toward small artists); they cannot support the time claim either way.</t>
  </si>
  <si>
    <t xml:space="preserve">Artist pairs: up / down in 2025-26</t>
  </si>
  <si>
    <t xml:space="preserve">Both datasets support the direction (plateauing autoplay salience, fading lift, defensive enrollment) but not magnitudes: self-selected Reddit samples, tiny n on the campaign side, a tone model that is not aspect-based. Treat them as inputs to the Base-case paths, worth about a point a year on e, and as the reason s is modelled as creeping rather than compounding.</t>
  </si>
  <si>
    <t xml:space="preserve">Autoplay &amp; Recommendation Discussion on Reddit, by Year</t>
  </si>
  <si>
    <t xml:space="preserve">Every post in r/spotify and r/truespotify, Jan 2023 - Oct 1 2026 (210,365 posts; Arctic Shift archive; posts only, no comments). Topic posts match the filter in the notes column below and are at least 20 characters. 2026 covers Jan 1 - Oct 1 and the archive thins out after June.</t>
  </si>
  <si>
    <t xml:space="preserve">A. Corpus by year (full population)</t>
  </si>
  <si>
    <t xml:space="preserve">All posts</t>
  </si>
  <si>
    <t xml:space="preserve">Counts from the archive.</t>
  </si>
  <si>
    <t xml:space="preserve">Posts about autoplay / recommendations</t>
  </si>
  <si>
    <t xml:space="preserve">Topic filter: auto-?play|algorithm|\balgo\b|recommend|\brecs\b|suggest(ed|ions)|discover weekly|release radar|daylist|smart shuffle|spotify dj|\bthe dj\b|\bai dj\b|\bdj x\b|made for you|daily mix|\bradio\b|on repeat|enhance</t>
  </si>
  <si>
    <t xml:space="preserve">   share of all posts</t>
  </si>
  <si>
    <t xml:space="preserve">B. Themes by year (keyword patterns on topic posts; a post can carry several themes)</t>
  </si>
  <si>
    <t xml:space="preserve">Repetitive / same songs</t>
  </si>
  <si>
    <t xml:space="preserve">Pattern: same (songs?|artists?|stuff|music|tracks?|\d+)|repetitiv|over and over|keeps? playing|on loop|recycl</t>
  </si>
  <si>
    <t xml:space="preserve">   share of topic posts</t>
  </si>
  <si>
    <t xml:space="preserve">Bad or off-taste recs</t>
  </si>
  <si>
    <t xml:space="preserve">Pattern: (bad|terrible|awful|garbage|trash|horrible|worse|worst|useless|shit|broken)\s+(\w+\s+)?(recommend|algorithm|algo|recs|suggestions|autoplay)|doesn'?t know (me|my)|not my (taste|style|genre)|nothing (new|i like)|ruin(ed|ing|s)? my</t>
  </si>
  <si>
    <t xml:space="preserve">AI-generated music</t>
  </si>
  <si>
    <t xml:space="preserve">Pattern: \bai[- ](music|songs?|generated|slop|artists?|tracks?|bands?)\b|ai-made|fake (artists?|bands?)</t>
  </si>
  <si>
    <t xml:space="preserve">Autoplay control (can't turn off)</t>
  </si>
  <si>
    <t xml:space="preserve">Pattern: (turn(ing)? off|disable|stop|get rid of)\s+(the\s+)?auto-?play|auto-?play (keeps|won'?t|can'?t|turns? (itself )?back)|without (my )?(permission|asking)</t>
  </si>
  <si>
    <t xml:space="preserve">Paid / pushed content</t>
  </si>
  <si>
    <t xml:space="preserve">Pattern: discovery mode|payola|\bpushed\b|promoted|sponsored|paid (to|for) (push|promot)|pay to</t>
  </si>
  <si>
    <t xml:space="preserve">Discovery love</t>
  </si>
  <si>
    <t xml:space="preserve">Pattern: (love|great|amazing|best|awesome|good)\s+(\w+\s+)?(discover weekly|daylist|recommend|algorithm|algo|recs|radio|dj)|discovered (so many|a lot|new)|found (so many|new|great)</t>
  </si>
  <si>
    <t xml:space="preserve">Feature: Discover Weekly / Release Radar</t>
  </si>
  <si>
    <t xml:space="preserve">Pattern: discover weekly|release radar</t>
  </si>
  <si>
    <t xml:space="preserve">Feature: DJ / daylist / Smart Shuffle</t>
  </si>
  <si>
    <t xml:space="preserve">Pattern: spotify dj|\bthe dj\b|\bai dj\b|daylist|smart shuffle</t>
  </si>
  <si>
    <t xml:space="preserve">C. Scored sample (COUNTIFS on 'DM Data Scored Posts'; cardiffnlp/twitter-roberta-base-sentiment-latest, overall tone)</t>
  </si>
  <si>
    <t xml:space="preserve">Posts scored</t>
  </si>
  <si>
    <t xml:space="preserve">Negative</t>
  </si>
  <si>
    <t xml:space="preserve">Neutral</t>
  </si>
  <si>
    <t xml:space="preserve">Positive</t>
  </si>
  <si>
    <t xml:space="preserve">Share negative, all scored posts</t>
  </si>
  <si>
    <t xml:space="preserve">Share positive, all scored posts</t>
  </si>
  <si>
    <t xml:space="preserve">Net sentiment, pp (positive minus negative share)</t>
  </si>
  <si>
    <t xml:space="preserve">Removed / deleted posts in sample (title only)</t>
  </si>
  <si>
    <t xml:space="preserve">Post body shows [removed] or [deleted]; the model scores the title alone.</t>
  </si>
  <si>
    <t xml:space="preserve">   of which negative</t>
  </si>
  <si>
    <t xml:space="preserve">   share negative among removed / deleted</t>
  </si>
  <si>
    <t xml:space="preserve">Share negative, intact posts only</t>
  </si>
  <si>
    <t xml:space="preserve">The cleaner series: removed posts score ~21% negative vs ~40% for intact ones and were a quarter of the 2023 sample.</t>
  </si>
  <si>
    <t xml:space="preserve">Posts with cancel / switch language</t>
  </si>
  <si>
    <t xml:space="preserve">Regex: cancel | unsubscrib | switch(ed|ing) to (apple|tidal|youtube|deezer|qobuz|amazon) | goodbye spotify | leaving spotify | moved to (apple|tidal|youtube). Flag computed in Python from the full post text.</t>
  </si>
  <si>
    <t xml:space="preserve">   share of scored posts</t>
  </si>
  <si>
    <t xml:space="preserve">Share negative within theme (scored posts carrying the theme)</t>
  </si>
  <si>
    <t xml:space="preserve">Repetitive / same songs: posts in sample</t>
  </si>
  <si>
    <t xml:space="preserve">   share negative</t>
  </si>
  <si>
    <t xml:space="preserve">Bad or off-taste recs: posts in sample</t>
  </si>
  <si>
    <t xml:space="preserve">AI-generated music: posts in sample</t>
  </si>
  <si>
    <t xml:space="preserve">Autoplay control (can't turn off): posts in sample</t>
  </si>
  <si>
    <t xml:space="preserve">Paid / pushed content: posts in sample</t>
  </si>
  <si>
    <t xml:space="preserve">Discovery love: posts in sample</t>
  </si>
  <si>
    <t xml:space="preserve">Feature: Discover Weekly / Release Radar: posts in sample</t>
  </si>
  <si>
    <t xml:space="preserve">Feature: DJ / daylist / Smart Shuffle: posts in sample</t>
  </si>
  <si>
    <t xml:space="preserve">Discovery love: share positive</t>
  </si>
  <si>
    <t xml:space="preserve">The pro-recommendation pocket: stable at ~1-2% of topic posts, mostly positive.</t>
  </si>
  <si>
    <t xml:space="preserve">Caveats: keyword themes are approximate ('radio', 'the DJ' match unrelated uses); the model scores overall tone, not tone toward the algorithm, and misreads sarcasm; counts are from the archive and fall with subreddit activity, so use shares. Reproduce: autoplay.py -&gt; export_autoplay_excel.py (earlier session).</t>
  </si>
  <si>
    <t xml:space="preserve">Scored autoplay / recommendation posts, r/spotify + r/truespotify (random sample of up to 1,000 per year, 2023 - Oct 1 2026)</t>
  </si>
  <si>
    <t xml:space="preserve">Date</t>
  </si>
  <si>
    <t xml:space="preserve">Year</t>
  </si>
  <si>
    <t xml:space="preserve">Subreddit</t>
  </si>
  <si>
    <t xml:space="preserve">Post text (title. body; first 150 chars)</t>
  </si>
  <si>
    <t xml:space="preserve">Upvotes</t>
  </si>
  <si>
    <t xml:space="preserve">Sentiment</t>
  </si>
  <si>
    <t xml:space="preserve">P(negative)</t>
  </si>
  <si>
    <t xml:space="preserve">P(neutral)</t>
  </si>
  <si>
    <t xml:space="preserve">P(positive)</t>
  </si>
  <si>
    <t xml:space="preserve">Removed / deleted (1 = yes)</t>
  </si>
  <si>
    <t xml:space="preserve">Cancel / switch language (1 = yes)</t>
  </si>
  <si>
    <t xml:space="preserve">Reddit link</t>
  </si>
  <si>
    <t xml:space="preserve">truespotify</t>
  </si>
  <si>
    <t xml:space="preserve">Is the Spotify layout intentionally confusing?. I grew up with the internet and I'm very adept at navigating new websites and apps etc.. So this is no</t>
  </si>
  <si>
    <t xml:space="preserve">negative</t>
  </si>
  <si>
    <t xml:space="preserve">Yes</t>
  </si>
  <si>
    <t xml:space="preserve">https://www.reddit.com/comments/100fzhz</t>
  </si>
  <si>
    <t xml:space="preserve">spotify</t>
  </si>
  <si>
    <t xml:space="preserve">Recommendations not working in the playlist. [removed]</t>
  </si>
  <si>
    <t xml:space="preserve">https://www.reddit.com/comments/100l2dv</t>
  </si>
  <si>
    <t xml:space="preserve">Upbeat party ambient and conversation aide / presence amplifier - ambitious background grooves. [ Designed as a "start and forget" playlist for weeken</t>
  </si>
  <si>
    <t xml:space="preserve">positive</t>
  </si>
  <si>
    <t xml:space="preserve">https://www.reddit.com/comments/101xy9b</t>
  </si>
  <si>
    <t xml:space="preserve">music recommendation. [removed]</t>
  </si>
  <si>
    <t xml:space="preserve">neutral</t>
  </si>
  <si>
    <t xml:space="preserve">https://www.reddit.com/comments/101zgfc</t>
  </si>
  <si>
    <t xml:space="preserve">Why won't my disovery weekly change genres? For an entire year now it's only recommended Japanese Instrumental.. [removed]</t>
  </si>
  <si>
    <t xml:space="preserve">https://www.reddit.com/comments/102uj2h</t>
  </si>
  <si>
    <t xml:space="preserve">French Songs or Songs related to France. HEllo, i'm preparing an episode of my podcast related to France, do you have any suggestions about songs in F</t>
  </si>
  <si>
    <t xml:space="preserve">https://www.reddit.com/comments/103680r</t>
  </si>
  <si>
    <t xml:space="preserve">A very sincere f*** you to the people calling their album Daily Mix 1. [removed]</t>
  </si>
  <si>
    <t xml:space="preserve">https://www.reddit.com/comments/1037c0h</t>
  </si>
  <si>
    <t xml:space="preserve">Best recommendations? Yes but no. It’s so bad…. [removed]</t>
  </si>
  <si>
    <t xml:space="preserve">https://www.reddit.com/comments/10579e6</t>
  </si>
  <si>
    <t xml:space="preserve">Anyone know what the deal with these playlists are? Literally never seen them recommended and in the 'made for you' section. [removed]</t>
  </si>
  <si>
    <t xml:space="preserve">https://www.reddit.com/comments/105zg9d</t>
  </si>
  <si>
    <t xml:space="preserve">Any way to fix my discover weekly?. [removed]</t>
  </si>
  <si>
    <t xml:space="preserve">https://www.reddit.com/comments/107kedw</t>
  </si>
  <si>
    <t xml:space="preserve">Is there a way to stop Spotify from playing suggested songs?. [removed]</t>
  </si>
  <si>
    <t xml:space="preserve">https://www.reddit.com/comments/1081eob</t>
  </si>
  <si>
    <t xml:space="preserve">‌I want to make a radio that plays from like ten artists that I specify.. [removed]</t>
  </si>
  <si>
    <t xml:space="preserve">https://www.reddit.com/comments/108a3zn</t>
  </si>
  <si>
    <t xml:space="preserve">Anyone recommend a dreamy playlist including/like the song snowfall by øneheart.</t>
  </si>
  <si>
    <t xml:space="preserve">https://www.reddit.com/comments/108dm17</t>
  </si>
  <si>
    <t xml:space="preserve">After 1 year of development we launched Smores to help you discover new music on Spotify faster. No ads, no accounts, no tracking, full recommendation</t>
  </si>
  <si>
    <t xml:space="preserve">https://www.reddit.com/comments/108hm56</t>
  </si>
  <si>
    <t xml:space="preserve">hey guys!!!! spotify has audiobooks!!!! did you want to see more music recommendations? too bad!!! enjoy the crazy rich asians audiobook instead!!!! 😝</t>
  </si>
  <si>
    <t xml:space="preserve">https://www.reddit.com/comments/108y8zh</t>
  </si>
  <si>
    <t xml:space="preserve">Spotify music recommendations feature. Hello, yesterday I discovered a new feature in the music recommendations feature, I’m not sure what I pressed o</t>
  </si>
  <si>
    <t xml:space="preserve">https://www.reddit.com/comments/10a3rno</t>
  </si>
  <si>
    <t xml:space="preserve">Why is Spotify only playing recommended songs, my playlist is definitely long enough?.</t>
  </si>
  <si>
    <t xml:space="preserve">https://www.reddit.com/comments/10a876h</t>
  </si>
  <si>
    <t xml:space="preserve">I introduce to you all 'Indie Bangers'. All things banging in indie rock; meticulously scouted, lovingly compiled and regularly updated. An incredible</t>
  </si>
  <si>
    <t xml:space="preserve">https://www.reddit.com/comments/10ay88c</t>
  </si>
  <si>
    <t xml:space="preserve">Enhance not working - every time I try to do so, this message pops up. The app was just updated and it hasn’t helped. What should I do?.</t>
  </si>
  <si>
    <t xml:space="preserve">https://www.reddit.com/comments/10bcgfw</t>
  </si>
  <si>
    <t xml:space="preserve">collection of ethereal songs in different languages [also open for suggestions pls!].</t>
  </si>
  <si>
    <t xml:space="preserve">https://www.reddit.com/comments/10d35e6</t>
  </si>
  <si>
    <t xml:space="preserve">Until 2 days ago, "play spotify" on google home would play whatever I'd been listening to last on my phone through GH, now it just plays some random s</t>
  </si>
  <si>
    <t xml:space="preserve">https://www.reddit.com/comments/10dby0u</t>
  </si>
  <si>
    <t xml:space="preserve">Spotify song recommendations that fits their vibe. I’m trying to make a lore between these two.</t>
  </si>
  <si>
    <t xml:space="preserve">https://www.reddit.com/comments/10dfb5j</t>
  </si>
  <si>
    <t xml:space="preserve">What Do You Think Of My Constantly Growing Playlist. It's Completely Random and Includes Like Almost Every Genre (Indie, Metal, Pop, Rap, ...). Let Me</t>
  </si>
  <si>
    <t xml:space="preserve">https://www.reddit.com/comments/10dmf60</t>
  </si>
  <si>
    <t xml:space="preserve">How would you rate your Spotify Discover Weekly Playlist?. [removed]</t>
  </si>
  <si>
    <t xml:space="preserve">https://www.reddit.com/comments/10e1g00</t>
  </si>
  <si>
    <t xml:space="preserve">Why can't enhance i my favourite songs?. [removed]</t>
  </si>
  <si>
    <t xml:space="preserve">https://www.reddit.com/comments/10e949y</t>
  </si>
  <si>
    <t xml:space="preserve">Making a Non rap songs that went Platinum in the Hood, playlist and need suggestions!!. Check out the [playlist]( leave some suggestions! Ill add them</t>
  </si>
  <si>
    <t xml:space="preserve">https://www.reddit.com/comments/10eqyk2</t>
  </si>
  <si>
    <t xml:space="preserve">A justified rant about the Spotify random algorithm. [removed]</t>
  </si>
  <si>
    <t xml:space="preserve">https://www.reddit.com/comments/10er6o0</t>
  </si>
  <si>
    <t xml:space="preserve">looking for recommendations! Indie/folky playlist :).</t>
  </si>
  <si>
    <t xml:space="preserve">https://www.reddit.com/comments/10esy6b</t>
  </si>
  <si>
    <t xml:space="preserve">Album Listening Night #181. Each playlist will typically have 2 albums from our community's suggestions. Playlists start with an intro song and includ</t>
  </si>
  <si>
    <t xml:space="preserve">https://www.reddit.com/comments/10exrjs</t>
  </si>
  <si>
    <t xml:space="preserve">I'm really new to Spotify so always looking for positive criticism and suggestions but don't be rude! Linked below is my Spotify profile which has ple</t>
  </si>
  <si>
    <t xml:space="preserve">https://www.reddit.com/comments/10f7g3f</t>
  </si>
  <si>
    <t xml:space="preserve">My phonk playlist with my all time favorite tracks. Drift | House | Atmospheric | Aggressive | Chill. Would appreciate if you took a look or recommend</t>
  </si>
  <si>
    <t xml:space="preserve">https://www.reddit.com/comments/10fe592</t>
  </si>
  <si>
    <t xml:space="preserve">Why is it shuffling on browser for radio EVEN WHEN SHUFFLE IS DISABLED &gt;:(. [removed]</t>
  </si>
  <si>
    <t xml:space="preserve">https://www.reddit.com/comments/10fv7j9</t>
  </si>
  <si>
    <t xml:space="preserve">A$AP Rocky Wavy Radio.</t>
  </si>
  <si>
    <t xml:space="preserve">https://www.reddit.com/comments/10g2oj5</t>
  </si>
  <si>
    <t xml:space="preserve">My distaste for playing suggested songs.. [removed]</t>
  </si>
  <si>
    <t xml:space="preserve">https://www.reddit.com/comments/10giz6l</t>
  </si>
  <si>
    <t xml:space="preserve">Easy going playlist. Like and recommendations are appreciated. [deleted]</t>
  </si>
  <si>
    <t xml:space="preserve">https://www.reddit.com/comments/10glda1</t>
  </si>
  <si>
    <t xml:space="preserve">It's time to bleed! If you have any suggestions within these genres, please let me know!. [deleted]</t>
  </si>
  <si>
    <t xml:space="preserve">https://www.reddit.com/comments/10gvu40</t>
  </si>
  <si>
    <t xml:space="preserve">Turkish songs in recommended playlist. [removed]</t>
  </si>
  <si>
    <t xml:space="preserve">https://www.reddit.com/comments/10hawzi</t>
  </si>
  <si>
    <t xml:space="preserve">Drum &amp; Bass - A playlist I am working on containing only Liquid/Melodic/Chill DNB. Would love to hear your recommendations :).</t>
  </si>
  <si>
    <t xml:space="preserve">https://www.reddit.com/comments/10hobxb</t>
  </si>
  <si>
    <t xml:space="preserve">gen-z-who's-chronically-online type playlist. mostly modern 2015-pres webcore/cybercore songs. some nu-metal and hyperpop [ i also need a name for thi</t>
  </si>
  <si>
    <t xml:space="preserve">https://www.reddit.com/comments/10i6mm7</t>
  </si>
  <si>
    <t xml:space="preserve">Autoplay with premium. [removed]</t>
  </si>
  <si>
    <t xml:space="preserve">https://www.reddit.com/comments/10i6yd1</t>
  </si>
  <si>
    <t xml:space="preserve">I need some recommendations.</t>
  </si>
  <si>
    <t xml:space="preserve">https://www.reddit.com/comments/10i92br</t>
  </si>
  <si>
    <t xml:space="preserve">Playlist. yo been tryna get into/ listen to more rap. so i just want some recommendations for the playlist. or just to see if its good [</t>
  </si>
  <si>
    <t xml:space="preserve">https://www.reddit.com/comments/10ip6c6</t>
  </si>
  <si>
    <t xml:space="preserve">Is there a way to find all the hidden personalized mixes?. On the made for you page, it only shows just a handful of mixes generated, the essentials, </t>
  </si>
  <si>
    <t xml:space="preserve">https://www.reddit.com/comments/10j3omx</t>
  </si>
  <si>
    <t xml:space="preserve">Anyone else getting this error for enhanced playlists?. If I click on a song it won't play, and then spotify displays this message after about 15 seco</t>
  </si>
  <si>
    <t xml:space="preserve">https://www.reddit.com/comments/10jxjbr</t>
  </si>
  <si>
    <t xml:space="preserve">Enhance feature is making playlist unplayable. [removed]</t>
  </si>
  <si>
    <t xml:space="preserve">https://www.reddit.com/comments/10jzps4</t>
  </si>
  <si>
    <t xml:space="preserve">Looking for playlists that make you feel like you were just blown out of your seat or like you just jumped out of a plane. Was looking for a playlist </t>
  </si>
  <si>
    <t xml:space="preserve">https://www.reddit.com/comments/10k2e52</t>
  </si>
  <si>
    <t xml:space="preserve">Suggested song feature but for premium?. [removed]</t>
  </si>
  <si>
    <t xml:space="preserve">https://www.reddit.com/comments/10kbeli</t>
  </si>
  <si>
    <t xml:space="preserve">Playlist not playing when enhanced?. [removed]</t>
  </si>
  <si>
    <t xml:space="preserve">https://www.reddit.com/comments/10kkryf</t>
  </si>
  <si>
    <t xml:space="preserve">Smart shuffle sucks. Is there a way to completely disable the smart shuffle option? whenever I wanna go from shuffle to just play my playlists in orde</t>
  </si>
  <si>
    <t xml:space="preserve">https://www.reddit.com/comments/10lne4i</t>
  </si>
  <si>
    <t xml:space="preserve">Every week, scam artists distribute music with much bigger names attached fake to their songs, and it slips through Spotify's Release Radar. To make t</t>
  </si>
  <si>
    <t xml:space="preserve">https://www.reddit.com/comments/10ms1t2</t>
  </si>
  <si>
    <t xml:space="preserve">A playlist which i created with a mix of genres (trapsoul and pop mostly). I'm trying to find some new songs but the playlist radio recommends me song</t>
  </si>
  <si>
    <t xml:space="preserve">https://www.reddit.com/comments/10mssxs</t>
  </si>
  <si>
    <t xml:space="preserve">Playing recommended songs for you same songs everytime. [removed]</t>
  </si>
  <si>
    <t xml:space="preserve">https://www.reddit.com/comments/10muwuz</t>
  </si>
  <si>
    <t xml:space="preserve">Unknown artists posting music under already well established artists names and appearing in weekly release radar.. [removed]</t>
  </si>
  <si>
    <t xml:space="preserve">https://www.reddit.com/comments/10mx6qz</t>
  </si>
  <si>
    <t xml:space="preserve">First time posting, just a playlist of some chill songs I like. Recommend some songs, always looking for more.. [deleted]</t>
  </si>
  <si>
    <t xml:space="preserve">https://www.reddit.com/comments/10mzepi</t>
  </si>
  <si>
    <t xml:space="preserve">How do I find all the playlists curated for me coz today I saw this alt z playlist my friend was listening to.. I searched it up and it was curated fo</t>
  </si>
  <si>
    <t xml:space="preserve">https://www.reddit.com/comments/10ng03k</t>
  </si>
  <si>
    <t xml:space="preserve">relatively new to current hiphop, this my current playlist, please recommend more!.</t>
  </si>
  <si>
    <t xml:space="preserve">https://www.reddit.com/comments/10nprsx</t>
  </si>
  <si>
    <t xml:space="preserve">Is there a limit to how many songs can be in an enhanced playlist for shuffle to activate?. [removed]</t>
  </si>
  <si>
    <t xml:space="preserve">https://www.reddit.com/comments/10od9zk</t>
  </si>
  <si>
    <t xml:space="preserve">Easy going 70/80s music! Likes and recommendations are appreciated!. [deleted]</t>
  </si>
  <si>
    <t xml:space="preserve">https://www.reddit.com/comments/10oh36b</t>
  </si>
  <si>
    <t xml:space="preserve">How often do the On Repeat and Repeat Rewind playlists update?. [removed]</t>
  </si>
  <si>
    <t xml:space="preserve">https://www.reddit.com/comments/10osasp</t>
  </si>
  <si>
    <t xml:space="preserve">Probably a dumb question, but how do I access the thumbs up/thumbs down radio on iOS?. [deleted]</t>
  </si>
  <si>
    <t xml:space="preserve">https://www.reddit.com/comments/10otjf1</t>
  </si>
  <si>
    <t xml:space="preserve">Reset Discover Weekly and Release Radar?. Anyone know if it's possible to reset these playlists? For a good while now, there's been little new on eith</t>
  </si>
  <si>
    <t xml:space="preserve">https://www.reddit.com/comments/10ox2os</t>
  </si>
  <si>
    <t xml:space="preserve">need new music. any suggestions?. [removed]</t>
  </si>
  <si>
    <t xml:space="preserve">https://www.reddit.com/comments/10p69zs</t>
  </si>
  <si>
    <t xml:space="preserve">Happy to share this EDM/Summer playlist which I listen to when I'm hanging out with my friends! Would love to hear your thoughts &amp; suggestions :).</t>
  </si>
  <si>
    <t xml:space="preserve">https://www.reddit.com/comments/10qbbk1</t>
  </si>
  <si>
    <t xml:space="preserve">I’m convinced that Spotify playlists only contain music that would be on the radio.. [removed]</t>
  </si>
  <si>
    <t xml:space="preserve">https://www.reddit.com/comments/10qes6c</t>
  </si>
  <si>
    <t xml:space="preserve">TIL You can manipulate your Good Morning/Good Evening recommendations by playing things from the Web Player.. [removed]</t>
  </si>
  <si>
    <t xml:space="preserve">https://www.reddit.com/comments/10qkkjd</t>
  </si>
  <si>
    <t xml:space="preserve">Late Night Chill - An ultimate Chillout playlist for the late night vibes. Would love to hear your thoughts &amp; recommendations :).</t>
  </si>
  <si>
    <t xml:space="preserve">https://www.reddit.com/comments/10qp4y2</t>
  </si>
  <si>
    <t xml:space="preserve">TRIPPY playlist.. Guys.. i think i made my **best playlist**... that's so Trippy, like ur going to the **space**. 🥴rlyyy \- **link**: [ ***Let me know</t>
  </si>
  <si>
    <t xml:space="preserve">https://www.reddit.com/comments/10qu39v</t>
  </si>
  <si>
    <t xml:space="preserve">Call Me a Fool Radio.</t>
  </si>
  <si>
    <t xml:space="preserve">https://www.reddit.com/comments/10rj1hq</t>
  </si>
  <si>
    <t xml:space="preserve">Hey guys! I did an experiment looking at algorithmic bias in the Spotify program and this video is a very brief introduction. I have been trying to sp</t>
  </si>
  <si>
    <t xml:space="preserve">https://www.reddit.com/comments/10s7dbn</t>
  </si>
  <si>
    <t xml:space="preserve">Is there a way to disable audiobook recommendations? I've got no interest in being advertised to on an app I'm already paying £17 a month for.. [remov</t>
  </si>
  <si>
    <t xml:space="preserve">https://www.reddit.com/comments/10t8gqh</t>
  </si>
  <si>
    <t xml:space="preserve">https://www.reddit.com/comments/10tb7xp</t>
  </si>
  <si>
    <t xml:space="preserve">Spotify Daily Mix is no different than Favorites on shuffle nowadays.</t>
  </si>
  <si>
    <t xml:space="preserve">https://www.reddit.com/comments/10tw0da</t>
  </si>
  <si>
    <t xml:space="preserve">Looking for your music suggestions for a instrumental playlist!. [deleted]</t>
  </si>
  <si>
    <t xml:space="preserve">https://www.reddit.com/comments/10u65fa</t>
  </si>
  <si>
    <t xml:space="preserve">Love Discover Weekly? Never Miss a Mix Again!. [removed]</t>
  </si>
  <si>
    <t xml:space="preserve">https://www.reddit.com/comments/10ugqti</t>
  </si>
  <si>
    <t xml:space="preserve">Spotify feels stagnant. Lately I've been feeling a sense of boredom with Spotify, it feels like the algorithm is stuck. I rarely get to discover new s</t>
  </si>
  <si>
    <t xml:space="preserve">https://www.reddit.com/comments/10ulqp2</t>
  </si>
  <si>
    <t xml:space="preserve">Battle of the Bands: Super Bowl edition via Spotify radio. My radio show did a battle of the bands of Philly versus Kansas City bands! Loving the radi</t>
  </si>
  <si>
    <t xml:space="preserve">https://www.reddit.com/comments/10vapqz</t>
  </si>
  <si>
    <t xml:space="preserve">Is there a way to get recommendation lists that aren't like 80% songs I already added to my liked songs?. [removed]</t>
  </si>
  <si>
    <t xml:space="preserve">https://www.reddit.com/comments/10w1jbi</t>
  </si>
  <si>
    <t xml:space="preserve">I have 999 songs in my liked songs (which is my main plalist) - what should be my 1000th?. suggest some songs best ones I will add (my favourite/main </t>
  </si>
  <si>
    <t xml:space="preserve">https://www.reddit.com/comments/10wapu8</t>
  </si>
  <si>
    <t xml:space="preserve">How do Spotify Radio channels work?. [removed]</t>
  </si>
  <si>
    <t xml:space="preserve">https://www.reddit.com/comments/10wdiy0</t>
  </si>
  <si>
    <t xml:space="preserve">Reporting a playlist / playlist owner. How do I report a playlist owner that is asking for money in exchange for guaranteed placement? Fairly sure thi</t>
  </si>
  <si>
    <t xml:space="preserve">https://www.reddit.com/comments/10x6kb7</t>
  </si>
  <si>
    <t xml:space="preserve">Spotify now lets you exclude certain playlists from its recommendations.</t>
  </si>
  <si>
    <t xml:space="preserve">https://www.reddit.com/comments/10xaral</t>
  </si>
  <si>
    <t xml:space="preserve">Made for you gone??. I’ve been using Spotify for years and i listen to music everyday. Why does it seem like my listening data is gone??</t>
  </si>
  <si>
    <t xml:space="preserve">https://www.reddit.com/comments/10xeb3t</t>
  </si>
  <si>
    <t xml:space="preserve">5 reasons to choose Spotify over Apple Music in 2023. I've been a music streaming fan since 2015 when Apple Music arrived in my country, but the entir</t>
  </si>
  <si>
    <t xml:space="preserve">https://www.reddit.com/comments/10xr670</t>
  </si>
  <si>
    <t xml:space="preserve">Indie Hip Hop | New &amp; Undiscovered Artists - artists with less than 30k monthly listeners but radio-ready production..</t>
  </si>
  <si>
    <t xml:space="preserve">https://www.reddit.com/comments/10y799z</t>
  </si>
  <si>
    <t xml:space="preserve">MIC Radio Love Songs.</t>
  </si>
  <si>
    <t xml:space="preserve">https://www.reddit.com/comments/10yyko0</t>
  </si>
  <si>
    <t xml:space="preserve">Working on this awesome Summer Dance playlist for myself. Happy to share it here, and hopefully get some cool suggestions! Let me know what you think </t>
  </si>
  <si>
    <t xml:space="preserve">https://www.reddit.com/comments/10z4ud6</t>
  </si>
  <si>
    <t xml:space="preserve">Need some playlist organisation advice. Hi guys, I have been struggling with creating good, functional playlists for some time now. I know many posted</t>
  </si>
  <si>
    <t xml:space="preserve">https://www.reddit.com/comments/10zhs2f</t>
  </si>
  <si>
    <t xml:space="preserve">Introducing Best of Discover Weekly - a simple way to save your favorites, automatically [Request for Feedback]. [removed]</t>
  </si>
  <si>
    <t xml:space="preserve">https://www.reddit.com/comments/10zkto2</t>
  </si>
  <si>
    <t xml:space="preserve">Women of metal - non screaming playlist (updated regularly - feel free to make new suggestions). [deleted]</t>
  </si>
  <si>
    <t xml:space="preserve">https://www.reddit.com/comments/110ltac</t>
  </si>
  <si>
    <t xml:space="preserve">i want some music recommendations. i listen to a lot of different genres most of the songs i listen to (but not all) are [here]( . i personally prefer</t>
  </si>
  <si>
    <t xml:space="preserve">https://www.reddit.com/comments/110nyvh</t>
  </si>
  <si>
    <t xml:space="preserve">You CAN Customize your Good Morning/Afternoon/Evening feed. Here's how:. My recommendations weren't ever changing, no matter what I listened to or for</t>
  </si>
  <si>
    <t xml:space="preserve">https://www.reddit.com/comments/1111rnp</t>
  </si>
  <si>
    <t xml:space="preserve">Any songs that have the same vibe? Please recommend! :). [deleted]</t>
  </si>
  <si>
    <t xml:space="preserve">https://www.reddit.com/comments/111mmwj</t>
  </si>
  <si>
    <t xml:space="preserve">Recommendations are making me mad. 🤬. [removed]</t>
  </si>
  <si>
    <t xml:space="preserve">https://www.reddit.com/comments/111ou3t</t>
  </si>
  <si>
    <t xml:space="preserve">Recommended songs…. [removed]</t>
  </si>
  <si>
    <t xml:space="preserve">https://www.reddit.com/comments/111owh1</t>
  </si>
  <si>
    <t xml:space="preserve">The recommended tracks section is terrible and has gone downhill… help?. [removed]</t>
  </si>
  <si>
    <t xml:space="preserve">https://www.reddit.com/comments/112bsni</t>
  </si>
  <si>
    <t xml:space="preserve">Grizzly Beatz Radio.</t>
  </si>
  <si>
    <t xml:space="preserve">https://www.reddit.com/comments/112gn1a</t>
  </si>
  <si>
    <t xml:space="preserve">Spotify doesn’t go past this screen when opening app. I have uninstalled and reinstalled with no fix. Any suggestions?.</t>
  </si>
  <si>
    <t xml:space="preserve">https://www.reddit.com/comments/112juun</t>
  </si>
  <si>
    <t xml:space="preserve">Song Suggestions for Playlist?. [removed]</t>
  </si>
  <si>
    <t xml:space="preserve">https://www.reddit.com/comments/113jc9l</t>
  </si>
  <si>
    <t xml:space="preserve">A playlist for the lonely. If you have suggestions within these genres, please let me know!. [deleted]</t>
  </si>
  <si>
    <t xml:space="preserve">https://www.reddit.com/comments/113n2g5</t>
  </si>
  <si>
    <t xml:space="preserve">suggestions? please like the playlist if you find it good :). [deleted]</t>
  </si>
  <si>
    <t xml:space="preserve">https://www.reddit.com/comments/113rkp5</t>
  </si>
  <si>
    <t xml:space="preserve">easy going 70/80s playlist! Likes and recommendations are appreciated. [deleted]</t>
  </si>
  <si>
    <t xml:space="preserve">https://www.reddit.com/comments/113sgrv</t>
  </si>
  <si>
    <t xml:space="preserve">New-ish to Spotify… song recommendations?. Heyyyyyyy! I’m a fairly new, newbie to Spotify. Would like to add more to my music library! If anyone would</t>
  </si>
  <si>
    <t xml:space="preserve">https://www.reddit.com/comments/113yzul</t>
  </si>
  <si>
    <t xml:space="preserve">Happy Vibes - An ultimate Feel Good playlist for the Summer. Would love to hear your thoughts &amp; recommendations :).</t>
  </si>
  <si>
    <t xml:space="preserve">https://www.reddit.com/comments/115c0r9</t>
  </si>
  <si>
    <t xml:space="preserve">https://www.reddit.com/comments/115c0tl</t>
  </si>
  <si>
    <t xml:space="preserve">What do you think about Spotify adding TikTok alike feed to the app?. According to [this]( article on Bloomberg Spotify is planning on adding a recomm</t>
  </si>
  <si>
    <t xml:space="preserve">https://www.reddit.com/comments/11665qa</t>
  </si>
  <si>
    <t xml:space="preserve">Not showing all playlists? Spotify for artists. It has been about a month since my first release via amuse, but i feel like my stats aren’t correct/ar</t>
  </si>
  <si>
    <t xml:space="preserve">https://www.reddit.com/comments/1172v9d</t>
  </si>
  <si>
    <t xml:space="preserve">What do you think if a specific song doesn't show up in "On Repeat"?. [removed]</t>
  </si>
  <si>
    <t xml:space="preserve">https://www.reddit.com/comments/1178m6v</t>
  </si>
  <si>
    <t xml:space="preserve">does anybody have any song suggestions for a playlist themed on the sun and moon dynamic?.</t>
  </si>
  <si>
    <t xml:space="preserve">https://www.reddit.com/comments/117fwgy</t>
  </si>
  <si>
    <t xml:space="preserve">How good is your suggested?. [removed]</t>
  </si>
  <si>
    <t xml:space="preserve">https://www.reddit.com/comments/117g1o0</t>
  </si>
  <si>
    <t xml:space="preserve">Spotify algorithm messing with my looooong playlist?. I listen to Spotify for free and I’ve cobbled together a 24-hour plus playlist that I listen to </t>
  </si>
  <si>
    <t xml:space="preserve">https://www.reddit.com/comments/117nyhd</t>
  </si>
  <si>
    <t xml:space="preserve">A playlist for music from around the world. Suggestions are appreciated! Any country anywhere!.</t>
  </si>
  <si>
    <t xml:space="preserve">https://www.reddit.com/comments/1188326</t>
  </si>
  <si>
    <t xml:space="preserve">3rd party radio/algorithm for discovering music on spotify?. Spotify keeps recommending me songs I already removed/or are already in the playlist. I k</t>
  </si>
  <si>
    <t xml:space="preserve">https://www.reddit.com/comments/1188vwq</t>
  </si>
  <si>
    <t xml:space="preserve">Spotify DJ. [deleted]</t>
  </si>
  <si>
    <t xml:space="preserve">https://www.reddit.com/comments/1195dxs</t>
  </si>
  <si>
    <t xml:space="preserve">Soft Rock Radio Hits From The 70’s &amp; Early 80’s. [deleted]</t>
  </si>
  <si>
    <t xml:space="preserve">https://www.reddit.com/comments/119cc95</t>
  </si>
  <si>
    <t xml:space="preserve">my home good morning/good evening stuck at a same thing. so its just hasnt changed for over a month, stuck on phone pc everywhere. idk what to do, any</t>
  </si>
  <si>
    <t xml:space="preserve">https://www.reddit.com/comments/119gndo</t>
  </si>
  <si>
    <t xml:space="preserve">why is this recommended to me if ive never listened to anything like it or any podcasts at all?. [deleted]</t>
  </si>
  <si>
    <t xml:space="preserve">https://www.reddit.com/comments/119jb13</t>
  </si>
  <si>
    <t xml:space="preserve">Besides making a new account for my child is there a way for me to not get songs like this in my suggestions?. [removed]</t>
  </si>
  <si>
    <t xml:space="preserve">https://www.reddit.com/comments/11a3762</t>
  </si>
  <si>
    <t xml:space="preserve">Has Spotify ever dipped into live radio?. SiriusXM style. Like if you want to listen to indie radio, it's not your own personalized radio that Spotify</t>
  </si>
  <si>
    <t xml:space="preserve">https://www.reddit.com/comments/11a5ib0</t>
  </si>
  <si>
    <t xml:space="preserve">Recommended playlist rant.... [deleted]</t>
  </si>
  <si>
    <t xml:space="preserve">https://www.reddit.com/comments/11a6zbp</t>
  </si>
  <si>
    <t xml:space="preserve">Best way to remove stagnant recommendations from the home tab? I’m still being served Holiday music, and it’s almost March..</t>
  </si>
  <si>
    <t xml:space="preserve">https://www.reddit.com/comments/11b3skz</t>
  </si>
  <si>
    <t xml:space="preserve">Did anyone get the Spotify DJ?. #Its a bit *infuriating* when a company announces a new feature and then starts to "slowly" roll it out without any ot</t>
  </si>
  <si>
    <t xml:space="preserve">https://www.reddit.com/comments/11c00w5</t>
  </si>
  <si>
    <t xml:space="preserve">For everyone wondering why they don't see AI DJ in their Spotify app: it's only available in CA and US. [removed]</t>
  </si>
  <si>
    <t xml:space="preserve">https://www.reddit.com/comments/11cfh6g</t>
  </si>
  <si>
    <t xml:space="preserve">DRITTO - SAXY (Original Mix) featured on Tomorrowland Radio.</t>
  </si>
  <si>
    <t xml:space="preserve">https://www.reddit.com/comments/11chc6s</t>
  </si>
  <si>
    <t xml:space="preserve">I add most songs from my Discover Weekly playlist to multiple playlists that I've curated. Does the algorithm take those adds into consideration when </t>
  </si>
  <si>
    <t xml:space="preserve">https://www.reddit.com/comments/11dlr5z</t>
  </si>
  <si>
    <t xml:space="preserve">https://www.reddit.com/comments/11dm5u9</t>
  </si>
  <si>
    <t xml:space="preserve">Any thoughts on the new AI DJ?.</t>
  </si>
  <si>
    <t xml:space="preserve">https://www.reddit.com/comments/11dodhu</t>
  </si>
  <si>
    <t xml:space="preserve">Random songs being added to queue despite autoplay being off. [removed]</t>
  </si>
  <si>
    <t xml:space="preserve">https://www.reddit.com/comments/11e6fl8</t>
  </si>
  <si>
    <t xml:space="preserve">Some old rave tunes. Looking for recommendations.</t>
  </si>
  <si>
    <t xml:space="preserve">https://www.reddit.com/comments/11ebu09</t>
  </si>
  <si>
    <t xml:space="preserve">it seems Spotify DJ goes online for everyone.. [deleted]</t>
  </si>
  <si>
    <t xml:space="preserve">https://www.reddit.com/comments/11edeal</t>
  </si>
  <si>
    <t xml:space="preserve">A chill piano playlist with a mix of traditional and modern composers. Would appreciate any recommendations, especially if the artists don't typically</t>
  </si>
  <si>
    <t xml:space="preserve">https://www.reddit.com/comments/11efr5e</t>
  </si>
  <si>
    <t xml:space="preserve">Wow, I love the DJ!!. I was hoping to find others to chat about it with but it seems to have not rolled out to users yet? I am a premium user of 10+ y</t>
  </si>
  <si>
    <t xml:space="preserve">https://www.reddit.com/comments/11epopo</t>
  </si>
  <si>
    <t xml:space="preserve">How do I get rid of Smart Shuffle on Android?. [removed]</t>
  </si>
  <si>
    <t xml:space="preserve">https://www.reddit.com/comments/11equdl</t>
  </si>
  <si>
    <t xml:space="preserve">anyone elses radio fucked up? (iOS). [deleted]</t>
  </si>
  <si>
    <t xml:space="preserve">https://www.reddit.com/comments/11err4z</t>
  </si>
  <si>
    <t xml:space="preserve">Late Night Chill - An ultimate Chillout playlist for the late night vibes. Would love to hear your thoughts &amp;amp; recommendations :).</t>
  </si>
  <si>
    <t xml:space="preserve">https://www.reddit.com/comments/11eyyci</t>
  </si>
  <si>
    <t xml:space="preserve">I might be an idiot, but how do I access the music feed?. So after reading about the AI dj I wanted to see if I had access, but everyone says to go to</t>
  </si>
  <si>
    <t xml:space="preserve">https://www.reddit.com/comments/11f7t3m</t>
  </si>
  <si>
    <t xml:space="preserve">Will the Desktop Spotify App be getting the AI DJ feature?. [removed]</t>
  </si>
  <si>
    <t xml:space="preserve">https://www.reddit.com/comments/11f80p6</t>
  </si>
  <si>
    <t xml:space="preserve">No Spotify “music” tab, no Spotify DJ? How do I access this feature if I don’t have a “music” button on my Home Screen?.</t>
  </si>
  <si>
    <t xml:space="preserve">https://www.reddit.com/comments/11fev79</t>
  </si>
  <si>
    <t xml:space="preserve">Is there a way to only play enhanced songs in playlists?. [removed]</t>
  </si>
  <si>
    <t xml:space="preserve">https://www.reddit.com/comments/11fffdx</t>
  </si>
  <si>
    <t xml:space="preserve">does anyone know how to give the spotify dj feedback?. [removed]</t>
  </si>
  <si>
    <t xml:space="preserve">https://www.reddit.com/comments/11hkvbx</t>
  </si>
  <si>
    <t xml:space="preserve">After updating Spotify on the App Store, now I have Spotify AI DJ..</t>
  </si>
  <si>
    <t xml:space="preserve">https://www.reddit.com/comments/11howrf</t>
  </si>
  <si>
    <t xml:space="preserve">song recommendations. [removed]</t>
  </si>
  <si>
    <t xml:space="preserve">https://www.reddit.com/comments/11i9azy</t>
  </si>
  <si>
    <t xml:space="preserve">Spotify DJ repeating the same things, anyone else?. Is it supposed to be like this? Everytime even when I click the vibe button it just plays the same</t>
  </si>
  <si>
    <t xml:space="preserve">https://www.reddit.com/comments/11imlcc</t>
  </si>
  <si>
    <t xml:space="preserve">Dear Spotify: I have a wonderful idea! Instead of an AI DJ, why not put effort into something ACTUALLY useful like HomePod or AirPlay 2 support instea</t>
  </si>
  <si>
    <t xml:space="preserve">https://www.reddit.com/comments/11irtng</t>
  </si>
  <si>
    <t xml:space="preserve">Sunday Vibes - A relaxing playlist perfect for your Sundays. Would love to hear your thoughts &amp;amp; recommendations :).</t>
  </si>
  <si>
    <t xml:space="preserve">https://www.reddit.com/comments/11isfhz</t>
  </si>
  <si>
    <t xml:space="preserve">I accidentally fell asleep with 1 song on repeat (~8 hours) is there a way to undo this so it doesn’t skew my spotify stats?. Yep, fell asleep playing</t>
  </si>
  <si>
    <t xml:space="preserve">https://www.reddit.com/comments/11j5pxr</t>
  </si>
  <si>
    <t xml:space="preserve">spotify Dj not showing up. [deleted]</t>
  </si>
  <si>
    <t xml:space="preserve">https://www.reddit.com/comments/11jobg8</t>
  </si>
  <si>
    <t xml:space="preserve">The DJ thing said there would be a button at the bottom if I wanted to switch up the music but where is it.</t>
  </si>
  <si>
    <t xml:space="preserve">https://www.reddit.com/comments/11jxczl</t>
  </si>
  <si>
    <t xml:space="preserve">spotify dj. [removed]</t>
  </si>
  <si>
    <t xml:space="preserve">https://www.reddit.com/comments/11k0j21</t>
  </si>
  <si>
    <t xml:space="preserve">Groovealicious. Need more suggestions to add to it. [deleted]</t>
  </si>
  <si>
    <t xml:space="preserve">https://www.reddit.com/comments/11k44og</t>
  </si>
  <si>
    <t xml:space="preserve">Did anyone else with a public Discover Weekly playlist lose all the playlist followers today?. [removed]</t>
  </si>
  <si>
    <t xml:space="preserve">https://www.reddit.com/comments/11l0voh</t>
  </si>
  <si>
    <t xml:space="preserve">have you ever wanted a "random song" feature to discover new music? i have. well, i put together a multigenre-mix of unknown songs/artists so this is </t>
  </si>
  <si>
    <t xml:space="preserve">https://www.reddit.com/comments/11la9vf</t>
  </si>
  <si>
    <t xml:space="preserve">Spotify Stream On 2023 Predictions. Update: I have noted what happened, but in sum, mostly wrong! I will surely be wrong, and even give false hope, bu</t>
  </si>
  <si>
    <t xml:space="preserve">https://www.reddit.com/comments/11lfzrl</t>
  </si>
  <si>
    <t xml:space="preserve">suggested songs keep playing when setting is off. [removed]</t>
  </si>
  <si>
    <t xml:space="preserve">https://www.reddit.com/comments/11lztc9</t>
  </si>
  <si>
    <t xml:space="preserve">No Ai Dj but I have the new plus button. Should I just be patient and keep waiting for the rollout to finish for the dj</t>
  </si>
  <si>
    <t xml:space="preserve">https://www.reddit.com/comments/11m6epd</t>
  </si>
  <si>
    <t xml:space="preserve">what happened to the Enhance button? it's seemingly just vanished. [removed]</t>
  </si>
  <si>
    <t xml:space="preserve">https://www.reddit.com/comments/11mb4le</t>
  </si>
  <si>
    <t xml:space="preserve">Smart shuffle is awful.. The only new feature i like was the enhanced playlist button. This is the second time they have removed it and replaced it wi</t>
  </si>
  <si>
    <t xml:space="preserve">https://www.reddit.com/comments/11mbfyi</t>
  </si>
  <si>
    <t xml:space="preserve">Radio Interlude's for Playlists? (To Add Realism). [removed]</t>
  </si>
  <si>
    <t xml:space="preserve">https://www.reddit.com/comments/11md59t</t>
  </si>
  <si>
    <t xml:space="preserve">I just got into house music (or tech house?), and i made myself a playlist, can you guys give a quick look and give me some feedback on it and recomme</t>
  </si>
  <si>
    <t xml:space="preserve">https://www.reddit.com/comments/11mhukp</t>
  </si>
  <si>
    <t xml:space="preserve">Metal workout playlist. recommend me more to add.</t>
  </si>
  <si>
    <t xml:space="preserve">https://www.reddit.com/comments/11mmy4v</t>
  </si>
  <si>
    <t xml:space="preserve">Enhanced gone overnight. How do I get this feature back? I had it last night (09/03/2023), and as far as I'm aware my phone didn't update anything. I </t>
  </si>
  <si>
    <t xml:space="preserve">https://www.reddit.com/comments/11mnt9z</t>
  </si>
  <si>
    <t xml:space="preserve">Did Spotify remove the enhance feature?. [removed]</t>
  </si>
  <si>
    <t xml:space="preserve">https://www.reddit.com/comments/11muj8d</t>
  </si>
  <si>
    <t xml:space="preserve">Romantic playlist. Song suggestions are appreciated!.</t>
  </si>
  <si>
    <t xml:space="preserve">https://www.reddit.com/comments/11mxbw5</t>
  </si>
  <si>
    <t xml:space="preserve">Skiley is great!. So there's this Website and Android app called Skiley that works great and really smoothly to add new features to your Spotify accou</t>
  </si>
  <si>
    <t xml:space="preserve">https://www.reddit.com/comments/11n2epv</t>
  </si>
  <si>
    <t xml:space="preserve">If I download Daily Mixes, will they still update? If so, when? Overnight? When charging?. [removed]</t>
  </si>
  <si>
    <t xml:space="preserve">https://www.reddit.com/comments/11n4zs0</t>
  </si>
  <si>
    <t xml:space="preserve">Spotify revamps its app with TikTok-style discovery feeds, Smart Shuffle for playlists and more. [removed]</t>
  </si>
  <si>
    <t xml:space="preserve">https://www.reddit.com/comments/11nmc9n</t>
  </si>
  <si>
    <t xml:space="preserve">Spotify adding suggested songs to the queue with premium. [deleted]</t>
  </si>
  <si>
    <t xml:space="preserve">https://www.reddit.com/comments/11nmlpn</t>
  </si>
  <si>
    <t xml:space="preserve">Smart Shuffle. [removed]</t>
  </si>
  <si>
    <t xml:space="preserve">https://www.reddit.com/comments/11nr8py</t>
  </si>
  <si>
    <t xml:space="preserve">Songs suggestions. [removed]</t>
  </si>
  <si>
    <t xml:space="preserve">https://www.reddit.com/comments/11ocw29</t>
  </si>
  <si>
    <t xml:space="preserve">F*CK SMART SHUFFLE! BRING BACK ENHANCE OPTION. [removed]</t>
  </si>
  <si>
    <t xml:space="preserve">https://www.reddit.com/comments/11ohdrb</t>
  </si>
  <si>
    <t xml:space="preserve">My Discover Weekly is ruined 😭!!. [removed]</t>
  </si>
  <si>
    <t xml:space="preserve">https://www.reddit.com/comments/11om3b3</t>
  </si>
  <si>
    <t xml:space="preserve">Is anyone else having the spotify app crash when they try to use the ai dj?. [removed]</t>
  </si>
  <si>
    <t xml:space="preserve">https://www.reddit.com/comments/11p56vg</t>
  </si>
  <si>
    <t xml:space="preserve">You’re telling me I got the tiktok rollout but not the Ai dj???.</t>
  </si>
  <si>
    <t xml:space="preserve">https://www.reddit.com/comments/11qfb9i</t>
  </si>
  <si>
    <t xml:space="preserve">Thank you Reddit for all the support!!! Send any recs. [removed]</t>
  </si>
  <si>
    <t xml:space="preserve">https://www.reddit.com/comments/11qgvpf</t>
  </si>
  <si>
    <t xml:space="preserve">Spotify is suddenly ditching Enhanced Playlists and going back to Smart Shuffle, affecting the normal shuffle experience and fragmenting the platforms</t>
  </si>
  <si>
    <t xml:space="preserve">https://www.reddit.com/comments/11qhyza</t>
  </si>
  <si>
    <t xml:space="preserve">Alt/indie rock playlist feat The Strokes, Blonde Redhead, TV on The Radio and White Rabbits.</t>
  </si>
  <si>
    <t xml:space="preserve">https://www.reddit.com/comments/11qkglt</t>
  </si>
  <si>
    <t xml:space="preserve">Smart shuffle. [removed]</t>
  </si>
  <si>
    <t xml:space="preserve">https://www.reddit.com/comments/11qnzlz</t>
  </si>
  <si>
    <t xml:space="preserve">Decades Party Playlist?. Hey guys I am hosting a reception with a decades dress theme and wanted to find a good playlist with music throughout the yea</t>
  </si>
  <si>
    <t xml:space="preserve">https://www.reddit.com/comments/11qtvv1</t>
  </si>
  <si>
    <t xml:space="preserve">[Smart Shuffle] Spotify be like. Spotify literally added a new Smart Shuffle Mode. I was like "Finally they give me the option to truly randomly shuff</t>
  </si>
  <si>
    <t xml:space="preserve">https://www.reddit.com/comments/11qzww6</t>
  </si>
  <si>
    <t xml:space="preserve">Spotify's new "TikTok" feed recommending a Podcast in the Music section.</t>
  </si>
  <si>
    <t xml:space="preserve">https://www.reddit.com/comments/11s7rp5</t>
  </si>
  <si>
    <t xml:space="preserve">Is there any way to choose what cover image goes on your daily mix? I love this mix, but I HATE looking at Katja Krasavice's plastic ass lmao. [remove</t>
  </si>
  <si>
    <t xml:space="preserve">https://www.reddit.com/comments/11slr0q</t>
  </si>
  <si>
    <t xml:space="preserve">TikTok update is nothing like TikTok?. So I got the Spotify TikTok update and I like it but I am also disappointed because it is just the old music ta</t>
  </si>
  <si>
    <t xml:space="preserve">https://www.reddit.com/comments/11t18g4</t>
  </si>
  <si>
    <t xml:space="preserve">Anybody getting some really weird AI generated ambient music in their song radio?. [removed]</t>
  </si>
  <si>
    <t xml:space="preserve">https://www.reddit.com/comments/11td9ca</t>
  </si>
  <si>
    <t xml:space="preserve">How can I make enhanced mode stop for my liked songs. It keeps getting enabled then plays Sam Smith and Taylor Swift songs.. [removed]</t>
  </si>
  <si>
    <t xml:space="preserve">https://www.reddit.com/comments/11tgpyv</t>
  </si>
  <si>
    <t xml:space="preserve">shoegaze music ((open for song suggestions)).</t>
  </si>
  <si>
    <t xml:space="preserve">https://www.reddit.com/comments/11thhg2</t>
  </si>
  <si>
    <t xml:space="preserve">What happened to my suggested? No more green squares?.</t>
  </si>
  <si>
    <t xml:space="preserve">https://www.reddit.com/comments/11tma4t</t>
  </si>
  <si>
    <t xml:space="preserve">My discover weekly is the exact same as my girlfriend’s. Is discover weekly not actually unique for each individual?.</t>
  </si>
  <si>
    <t xml:space="preserve">https://www.reddit.com/comments/11tu5qo</t>
  </si>
  <si>
    <t xml:space="preserve">I had the ai DJ and didn't even know it🤦‍♂️. I will say though, I'm not a huge fan of the lingo and vocabulary of the DJ ai, it feels very 90's or 200</t>
  </si>
  <si>
    <t xml:space="preserve">https://www.reddit.com/comments/11u46dh</t>
  </si>
  <si>
    <t xml:space="preserve">How do I stop spotify from deleting songs from the queue as they get played?. So, I make a queue. As soon as the first songs finishes and second start</t>
  </si>
  <si>
    <t xml:space="preserve">https://www.reddit.com/comments/11uthy1</t>
  </si>
  <si>
    <t xml:space="preserve">Would deleting a 2.5k playlist make suggested playlists and DJ suggestions better for me?. [deleted]</t>
  </si>
  <si>
    <t xml:space="preserve">https://www.reddit.com/comments/11utntx</t>
  </si>
  <si>
    <t xml:space="preserve">Fred My Leg! : Fresh Finds. Playlist for helping over looked artists get noticed. 50 refreshed songs every month from under the radar artists. Song re</t>
  </si>
  <si>
    <t xml:space="preserve">https://www.reddit.com/comments/11vaycs</t>
  </si>
  <si>
    <t xml:space="preserve">AI DJ Feature in Europe. [removed]</t>
  </si>
  <si>
    <t xml:space="preserve">https://www.reddit.com/comments/11wei70</t>
  </si>
  <si>
    <t xml:space="preserve">Anyone else’s daily mixes not updating?. mine have been the same for like a week now idk why</t>
  </si>
  <si>
    <t xml:space="preserve">https://www.reddit.com/comments/11wumjd</t>
  </si>
  <si>
    <t xml:space="preserve">Why is crossfading now forced in Artist/Genre mixes?. I pretty much only listen to my daily mixes or genre mixes and this has really annoyed me, some </t>
  </si>
  <si>
    <t xml:space="preserve">https://www.reddit.com/comments/11x8ten</t>
  </si>
  <si>
    <t xml:space="preserve">Where did the enhance button go?. [removed]</t>
  </si>
  <si>
    <t xml:space="preserve">https://www.reddit.com/comments/11x9azi</t>
  </si>
  <si>
    <t xml:space="preserve">I have this playlist and as the name says, it's like to have a good vibe while working/doing stuff at home, any song recommendations to add?.</t>
  </si>
  <si>
    <t xml:space="preserve">https://www.reddit.com/comments/11xxthg</t>
  </si>
  <si>
    <t xml:space="preserve">MASSIVE Rap/Hip Hop Playlist (10,000 Songs/622 hours) - Toss On Shuffle &amp;amp; Treat It Like Primetime Radio!. [removed]</t>
  </si>
  <si>
    <t xml:space="preserve">https://www.reddit.com/comments/11xzx40</t>
  </si>
  <si>
    <t xml:space="preserve">If y’all want the dj feature but don’t have it, contact support and tell them you’re interested. I did and immediately got it..</t>
  </si>
  <si>
    <t xml:space="preserve">https://www.reddit.com/comments/11yl9qe</t>
  </si>
  <si>
    <t xml:space="preserve">These new Spotify TikTok ripoffs autoplay at full volume when I open the app. Anyone know how to disable this? I know how to find the play button on m</t>
  </si>
  <si>
    <t xml:space="preserve">https://www.reddit.com/comments/11ym6ey</t>
  </si>
  <si>
    <t xml:space="preserve">AI DJ without the DJ is possible if you start on mobile and then switch to console after the DJ stops talking.. I finally got the AI DJ. I mostly list</t>
  </si>
  <si>
    <t xml:space="preserve">https://www.reddit.com/comments/11ysf3l</t>
  </si>
  <si>
    <t xml:space="preserve">Can’t stand smart shuffle, when I accidentally click it I can’t go back to the song I was listening to. Seriously I like listening to music in the ord</t>
  </si>
  <si>
    <t xml:space="preserve">https://www.reddit.com/comments/11yto1c</t>
  </si>
  <si>
    <t xml:space="preserve">Autoplaying ads on Spotify Premium home page. [removed]</t>
  </si>
  <si>
    <t xml:space="preserve">https://www.reddit.com/comments/11yyiu8</t>
  </si>
  <si>
    <t xml:space="preserve">How do I find this Playlist again?? "Recommended songs for you". My album ended and loop was off, so Spotify started playing [this]( I can't click the</t>
  </si>
  <si>
    <t xml:space="preserve">https://www.reddit.com/comments/11z7r6p</t>
  </si>
  <si>
    <t xml:space="preserve">Loooking for a kind of "push through" playlist for sports etc with songs similar to these. Anybody got recommendations? Spotify suggestions are going </t>
  </si>
  <si>
    <t xml:space="preserve">https://www.reddit.com/comments/11zfzhp</t>
  </si>
  <si>
    <t xml:space="preserve">Radio playlist shuffles but only while using Spotify Connect. It won't do it on a regular playlist but when I have a radio playlist the songs will aut</t>
  </si>
  <si>
    <t xml:space="preserve">https://www.reddit.com/comments/11zmw4l</t>
  </si>
  <si>
    <t xml:space="preserve">Music recommendation. [removed]</t>
  </si>
  <si>
    <t xml:space="preserve">https://www.reddit.com/comments/120p8u1</t>
  </si>
  <si>
    <t xml:space="preserve">Easy going radio. [deleted]</t>
  </si>
  <si>
    <t xml:space="preserve">https://www.reddit.com/comments/121mqys</t>
  </si>
  <si>
    <t xml:space="preserve">Happy to share this EDM playlist which I listen to when I'm hanging out with my friends! Would love to hear your thoughts &amp;amp; suggestions :).</t>
  </si>
  <si>
    <t xml:space="preserve">https://www.reddit.com/comments/121xikc</t>
  </si>
  <si>
    <t xml:space="preserve">Can someone explain the difference between Smart Shuffle and Enhance?. I don’t understand the difference..is it the same thing just packaged different</t>
  </si>
  <si>
    <t xml:space="preserve">https://www.reddit.com/comments/122weap</t>
  </si>
  <si>
    <t xml:space="preserve">I'm on a spotify family plan and the plan holder is outside of the United States and Canada. Would that mean I can't receive the AI dj update even if </t>
  </si>
  <si>
    <t xml:space="preserve">https://www.reddit.com/comments/1231bix</t>
  </si>
  <si>
    <t xml:space="preserve">Spotify ran out of recommendations. 😆.</t>
  </si>
  <si>
    <t xml:space="preserve">https://www.reddit.com/comments/123o1c9</t>
  </si>
  <si>
    <t xml:space="preserve">They added those “just picked for you” playlists in made for you. [deleted]</t>
  </si>
  <si>
    <t xml:space="preserve">https://www.reddit.com/comments/1240et4</t>
  </si>
  <si>
    <t xml:space="preserve">Super nostalgia playlist - radio hits and more from up until 2018. [deleted]</t>
  </si>
  <si>
    <t xml:space="preserve">https://www.reddit.com/comments/124481k</t>
  </si>
  <si>
    <t xml:space="preserve">Album Listening Night #196. Each playlist will typically have 2 albums from our community's suggestions. Playlists start with an intro song and includ</t>
  </si>
  <si>
    <t xml:space="preserve">https://www.reddit.com/comments/1249e63</t>
  </si>
  <si>
    <t xml:space="preserve">What songs do Spotify blend use?. First post here so sorry if this is a weird post but my friend wants to do Spotify blend and I’m a little embarrasse</t>
  </si>
  <si>
    <t xml:space="preserve">https://www.reddit.com/comments/124bsgn</t>
  </si>
  <si>
    <t xml:space="preserve">Just go the new Spotify Home Page... I may have to cancel. How do I contact Spotify to tell them they just made the app unusable? I am sensitive to ra</t>
  </si>
  <si>
    <t xml:space="preserve">https://www.reddit.com/comments/1250c96</t>
  </si>
  <si>
    <t xml:space="preserve">AI DJ thoughts. cool concept (ig..) but i think it sucks im completely aware using dj is optional — i just wanna complain a little - if i wanted someo</t>
  </si>
  <si>
    <t xml:space="preserve">https://www.reddit.com/comments/1254qne</t>
  </si>
  <si>
    <t xml:space="preserve">Apple music or spotify ?. I been thinking about switching over to spotify but i been having apple music since i was 16. But hey i wanted to start some</t>
  </si>
  <si>
    <t xml:space="preserve">https://www.reddit.com/comments/12584wu</t>
  </si>
  <si>
    <t xml:space="preserve">Song/playlist recommendations?. [removed]</t>
  </si>
  <si>
    <t xml:space="preserve">https://www.reddit.com/comments/125cuie</t>
  </si>
  <si>
    <t xml:space="preserve">Song/Playlists recommendations?. For some examples of the music I like, I listen to Slipknot, Korn, Metallica, Eminem, Beach Bunny, Waterparks, and Ba</t>
  </si>
  <si>
    <t xml:space="preserve">https://www.reddit.com/comments/125d1fb</t>
  </si>
  <si>
    <t xml:space="preserve">Spotify app eating lots of data in sudden surges. I recently reverted to an older version of Spotify, as the newest update made the app unusable as a </t>
  </si>
  <si>
    <t xml:space="preserve">https://www.reddit.com/comments/125i6pf</t>
  </si>
  <si>
    <t xml:space="preserve">My spotify only shows enhanced on my pc and on my phone it only shows smart shuffle (where I can only remove enhance songs). How do I solve this?. [re</t>
  </si>
  <si>
    <t xml:space="preserve">https://www.reddit.com/comments/125j9ok</t>
  </si>
  <si>
    <t xml:space="preserve">My spotify only shows enhanced on my pc and on my phone it only shows smart shuffle (where I can only remove enhance songs). How do I solve this?.</t>
  </si>
  <si>
    <t xml:space="preserve">https://www.reddit.com/comments/125k6ko</t>
  </si>
  <si>
    <t xml:space="preserve">Looking for some recommendations or opinions on songs I've selected :).</t>
  </si>
  <si>
    <t xml:space="preserve">https://www.reddit.com/comments/125pj3t</t>
  </si>
  <si>
    <t xml:space="preserve">Spotify playing "suggested songs" instead of my playlist. [removed]</t>
  </si>
  <si>
    <t xml:space="preserve">https://www.reddit.com/comments/125wpot</t>
  </si>
  <si>
    <t xml:space="preserve">"Your Niche Mixes" in Made for You.</t>
  </si>
  <si>
    <t xml:space="preserve">https://www.reddit.com/comments/126feaq</t>
  </si>
  <si>
    <t xml:space="preserve">What happened to Enhance?. [removed]</t>
  </si>
  <si>
    <t xml:space="preserve">https://www.reddit.com/comments/126fmr0</t>
  </si>
  <si>
    <t xml:space="preserve">Prevent a certain playlist from influencing Discover Weekly. I've searched around but couldn't find an answer to this. I basically have my regular son</t>
  </si>
  <si>
    <t xml:space="preserve">https://www.reddit.com/comments/126hie5</t>
  </si>
  <si>
    <t xml:space="preserve">My personal and (almost) daily updated chart of upbeat Indie music from unknown artists. Most of the musicians in my playlist usually have just a few </t>
  </si>
  <si>
    <t xml:space="preserve">https://www.reddit.com/comments/126ihef</t>
  </si>
  <si>
    <t xml:space="preserve">https://www.reddit.com/comments/126nsr1</t>
  </si>
  <si>
    <t xml:space="preserve">Beach vibes radio. [deleted]</t>
  </si>
  <si>
    <t xml:space="preserve">https://www.reddit.com/comments/12770d4</t>
  </si>
  <si>
    <t xml:space="preserve">How to permanently disable these auto-play recommendations?. [removed]</t>
  </si>
  <si>
    <t xml:space="preserve">https://www.reddit.com/comments/12773ik</t>
  </si>
  <si>
    <t xml:space="preserve">How are you meant to use "Liked songs". I've been using Liked songs kind of as the song I like the most and a Playlist for my full library, however I'</t>
  </si>
  <si>
    <t xml:space="preserve">https://www.reddit.com/comments/127juz5</t>
  </si>
  <si>
    <t xml:space="preserve">Disable New Animated Suggestions / Playlists. [removed]</t>
  </si>
  <si>
    <t xml:space="preserve">https://www.reddit.com/comments/128ka2q</t>
  </si>
  <si>
    <t xml:space="preserve">Ai Dj " alright here's one that was tearing up the charts eleven hundred years ago". Starts playing Monks of the Abbey of Norte Dame - Introit Benedic</t>
  </si>
  <si>
    <t xml:space="preserve">https://www.reddit.com/comments/128ke09</t>
  </si>
  <si>
    <t xml:space="preserve">Liked one short song, now short songs are all that are suggested. [removed]</t>
  </si>
  <si>
    <t xml:space="preserve">https://www.reddit.com/comments/128m8op</t>
  </si>
  <si>
    <t xml:space="preserve">Fred My Leg! : Fresh Finds. Month Of April Out Now! Check Out 50 refreshed songs of Overlooked &amp; Upcoming artists. Song recs welcomed for next month. </t>
  </si>
  <si>
    <t xml:space="preserve">https://www.reddit.com/comments/128onsk</t>
  </si>
  <si>
    <t xml:space="preserve">Fred My Leg! : Fresh Finds. Month Of April Out Now! Check Out 50 refreshed songs of Overlooked &amp; Upcoming artists. Song recs welcomed for next month..</t>
  </si>
  <si>
    <t xml:space="preserve">https://www.reddit.com/comments/128ooi4</t>
  </si>
  <si>
    <t xml:space="preserve">AI DJ on PC please. [removed]</t>
  </si>
  <si>
    <t xml:space="preserve">https://www.reddit.com/comments/128tphd</t>
  </si>
  <si>
    <t xml:space="preserve">Was just sitting here wondering if everyone that uses AI DJ hears the same voice. Apparently they do.. Here's a news article about the guy who's voice</t>
  </si>
  <si>
    <t xml:space="preserve">https://www.reddit.com/comments/1297cvt</t>
  </si>
  <si>
    <t xml:space="preserve">How do I discover new music on my playlist?. I used to really love the “enhance” feature and would like more of this sort of thing, but now it’s been </t>
  </si>
  <si>
    <t xml:space="preserve">https://www.reddit.com/comments/129fctl</t>
  </si>
  <si>
    <t xml:space="preserve">'made for you' playlists. [removed]</t>
  </si>
  <si>
    <t xml:space="preserve">https://www.reddit.com/comments/129ylfo</t>
  </si>
  <si>
    <t xml:space="preserve">Why do I have playlists autoplaying on my home page?. It's getting really annoying having these random playlists autoplay every time I open the app. N</t>
  </si>
  <si>
    <t xml:space="preserve">https://www.reddit.com/comments/12a8fd9</t>
  </si>
  <si>
    <t xml:space="preserve">Autoplay plays the same songs in same order every time. Whenever a song or album ends, Spotify generates a queue of songs. However it’s pretty much al</t>
  </si>
  <si>
    <t xml:space="preserve">https://www.reddit.com/comments/12axpca</t>
  </si>
  <si>
    <t xml:space="preserve">Spotify windows app won't play most songs unless they're in a playlist in my library. I keep trying to find a solution to this but only see problems a</t>
  </si>
  <si>
    <t xml:space="preserve">https://www.reddit.com/comments/12b2gr1</t>
  </si>
  <si>
    <t xml:space="preserve">Serial Chillers: a 70s/80s soft rock shuffler I built to mimic the bedside flip-clock radio I had back when dirt was new.. I add and subtract here and</t>
  </si>
  <si>
    <t xml:space="preserve">https://www.reddit.com/comments/12b7ho2</t>
  </si>
  <si>
    <t xml:space="preserve">Am I the Only One Who Does Not Have the New UI?. I have been seeing so many posts about the new tik tok ui, and believe me I don't want it. But I find</t>
  </si>
  <si>
    <t xml:space="preserve">https://www.reddit.com/comments/12bzop9</t>
  </si>
  <si>
    <t xml:space="preserve">Album Listening Night #198. Each playlist will typically have 2 albums from our community's suggestions. Playlists start with an intro song and includ</t>
  </si>
  <si>
    <t xml:space="preserve">https://www.reddit.com/comments/12c6y2m</t>
  </si>
  <si>
    <t xml:space="preserve">Modern Hip Hop. Track/album recommendations appreciated!.</t>
  </si>
  <si>
    <t xml:space="preserve">https://www.reddit.com/comments/12c7wiq</t>
  </si>
  <si>
    <t xml:space="preserve">My autoplay is not working on my iPhone. [removed]</t>
  </si>
  <si>
    <t xml:space="preserve">https://www.reddit.com/comments/12clfm4</t>
  </si>
  <si>
    <t xml:space="preserve">Help me understand ads/promoted songs in the algorithm. [deleted]</t>
  </si>
  <si>
    <t xml:space="preserve">https://www.reddit.com/comments/12cv3f4</t>
  </si>
  <si>
    <t xml:space="preserve">Spotify DJ?? What are your thoughts?. [removed]</t>
  </si>
  <si>
    <t xml:space="preserve">https://www.reddit.com/comments/12cyize</t>
  </si>
  <si>
    <t xml:space="preserve">Friends can listen to each other mixes?. Yesterday I saw through the Friends activity that a friend was listening to their Daily Mix. I clicked on it </t>
  </si>
  <si>
    <t xml:space="preserve">https://www.reddit.com/comments/12czpj6</t>
  </si>
  <si>
    <t xml:space="preserve">How can I remove these "Popular New Release" tiles from my home page in the app? They kill my system audio, and autoplay music I didn't ask for. Incre</t>
  </si>
  <si>
    <t xml:space="preserve">https://www.reddit.com/comments/12deaji</t>
  </si>
  <si>
    <t xml:space="preserve">Ultimate Feelgood BANGER list, feel free to drop song suggestions.</t>
  </si>
  <si>
    <t xml:space="preserve">https://www.reddit.com/comments/12dj9ky</t>
  </si>
  <si>
    <t xml:space="preserve">Does everybody's AI DJ sound like Ice-T or are there different voices?.</t>
  </si>
  <si>
    <t xml:space="preserve">https://www.reddit.com/comments/12dm8sl</t>
  </si>
  <si>
    <t xml:space="preserve">Anyone else been hacked and having Stainer ‘the crucification’ play on repeat, and keep reverting to this?!. As the title says. Account playing same s</t>
  </si>
  <si>
    <t xml:space="preserve">https://www.reddit.com/comments/12e3kti</t>
  </si>
  <si>
    <t xml:space="preserve">https://www.reddit.com/comments/12fhf7j</t>
  </si>
  <si>
    <t xml:space="preserve">https://www.reddit.com/comments/12fikdj</t>
  </si>
  <si>
    <t xml:space="preserve">All Time EDM Bangers (SHUFFLE RECOMMENDED) -- My Favourite EDM songs - Mainly Progressive, Future House, Dance, UK House, Tropical House &amp; some Electr</t>
  </si>
  <si>
    <t xml:space="preserve">https://www.reddit.com/comments/12frts5</t>
  </si>
  <si>
    <t xml:space="preserve">thank u Reddit for curating and growing this past 6,200 followers. Need 2023 Recs tho tysm.</t>
  </si>
  <si>
    <t xml:space="preserve">https://www.reddit.com/comments/12gobbk</t>
  </si>
  <si>
    <t xml:space="preserve">Cool jazz: a playlist of soft jazzy songs (recommendations welcome!). [deleted]</t>
  </si>
  <si>
    <t xml:space="preserve">https://www.reddit.com/comments/12gu6eu</t>
  </si>
  <si>
    <t xml:space="preserve">Now that things have kind of cooled down a bit.... And the people who are enraged have moved on to more productive things, I have some actual construc</t>
  </si>
  <si>
    <t xml:space="preserve">https://www.reddit.com/comments/12h3f1z</t>
  </si>
  <si>
    <t xml:space="preserve">Is Spotify Premium worth it?. I listen to music 15hr~ a day. I don’t really wanna pay 10$ but I don’t want ads. Anyone with Spotify premium, would you</t>
  </si>
  <si>
    <t xml:space="preserve">https://www.reddit.com/comments/12hquca</t>
  </si>
  <si>
    <t xml:space="preserve">RECOMMENDED PLAYLIST FOR U. [removed]</t>
  </si>
  <si>
    <t xml:space="preserve">https://www.reddit.com/comments/12i028r</t>
  </si>
  <si>
    <t xml:space="preserve">https://www.reddit.com/comments/12i3xce</t>
  </si>
  <si>
    <t xml:space="preserve">Morning Coffee - An ultimate Morning playlist to wake up happy. Would love to hear your thoughts &amp; recommendations :).</t>
  </si>
  <si>
    <t xml:space="preserve">https://www.reddit.com/comments/12idt0x</t>
  </si>
  <si>
    <t xml:space="preserve">Spotify got rid of Playlist Radio on mobile. [removed]</t>
  </si>
  <si>
    <t xml:space="preserve">https://www.reddit.com/comments/12ilb49</t>
  </si>
  <si>
    <t xml:space="preserve">Fred My Leg! : Fresh Finds. Thank you everyone for the support! This playlist is dedicated in helping overlooked artist get noticed and within the fir</t>
  </si>
  <si>
    <t xml:space="preserve">https://www.reddit.com/comments/12j4f5x</t>
  </si>
  <si>
    <t xml:space="preserve">POV: you're chilling with your demons. Stoner metal playlist. If you have any more recommendations please comment them..</t>
  </si>
  <si>
    <t xml:space="preserve">https://www.reddit.com/comments/12jtm04</t>
  </si>
  <si>
    <t xml:space="preserve">What exactly is smart shuffle? Is it the reason shuffle always seems to play the same songs despite having playlists with almost 100 hours?. If so... </t>
  </si>
  <si>
    <t xml:space="preserve">https://www.reddit.com/comments/12jvxs1</t>
  </si>
  <si>
    <t xml:space="preserve">AI DJ does not work if I created my account in different country and moved to US. I was waiting for AI DJ feature ever since it was announced but till</t>
  </si>
  <si>
    <t xml:space="preserve">https://www.reddit.com/comments/12k6nw7</t>
  </si>
  <si>
    <t xml:space="preserve">Playlist Radio. [removed]</t>
  </si>
  <si>
    <t xml:space="preserve">https://www.reddit.com/comments/12kb0nz</t>
  </si>
  <si>
    <t xml:space="preserve">can I disable smart shuffle for good?. [removed]</t>
  </si>
  <si>
    <t xml:space="preserve">https://www.reddit.com/comments/12kb74c</t>
  </si>
  <si>
    <t xml:space="preserve">Soft House - An ultimate Chill playlist for the summer. Would love to hear your thoughts &amp; recommendations :).</t>
  </si>
  <si>
    <t xml:space="preserve">https://www.reddit.com/comments/12kjil3</t>
  </si>
  <si>
    <t xml:space="preserve">And now it creeps into the search tab....... I am beyond outrage. But android users don't have a good alternative. Any suggestions? More importantly, </t>
  </si>
  <si>
    <t xml:space="preserve">https://www.reddit.com/comments/12louqp</t>
  </si>
  <si>
    <t xml:space="preserve">Bring back liked indicator next to tracks!. The indicator next to the songs, which showcased whether or not a user had liked a particular track, was a</t>
  </si>
  <si>
    <t xml:space="preserve">https://www.reddit.com/comments/12lurxt</t>
  </si>
  <si>
    <t xml:space="preserve">Album Listening Night #200. Each playlist will typically have 2 albums from our community's suggestions. Playlists start with an intro song and includ</t>
  </si>
  <si>
    <t xml:space="preserve">https://www.reddit.com/comments/12mlyla</t>
  </si>
  <si>
    <t xml:space="preserve">&lt;iframe style="border-radius:12px" src=" width="100%" height="352" frameBorder="0" allowfullscreen="" allow="autoplay; clipboard-write; encrypted-medi</t>
  </si>
  <si>
    <t xml:space="preserve">https://www.reddit.com/comments/12n805y</t>
  </si>
  <si>
    <t xml:space="preserve">kinda underground sad song suggestions. [removed]</t>
  </si>
  <si>
    <t xml:space="preserve">https://www.reddit.com/comments/12nhuly</t>
  </si>
  <si>
    <t xml:space="preserve">Spotify DJ has so much potential! Can't wait to see what features they release around it.</t>
  </si>
  <si>
    <t xml:space="preserve">https://www.reddit.com/comments/12nlc5v</t>
  </si>
  <si>
    <t xml:space="preserve">What's your on repeat song right now?. Mine's "Closed eyes" by Ed Sheeran</t>
  </si>
  <si>
    <t xml:space="preserve">https://www.reddit.com/comments/12pryym</t>
  </si>
  <si>
    <t xml:space="preserve">Deezer (try it). For anyone wanting to move from spotify i recommend deezer, try it and you will not regret it</t>
  </si>
  <si>
    <t xml:space="preserve">https://www.reddit.com/comments/12pz1y9</t>
  </si>
  <si>
    <t xml:space="preserve">Spotify large playlist issues. My main playlist is about 112 hours. When I try to shuffle it, it seems to repeat the same songs. It ends way too early</t>
  </si>
  <si>
    <t xml:space="preserve">https://www.reddit.com/comments/12rfyfn</t>
  </si>
  <si>
    <t xml:space="preserve">Any way to take smart shuffle out of the shuffle button? I like Spotify's algorithm to play different songs at times, so I turn shuffle off/on. With t</t>
  </si>
  <si>
    <t xml:space="preserve">https://www.reddit.com/comments/12rn7zb</t>
  </si>
  <si>
    <t xml:space="preserve">Release Radar keeps skipping.... [removed]</t>
  </si>
  <si>
    <t xml:space="preserve">https://www.reddit.com/comments/12rtpor</t>
  </si>
  <si>
    <t xml:space="preserve">Podcast recommendations. Hi all what are some podcasts that you recommend that you either Listen too and enjoy Any genre/subject is fine Just want to </t>
  </si>
  <si>
    <t xml:space="preserve">https://www.reddit.com/comments/12sdh5l</t>
  </si>
  <si>
    <t xml:space="preserve">does anyone know how to hide this from the homepage? I hate autoplay items, especially "popular" albums I have no taste for....</t>
  </si>
  <si>
    <t xml:space="preserve">https://www.reddit.com/comments/12twr9x</t>
  </si>
  <si>
    <t xml:space="preserve">Equalizer Settings. Anyone have any good setting recommendations? I primarily listen to metal/rock type music. I think the regular setting sounds fine</t>
  </si>
  <si>
    <t xml:space="preserve">https://www.reddit.com/comments/12wfjr3</t>
  </si>
  <si>
    <t xml:space="preserve">Good lord how do I disable spotify adding their own songs to my playlist - autoplay is off, enhanced is off, premium account, long playlists. Just as </t>
  </si>
  <si>
    <t xml:space="preserve">https://www.reddit.com/comments/12y0jvw</t>
  </si>
  <si>
    <t xml:space="preserve">A tedious fix for Spotify radio giving you the same songs. [removed]</t>
  </si>
  <si>
    <t xml:space="preserve">https://www.reddit.com/comments/12y44xs</t>
  </si>
  <si>
    <t xml:space="preserve">How do I turn of enhanced. [removed]</t>
  </si>
  <si>
    <t xml:space="preserve">https://www.reddit.com/comments/12yb5c1</t>
  </si>
  <si>
    <t xml:space="preserve">Song recommendations? Trying to expand the playlist..</t>
  </si>
  <si>
    <t xml:space="preserve">https://www.reddit.com/comments/12ym2av</t>
  </si>
  <si>
    <t xml:space="preserve">Fred My Leg! : Fresh Finds. Less than a week away until next months new Fresh:Finds. Keep sending recs of overlooked and under the radar artists. Let’</t>
  </si>
  <si>
    <t xml:space="preserve">https://www.reddit.com/comments/12yvfce</t>
  </si>
  <si>
    <t xml:space="preserve">I’ve been struggling lately finding new songs.. Apologies for the long post, but this is driving me nuts! I used to be an Apple Music user for more th</t>
  </si>
  <si>
    <t xml:space="preserve">https://www.reddit.com/comments/12yyy8y</t>
  </si>
  <si>
    <t xml:space="preserve">Rap Gym Playlist (open to song suggestions). [</t>
  </si>
  <si>
    <t xml:space="preserve">https://www.reddit.com/comments/12yz2cd</t>
  </si>
  <si>
    <t xml:space="preserve">Where do I find the AI DJ feature? When I click the Music tab it’s now the TikTok view, no DJ feature to be found.</t>
  </si>
  <si>
    <t xml:space="preserve">https://www.reddit.com/comments/12zr09h</t>
  </si>
  <si>
    <t xml:space="preserve">I made an app/website to help you discover new music in Spotify. I have [TopMusic.Page]( right now in beta, which has critics' lists of the top albums</t>
  </si>
  <si>
    <t xml:space="preserve">https://www.reddit.com/comments/12zru5p</t>
  </si>
  <si>
    <t xml:space="preserve">Spotify Radio no longer available for Playlists?. [removed]</t>
  </si>
  <si>
    <t xml:space="preserve">https://www.reddit.com/comments/1304uj8</t>
  </si>
  <si>
    <t xml:space="preserve">Artist Interviews/Podcasts?. I’m trying out Spotify, coming from Apple Music and I’m missing the live radio stations on Apple Music Country where they</t>
  </si>
  <si>
    <t xml:space="preserve">https://www.reddit.com/comments/131f6ih</t>
  </si>
  <si>
    <t xml:space="preserve">Why is the “Don’t play this artist” option so ineffective?. A particular cool-dad rock band that just released a new album this week has been on my “D</t>
  </si>
  <si>
    <t xml:space="preserve">https://www.reddit.com/comments/132c3ck</t>
  </si>
  <si>
    <t xml:space="preserve">Where did the enhance button go?.</t>
  </si>
  <si>
    <t xml:space="preserve">https://www.reddit.com/comments/132g0ha</t>
  </si>
  <si>
    <t xml:space="preserve">https://www.reddit.com/comments/1337d89</t>
  </si>
  <si>
    <t xml:space="preserve">An ironic find in my 'on repeat' playlist. [removed]</t>
  </si>
  <si>
    <t xml:space="preserve">https://www.reddit.com/comments/133d9eh</t>
  </si>
  <si>
    <t xml:space="preserve">Good love songs (taking recommendations!).</t>
  </si>
  <si>
    <t xml:space="preserve">https://www.reddit.com/comments/133hd6d</t>
  </si>
  <si>
    <t xml:space="preserve">Kind of an upbeat/vibe Rap + R&amp;B playlist I'm still working on, leave any suggestions please (work in progress).</t>
  </si>
  <si>
    <t xml:space="preserve">https://www.reddit.com/comments/1343cfu</t>
  </si>
  <si>
    <t xml:space="preserve">Trending Rap Artists [Open For Suggestions].</t>
  </si>
  <si>
    <t xml:space="preserve">https://www.reddit.com/comments/134r86c</t>
  </si>
  <si>
    <t xml:space="preserve">Any song recommendations with a trumpet as a bass drop. Thanks :) For example When I'm alone by goldfish</t>
  </si>
  <si>
    <t xml:space="preserve">https://www.reddit.com/comments/1358p9y</t>
  </si>
  <si>
    <t xml:space="preserve">how to stop recommendation of a song from specific country?. [removed]</t>
  </si>
  <si>
    <t xml:space="preserve">https://www.reddit.com/comments/135fwjp</t>
  </si>
  <si>
    <t xml:space="preserve">Is Spotify a joke?!. Seriously, lots of new features (some would say mistakes), some have them some don’t, is this really how Spotify operates? No cla</t>
  </si>
  <si>
    <t xml:space="preserve">https://www.reddit.com/comments/13672iw</t>
  </si>
  <si>
    <t xml:space="preserve">Songs about being in love with someone you see every day?. I would love playlist or song recommendations for this kind of mood. Like… That specific fe</t>
  </si>
  <si>
    <t xml:space="preserve">https://www.reddit.com/comments/136ab5s</t>
  </si>
  <si>
    <t xml:space="preserve">https://www.reddit.com/comments/136dw5y</t>
  </si>
  <si>
    <t xml:space="preserve">Block a song from ever being recommended. [removed]</t>
  </si>
  <si>
    <t xml:space="preserve">https://www.reddit.com/comments/136f6sg</t>
  </si>
  <si>
    <t xml:space="preserve">Thank u Reddit for helping be get to 3,000 followers on this one. Send me recs I LOVE YOU GUYS!!!!!.</t>
  </si>
  <si>
    <t xml:space="preserve">https://www.reddit.com/comments/136t3a7</t>
  </si>
  <si>
    <t xml:space="preserve">Is there any way to get Canvas back on my account?. The Canvas option has been disabled on my account for about a month now. If I log in with a differ</t>
  </si>
  <si>
    <t xml:space="preserve">https://www.reddit.com/comments/137dpie</t>
  </si>
  <si>
    <t xml:space="preserve">https://www.reddit.com/comments/137ekws</t>
  </si>
  <si>
    <t xml:space="preserve">I need recommendations. I need recommendations of songs similar to the ones on the playlist. Indie rock, indie pop, groovy electronic, funky, everythi</t>
  </si>
  <si>
    <t xml:space="preserve">https://www.reddit.com/comments/137jvpo</t>
  </si>
  <si>
    <t xml:space="preserve">Algorithm Questions/Discussion. [removed]</t>
  </si>
  <si>
    <t xml:space="preserve">https://www.reddit.com/comments/137xexh</t>
  </si>
  <si>
    <t xml:space="preserve">The recommended section is empty since over a week, and it’s on every client &amp; every platform. What the heck happened?.</t>
  </si>
  <si>
    <t xml:space="preserve">https://www.reddit.com/comments/138v9cj</t>
  </si>
  <si>
    <t xml:space="preserve">Anyone got any great song suggestions for my main playlist? : ) I love almost all genres and styles. [removed]</t>
  </si>
  <si>
    <t xml:space="preserve">https://www.reddit.com/comments/139cxcm</t>
  </si>
  <si>
    <t xml:space="preserve">Trending Rap Artists Internationally [Open For Suggestions &amp; Submissions].</t>
  </si>
  <si>
    <t xml:space="preserve">https://www.reddit.com/comments/13aiqxw</t>
  </si>
  <si>
    <t xml:space="preserve">View playlists likes history?. hi, I'm managing few playlists of a friend I want to know if any of my efforts are successful in terms of likes. Is the</t>
  </si>
  <si>
    <t xml:space="preserve">https://www.reddit.com/comments/13am0ob</t>
  </si>
  <si>
    <t xml:space="preserve">How do I get my auto play to work? Everything is on?. Not on my playlists but normally when i used to search a song i’d find a lot like it thanks to a</t>
  </si>
  <si>
    <t xml:space="preserve">https://www.reddit.com/comments/13b755g</t>
  </si>
  <si>
    <t xml:space="preserve">Please vote on this community thread on Radio Depersonalization! It's been an issue that has been bugging me and many others for a long time.. [remove</t>
  </si>
  <si>
    <t xml:space="preserve">https://www.reddit.com/comments/13bvaws</t>
  </si>
  <si>
    <t xml:space="preserve">Anyone notice the AI Radio is off?. [removed]</t>
  </si>
  <si>
    <t xml:space="preserve">https://www.reddit.com/comments/13c79ly</t>
  </si>
  <si>
    <t xml:space="preserve">Good playlist for meditation (was recommended to me by Spotify) more details in comments.</t>
  </si>
  <si>
    <t xml:space="preserve">https://www.reddit.com/comments/13cbsha</t>
  </si>
  <si>
    <t xml:space="preserve">Trending Rap Artists [Open For Suggestions &amp; Submissions].</t>
  </si>
  <si>
    <t xml:space="preserve">https://www.reddit.com/comments/13dlcil</t>
  </si>
  <si>
    <t xml:space="preserve">Suggested songs playing on Premium. [removed]</t>
  </si>
  <si>
    <t xml:space="preserve">https://www.reddit.com/comments/13dv3w4</t>
  </si>
  <si>
    <t xml:space="preserve">is there an algorithm that adds my discover weekly into a separate, private playlist for me?. [removed]</t>
  </si>
  <si>
    <t xml:space="preserve">https://www.reddit.com/comments/13e9cpi</t>
  </si>
  <si>
    <t xml:space="preserve">Trending Rap Artists [For Suggestions &amp; Submissions DM].</t>
  </si>
  <si>
    <t xml:space="preserve">https://www.reddit.com/comments/13efam7</t>
  </si>
  <si>
    <t xml:space="preserve">Spotify UI change. Im on Windows 10, and I was happy with the older UI I had, and it on the sidebar to the right it even included the DJ AI, now on th</t>
  </si>
  <si>
    <t xml:space="preserve">https://www.reddit.com/comments/13ewh17</t>
  </si>
  <si>
    <t xml:space="preserve">teticio (Rob Smith's) AI DJ tool. Does anyone know if there's an alternative to this tool available, one which uses the Spotify API for up to date dat</t>
  </si>
  <si>
    <t xml:space="preserve">https://www.reddit.com/comments/13f9nbj</t>
  </si>
  <si>
    <t xml:space="preserve">Looking for new music recommendations &amp; Spotify friends!. [deleted]</t>
  </si>
  <si>
    <t xml:space="preserve">https://www.reddit.com/comments/13fegwv</t>
  </si>
  <si>
    <t xml:space="preserve">Ive been getting a lot of questionable autoplays recently. [removed]</t>
  </si>
  <si>
    <t xml:space="preserve">https://www.reddit.com/comments/13flhvq</t>
  </si>
  <si>
    <t xml:space="preserve">What is the point of "Enhance"?. It always suggests the same songs system doesn't function properly am I using it wrong?</t>
  </si>
  <si>
    <t xml:space="preserve">https://www.reddit.com/comments/13fljg7</t>
  </si>
  <si>
    <t xml:space="preserve">AI DJ android. [removed]</t>
  </si>
  <si>
    <t xml:space="preserve">https://www.reddit.com/comments/13fre4g</t>
  </si>
  <si>
    <t xml:space="preserve">Smart shuffle feature. [removed]</t>
  </si>
  <si>
    <t xml:space="preserve">https://www.reddit.com/comments/13frt8k</t>
  </si>
  <si>
    <t xml:space="preserve">Won’t stop playing recommended songs. [removed]</t>
  </si>
  <si>
    <t xml:space="preserve">https://www.reddit.com/comments/13fx4mq</t>
  </si>
  <si>
    <t xml:space="preserve">beats to relax/study to - lofi hip hop radio.</t>
  </si>
  <si>
    <t xml:space="preserve">https://www.reddit.com/comments/13gmc2q</t>
  </si>
  <si>
    <t xml:space="preserve">https://www.reddit.com/comments/13hh2tm</t>
  </si>
  <si>
    <t xml:space="preserve">Do y’all have any song recommendations for my Spotify playlist? Thanks. (And yes I know it’s a collab link).</t>
  </si>
  <si>
    <t xml:space="preserve">https://www.reddit.com/comments/13hlevc</t>
  </si>
  <si>
    <t xml:space="preserve">https://www.reddit.com/comments/13hzwdc</t>
  </si>
  <si>
    <t xml:space="preserve">I Have Created a Lore-Friendly Rock Playlist to Listen to While Playing Fallout. I remember the first time I killed raiders to the tunes of Billie Hol</t>
  </si>
  <si>
    <t xml:space="preserve">https://www.reddit.com/comments/13ira7i</t>
  </si>
  <si>
    <t xml:space="preserve">Does playlist radio still work on android phones? I can't seem to find it.</t>
  </si>
  <si>
    <t xml:space="preserve">https://www.reddit.com/comments/13j020p</t>
  </si>
  <si>
    <t xml:space="preserve">Spotify's AI DJ coming to the UK and Ireland starting today.</t>
  </si>
  <si>
    <t xml:space="preserve">https://www.reddit.com/comments/13j4dbn</t>
  </si>
  <si>
    <t xml:space="preserve">Getting really irritated with “Discover Weekly” playlist. [removed]</t>
  </si>
  <si>
    <t xml:space="preserve">https://www.reddit.com/comments/13jjmyc</t>
  </si>
  <si>
    <t xml:space="preserve">I need song recommendations/more playlists to listen to. [removed]</t>
  </si>
  <si>
    <t xml:space="preserve">https://www.reddit.com/comments/13jpus2</t>
  </si>
  <si>
    <t xml:space="preserve">Is it just me or did there used to be a “go to playlist radio” option here. [deleted]</t>
  </si>
  <si>
    <t xml:space="preserve">https://www.reddit.com/comments/13jqu0t</t>
  </si>
  <si>
    <t xml:space="preserve">Artist blocked from suggestions?. Spotify only suggests Japanese Songs of the Artist TWICE. These are by far not the artist's most popular songs and t</t>
  </si>
  <si>
    <t xml:space="preserve">https://www.reddit.com/comments/13k6fnx</t>
  </si>
  <si>
    <t xml:space="preserve">White Noise "Song" Ruining Discover Weekly. [removed]</t>
  </si>
  <si>
    <t xml:space="preserve">https://www.reddit.com/comments/13kyum7</t>
  </si>
  <si>
    <t xml:space="preserve">https://www.reddit.com/comments/13lmd0y</t>
  </si>
  <si>
    <t xml:space="preserve">Does your AI DJ sound like Ice T.</t>
  </si>
  <si>
    <t xml:space="preserve">https://www.reddit.com/comments/13lqxjh</t>
  </si>
  <si>
    <t xml:space="preserve">How do you get better song recommendations?.</t>
  </si>
  <si>
    <t xml:space="preserve">https://www.reddit.com/comments/13mb4wn</t>
  </si>
  <si>
    <t xml:space="preserve">Spotify DJ - is there a way to keep it on the same set?. TLDR; is there a way to keep Spotify DJ on the same “vibe”? Loving the new Spotify DJ, and I </t>
  </si>
  <si>
    <t xml:space="preserve">https://www.reddit.com/comments/13men13</t>
  </si>
  <si>
    <t xml:space="preserve">Whats on your chill playlist?. I'm making a chill playlist and need some recommendations. Any genre/language is fine as long as it's a chill song.</t>
  </si>
  <si>
    <t xml:space="preserve">https://www.reddit.com/comments/13n072f</t>
  </si>
  <si>
    <t xml:space="preserve">Suggested songs on Spotify. [removed]</t>
  </si>
  <si>
    <t xml:space="preserve">https://www.reddit.com/comments/13neusr</t>
  </si>
  <si>
    <t xml:space="preserve">Has anyone lost all their profile followers/following?. Sometime last year I logged into my account to see all my profile followers/following at 0! Th</t>
  </si>
  <si>
    <t xml:space="preserve">https://www.reddit.com/comments/13ofp0z</t>
  </si>
  <si>
    <t xml:space="preserve">Is there a way to turn off Spotify adding recommendations mid listen?. [removed]</t>
  </si>
  <si>
    <t xml:space="preserve">https://www.reddit.com/comments/13olsdi</t>
  </si>
  <si>
    <t xml:space="preserve">My music taste this recent year - any thoughts, opinions, recommendations?. [removed]</t>
  </si>
  <si>
    <t xml:space="preserve">https://www.reddit.com/comments/13p1q2r</t>
  </si>
  <si>
    <t xml:space="preserve">One way to identify 'payola' (songs promoted to you regardless of personal taste) is if same song appears in many users' playlists. This is my current</t>
  </si>
  <si>
    <t xml:space="preserve">https://www.reddit.com/comments/13p4yqa</t>
  </si>
  <si>
    <t xml:space="preserve">Automix - Will it be fully implemented?. I want to say that I love the Automix feature. It sounds incredible, makes things smooth, and is honestly qui</t>
  </si>
  <si>
    <t xml:space="preserve">https://www.reddit.com/comments/13pbigk</t>
  </si>
  <si>
    <t xml:space="preserve">A lofi playlist considering quality over quantity. Would love to hear your thoughts and any song recommendation..</t>
  </si>
  <si>
    <t xml:space="preserve">https://www.reddit.com/comments/13pdq8m</t>
  </si>
  <si>
    <t xml:space="preserve">There's a weird thing that keeps happening with the queue. For about a month or so now, I've noticed that whenever I pause my music, when I come back </t>
  </si>
  <si>
    <t xml:space="preserve">https://www.reddit.com/comments/13pduqi</t>
  </si>
  <si>
    <t xml:space="preserve">My love-hate relationship with Smart Shuffle. Let me just say that I love it. I just love shuffling through my liked songs and hearing a recommended o</t>
  </si>
  <si>
    <t xml:space="preserve">https://www.reddit.com/comments/13pgh2w</t>
  </si>
  <si>
    <t xml:space="preserve">Made a small playlist of small German Rappers/Singers for the sad mood. I will update it every since and then. You can recommend some artists in the c</t>
  </si>
  <si>
    <t xml:space="preserve">https://www.reddit.com/comments/13q6e2e</t>
  </si>
  <si>
    <t xml:space="preserve">Autoplay playing mostly short songs. [removed]</t>
  </si>
  <si>
    <t xml:space="preserve">https://www.reddit.com/comments/13qaa2x</t>
  </si>
  <si>
    <t xml:space="preserve">What’s the logic behind removing mobile features like playlist radio and “discovered on”?. I mainly use Spotify on my phone. However somewhat recently</t>
  </si>
  <si>
    <t xml:space="preserve">https://www.reddit.com/comments/13qltz3</t>
  </si>
  <si>
    <t xml:space="preserve">Looking for Spotify friends to regularly exchange music / playlists with &amp; try to broaden my music taste, find new songs - so send any recommendations</t>
  </si>
  <si>
    <t xml:space="preserve">https://www.reddit.com/comments/13qmwh2</t>
  </si>
  <si>
    <t xml:space="preserve">Reggaeton/urban spanish playlist - any recs?. Here’s some of my fav spanish hits! I wanted to share and also try to find more songs that follow the si</t>
  </si>
  <si>
    <t xml:space="preserve">https://www.reddit.com/comments/13qnuvj</t>
  </si>
  <si>
    <t xml:space="preserve">Huge indie playlist. If you’re fan of indie tunes, then this is the playlist for you! I normally run an indie show for uni radio station so needed a p</t>
  </si>
  <si>
    <t xml:space="preserve">https://www.reddit.com/comments/13r1nco</t>
  </si>
  <si>
    <t xml:space="preserve">Made a Spotify setlist poster creator last night with some basic playlist stats, thoughts and suggestions? I want to iterate on it and turn it into a </t>
  </si>
  <si>
    <t xml:space="preserve">https://www.reddit.com/comments/13rgjmq</t>
  </si>
  <si>
    <t xml:space="preserve">Easy going radio! Likes are appreciated.</t>
  </si>
  <si>
    <t xml:space="preserve">https://www.reddit.com/comments/13rhlhu</t>
  </si>
  <si>
    <t xml:space="preserve">Some of my favorite heavy Trap Metal tracks, I'd appreciate any suggestions since I'd like to add to it..</t>
  </si>
  <si>
    <t xml:space="preserve">https://www.reddit.com/comments/13rvk0l</t>
  </si>
  <si>
    <t xml:space="preserve">If you have kids, this is a godsend feature; no more imagine dragons in my suggestions!.</t>
  </si>
  <si>
    <t xml:space="preserve">https://www.reddit.com/comments/13rzdut</t>
  </si>
  <si>
    <t xml:space="preserve">Ask bard to scan your Spotify liked songs and recommend similar music.</t>
  </si>
  <si>
    <t xml:space="preserve">https://www.reddit.com/comments/13s954c</t>
  </si>
  <si>
    <t xml:space="preserve">Afro-Urban-Pop Vibes - Drop a follow and if you got suggestions let me know!. [deleted]</t>
  </si>
  <si>
    <t xml:space="preserve">https://www.reddit.com/comments/13sa3ws</t>
  </si>
  <si>
    <t xml:space="preserve">I really like Smart Shuffle, but I wish it would spread the recommended songs out a little more..... Thankfully usually turning Smart Shuffle off and </t>
  </si>
  <si>
    <t xml:space="preserve">https://www.reddit.com/comments/13sdk4f</t>
  </si>
  <si>
    <t xml:space="preserve">Looking for song recommendations that match this playlist. [removed]</t>
  </si>
  <si>
    <t xml:space="preserve">https://www.reddit.com/comments/13sgr6u</t>
  </si>
  <si>
    <t xml:space="preserve">This platform is pushing podcasts and audiobooks WAY too hard. Suggested songs for playlists no longer appear when I go to add songs.. No suggested so</t>
  </si>
  <si>
    <t xml:space="preserve">https://www.reddit.com/comments/13smx6t</t>
  </si>
  <si>
    <t xml:space="preserve">Album Listening Night #209. Each playlist will typically have 2 albums from our community's suggestions. Playlists start with an intro song and includ</t>
  </si>
  <si>
    <t xml:space="preserve">https://www.reddit.com/comments/13svo76</t>
  </si>
  <si>
    <t xml:space="preserve">How do I get the DJ to not talk as much?. [removed]</t>
  </si>
  <si>
    <t xml:space="preserve">https://www.reddit.com/comments/13ugpjh</t>
  </si>
  <si>
    <t xml:space="preserve">Is there a way to disable smart shuffle?. [removed]</t>
  </si>
  <si>
    <t xml:space="preserve">https://www.reddit.com/comments/13v3koi</t>
  </si>
  <si>
    <t xml:space="preserve">DJ Improving?. Anyone else feel like the DJ is improving? Last week or so, the recommendations have been better and dare I say, akin to an actual shuf</t>
  </si>
  <si>
    <t xml:space="preserve">https://www.reddit.com/comments/13vh6qj</t>
  </si>
  <si>
    <t xml:space="preserve">lofi hip hop radio beats to relax/study to 😴🎻 Lofi Hip Hop Radio For Ultimate Focus.</t>
  </si>
  <si>
    <t xml:space="preserve">https://www.reddit.com/comments/13zm167</t>
  </si>
  <si>
    <t xml:space="preserve">Still no sign of AI DJ for me in Uk anyone else having this issue?. [removed]</t>
  </si>
  <si>
    <t xml:space="preserve">https://www.reddit.com/comments/13zs9dp</t>
  </si>
  <si>
    <t xml:space="preserve">Any recommendations?. [removed]</t>
  </si>
  <si>
    <t xml:space="preserve">https://www.reddit.com/comments/140a4p0</t>
  </si>
  <si>
    <t xml:space="preserve">How do I report someone trying to use bigger artists as features in order to game the Spotify algorithm and get more streams. This particular dude has</t>
  </si>
  <si>
    <t xml:space="preserve">https://www.reddit.com/comments/141t3o2</t>
  </si>
  <si>
    <t xml:space="preserve">Check out my Alt Rap Playlist. Rap with a unique twist. If you've got suggestions send em!</t>
  </si>
  <si>
    <t xml:space="preserve">https://www.reddit.com/comments/144dbu4</t>
  </si>
  <si>
    <t xml:space="preserve">I'm a 32yo white male whose music is at least 90% rock. Here's a playlist containing a few hip hop/rap I do enjoy. I am desperately looking for sugges</t>
  </si>
  <si>
    <t xml:space="preserve">https://www.reddit.com/comments/1452qms</t>
  </si>
  <si>
    <t xml:space="preserve">Turning off “made for you” radio stations. I’m trying to find a way to make a radio station that doesn’t include my taste profile. I can always tell t</t>
  </si>
  <si>
    <t xml:space="preserve">https://www.reddit.com/comments/145r6yx</t>
  </si>
  <si>
    <t xml:space="preserve">https://www.reddit.com/comments/146kbgz</t>
  </si>
  <si>
    <t xml:space="preserve">Song recommendation day 1.</t>
  </si>
  <si>
    <t xml:space="preserve">https://www.reddit.com/comments/146lo62</t>
  </si>
  <si>
    <t xml:space="preserve">Shuffle recommendations. [deleted]</t>
  </si>
  <si>
    <t xml:space="preserve">https://www.reddit.com/comments/146lrwp</t>
  </si>
  <si>
    <t xml:space="preserve">podcast suggestions have taken over my home page. [removed]</t>
  </si>
  <si>
    <t xml:space="preserve">https://www.reddit.com/comments/147b5re</t>
  </si>
  <si>
    <t xml:space="preserve">Liked Playlist Question. I have a playlist with a little over a thousand songs and I want to add them all to Liked Songs, but with the new update I ca</t>
  </si>
  <si>
    <t xml:space="preserve">https://www.reddit.com/comments/147bb4a</t>
  </si>
  <si>
    <t xml:space="preserve">Can You Change Spotify AI DJ Voice. [removed]</t>
  </si>
  <si>
    <t xml:space="preserve">https://www.reddit.com/comments/148el1h</t>
  </si>
  <si>
    <t xml:space="preserve">DJ AI and Europe. Does anyone know a specific date on the AI DJ coming to Europe. I read in an article that the AI DJ was expanded to UK and Ireland d</t>
  </si>
  <si>
    <t xml:space="preserve">https://www.reddit.com/comments/148j3ni</t>
  </si>
  <si>
    <t xml:space="preserve">Suggestions for Spotify: From a decade-long user who’s dabbler with Apple Music. Having been a faithful Spotify user for close to a decade, I’ve come </t>
  </si>
  <si>
    <t xml:space="preserve">https://www.reddit.com/comments/14985nk</t>
  </si>
  <si>
    <t xml:space="preserve">Need suggestions on my Psychedelic Rap playlist. [deleted]</t>
  </si>
  <si>
    <t xml:space="preserve">https://www.reddit.com/comments/149rw69</t>
  </si>
  <si>
    <t xml:space="preserve">How do I stop annoying autoplay when I get in my vehicle?. [removed]</t>
  </si>
  <si>
    <t xml:space="preserve">https://www.reddit.com/comments/149zvwl</t>
  </si>
  <si>
    <t xml:space="preserve">pop punk &amp; emo mix - feel free to leave recs in the comments. [deleted]</t>
  </si>
  <si>
    <t xml:space="preserve">https://www.reddit.com/comments/14b334b</t>
  </si>
  <si>
    <t xml:space="preserve">How long until Spotify learns my taste?. I've been using spotify since February 2023 and my recommendations are still spotty I have premium if that ch</t>
  </si>
  <si>
    <t xml:space="preserve">https://www.reddit.com/comments/14bi49y</t>
  </si>
  <si>
    <t xml:space="preserve">Chill Radio | RAP POP (taking song submissions).</t>
  </si>
  <si>
    <t xml:space="preserve">https://www.reddit.com/comments/14bjsix</t>
  </si>
  <si>
    <t xml:space="preserve">I am going crazy, anyone else?Same song gets played on Autoplay. I like using Auto play, however in the past couple of weeks, in 90% of cases, Dua Lip</t>
  </si>
  <si>
    <t xml:space="preserve">https://www.reddit.com/comments/14c205q</t>
  </si>
  <si>
    <t xml:space="preserve">Smart shuffle doesn’t include local files?. [deleted]</t>
  </si>
  <si>
    <t xml:space="preserve">https://www.reddit.com/comments/14cjlt1</t>
  </si>
  <si>
    <t xml:space="preserve">Critique my wedding reception playlist, please. We're skipping a dj for our wedding reception with approx 100, mostly millennial guests. I tried to th</t>
  </si>
  <si>
    <t xml:space="preserve">https://www.reddit.com/comments/14d1s1s</t>
  </si>
  <si>
    <t xml:space="preserve">Recommended uses: Night drives/walks/ - Smoke/Shroomin - That feeling you get when looking at the rain outside.. [deleted]</t>
  </si>
  <si>
    <t xml:space="preserve">https://www.reddit.com/comments/14dew16</t>
  </si>
  <si>
    <t xml:space="preserve">Looking for more stuff like this. Any recommendations?. [removed]</t>
  </si>
  <si>
    <t xml:space="preserve">https://www.reddit.com/comments/14dg3pp</t>
  </si>
  <si>
    <t xml:space="preserve">Does anyone know why my Spotify search suggestions knows the contents of the YouTube video I just watched?. [deleted]</t>
  </si>
  <si>
    <t xml:space="preserve">https://www.reddit.com/comments/14e68vb</t>
  </si>
  <si>
    <t xml:space="preserve">How to turn annoying search recommendations off?. [removed]</t>
  </si>
  <si>
    <t xml:space="preserve">https://www.reddit.com/comments/14e85ua</t>
  </si>
  <si>
    <t xml:space="preserve">Can’t use smart shuffle. My bf and I have a Spotify Duo premium account and for some reason he can use smart shuffle and I can’t, has anyone else had </t>
  </si>
  <si>
    <t xml:space="preserve">https://www.reddit.com/comments/14ekny2</t>
  </si>
  <si>
    <t xml:space="preserve">Why is it that every time I ask Siri to play a specific song on Spotify it plays the radio instead?. [removed]</t>
  </si>
  <si>
    <t xml:space="preserve">https://www.reddit.com/comments/14ff29w</t>
  </si>
  <si>
    <t xml:space="preserve">What is everybody’s feelings on the new AI DJ.</t>
  </si>
  <si>
    <t xml:space="preserve">https://www.reddit.com/comments/14fwpbg</t>
  </si>
  <si>
    <t xml:space="preserve">What pop punk / emo punk song do you recommend?.</t>
  </si>
  <si>
    <t xml:space="preserve">https://www.reddit.com/comments/14gqyob</t>
  </si>
  <si>
    <t xml:space="preserve">Playlist radio??. [removed]</t>
  </si>
  <si>
    <t xml:space="preserve">https://www.reddit.com/comments/14gvsuy</t>
  </si>
  <si>
    <t xml:space="preserve">Easy going radio! Likes are appreciated. [deleted]</t>
  </si>
  <si>
    <t xml:space="preserve">https://www.reddit.com/comments/14h045a</t>
  </si>
  <si>
    <t xml:space="preserve">Seeking Podcast Recommendations. [removed]</t>
  </si>
  <si>
    <t xml:space="preserve">https://www.reddit.com/comments/14h0i8c</t>
  </si>
  <si>
    <t xml:space="preserve">On Repeat Playlist Random Songs. [removed]</t>
  </si>
  <si>
    <t xml:space="preserve">https://www.reddit.com/comments/14h996o</t>
  </si>
  <si>
    <t xml:space="preserve">Feeling great with the good weather these days, and enjoying this playlist I am building for the Summer. Need your help building the tracklist &amp; highl</t>
  </si>
  <si>
    <t xml:space="preserve">https://www.reddit.com/comments/14ho3o6</t>
  </si>
  <si>
    <t xml:space="preserve">Feeling great with the good weather these days, and enjoying this playlist I am building for the Summer. Let me know if you have any suggestions ☀️.</t>
  </si>
  <si>
    <t xml:space="preserve">https://www.reddit.com/comments/14ho4rc</t>
  </si>
  <si>
    <t xml:space="preserve">how to clear recommendations?. [removed]</t>
  </si>
  <si>
    <t xml:space="preserve">https://www.reddit.com/comments/14hpe0q</t>
  </si>
  <si>
    <t xml:space="preserve">Just got into the playlist game but happy to share it with Reddit. My playlist has all the best house music, open to suggestions and other playlists!</t>
  </si>
  <si>
    <t xml:space="preserve">https://www.reddit.com/comments/14i5unn</t>
  </si>
  <si>
    <t xml:space="preserve">Does anyone else's Discover Weekly only have one genre present?. [removed]</t>
  </si>
  <si>
    <t xml:space="preserve">https://www.reddit.com/comments/14ics7w</t>
  </si>
  <si>
    <t xml:space="preserve">Sensual Bedroom Playlist | SEX SUMMER | The Weeknd, ZAYN, Bryston Tiller, Two Feet, James Blake, Rihanna, Rosenfeld (Comment Suggestions Below!).</t>
  </si>
  <si>
    <t xml:space="preserve">https://www.reddit.com/comments/14j1siw</t>
  </si>
  <si>
    <t xml:space="preserve">Some Gripes and Suggestions. [removed]</t>
  </si>
  <si>
    <t xml:space="preserve">https://www.reddit.com/comments/14jk3l7</t>
  </si>
  <si>
    <t xml:space="preserve">HEAVY BASS | GYM BEAST MODE (comment suggestions below).</t>
  </si>
  <si>
    <t xml:space="preserve">https://www.reddit.com/comments/14k2hn5</t>
  </si>
  <si>
    <t xml:space="preserve">How to disable AI DJ graphic. This is on my Samsung S21Ultra and it consumes most of the screen and i cant find and select my music. I want to disable</t>
  </si>
  <si>
    <t xml:space="preserve">https://www.reddit.com/comments/14krmry</t>
  </si>
  <si>
    <t xml:space="preserve">Smart shuffle advice. Hi, I was wondering if it's possible to remove smart shuffle from being an option forever. Google nor the settings on spotify ga</t>
  </si>
  <si>
    <t xml:space="preserve">https://www.reddit.com/comments/14krvqm</t>
  </si>
  <si>
    <t xml:space="preserve">Like this post, if you think that the AI DJ should be able to be set to different moods. I like the DJs smooth voice I just wish I could have them DJ </t>
  </si>
  <si>
    <t xml:space="preserve">https://www.reddit.com/comments/14l5nrt</t>
  </si>
  <si>
    <t xml:space="preserve">About the new AI DJ.... I think this is a neat feature to have and saves me from looking through daily mixes. I do wish it had some custom options lik</t>
  </si>
  <si>
    <t xml:space="preserve">https://www.reddit.com/comments/14lkp65</t>
  </si>
  <si>
    <t xml:space="preserve">Any way to get AI DJ segments playing over connected devices, like my Chromecast? DJ works, but the actual DJ announcer sections don't come through.. </t>
  </si>
  <si>
    <t xml:space="preserve">https://www.reddit.com/comments/14m83sw</t>
  </si>
  <si>
    <t xml:space="preserve">I am now fighting against my algorithm. I know this might sound weird but let me explain. About a year ago my romantic mixtape (the one spotify puts t</t>
  </si>
  <si>
    <t xml:space="preserve">https://www.reddit.com/comments/14mizcr</t>
  </si>
  <si>
    <t xml:space="preserve">Spotify DJ does not sync between devices. The problem is that I listen to Spotify at work, on my PC, and then in my car etc on my phone. After listeni</t>
  </si>
  <si>
    <t xml:space="preserve">https://www.reddit.com/comments/14n0h22</t>
  </si>
  <si>
    <t xml:space="preserve">Anyone else having issues with DJ?. Every time I try to use the AI Dj on Spotify I get a white noise and the app completely reloads</t>
  </si>
  <si>
    <t xml:space="preserve">https://www.reddit.com/comments/14nitz3</t>
  </si>
  <si>
    <t xml:space="preserve">Please help. My Spotify heard something it shouldn't have and now I'm getting unusual podcast recommendations, is there anything I can do to get rid o</t>
  </si>
  <si>
    <t xml:space="preserve">https://www.reddit.com/comments/14npq67</t>
  </si>
  <si>
    <t xml:space="preserve">Give me Playlist Name recommendations.. I've had this playlist for a while, its just a compilations of all the songs I like, no specific mood or genre</t>
  </si>
  <si>
    <t xml:space="preserve">https://www.reddit.com/comments/14nsirh</t>
  </si>
  <si>
    <t xml:space="preserve">Question about how to get links off Instagram stories response. This might be a really stupid question but can't figure it out. I posted on my insta s</t>
  </si>
  <si>
    <t xml:space="preserve">https://www.reddit.com/comments/14owash</t>
  </si>
  <si>
    <t xml:space="preserve">Nostalgia playlist, songs I used to listen to on the radio as a kid 🥰 memories. [removed]</t>
  </si>
  <si>
    <t xml:space="preserve">https://www.reddit.com/comments/14pnrx2</t>
  </si>
  <si>
    <t xml:space="preserve">The way the DJ replays the exact same "setlist" if you use it too frequently is laughable. Seen a lot of people complaining about this recently and ju</t>
  </si>
  <si>
    <t xml:space="preserve">https://www.reddit.com/comments/14prjn8</t>
  </si>
  <si>
    <t xml:space="preserve">Not playing songs (video included), only working when plugged into CarPlay?. I only just started having this issue today, prior to updating the app. I</t>
  </si>
  <si>
    <t xml:space="preserve">https://www.reddit.com/comments/14q2o83</t>
  </si>
  <si>
    <t xml:space="preserve">Genesis Radio. Hey guys! I've started listening to all the solo albums of the members of Genesis, and I'm adding two songs that I liked the most from </t>
  </si>
  <si>
    <t xml:space="preserve">https://www.reddit.com/comments/14qfhjg</t>
  </si>
  <si>
    <t xml:space="preserve">My Spotify keeps crashing when I try to listen to podcasts. My Spotify keeps crashing on my iPhone every time I try to turn on a podcast, it’s every p</t>
  </si>
  <si>
    <t xml:space="preserve">https://www.reddit.com/comments/14u398k</t>
  </si>
  <si>
    <t xml:space="preserve">Easier way to reach the bottom of a podcast page?. There is a podcast I'm listening to from the beginning... but there are literally hundreds of episo</t>
  </si>
  <si>
    <t xml:space="preserve">https://www.reddit.com/comments/14v5hta</t>
  </si>
  <si>
    <t xml:space="preserve">On Repeat visibility. My ex just sent me a screenshot of my On Repeat. Her On Repeat is mine? It says made for (my name) and she’s not logged in on mi</t>
  </si>
  <si>
    <t xml:space="preserve">https://www.reddit.com/comments/14vuttu</t>
  </si>
  <si>
    <t xml:space="preserve">Spotify For Artists playlists not showing. I feel like my stats aren’t correct/aren’t showing up in Spotify for artists. Under the playlist section, i</t>
  </si>
  <si>
    <t xml:space="preserve">https://www.reddit.com/comments/14wb172</t>
  </si>
  <si>
    <t xml:space="preserve">Recommended songs playing after album, no way to turn off?. [removed]</t>
  </si>
  <si>
    <t xml:space="preserve">https://www.reddit.com/comments/14wda2l</t>
  </si>
  <si>
    <t xml:space="preserve">Did they take out the feature where you could preview a recommended song?. [removed]</t>
  </si>
  <si>
    <t xml:space="preserve">https://www.reddit.com/comments/14wdxdf</t>
  </si>
  <si>
    <t xml:space="preserve">Did they remove the feature where you could preview recommended songs?. I'm on Android</t>
  </si>
  <si>
    <t xml:space="preserve">https://www.reddit.com/comments/14we02g</t>
  </si>
  <si>
    <t xml:space="preserve">Made this playlist to introduce this girl I'm talking to into hiphop, made it so it was more on the pop side of things, to make the introduction light</t>
  </si>
  <si>
    <t xml:space="preserve">https://www.reddit.com/comments/14wh6q2</t>
  </si>
  <si>
    <t xml:space="preserve">CHEAP SPOTIFY PREMIUM. 🎧🔥 **Discover the Ultimate Spotify Deals on Our Exclusive Discord Server! Join Now!** 🔥🎧 🎉 Looking for the best deals on Spotif</t>
  </si>
  <si>
    <t xml:space="preserve">https://www.reddit.com/comments/14wwraa</t>
  </si>
  <si>
    <t xml:space="preserve">Does Spotify Enhance/Smart shuffle become worse/less accurate if you frequently activate/disactivate it? Also, smart shuffle keeps on recommending son</t>
  </si>
  <si>
    <t xml:space="preserve">https://www.reddit.com/comments/14xby7w</t>
  </si>
  <si>
    <t xml:space="preserve">"Hidden" Personalized Spotify Playlists. I recently discovered something intriguing about Spotify's playlists that are customized to our preferences, </t>
  </si>
  <si>
    <t xml:space="preserve">https://www.reddit.com/comments/14y48hw</t>
  </si>
  <si>
    <t xml:space="preserve">Share Workout playlist with me?. Can someone share their workout playlist or recommend some good tracks? Not usual or mainstream ones that is common. </t>
  </si>
  <si>
    <t xml:space="preserve">https://www.reddit.com/comments/14y7tgy</t>
  </si>
  <si>
    <t xml:space="preserve">Army theme. A dear colleague is leaving us to join the army, and we're sending her off with a party in her honour. Now I would love to make an army th</t>
  </si>
  <si>
    <t xml:space="preserve">https://www.reddit.com/comments/14ys14f</t>
  </si>
  <si>
    <t xml:space="preserve">Is anyone else frustrated with the layout and recommended playlists of this app?. Ok, you can tell me I’m wrong and need to chill out.. But is anyone </t>
  </si>
  <si>
    <t xml:space="preserve">https://www.reddit.com/comments/14yt58y</t>
  </si>
  <si>
    <t xml:space="preserve">sorry if this has already been posted but is there any way we can get spotify to get rid of smart shuffle it's the worst. i mean seriously i hate it s</t>
  </si>
  <si>
    <t xml:space="preserve">https://www.reddit.com/comments/14ywz65</t>
  </si>
  <si>
    <t xml:space="preserve">Mood Enhancers- A little bit of everything. Updated regularly..</t>
  </si>
  <si>
    <t xml:space="preserve">https://www.reddit.com/comments/14z37lz</t>
  </si>
  <si>
    <t xml:space="preserve">Guys help this is so annoying. Its auto-enhancing my playlist and i cant even un-enhance it help me😭</t>
  </si>
  <si>
    <t xml:space="preserve">https://www.reddit.com/comments/14z7c84</t>
  </si>
  <si>
    <t xml:space="preserve">How can I find out where the image from my release radio is coming from? Not a cover of any of the songs in the playlist..</t>
  </si>
  <si>
    <t xml:space="preserve">https://www.reddit.com/comments/14zbeeq</t>
  </si>
  <si>
    <t xml:space="preserve">My shuffle mixes my playlist order but my smart shuffle puts back in order of oldest add to newest like how it’s always been.. So it’s just my one pla</t>
  </si>
  <si>
    <t xml:space="preserve">https://www.reddit.com/comments/14zmsdr</t>
  </si>
  <si>
    <t xml:space="preserve">Someone keeps flagging my playlist?. I have a Spotify playlist with just over 400 likes, nothing crazy. But for the past week everyday I comeback to m</t>
  </si>
  <si>
    <t xml:space="preserve">https://www.reddit.com/comments/14zuup6</t>
  </si>
  <si>
    <t xml:space="preserve">Do I have to put (parenthesised) part of song title on the single cover art?. Just wondering if anyone knows if I have to include the part of my song </t>
  </si>
  <si>
    <t xml:space="preserve">https://www.reddit.com/comments/14zzk2p</t>
  </si>
  <si>
    <t xml:space="preserve">Spotify “AI” DJ. DJ sucks at shuffling and says “vibes” every other time they speak and not to mention the fact that the programmed voice always speak</t>
  </si>
  <si>
    <t xml:space="preserve">https://www.reddit.com/comments/1501jzr</t>
  </si>
  <si>
    <t xml:space="preserve">This recent Update broke a whole lot of features for console-PC connecting/pairing/playing. As with normal big companies, every update is 1 step forwa</t>
  </si>
  <si>
    <t xml:space="preserve">https://www.reddit.com/comments/150ks4f</t>
  </si>
  <si>
    <t xml:space="preserve">Question: Am I the only one not being able to turn off either of the shufflemodes?. I have premium (obviously) and when the update came I could circle</t>
  </si>
  <si>
    <t xml:space="preserve">https://www.reddit.com/comments/150wbdg</t>
  </si>
  <si>
    <t xml:space="preserve">Searching for a playlist app. Hello, I am looking for an app that I can create playlists in, just for organising purposes. I'll be making a radio show</t>
  </si>
  <si>
    <t xml:space="preserve">https://www.reddit.com/comments/1523uvq</t>
  </si>
  <si>
    <t xml:space="preserve">Help me build a "Steal Your Girl" pop playlist?. I've got the start to a playlist, specifically with lyrics that mention something along the lines of,</t>
  </si>
  <si>
    <t xml:space="preserve">https://www.reddit.com/comments/152com7</t>
  </si>
  <si>
    <t xml:space="preserve">PS5 Group Session Issues?. Hey everyone, question to see if this is just me. Me and my friend have been using group sessions on the PS5 for ages, so w</t>
  </si>
  <si>
    <t xml:space="preserve">https://www.reddit.com/comments/152fpda</t>
  </si>
  <si>
    <t xml:space="preserve">Any way to totally disable smart shuffle?. I like to look through what shuffle gives me, add some to queue, then redo the shuffle. The new thing makes</t>
  </si>
  <si>
    <t xml:space="preserve">https://www.reddit.com/comments/152hzr6</t>
  </si>
  <si>
    <t xml:space="preserve">petition to bring back enhance playlist. !!!</t>
  </si>
  <si>
    <t xml:space="preserve">https://www.reddit.com/comments/152mzng</t>
  </si>
  <si>
    <t xml:space="preserve">Album Listening Night #218. Each playlist will typically have 2 albums from our community's suggestions. Playlists start with an intro song and includ</t>
  </si>
  <si>
    <t xml:space="preserve">https://www.reddit.com/comments/152np6p</t>
  </si>
  <si>
    <t xml:space="preserve">Smart shuffle history?. [removed]</t>
  </si>
  <si>
    <t xml:space="preserve">https://www.reddit.com/comments/152owhk</t>
  </si>
  <si>
    <t xml:space="preserve">Crap New Release Posting. Ambient New Releases has been the same for ages. And everything else. Spotify grabs good recommended music but the official </t>
  </si>
  <si>
    <t xml:space="preserve">https://www.reddit.com/comments/1534y09</t>
  </si>
  <si>
    <t xml:space="preserve">this has been my daily mix 2 cover for a year now 💀.</t>
  </si>
  <si>
    <t xml:space="preserve">https://www.reddit.com/comments/153vq3t</t>
  </si>
  <si>
    <t xml:space="preserve">New Indie Summer Music - Updated Each Week and Open to Suggestions.</t>
  </si>
  <si>
    <t xml:space="preserve">https://www.reddit.com/comments/153z3sy</t>
  </si>
  <si>
    <t xml:space="preserve">Need song recommendations or maybe playlists.. A good example of recommendations I’d want is something similar to Too Many Nights by Metro Boomin, Fut</t>
  </si>
  <si>
    <t xml:space="preserve">https://www.reddit.com/comments/15420vi</t>
  </si>
  <si>
    <t xml:space="preserve">No lyrics for any songs show up anymore, it only shows me the quick play. Not too long ago i uses the dj for the first time, and ever since then inste</t>
  </si>
  <si>
    <t xml:space="preserve">https://www.reddit.com/comments/1542dr7</t>
  </si>
  <si>
    <t xml:space="preserve">AI DJ is stuck. [removed]</t>
  </si>
  <si>
    <t xml:space="preserve">https://www.reddit.com/comments/154ql2i</t>
  </si>
  <si>
    <t xml:space="preserve">Can someone please give me song suggestions based on my playlist.</t>
  </si>
  <si>
    <t xml:space="preserve">https://www.reddit.com/comments/1571ssa</t>
  </si>
  <si>
    <t xml:space="preserve">Looking for new music recommendations and Spotify friends :). [removed]</t>
  </si>
  <si>
    <t xml:space="preserve">https://www.reddit.com/comments/15780s8</t>
  </si>
  <si>
    <t xml:space="preserve">Local Files. Hello everyone! lassume this question has been asked many times but I couldn't find anything on this sub related to my specific situation</t>
  </si>
  <si>
    <t xml:space="preserve">https://www.reddit.com/comments/157blp7</t>
  </si>
  <si>
    <t xml:space="preserve">Spotify doesn’t seem to be auto-playing after a song listen anymore. A while back, I could search for a song and as long as I played it from the searc</t>
  </si>
  <si>
    <t xml:space="preserve">https://www.reddit.com/comments/158ej06</t>
  </si>
  <si>
    <t xml:space="preserve">Why doesn't Spotify have a section for recommended community playlists?. I feel like it it would be a good way to find people who like the same music </t>
  </si>
  <si>
    <t xml:space="preserve">https://www.reddit.com/comments/158h0cj</t>
  </si>
  <si>
    <t xml:space="preserve">Spotify Playlist Exchange. I love making playlists on spotify and am wanting to connect with other people out there making some rad playlists on the a</t>
  </si>
  <si>
    <t xml:space="preserve">https://www.reddit.com/comments/158hx6k</t>
  </si>
  <si>
    <t xml:space="preserve">Bring back enhanced playlist. Please bring back encanced playlist. It was great. The smart shuffle thing is not good at all for many reasons. &amp;#x200B;</t>
  </si>
  <si>
    <t xml:space="preserve">https://www.reddit.com/comments/158nxop</t>
  </si>
  <si>
    <t xml:space="preserve">AI DJ "More like this..." button - with link to Spotify Idea. Hey! This post is simply meant to get some traction and generate some discussion around </t>
  </si>
  <si>
    <t xml:space="preserve">https://www.reddit.com/comments/158uovz</t>
  </si>
  <si>
    <t xml:space="preserve">Bob Dylan mega post [folk, rock, country, pop, alt, crooner, etc]. Bob has one of the most expansive discographies in music and it can be a little ove</t>
  </si>
  <si>
    <t xml:space="preserve">https://www.reddit.com/comments/158ycak</t>
  </si>
  <si>
    <t xml:space="preserve">Spotify product management is a joke. Does anyone at Spotify actually know what they're doing with their app development? Why was the enhance feature </t>
  </si>
  <si>
    <t xml:space="preserve">https://www.reddit.com/comments/15937pj</t>
  </si>
  <si>
    <t xml:space="preserve">Is there any way to remove suggestions in song radio based on my listening history?. When you start your Spotify, the song radios make grade recommend</t>
  </si>
  <si>
    <t xml:space="preserve">https://www.reddit.com/comments/159c76j</t>
  </si>
  <si>
    <t xml:space="preserve">Looking for songs similar to The Way Down by Jordan Wav to add to my playlist. Particularly the drop around 1.29. I know this is an instrumental howev</t>
  </si>
  <si>
    <t xml:space="preserve">https://www.reddit.com/comments/159lm7d</t>
  </si>
  <si>
    <t xml:space="preserve">Why do Spotify keep on adding features then removing them?. I am literally on the edge of switching back to Apple Music. Why do they keep on adding co</t>
  </si>
  <si>
    <t xml:space="preserve">https://www.reddit.com/comments/15asd9m</t>
  </si>
  <si>
    <t xml:space="preserve">Why am I getting recommended these? I've never listened to an audiobook or podcast, and I only listen to rock/metal....</t>
  </si>
  <si>
    <t xml:space="preserve">https://www.reddit.com/comments/15axdh6</t>
  </si>
  <si>
    <t xml:space="preserve">Song recommendations.... Can anyone give me song recommendations about wishing you were still with someone but they're not yours anymore? Songs like W</t>
  </si>
  <si>
    <t xml:space="preserve">https://www.reddit.com/comments/15bbnju</t>
  </si>
  <si>
    <t xml:space="preserve">Is there a way how to get more accurate Spotify podcast recommendations?. I'm kinda wondering if it works just like with the music and if perhaps by s</t>
  </si>
  <si>
    <t xml:space="preserve">https://www.reddit.com/comments/15bgnxc</t>
  </si>
  <si>
    <t xml:space="preserve">🌌🎵 Embark on a Cosmic Journey: Discover the Psychedelic Music Hall of Trips! 🚀🌈 Over 200 Mind-Blowing Albums! Share Your Recommendations! 💬🌌. [removed</t>
  </si>
  <si>
    <t xml:space="preserve">https://www.reddit.com/comments/15bm00x</t>
  </si>
  <si>
    <t xml:space="preserve">I want to play my Spotify playlist on Sonos without shuffle.. The playlist in question is the Daily Mix/Discover Weekly if that matters. When I play f</t>
  </si>
  <si>
    <t xml:space="preserve">https://www.reddit.com/comments/15c0tkv</t>
  </si>
  <si>
    <t xml:space="preserve">2-part question here. First, who would you LOVE to see on the JRE Podcast- someone that has not been on yet? (Top 5). Second, is there somewhere fans </t>
  </si>
  <si>
    <t xml:space="preserve">https://www.reddit.com/comments/15cd2di</t>
  </si>
  <si>
    <t xml:space="preserve">How do I NEVER hear Chris Webby again?. It was on my suggestions and tried a track, but now ever single time new music or suggested music lists come o</t>
  </si>
  <si>
    <t xml:space="preserve">https://www.reddit.com/comments/15d40vx</t>
  </si>
  <si>
    <t xml:space="preserve">How to get to playlist radio on Spotify in the new update?. So, they removed the ability to listen to a radio based on your playlists on mobile. It sa</t>
  </si>
  <si>
    <t xml:space="preserve">https://www.reddit.com/comments/15db7ru</t>
  </si>
  <si>
    <t xml:space="preserve">What do you think of this suggestion for Spotify? (User Curated/Automated playlists). So on many homework apps there is an option to choose the body p</t>
  </si>
  <si>
    <t xml:space="preserve">https://www.reddit.com/comments/15dhivu</t>
  </si>
  <si>
    <t xml:space="preserve">Filtering liked songs by genre. Before a recent update (the one where they added the DJ), you used to be able to go to your liked songs, pull the page</t>
  </si>
  <si>
    <t xml:space="preserve">https://www.reddit.com/comments/15dobwd</t>
  </si>
  <si>
    <t xml:space="preserve">I have a huge problem that is ruining my enjoyment of listening to spotify.. About 1 year ago, I started to try to improve my algorithm regarding the </t>
  </si>
  <si>
    <t xml:space="preserve">https://www.reddit.com/comments/15e7xeb</t>
  </si>
  <si>
    <t xml:space="preserve">Song recommendations. [removed]</t>
  </si>
  <si>
    <t xml:space="preserve">https://www.reddit.com/comments/15ed0my</t>
  </si>
  <si>
    <t xml:space="preserve">Seriously? I've got a suggestion.... I literally pay for Spotify so I can be in control of my music. Recently they've started adding "suggested songs"</t>
  </si>
  <si>
    <t xml:space="preserve">https://www.reddit.com/comments/15fdr7l</t>
  </si>
  <si>
    <t xml:space="preserve">On Repeat Not Updating. For the past week, my 'On Repeat' playlist has not updated at all. When I view it on desktop, I can see date added is 1 week a</t>
  </si>
  <si>
    <t xml:space="preserve">https://www.reddit.com/comments/15fert9</t>
  </si>
  <si>
    <t xml:space="preserve">Deleting usage data. Hello, After using apple music for the last few months/year i've decided to switch back to spotify. Problem is, my recommendation</t>
  </si>
  <si>
    <t xml:space="preserve">https://www.reddit.com/comments/15ff4u3</t>
  </si>
  <si>
    <t xml:space="preserve">How to block AGBT / Large mixes with announcements?. I'm a software engineer. Trance is absolutely my thing, helps me get into the mood, helps me get </t>
  </si>
  <si>
    <t xml:space="preserve">https://www.reddit.com/comments/15fiot7</t>
  </si>
  <si>
    <t xml:space="preserve">Sensual Bedroom POP Playlist 🔞🔞 SEX SUMMER | The Weeknd, ZAYN, Bryston Tiller, Two Feet, James Blake, Rihanna, Rosenfeld (Comment Suggestions Below!).</t>
  </si>
  <si>
    <t xml:space="preserve">https://www.reddit.com/comments/15fujtw</t>
  </si>
  <si>
    <t xml:space="preserve">HEAVY BASS | GYM BEAST MODE | $uicideboy$ - Paris, Travis Scott - goosebumps, CORPSE, XXXTENTACION | (Comment Suggestions Below!).</t>
  </si>
  <si>
    <t xml:space="preserve">https://www.reddit.com/comments/15fuotg</t>
  </si>
  <si>
    <t xml:space="preserve">Random songs being thrown onto radio mixes. anyone else having issues with these random spam-esque songs being thrown onto their radio mixes? all the </t>
  </si>
  <si>
    <t xml:space="preserve">https://www.reddit.com/comments/15fxxlz</t>
  </si>
  <si>
    <t xml:space="preserve">listen. &lt;iframe style="border-radius:12px" src="[ width="100%" height="352" frameBorder="0" allowfullscreen="" allow="autoplay; clipboard-write; encry</t>
  </si>
  <si>
    <t xml:space="preserve">https://www.reddit.com/comments/15gc45q</t>
  </si>
  <si>
    <t xml:space="preserve">Indie | New &amp; Undiscovered - Playlist where I share small unknown artists with radio-ready songs. The artists usually have just a few hundred or a few</t>
  </si>
  <si>
    <t xml:space="preserve">https://www.reddit.com/comments/15h3lfl</t>
  </si>
  <si>
    <t xml:space="preserve">Had the algorithm changed ?. Quite often I can’t be bothered to choose a playlist, so I just ask Siri to play a favourite artist. Recently the songs b</t>
  </si>
  <si>
    <t xml:space="preserve">https://www.reddit.com/comments/15hud3v</t>
  </si>
  <si>
    <t xml:space="preserve">Autoplay not actually turning off?. I pay for premium, and do not want Spotify to play recommended Tracks at the end of a playlist (I have a sleep pla</t>
  </si>
  <si>
    <t xml:space="preserve">https://www.reddit.com/comments/15i9eu8</t>
  </si>
  <si>
    <t xml:space="preserve">Alternate Versions and Release radar. If an artist releases an alternate version to a song with a new featured artist, will it still be able to get in</t>
  </si>
  <si>
    <t xml:space="preserve">https://www.reddit.com/comments/15j8glo</t>
  </si>
  <si>
    <t xml:space="preserve">Song recommendations?Alternative Rock songs similar to what I have in my list(or check down below).. Most of my songs are old OGs that i found in the </t>
  </si>
  <si>
    <t xml:space="preserve">https://www.reddit.com/comments/15jb94c</t>
  </si>
  <si>
    <t xml:space="preserve">Autoplay doesnt work. On my liked songs playlist, after it finished it just repeats itself instead of autoplaying similar songs? How do I make it work</t>
  </si>
  <si>
    <t xml:space="preserve">https://www.reddit.com/comments/15jl0j7</t>
  </si>
  <si>
    <t xml:space="preserve">Why Spotify. Why do you keep changing things?!. I am getting so frustrated with the Spotify App on Android and desktop app. Just to name some of my re</t>
  </si>
  <si>
    <t xml:space="preserve">https://www.reddit.com/comments/15jtf3f</t>
  </si>
  <si>
    <t xml:space="preserve">Does Spotify care to read their community forums? 35 pages of complaints on smart shuffle - about 5 initial responses. It’s no secret that the new sma</t>
  </si>
  <si>
    <t xml:space="preserve">https://www.reddit.com/comments/15kpy97</t>
  </si>
  <si>
    <t xml:space="preserve">90s Kids Radio - Music for days (late 80s - early 10s).</t>
  </si>
  <si>
    <t xml:space="preserve">https://www.reddit.com/comments/15kw05n</t>
  </si>
  <si>
    <t xml:space="preserve">Good gym workout songs (highly recommended).</t>
  </si>
  <si>
    <t xml:space="preserve">https://www.reddit.com/comments/15l71xx</t>
  </si>
  <si>
    <t xml:space="preserve">Apple Music lost me when they deleted my Library, and I'm excited to join Spotify.. That's what broke the Camel's back. This is the second or third ti</t>
  </si>
  <si>
    <t xml:space="preserve">https://www.reddit.com/comments/15l7s1x</t>
  </si>
  <si>
    <t xml:space="preserve">Spotify DJ available in more countries. **Available markets as of August 8, 2023: Antigua, Australia, Bahamas, Barbados, Barbuda, Belize, Botswana, Bu</t>
  </si>
  <si>
    <t xml:space="preserve">https://www.reddit.com/comments/15ld6fg</t>
  </si>
  <si>
    <t xml:space="preserve">Spotify AI DJ now rolling out to 46 new countries!.</t>
  </si>
  <si>
    <t xml:space="preserve">https://www.reddit.com/comments/15lhgrg</t>
  </si>
  <si>
    <t xml:space="preserve">if you are already a veteran listener of this genre or you want to start listening to it, i recommend this playlist ♥.</t>
  </si>
  <si>
    <t xml:space="preserve">https://www.reddit.com/comments/15lovem</t>
  </si>
  <si>
    <t xml:space="preserve">Need new music recommendations!. [removed]</t>
  </si>
  <si>
    <t xml:space="preserve">https://www.reddit.com/comments/15m11aq</t>
  </si>
  <si>
    <t xml:space="preserve">New undiscovered melodic indie-pop-rock playlist. Song recommendations welcome!.</t>
  </si>
  <si>
    <t xml:space="preserve">https://www.reddit.com/comments/15mijk3</t>
  </si>
  <si>
    <t xml:space="preserve">5 of these 6 songs are already in the playlist you are recommending songs for Spotify …. [removed]</t>
  </si>
  <si>
    <t xml:space="preserve">https://www.reddit.com/comments/15nffo5</t>
  </si>
  <si>
    <t xml:space="preserve">Finally have AI DJ!. I finally got access to the ai dj (i live in Sweden btw), listening to my first song rn; "$un palace (Stroop effect)" by Billlie.</t>
  </si>
  <si>
    <t xml:space="preserve">https://www.reddit.com/comments/15np0ch</t>
  </si>
  <si>
    <t xml:space="preserve">Im sick of my liked songs. Need playlist recommendations. Please 🙏🏽 I lean towards r&amp;b and alt sounds but I listen to anything and everything.</t>
  </si>
  <si>
    <t xml:space="preserve">https://www.reddit.com/comments/15nqck1</t>
  </si>
  <si>
    <t xml:space="preserve">How to trick spotify algorithm into changing home page podcasts?. I've literally never ONCE listened to a podcast. I get it that I cant remove the pod</t>
  </si>
  <si>
    <t xml:space="preserve">https://www.reddit.com/comments/15nw4pt</t>
  </si>
  <si>
    <t xml:space="preserve">These episodes bru. Like i used to listen to them nsfw audios on spotify then i stopped and switched emails, but i havent listened to anything bad on </t>
  </si>
  <si>
    <t xml:space="preserve">https://www.reddit.com/comments/15nzzjf</t>
  </si>
  <si>
    <t xml:space="preserve">Afropop Taking over my playlist...?. I really enjoy the occasional '70s Afro Pop song, and so added a bunch to my play list. But there's now a handful</t>
  </si>
  <si>
    <t xml:space="preserve">https://www.reddit.com/comments/15o9yu1</t>
  </si>
  <si>
    <t xml:space="preserve">App autoplaying "recommended songs" when I don't want it to.. Made a Premium Trial account and it keeps autoplaying "recommended songs" even though I </t>
  </si>
  <si>
    <t xml:space="preserve">https://www.reddit.com/comments/15oqn1x</t>
  </si>
  <si>
    <t xml:space="preserve">Release Radar playlist is missing. Hey guys I log in to Spotify every week to listen to Release radar, but yesterday I noticed it is gone. Doesn't eve</t>
  </si>
  <si>
    <t xml:space="preserve">https://www.reddit.com/comments/15p2mq2</t>
  </si>
  <si>
    <t xml:space="preserve">For some reason I don’t have “radio” option even for artists and albums, what could be a reason for that?.</t>
  </si>
  <si>
    <t xml:space="preserve">https://www.reddit.com/comments/15pdoky</t>
  </si>
  <si>
    <t xml:space="preserve">Best Metal Covers. If you have suggestions, I can add them to the playlist ☺️</t>
  </si>
  <si>
    <t xml:space="preserve">https://www.reddit.com/comments/15pu721</t>
  </si>
  <si>
    <t xml:space="preserve">I looking for a spotify playlist like this. Can someone recommend?. [removed]</t>
  </si>
  <si>
    <t xml:space="preserve">https://www.reddit.com/comments/15s949k</t>
  </si>
  <si>
    <t xml:space="preserve">Songs skipping when phone screen is locked. Hoping someone can help me, I like to listen to Spotify from my phone when I am around the house cleaning </t>
  </si>
  <si>
    <t xml:space="preserve">https://www.reddit.com/comments/15ssled</t>
  </si>
  <si>
    <t xml:space="preserve">Spotify on PC (the app not the web player) keeps jumping around despote shuffle being turned off.. Im listening to a Spotify recommended playlist "All</t>
  </si>
  <si>
    <t xml:space="preserve">https://www.reddit.com/comments/15ts5aq</t>
  </si>
  <si>
    <t xml:space="preserve">why can't i use the ai dj thing it should be avaible in my region but doesn't seem to work for me.</t>
  </si>
  <si>
    <t xml:space="preserve">https://www.reddit.com/comments/15tw3dy</t>
  </si>
  <si>
    <t xml:space="preserve">cyberpunk radio (dark/electro).</t>
  </si>
  <si>
    <t xml:space="preserve">https://www.reddit.com/comments/15v3106</t>
  </si>
  <si>
    <t xml:space="preserve">I broke mix playlists for myself. I listen to a variety of pop rock and metal, and recently I’ve been loving a band called electric callboy, but now e</t>
  </si>
  <si>
    <t xml:space="preserve">https://www.reddit.com/comments/15vgv6m</t>
  </si>
  <si>
    <t xml:space="preserve">What is happenings with Spotify? (Algorithm). I don't know what the heck is going on with Spotify, but it looks like the algorithm is getting stupider</t>
  </si>
  <si>
    <t xml:space="preserve">https://www.reddit.com/comments/15vmhqw</t>
  </si>
  <si>
    <t xml:space="preserve">Daily Mix is not changing daily. I have noticed my Daily Mix 1 isn't changing like it used to. I really enjoy listening to different music playlists a</t>
  </si>
  <si>
    <t xml:space="preserve">https://www.reddit.com/comments/15w1rk7</t>
  </si>
  <si>
    <t xml:space="preserve">No Autoplay toggle to turn off. My playlists are not stopping at the end of my chosen songs. I looked for an Autoplay toggle under Settings-&gt; Playback</t>
  </si>
  <si>
    <t xml:space="preserve">https://www.reddit.com/comments/15w3yk8</t>
  </si>
  <si>
    <t xml:space="preserve">Any road trips songs recommended?. Looking for some tracks to fuel my good mood while on the road.</t>
  </si>
  <si>
    <t xml:space="preserve">https://www.reddit.com/comments/15wvuf1</t>
  </si>
  <si>
    <t xml:space="preserve">pink bubblegum. Suggestions welcome 🙂</t>
  </si>
  <si>
    <t xml:space="preserve">https://www.reddit.com/comments/15xdjan</t>
  </si>
  <si>
    <t xml:space="preserve">DJ Rob Clayton's Sonic Boom Radio Show - LDC 97.8FM (Leeds, UK). This is a massive playlist of all the tunes I have spun on my radio show so far. Im o</t>
  </si>
  <si>
    <t xml:space="preserve">https://www.reddit.com/comments/15xibhm</t>
  </si>
  <si>
    <t xml:space="preserve">DJ Rob Clayton's Sonic Boom Radio Show - LDC 97.8FM (Leeds, UK).</t>
  </si>
  <si>
    <t xml:space="preserve">https://www.reddit.com/comments/15xiez5</t>
  </si>
  <si>
    <t xml:space="preserve">When playing Spotify Daily Mix playlist from Sonos speaker, it shuffles through songs not on the playlist. How to get it to play the playlist normally</t>
  </si>
  <si>
    <t xml:space="preserve">https://www.reddit.com/comments/15yc9en</t>
  </si>
  <si>
    <t xml:space="preserve">Playing smart shuffle songs in regular shuffle. I keep having smart shuffle songs appear in my playlist even in regular shuffle. You can see I have th</t>
  </si>
  <si>
    <t xml:space="preserve">https://www.reddit.com/comments/15yoh13</t>
  </si>
  <si>
    <t xml:space="preserve">The drill rap radio! Updated often, I hope you enjoy.</t>
  </si>
  <si>
    <t xml:space="preserve">https://www.reddit.com/comments/1603t6q</t>
  </si>
  <si>
    <t xml:space="preserve">Does anyone have any song recommendations to add to this playlist?.</t>
  </si>
  <si>
    <t xml:space="preserve">https://www.reddit.com/comments/1614nkq</t>
  </si>
  <si>
    <t xml:space="preserve">Identifying a musical track…. I have a favourite piece of music that I got from somewhere, sometime… Shazam can’t identify it… Can anyone here help me</t>
  </si>
  <si>
    <t xml:space="preserve">https://www.reddit.com/comments/161gyfs</t>
  </si>
  <si>
    <t xml:space="preserve">My friend hates long songs. In his opinion, a song shouldn't be over 4 minutes, and 3 minutes 30 is pushing it. I recommend him dontlike.1 by kanye an</t>
  </si>
  <si>
    <t xml:space="preserve">https://www.reddit.com/comments/161lgly</t>
  </si>
  <si>
    <t xml:space="preserve">Why is the searched songs algo so repetitive? Is it stupid?.</t>
  </si>
  <si>
    <t xml:space="preserve">https://www.reddit.com/comments/161yw1p</t>
  </si>
  <si>
    <t xml:space="preserve">The new DJ feature is pretty cool.. I see many complaints here about spotify. I've used it since it was first starting it and generally don't have iss</t>
  </si>
  <si>
    <t xml:space="preserve">https://www.reddit.com/comments/1625v4l</t>
  </si>
  <si>
    <t xml:space="preserve">Non-Rap Hood Classics, Song Suggestions. Creating a non-rap songs that went platinum in the hood. Leave a comment and ill add songs!</t>
  </si>
  <si>
    <t xml:space="preserve">https://www.reddit.com/comments/16338qy</t>
  </si>
  <si>
    <t xml:space="preserve">Made for You. [removed]</t>
  </si>
  <si>
    <t xml:space="preserve">https://www.reddit.com/comments/163cnrg</t>
  </si>
  <si>
    <t xml:space="preserve">My discover weekly is horrible. How do I fix it 😭.</t>
  </si>
  <si>
    <t xml:space="preserve">https://www.reddit.com/comments/163gw5h</t>
  </si>
  <si>
    <t xml:space="preserve">Rate my playlist / give suggestions.</t>
  </si>
  <si>
    <t xml:space="preserve">https://www.reddit.com/comments/163nv6b</t>
  </si>
  <si>
    <t xml:space="preserve">Artist Stations &amp; Daily Mixes become more harmonious?. Question, as I listen more to artist stations and my daily mixes, will they become more harmoni</t>
  </si>
  <si>
    <t xml:space="preserve">https://www.reddit.com/comments/164leur</t>
  </si>
  <si>
    <t xml:space="preserve">"song discovered on/song appears on" playlisting feature. I don't know about you guys but I really wish I could select a song &amp; have the algorithm sho</t>
  </si>
  <si>
    <t xml:space="preserve">https://www.reddit.com/comments/1653l4c</t>
  </si>
  <si>
    <t xml:space="preserve">Spotify AI DJ doesn't know my time zone? How would I change this? (Android). [removed]</t>
  </si>
  <si>
    <t xml:space="preserve">https://www.reddit.com/comments/165rpn0</t>
  </si>
  <si>
    <t xml:space="preserve">Playback stops. IDK if this is the right sub, but my attempts to use Spotify's help has been a complete waste of time. Playback on my phone stops for </t>
  </si>
  <si>
    <t xml:space="preserve">https://www.reddit.com/comments/165zod0</t>
  </si>
  <si>
    <t xml:space="preserve">Album Listening Night #225. Each playlist will typically have 2 albums from our community's suggestions. Playlists start with an intro song and includ</t>
  </si>
  <si>
    <t xml:space="preserve">https://www.reddit.com/comments/165zstz</t>
  </si>
  <si>
    <t xml:space="preserve">I just got the Spotify DJ and I'm from outside USA, what about you? I think it's pretty cool feature to have..</t>
  </si>
  <si>
    <t xml:space="preserve">https://www.reddit.com/comments/1662bb8</t>
  </si>
  <si>
    <t xml:space="preserve">ChatGPT integration with DJ would be cool. I recently got access to the AI DJ and it's great, I've always thought the shuffle algo was below par. I'm </t>
  </si>
  <si>
    <t xml:space="preserve">https://www.reddit.com/comments/166izsa</t>
  </si>
  <si>
    <t xml:space="preserve">Turn off recommendations. English isn't my first so excuse me. How do I turn off recommendations or enhanced? I on't use playlists, I have premium and</t>
  </si>
  <si>
    <t xml:space="preserve">https://www.reddit.com/comments/166l5z4</t>
  </si>
  <si>
    <t xml:space="preserve">Apple Watch Client Update. I just noticed that the Spotify Client on Apple Watch has been updated, for the worse IMHO. The layout used to be 3 screens</t>
  </si>
  <si>
    <t xml:space="preserve">https://www.reddit.com/comments/166yk8w</t>
  </si>
  <si>
    <t xml:space="preserve">Following retired/deceased artists?. For those who follow artists on Spotify, do you follow retired or deceased ones? I recently added a few now gone </t>
  </si>
  <si>
    <t xml:space="preserve">https://www.reddit.com/comments/1677p1u</t>
  </si>
  <si>
    <t xml:space="preserve">Ai DJ is lowkey annoying. No I don’t want to listen to the newest Taylor swift and Ed Sheeran songs when I barely ever listen to pop, I’m not always i</t>
  </si>
  <si>
    <t xml:space="preserve">https://www.reddit.com/comments/1678qij</t>
  </si>
  <si>
    <t xml:space="preserve">Some music seems incorrectly attributed. Has anyone else noticed?. I’ve noticed this especially with the works of [Martin O’Donnell]( I’m familiar wit</t>
  </si>
  <si>
    <t xml:space="preserve">https://www.reddit.com/comments/167cfpp</t>
  </si>
  <si>
    <t xml:space="preserve">Looking for more songs and artists which really speak to the lesbian experience, preferably in the "alt Z" genre. See I’m a big fan of artists like gi</t>
  </si>
  <si>
    <t xml:space="preserve">https://www.reddit.com/comments/167egmd</t>
  </si>
  <si>
    <t xml:space="preserve">SPOTIFY RADIO UPDATE. Spotify finally updated their song based radio and it's sooo fire, it's not full of music you used to listen to like before, but</t>
  </si>
  <si>
    <t xml:space="preserve">https://www.reddit.com/comments/167hlau</t>
  </si>
  <si>
    <t xml:space="preserve">starting September right with my fave 2020s HIPHOP and POP vibes &lt;3 suggestions are always welcome!.</t>
  </si>
  <si>
    <t xml:space="preserve">https://www.reddit.com/comments/1687y9u</t>
  </si>
  <si>
    <t xml:space="preserve">How can i hide the recommendation and only show the top music from the artist?.</t>
  </si>
  <si>
    <t xml:space="preserve">https://www.reddit.com/comments/168cots</t>
  </si>
  <si>
    <t xml:space="preserve">Made for Me Playlists. I don't know when it started happening, but Spotify seems to have made some of their playlists personalized to me. I'm not talk</t>
  </si>
  <si>
    <t xml:space="preserve">https://www.reddit.com/comments/168lsqn</t>
  </si>
  <si>
    <t xml:space="preserve">Can I force Spotify to be more random?. I'm having an annoying "issue" when asking my Google Assistant to play music on Spotify. My issue is simply th</t>
  </si>
  <si>
    <t xml:space="preserve">https://www.reddit.com/comments/168strz</t>
  </si>
  <si>
    <t xml:space="preserve">Some synced local files not working on mobile. (I have a Samsung Galaxy A53) I don't know when this started but all of a sudden some of the local file</t>
  </si>
  <si>
    <t xml:space="preserve">https://www.reddit.com/comments/1690ryg</t>
  </si>
  <si>
    <t xml:space="preserve">Give me song/album/artist recommendations :sob:. [removed]</t>
  </si>
  <si>
    <t xml:space="preserve">https://www.reddit.com/comments/169fvza</t>
  </si>
  <si>
    <t xml:space="preserve">Spotify DJ doesn't pronounce "Aussie" correctly.. [removed]</t>
  </si>
  <si>
    <t xml:space="preserve">https://www.reddit.com/comments/169ihp8</t>
  </si>
  <si>
    <t xml:space="preserve">How do you discover new music on spotify beside discover weekly and release radar?.</t>
  </si>
  <si>
    <t xml:space="preserve">https://www.reddit.com/comments/169qram</t>
  </si>
  <si>
    <t xml:space="preserve">Got any good horror and true crime podcast recommendations?. If you like horror entertainment/movie podcasts: Dead Meat Podcast If you like true crime</t>
  </si>
  <si>
    <t xml:space="preserve">https://www.reddit.com/comments/169tam1</t>
  </si>
  <si>
    <t xml:space="preserve">I need help lol. I don’t have any money on the card my Spotify subscription is through but I have a visa vanilla gift card. I can’t use this as a paym</t>
  </si>
  <si>
    <t xml:space="preserve">https://www.reddit.com/comments/169xlgf</t>
  </si>
  <si>
    <t xml:space="preserve">Why did spotify stop making daily mixes for me? Im using Xmanager, does that have to do with it anything? [Question].</t>
  </si>
  <si>
    <t xml:space="preserve">https://www.reddit.com/comments/169z6xa</t>
  </si>
  <si>
    <t xml:space="preserve">looking for spotify friends !. hiii hopefully this works cuz i rlly like seeing my friends' listening activity when my desktop is open. i think it's r</t>
  </si>
  <si>
    <t xml:space="preserve">https://www.reddit.com/comments/16b8l2o</t>
  </si>
  <si>
    <t xml:space="preserve">I found this strange phenomenon on Spotify. I was listening to a radio of an artist until I stumbled upon a song that seemed fairly odd, it was named </t>
  </si>
  <si>
    <t xml:space="preserve">https://www.reddit.com/comments/16basyg</t>
  </si>
  <si>
    <t xml:space="preserve">Why does spotify always recommend the same songs to me for my playlist?. I have a spotify playlist (my main playlist with a bunch of different songs t</t>
  </si>
  <si>
    <t xml:space="preserve">https://www.reddit.com/comments/16bde4m</t>
  </si>
  <si>
    <t xml:space="preserve">Why does the AI DJ have to be a lame black american hipster voice?. Would be nice if we could get some more voice options for the AI DJ playlist. Woul</t>
  </si>
  <si>
    <t xml:space="preserve">https://www.reddit.com/comments/16bs00g</t>
  </si>
  <si>
    <t xml:space="preserve">Why no "add to playlist" and "dislike" button for enhance?. The main way I use Spotify is by cleaning my discover weekly during the week, hitting the </t>
  </si>
  <si>
    <t xml:space="preserve">https://www.reddit.com/comments/16btoi9</t>
  </si>
  <si>
    <t xml:space="preserve">AI DJ not showing up, i am in Australia too!. [removed]</t>
  </si>
  <si>
    <t xml:space="preserve">https://www.reddit.com/comments/16cegv2</t>
  </si>
  <si>
    <t xml:space="preserve">My Spotify keeps playing me German songs. LMAO just curious if anyone else encountered this. I played some German songs the other day on a playlist be</t>
  </si>
  <si>
    <t xml:space="preserve">https://www.reddit.com/comments/16cnhff</t>
  </si>
  <si>
    <t xml:space="preserve">So the kids destroyed my Spotify algorithm and there's no way to remove those tracks. They even appear in my Good Afternoon section. Spotify just incr</t>
  </si>
  <si>
    <t xml:space="preserve">https://www.reddit.com/comments/16cpbf8</t>
  </si>
  <si>
    <t xml:space="preserve">How do I fix my recommended songs tab for my playlist? It's only been recommending me the same songs over and over, even when I shuffle. It even sugge</t>
  </si>
  <si>
    <t xml:space="preserve">https://www.reddit.com/comments/16d7urt</t>
  </si>
  <si>
    <t xml:space="preserve">Why do I have a much more extensive Release Radar playlist than all of my friends?. My weekly Release Radar playlist is 200 tracks, the first 70-100 a</t>
  </si>
  <si>
    <t xml:space="preserve">https://www.reddit.com/comments/16df8u4</t>
  </si>
  <si>
    <t xml:space="preserve">They removed "liked songs" in Album/Playlist views...again. 45 days ago I posted a rant that Spotify removed any visual indicator about "liked songs" </t>
  </si>
  <si>
    <t xml:space="preserve">https://www.reddit.com/comments/16dfcxw</t>
  </si>
  <si>
    <t xml:space="preserve">Is there a way to make a playlist that isn't curated based on my listening history?. Sometimes I really hate 'the algorithm'. I want to find new music</t>
  </si>
  <si>
    <t xml:space="preserve">https://www.reddit.com/comments/16dm709</t>
  </si>
  <si>
    <t xml:space="preserve">So I got the TikTok home… but mixed. I opened the app today, and after something like 7 rows of the usual podcasts and playlists recommendations, I st</t>
  </si>
  <si>
    <t xml:space="preserve">https://www.reddit.com/comments/16e6dy5</t>
  </si>
  <si>
    <t xml:space="preserve">Listen to all the best REAL Country and Roots artists that you'll never hear on radio. Because radio sucks..</t>
  </si>
  <si>
    <t xml:space="preserve">https://www.reddit.com/comments/16f62vt</t>
  </si>
  <si>
    <t xml:space="preserve">Is it still possible to exclude a playlist from my Taste Profile?. I remember using this option, where on the three dots menu of each playlist I could</t>
  </si>
  <si>
    <t xml:space="preserve">https://www.reddit.com/comments/16geoxd</t>
  </si>
  <si>
    <t xml:space="preserve">Daylist Playlist. So I read about an automatically updating playlist called Daylist, well I found mine but all the songs in the playlist are ones I ha</t>
  </si>
  <si>
    <t xml:space="preserve">https://www.reddit.com/comments/16gppzr</t>
  </si>
  <si>
    <t xml:space="preserve">How do I turn on "recommended songs" in my playlists on mobile?. I've seen people say "turn off autoplay" and no, it doesn't work. As for the "autopla</t>
  </si>
  <si>
    <t xml:space="preserve">https://www.reddit.com/comments/16h1cqi</t>
  </si>
  <si>
    <t xml:space="preserve">“Daylists” are awesome. Just discovered “daylist” playlist by Spotify and it is great! They contain genres I listen to and sometimes mixed two differe</t>
  </si>
  <si>
    <t xml:space="preserve">https://www.reddit.com/comments/16hknpn</t>
  </si>
  <si>
    <t xml:space="preserve">Finally Got the DJ Update.. While I appreciate what Spotify is trying to do here, this commentary is absolute trash. I pay for a tier so I don't have </t>
  </si>
  <si>
    <t xml:space="preserve">https://www.reddit.com/comments/16hnvtp</t>
  </si>
  <si>
    <t xml:space="preserve">Playlists that gives “Strangers (by Kenya Grace)” vibes. [song linked here.]( A lot of you might know this song that’s currently trending on Instagram</t>
  </si>
  <si>
    <t xml:space="preserve">https://www.reddit.com/comments/16hofxz</t>
  </si>
  <si>
    <t xml:space="preserve">Daylist Playlist not showing up?. There is a new feature I've seen called the spotify day list which is a play list made my spotify that is your moods</t>
  </si>
  <si>
    <t xml:space="preserve">https://www.reddit.com/comments/16hpt50</t>
  </si>
  <si>
    <t xml:space="preserve">Why does Spotify keep recommending songs there are already on my playlist?. [removed]</t>
  </si>
  <si>
    <t xml:space="preserve">https://www.reddit.com/comments/16hx8kb</t>
  </si>
  <si>
    <t xml:space="preserve">Spotify weighs “recently listened to artists” WAY too much in their shuffle algorithm. It’s genuinely infuriating.. [removed]</t>
  </si>
  <si>
    <t xml:space="preserve">https://www.reddit.com/comments/16hxwhe</t>
  </si>
  <si>
    <t xml:space="preserve">Recommended songs include existing songs. Is this normal? I haven’t noticed this before. Thankfully it just says it’s already in the playlist, but why</t>
  </si>
  <si>
    <t xml:space="preserve">https://www.reddit.com/comments/16i14z5</t>
  </si>
  <si>
    <t xml:space="preserve">user created playlists missing from “featuring”. When I go to an artist, the biggest way I would find new music was to go to the “Featuring _____” sec</t>
  </si>
  <si>
    <t xml:space="preserve">https://www.reddit.com/comments/16i77fw</t>
  </si>
  <si>
    <t xml:space="preserve">Smart shuffle keep turning off (mobile iOS.16). Basically what the title says, when I press the button to turn it on it says that it’s on and music wi</t>
  </si>
  <si>
    <t xml:space="preserve">https://www.reddit.com/comments/16ihuib</t>
  </si>
  <si>
    <t xml:space="preserve">Tool to enhance better. Hi, im looking for a tool to help me add songs in my playlist related to what is already is in the playlist, like what the Enh</t>
  </si>
  <si>
    <t xml:space="preserve">https://www.reddit.com/comments/16ikni0</t>
  </si>
  <si>
    <t xml:space="preserve">how to remove "what friends are listening right now" section?. So.. i just left a family plan that my friend made... and i noticed while i was still o</t>
  </si>
  <si>
    <t xml:space="preserve">https://www.reddit.com/comments/16jk7jp</t>
  </si>
  <si>
    <t xml:space="preserve">Why are basic features US-only?. So I do a lot of back and forth for months on end between countries and I've been in a different country for college,</t>
  </si>
  <si>
    <t xml:space="preserve">https://www.reddit.com/comments/16jkgbx</t>
  </si>
  <si>
    <t xml:space="preserve">Spotify ruining my artist account with their algorithm. [removed]</t>
  </si>
  <si>
    <t xml:space="preserve">https://www.reddit.com/comments/16k1lrf</t>
  </si>
  <si>
    <t xml:space="preserve">https://www.reddit.com/comments/16k1n5z</t>
  </si>
  <si>
    <t xml:space="preserve">Why aren't my daily mixes updating with new artists? The songs in them change daily, but the actual artists haven't for about a month. I've tried clea</t>
  </si>
  <si>
    <t xml:space="preserve">https://www.reddit.com/comments/16k4ey0</t>
  </si>
  <si>
    <t xml:space="preserve">Electro pop, hyper pop, bubblegum pop, and bedroom pop. definitely taking suggestions! But I've had this playlist for a while, never published it or a</t>
  </si>
  <si>
    <t xml:space="preserve">https://www.reddit.com/comments/16kh9i5</t>
  </si>
  <si>
    <t xml:space="preserve">The repeat 1 feature is not working. Every time I just want to listen to one song on repeat it'll loop about 3-4 times and then it'll play the next so</t>
  </si>
  <si>
    <t xml:space="preserve">https://www.reddit.com/comments/16l6hw7</t>
  </si>
  <si>
    <t xml:space="preserve">How to remove recommended songs from my playlist. Every 3rd song in my playlist is recommended by spotify, I've tried removing them and nothing works </t>
  </si>
  <si>
    <t xml:space="preserve">https://www.reddit.com/comments/16lon39</t>
  </si>
  <si>
    <t xml:space="preserve">Spotify Dj Australia?. [removed]</t>
  </si>
  <si>
    <t xml:space="preserve">https://www.reddit.com/comments/16lpkn0</t>
  </si>
  <si>
    <t xml:space="preserve">Spotify is completely tripping now. Spotify is completely tripping now. I listened to my discover weekly as always, removed some songs from it... but </t>
  </si>
  <si>
    <t xml:space="preserve">https://www.reddit.com/comments/16lqdme</t>
  </si>
  <si>
    <t xml:space="preserve">Bored with your Discover Weekly? Create your own!. [I've been working on this project]( where you can create your own Discover Weekly. Select a few pl</t>
  </si>
  <si>
    <t xml:space="preserve">https://www.reddit.com/comments/16lycr4</t>
  </si>
  <si>
    <t xml:space="preserve">House party music technical recommendations? (got the music covered, though I won't so no if you need to drop a track reco in here!). Halloween party </t>
  </si>
  <si>
    <t xml:space="preserve">https://www.reddit.com/comments/16mgqu5</t>
  </si>
  <si>
    <t xml:space="preserve">Daylist update times?. Anyone know what times/how frequently Daylist updates? Did cursory search and all I found was "frequently between sunup and sun</t>
  </si>
  <si>
    <t xml:space="preserve">https://www.reddit.com/comments/16mk0mg</t>
  </si>
  <si>
    <t xml:space="preserve">late 90s - 2010 radio hits mix.</t>
  </si>
  <si>
    <t xml:space="preserve">https://www.reddit.com/comments/16nkwqw</t>
  </si>
  <si>
    <t xml:space="preserve">Transferring to Spotify. Currently with Apple Music but want to transfer to Spotify. Any recs on apps to use to transfer the music between streaming s</t>
  </si>
  <si>
    <t xml:space="preserve">https://www.reddit.com/comments/16non9u</t>
  </si>
  <si>
    <t xml:space="preserve">I am using YouTube Music for a week and I am pretty surprised. Spotify is lagging back. I am surprised how good suggestions YouTube Music has. Spotify</t>
  </si>
  <si>
    <t xml:space="preserve">https://www.reddit.com/comments/16p59qr</t>
  </si>
  <si>
    <t xml:space="preserve">What are your thoughts on Spotify's Content Recommendations? [Survey]. I am interested in what people think about the recommended content they get on </t>
  </si>
  <si>
    <t xml:space="preserve">https://www.reddit.com/comments/16pbmix</t>
  </si>
  <si>
    <t xml:space="preserve">After over a year of use, Spotify surprised me and did me well.. I've been using Spotify for a good while now and every week I spend a while looking f</t>
  </si>
  <si>
    <t xml:space="preserve">https://www.reddit.com/comments/16pqu23</t>
  </si>
  <si>
    <t xml:space="preserve">Similars Song to Goodbye to Romance. I don’t want similar bands! I love metal but I’m specifically looking for the vibes like the song Goodbye to Roma</t>
  </si>
  <si>
    <t xml:space="preserve">https://www.reddit.com/comments/16pvmhk</t>
  </si>
  <si>
    <t xml:space="preserve">Why don't I have the AI DJ?. Hi everyone. So I am from Malta. All my friends have the AI DJ, even members from the family account I am in. It is avail</t>
  </si>
  <si>
    <t xml:space="preserve">https://www.reddit.com/comments/16pybca</t>
  </si>
  <si>
    <t xml:space="preserve">Song Suggestions for Ya. Give me a number from 1-1379 and I’ll tell you which is the coordinating song in my Liked Songs. Keep in mind I listen to eve</t>
  </si>
  <si>
    <t xml:space="preserve">https://www.reddit.com/comments/16qm6hb</t>
  </si>
  <si>
    <t xml:space="preserve">Laser 558 all Europe radio. [removed]</t>
  </si>
  <si>
    <t xml:space="preserve">https://www.reddit.com/comments/16r4eu0</t>
  </si>
  <si>
    <t xml:space="preserve">I made a Playlist based on the Spider-Man form the Ultimate Spider-Man Comics Series. Toughs?. So, I decided to make a playlist based on Ultimate Spid</t>
  </si>
  <si>
    <t xml:space="preserve">https://www.reddit.com/comments/16r6b7s</t>
  </si>
  <si>
    <t xml:space="preserve">Alternative to spotify?. Hi. Basically I'm a broke MFer who was looking forward to the free spotify with 30 mins of ad free listening. Yet it's litera</t>
  </si>
  <si>
    <t xml:space="preserve">https://www.reddit.com/comments/16rezdz</t>
  </si>
  <si>
    <t xml:space="preserve">Discover Weekly acting really weird the past month or so.. For 3 weeks in a row my Discover Weekly was about an hour shorter than normal. The next wee</t>
  </si>
  <si>
    <t xml:space="preserve">https://www.reddit.com/comments/16ru8ub</t>
  </si>
  <si>
    <t xml:space="preserve">Help: Someone is using my account. I noticed a couple days ago that my Recently Played section was filled playlists, albums and radio stations I do no</t>
  </si>
  <si>
    <t xml:space="preserve">https://www.reddit.com/comments/16rwa1a</t>
  </si>
  <si>
    <t xml:space="preserve">Spotify constantly crashes in background (Help!). I have an iPhone 14 Pro, and have been facing this issue for past 2 weeks or so. App has no problems</t>
  </si>
  <si>
    <t xml:space="preserve">https://www.reddit.com/comments/16rxabt</t>
  </si>
  <si>
    <t xml:space="preserve">I'm a visual artist &amp; am looking for inspiration!. Hey everyone! I'm a visual artist and I usually like to draft and paint with a curated playlist I'm</t>
  </si>
  <si>
    <t xml:space="preserve">https://www.reddit.com/comments/16rywzi</t>
  </si>
  <si>
    <t xml:space="preserve">Ugly Discover Weekly Change. Welp. They changed Discover Weekly to have some generic icon now instead of your profile picture, also causing the playli</t>
  </si>
  <si>
    <t xml:space="preserve">https://www.reddit.com/comments/16rzqpa</t>
  </si>
  <si>
    <t xml:space="preserve">Spotify widget telling me to use Spotify widget... on my Spotify widget. Can't access app through widget anymore. Uninstalled and reinstalled app. Bet</t>
  </si>
  <si>
    <t xml:space="preserve">https://www.reddit.com/comments/16s53oh</t>
  </si>
  <si>
    <t xml:space="preserve">Spotify Keep Skipping to Random Stuff, Please Help!!. Hi everyone, I hope you all can help. Ill try and make this quick: I go to bed, and put on a Joe</t>
  </si>
  <si>
    <t xml:space="preserve">https://www.reddit.com/comments/16s99ws</t>
  </si>
  <si>
    <t xml:space="preserve">Need help naming this playlist. Give me your suggestions.. Other critique and suggestions are also welcome.</t>
  </si>
  <si>
    <t xml:space="preserve">https://www.reddit.com/comments/16sbbn7</t>
  </si>
  <si>
    <t xml:space="preserve">Going insane, WebOS app keeps skipping end of some songs. My Spotify has recently started randomly skipping the last 15-8 seconds of a song on my LG t</t>
  </si>
  <si>
    <t xml:space="preserve">https://www.reddit.com/comments/16t3f4r</t>
  </si>
  <si>
    <t xml:space="preserve">I highly recommend this album. It’s instrumental funk, great for relaxing or studying. [removed]</t>
  </si>
  <si>
    <t xml:space="preserve">https://www.reddit.com/comments/16tclon</t>
  </si>
  <si>
    <t xml:space="preserve">The dj. Does the Spotify dj really cuss you out? I know yall seen those TikTok’s of people making their djs cuss. Is it real?</t>
  </si>
  <si>
    <t xml:space="preserve">https://www.reddit.com/comments/16tq2h8</t>
  </si>
  <si>
    <t xml:space="preserve">My account has been hacked. Yes, and I found out about it just now, like 30min ago. I changed my pass, logged out everywhere and everything is fine Bu</t>
  </si>
  <si>
    <t xml:space="preserve">https://www.reddit.com/comments/16tys42</t>
  </si>
  <si>
    <t xml:space="preserve">why is Spotify recommendations absolute shit??. [removed]</t>
  </si>
  <si>
    <t xml:space="preserve">https://www.reddit.com/comments/16u1195</t>
  </si>
  <si>
    <t xml:space="preserve">Best Rap Playlist. Drop any suggestions / criticisms down below so I can make this playlist even better. Appreciate all of you.</t>
  </si>
  <si>
    <t xml:space="preserve">https://www.reddit.com/comments/16u8kaf</t>
  </si>
  <si>
    <t xml:space="preserve">Daylist is everything spotify shouldve been. When I read about spotify adding an AI dj, I was so excited only to be let down. DJ just feels like its s</t>
  </si>
  <si>
    <t xml:space="preserve">https://www.reddit.com/comments/16u8ula</t>
  </si>
  <si>
    <t xml:space="preserve">Have spent years working on an ultimate covers playlist. Have worked in the media, in particular radio for over 20 years and live for music. This play</t>
  </si>
  <si>
    <t xml:space="preserve">https://www.reddit.com/comments/16uu8au</t>
  </si>
  <si>
    <t xml:space="preserve">Spotify duo premium no AI DJ?. Im from Australia and had premium duo for years and all my siblings have normal premium and have the ai, but for some r</t>
  </si>
  <si>
    <t xml:space="preserve">https://www.reddit.com/comments/16v5hvz</t>
  </si>
  <si>
    <t xml:space="preserve">Algorithm country. I can listen to country occasionally so why is release radar just drowning me in country songs. Not a Morgan wallet fan people</t>
  </si>
  <si>
    <t xml:space="preserve">https://www.reddit.com/comments/16vlt4r</t>
  </si>
  <si>
    <t xml:space="preserve">Why does recommended just absolutely suck lately?. Same songs. Existing songs in playlist. Ever time I load the recommended, it suggests the same song</t>
  </si>
  <si>
    <t xml:space="preserve">https://www.reddit.com/comments/16vxsnt</t>
  </si>
  <si>
    <t xml:space="preserve">Spotify on repeat. [removed]</t>
  </si>
  <si>
    <t xml:space="preserve">https://www.reddit.com/comments/16wmg7h</t>
  </si>
  <si>
    <t xml:space="preserve">Recommendations to add to this album?. [removed]</t>
  </si>
  <si>
    <t xml:space="preserve">https://www.reddit.com/comments/16wuj1t</t>
  </si>
  <si>
    <t xml:space="preserve">How do I turn on repeat automatically?. My repeat button used to be on automatically whenever I started an album or a playlist, but the other day it t</t>
  </si>
  <si>
    <t xml:space="preserve">https://www.reddit.com/comments/16x0vc1</t>
  </si>
  <si>
    <t xml:space="preserve">Why are recommendations so behind!?. More of a rant but all my recommendations and the DJ play songs and similar artists that I last listened to month</t>
  </si>
  <si>
    <t xml:space="preserve">https://www.reddit.com/comments/16xq119</t>
  </si>
  <si>
    <t xml:space="preserve">A collection of globally renowned songs primarily from the 80s and 90s spanning across Rock, Pop, Metal, Instrumental solos and what not.. `&lt;iframe st</t>
  </si>
  <si>
    <t xml:space="preserve">https://www.reddit.com/comments/16xsxn2</t>
  </si>
  <si>
    <t xml:space="preserve">I am building a streaming company. Any advice or suggestions. [removed]</t>
  </si>
  <si>
    <t xml:space="preserve">https://www.reddit.com/comments/16xv7iw</t>
  </si>
  <si>
    <t xml:space="preserve">Is there any way to report "fake" albums appearing under an artist?. I keep seeing albums from random hobby pianists/musicians who are just covering t</t>
  </si>
  <si>
    <t xml:space="preserve">https://www.reddit.com/comments/16xwns0</t>
  </si>
  <si>
    <t xml:space="preserve">If you like the rap of today this playlist is made for you.</t>
  </si>
  <si>
    <t xml:space="preserve">https://www.reddit.com/comments/16y4a8r</t>
  </si>
  <si>
    <t xml:space="preserve">Spotify recommended songs already in my playlist ???. [removed]</t>
  </si>
  <si>
    <t xml:space="preserve">https://www.reddit.com/comments/16y68lv</t>
  </si>
  <si>
    <t xml:space="preserve">Will my Spotify explode if I keep adding songs. This is my cute main playlist (radio at this point) but I fear something bad might happen if I keep fe</t>
  </si>
  <si>
    <t xml:space="preserve">https://www.reddit.com/comments/16y827m</t>
  </si>
  <si>
    <t xml:space="preserve">On repeat never heard. What’s the deal? My on repeat used to be my songs. Tonight it’s all songs and artists I’ve never heard. What’s the deal?</t>
  </si>
  <si>
    <t xml:space="preserve">https://www.reddit.com/comments/16yh2e9</t>
  </si>
  <si>
    <t xml:space="preserve">Is there any way or workaround to activate AI DJ in unsupported countries?. [removed]</t>
  </si>
  <si>
    <t xml:space="preserve">https://www.reddit.com/comments/16z2p5q</t>
  </si>
  <si>
    <t xml:space="preserve">Help what’s this song radio and is there a way to turn it off. Happens when I search a song then it plays related songs after on this song radio</t>
  </si>
  <si>
    <t xml:space="preserve">https://www.reddit.com/comments/16z7zw1</t>
  </si>
  <si>
    <t xml:space="preserve">Where can I find Spotify DJ. [removed]</t>
  </si>
  <si>
    <t xml:space="preserve">https://www.reddit.com/comments/16z8zyk</t>
  </si>
  <si>
    <t xml:space="preserve">Quick, what's your Daylist currently set to?. [removed]</t>
  </si>
  <si>
    <t xml:space="preserve">https://www.reddit.com/comments/16z95t3</t>
  </si>
  <si>
    <t xml:space="preserve">Discover Weekly ruined by Brown Noise, any solutions?. Between about January to March of this year, I started playing brown noise on repeat while my w</t>
  </si>
  <si>
    <t xml:space="preserve">https://www.reddit.com/comments/16zng0w</t>
  </si>
  <si>
    <t xml:space="preserve">Need halloween song suggestions!!. Using a throwaway - I'm looking to add some bangers to my halloween playlist. Its mostly edm, but I do have a few o</t>
  </si>
  <si>
    <t xml:space="preserve">https://www.reddit.com/comments/16zspn6</t>
  </si>
  <si>
    <t xml:space="preserve">I need new songs for this playlist any suggestions ?. [removed]</t>
  </si>
  <si>
    <t xml:space="preserve">https://www.reddit.com/comments/170fke0</t>
  </si>
  <si>
    <t xml:space="preserve">Recommend me your favorite funk rock/surf rock songs?. I just recently got into bands like Sun room and iv of spades and I want more🫡</t>
  </si>
  <si>
    <t xml:space="preserve">https://www.reddit.com/comments/170mz8p</t>
  </si>
  <si>
    <t xml:space="preserve">Did Spotify updated their Blend algorithm?. Apparently I got +10% match percentage on all my blends. I am not sure if my matches are reflecting the re</t>
  </si>
  <si>
    <t xml:space="preserve">https://www.reddit.com/comments/171950i</t>
  </si>
  <si>
    <t xml:space="preserve">Favourite list bug. Second time this has happened now. Around 200 random songs have been added to my favourite list all at once. The bug seems to trig</t>
  </si>
  <si>
    <t xml:space="preserve">https://www.reddit.com/comments/171f5xw</t>
  </si>
  <si>
    <t xml:space="preserve">Hidden songs still play?. I've been listening to Fall Out Boys "So much (for) Stardust" album and recently have been having this problem. I have 2 son</t>
  </si>
  <si>
    <t xml:space="preserve">https://www.reddit.com/comments/171fes7</t>
  </si>
  <si>
    <t xml:space="preserve">Recommend any good worship music I can add to a playlist.</t>
  </si>
  <si>
    <t xml:space="preserve">https://www.reddit.com/comments/171ga6m</t>
  </si>
  <si>
    <t xml:space="preserve">Proof my DJ really doesn't really *listen to me* at all ... "Here's an artist you used to listen to a lot!". Dude. I don't full on hate a lot of music</t>
  </si>
  <si>
    <t xml:space="preserve">https://www.reddit.com/comments/171x6e1</t>
  </si>
  <si>
    <t xml:space="preserve">what times does the daylist update?. title. are there set times? does it vary day-by-day? how many times does the daylist update per day and when? tha</t>
  </si>
  <si>
    <t xml:space="preserve">https://www.reddit.com/comments/1725p5m</t>
  </si>
  <si>
    <t xml:space="preserve">On Repeat. [removed]</t>
  </si>
  <si>
    <t xml:space="preserve">https://www.reddit.com/comments/1727mqe</t>
  </si>
  <si>
    <t xml:space="preserve">On Repeat. [deleted]</t>
  </si>
  <si>
    <t xml:space="preserve">https://www.reddit.com/comments/1727n60</t>
  </si>
  <si>
    <t xml:space="preserve">On Repeat - Ever-changing: Our playlist is regularly updated..</t>
  </si>
  <si>
    <t xml:space="preserve">https://www.reddit.com/comments/172covw</t>
  </si>
  <si>
    <t xml:space="preserve">Music suggestions (no lyrics!). I need some music suggestions plzzz I would really love to find songs to listen when chiilling or studying. I really l</t>
  </si>
  <si>
    <t xml:space="preserve">https://www.reddit.com/comments/172i88n</t>
  </si>
  <si>
    <t xml:space="preserve">need recs!!. [removed]</t>
  </si>
  <si>
    <t xml:space="preserve">https://www.reddit.com/comments/172qzxw</t>
  </si>
  <si>
    <t xml:space="preserve">Looking for a one-of-a-kind nostalgic playlist on Spotify. Any hidden gems to recommend?. I'm on the hunt for a Spotify playlist that can magically tr</t>
  </si>
  <si>
    <t xml:space="preserve">https://www.reddit.com/comments/173l2ft</t>
  </si>
  <si>
    <t xml:space="preserve">Does anyone know when daylists will come to Europe?. [removed]</t>
  </si>
  <si>
    <t xml:space="preserve">https://www.reddit.com/comments/173t4bx</t>
  </si>
  <si>
    <t xml:space="preserve">Exclude tracks that I heard multiple times from Spotify radio. [removed]</t>
  </si>
  <si>
    <t xml:space="preserve">https://www.reddit.com/comments/173tgxb</t>
  </si>
  <si>
    <t xml:space="preserve">https://www.reddit.com/comments/173thrv</t>
  </si>
  <si>
    <t xml:space="preserve">Cannot play Spotify on other Device. From the spotify app I cannot play Spotify on my Denon AVR (HiFi AV Receiver, Denon AVC-X3800H) because when hitt</t>
  </si>
  <si>
    <t xml:space="preserve">https://www.reddit.com/comments/173y9bz</t>
  </si>
  <si>
    <t xml:space="preserve">Spotify daylist - Haiku. i went to go open up my daylist and the app made a pop-up with a haiku: &gt;timely bass evening my daylist replaced my watch lat</t>
  </si>
  <si>
    <t xml:space="preserve">https://www.reddit.com/comments/1740q0b</t>
  </si>
  <si>
    <t xml:space="preserve">Does anyone have any recommendations for songs that sound similar to these? i want a whole playlist of them. House of the rising sun - The Animals Cal</t>
  </si>
  <si>
    <t xml:space="preserve">https://www.reddit.com/comments/17413od</t>
  </si>
  <si>
    <t xml:space="preserve">Can you turn off the "smart" aspect of the playlists?. I really only turn to playlists to discover new songs; if I want to play something I already kn</t>
  </si>
  <si>
    <t xml:space="preserve">https://www.reddit.com/comments/1742pzo</t>
  </si>
  <si>
    <t xml:space="preserve">Share your suggestions and playlists. I'm having trouble finding new music I actually like -- Share your profile/playlist(s) so I can get inspiration </t>
  </si>
  <si>
    <t xml:space="preserve">https://www.reddit.com/comments/1746qqt</t>
  </si>
  <si>
    <t xml:space="preserve">is this a glitch or does daylist REALLY wnt me to listen to super furry animals?.</t>
  </si>
  <si>
    <t xml:space="preserve">https://www.reddit.com/comments/174s1yp</t>
  </si>
  <si>
    <t xml:space="preserve">Why is Spotify recently playing random songs when I connect to my car Bluetooth. Recently Spotify will start a random set of songs the moment I open S</t>
  </si>
  <si>
    <t xml:space="preserve">https://www.reddit.com/comments/175125p</t>
  </si>
  <si>
    <t xml:space="preserve">How can I turn off auto "enhanced shuffle"?. Every time I click on my liked songs or a playlist it turns on "Enhanced shuffle". My playlists are very </t>
  </si>
  <si>
    <t xml:space="preserve">https://www.reddit.com/comments/1751ma5</t>
  </si>
  <si>
    <t xml:space="preserve">How to save current iteration of daylist to library?. Daylist just served me the most beautiful curation of tunes that i’ve never heard before in my l</t>
  </si>
  <si>
    <t xml:space="preserve">https://www.reddit.com/comments/1755qcp</t>
  </si>
  <si>
    <t xml:space="preserve">DJ is obsessed with Dutch comedy?. Was just wondering if anyone has had a similar issue, for some reason about 40 percent of the DJ songs that get pla</t>
  </si>
  <si>
    <t xml:space="preserve">https://www.reddit.com/comments/1766zap</t>
  </si>
  <si>
    <t xml:space="preserve">Specific request. Anyone know any other songs like "figure you out" - Voila or "spit in my face" ? Ik i might be giving very less info but i don't rea</t>
  </si>
  <si>
    <t xml:space="preserve">https://www.reddit.com/comments/1767wvt</t>
  </si>
  <si>
    <t xml:space="preserve">Any way to disable smart shuffle on android?. My app is starting to drive me crazy. Every time I start playing my liked songs, smart shuffle is on. Ev</t>
  </si>
  <si>
    <t xml:space="preserve">https://www.reddit.com/comments/1768cdk</t>
  </si>
  <si>
    <t xml:space="preserve">Do you guys have any karaoke song suggestions for my karaoke playlist?. ^^</t>
  </si>
  <si>
    <t xml:space="preserve">https://www.reddit.com/comments/1769j8e</t>
  </si>
  <si>
    <t xml:space="preserve">Hang the DJ. [removed]</t>
  </si>
  <si>
    <t xml:space="preserve">https://www.reddit.com/comments/176c0e1</t>
  </si>
  <si>
    <t xml:space="preserve">If you enjoyed my playlist drop a like!. I complied the songs that I think is uplifting when you are high. Do let me know how it is! And suggestions a</t>
  </si>
  <si>
    <t xml:space="preserve">https://www.reddit.com/comments/176gkst</t>
  </si>
  <si>
    <t xml:space="preserve">The dj won't stop playing the exact same thing.. For reference I'm using the Spotify app on my samsung and it is up to date. Every single time I click</t>
  </si>
  <si>
    <t xml:space="preserve">https://www.reddit.com/comments/176lby5</t>
  </si>
  <si>
    <t xml:space="preserve">hardstyle/jumpstyle/curseweb song recommendations?. [removed]</t>
  </si>
  <si>
    <t xml:space="preserve">https://www.reddit.com/comments/177rd6s</t>
  </si>
  <si>
    <t xml:space="preserve">Spotify just removed all the basic features of the music app such as repeat, shuffle, previous or player seek for India. So what the hell is this ? I </t>
  </si>
  <si>
    <t xml:space="preserve">https://www.reddit.com/comments/178ck7u</t>
  </si>
  <si>
    <t xml:space="preserve">Your song’s recommendations about getting old?. I’m at that point in life. Suddenly, in the blink of an eye, I’m no longer in my youths Here’s mine: R</t>
  </si>
  <si>
    <t xml:space="preserve">https://www.reddit.com/comments/178nj89</t>
  </si>
  <si>
    <t xml:space="preserve">Discover weekly not updating. hello everybody, i’m having issues with my discover weekly. it hasn’t updated for three weeks. i’ve logged in and out an</t>
  </si>
  <si>
    <t xml:space="preserve">https://www.reddit.com/comments/1799p0p</t>
  </si>
  <si>
    <t xml:space="preserve">Give me your most basic pop music recommendations!. [removed]</t>
  </si>
  <si>
    <t xml:space="preserve">https://www.reddit.com/comments/179ar2m</t>
  </si>
  <si>
    <t xml:space="preserve">Discover Weekly Short Songs (&lt; 3 minutes). Has anyone else been getting discover weekly's with very short songs? Between all my friends and I, for the</t>
  </si>
  <si>
    <t xml:space="preserve">https://www.reddit.com/comments/179h8w7</t>
  </si>
  <si>
    <t xml:space="preserve">My main playlist full of Indie pop/rock and Folk music let me be your new discover weekly 💜💜. [removed]</t>
  </si>
  <si>
    <t xml:space="preserve">https://www.reddit.com/comments/179jwm2</t>
  </si>
  <si>
    <t xml:space="preserve">My main playlist of Indie pop/rock and Folk music let me be your new discover weekly lol. [removed]</t>
  </si>
  <si>
    <t xml:space="preserve">https://www.reddit.com/comments/179k791</t>
  </si>
  <si>
    <t xml:space="preserve">What the HELL is Spotify doing!? Fix the shuffle!. Why do they refuse to do something with the crappy 'shuffle' feature, and yet keep messing with the</t>
  </si>
  <si>
    <t xml:space="preserve">https://www.reddit.com/comments/179lsbk</t>
  </si>
  <si>
    <t xml:space="preserve">How come new releases recommend by Spotify are always the “clean” version?. [removed]</t>
  </si>
  <si>
    <t xml:space="preserve">https://www.reddit.com/comments/179uz59</t>
  </si>
  <si>
    <t xml:space="preserve">How to Optimize my recommendations. I have been enjoying the AI DJ feature latley but you can really start to notice the limitations after listening t</t>
  </si>
  <si>
    <t xml:space="preserve">https://www.reddit.com/comments/17a7ups</t>
  </si>
  <si>
    <t xml:space="preserve">Any new K-pop songs or playlist recommendations?. [removed]</t>
  </si>
  <si>
    <t xml:space="preserve">https://www.reddit.com/comments/17ajyqy</t>
  </si>
  <si>
    <t xml:space="preserve">Music Suggestions. Hi guys, I'd love to find out new music which resambles the sound of Tame Impala, so psychedelic sounds and stuff like that. Any su</t>
  </si>
  <si>
    <t xml:space="preserve">https://www.reddit.com/comments/17alkv1</t>
  </si>
  <si>
    <t xml:space="preserve">Spotify is reinventing the radio. [removed]</t>
  </si>
  <si>
    <t xml:space="preserve">https://www.reddit.com/comments/17apz8q</t>
  </si>
  <si>
    <t xml:space="preserve">Spotify resumes an older session rather than the most recent. I have been googling this for a while but I cannot seem to find an answer. Every time I </t>
  </si>
  <si>
    <t xml:space="preserve">https://www.reddit.com/comments/17avsb7</t>
  </si>
  <si>
    <t xml:space="preserve">Discover Weekly. [removed]</t>
  </si>
  <si>
    <t xml:space="preserve">https://www.reddit.com/comments/17b0fmw</t>
  </si>
  <si>
    <t xml:space="preserve">Mute Artists. How can I mute an artist on spotify. I will never have a reason to listen to them do not want them in my suggested</t>
  </si>
  <si>
    <t xml:space="preserve">https://www.reddit.com/comments/17b617q</t>
  </si>
  <si>
    <t xml:space="preserve">Vibes, ark patrol, burna boy, sza, ect. Recommendations welcome.</t>
  </si>
  <si>
    <t xml:space="preserve">https://www.reddit.com/comments/17bivjn</t>
  </si>
  <si>
    <t xml:space="preserve">Alternative music provider with make radio from playlist feature?. I just can't use spotify anymore, they keep removing all the good features. Ever si</t>
  </si>
  <si>
    <t xml:space="preserve">https://www.reddit.com/comments/17bochb</t>
  </si>
  <si>
    <t xml:space="preserve">recommend me songs to add to my undiscovered artists/songs playlist!. hi everyone, so recently i just created a playlist for undiscovered artists/song</t>
  </si>
  <si>
    <t xml:space="preserve">https://www.reddit.com/comments/17bpmj0</t>
  </si>
  <si>
    <t xml:space="preserve">Issue with collaborative playlists. My significant other is in a different country, and we had the idea to make a shared playlist to listen to while w</t>
  </si>
  <si>
    <t xml:space="preserve">https://www.reddit.com/comments/17brfr0</t>
  </si>
  <si>
    <t xml:space="preserve">Concerns around shady looking playlist. Sorry.. big post incoming. I'm pretty concerned I've been added to a bogus playlist that fakes streams. It's b</t>
  </si>
  <si>
    <t xml:space="preserve">https://www.reddit.com/comments/17bu4km</t>
  </si>
  <si>
    <t xml:space="preserve">So I have to pay for Premium just so I could play 1 single song on repeat for a short while?. [removed]</t>
  </si>
  <si>
    <t xml:space="preserve">https://www.reddit.com/comments/17c5ycg</t>
  </si>
  <si>
    <t xml:space="preserve">Spotify Playlist Recommendation Please!!!. [removed]</t>
  </si>
  <si>
    <t xml:space="preserve">https://www.reddit.com/comments/17c8c1j</t>
  </si>
  <si>
    <t xml:space="preserve">I can't remove this song from 'next from'. Hi all I listened to the discography of The Calm Blue Sea yesterday, really liked it, had a nice time. Imme</t>
  </si>
  <si>
    <t xml:space="preserve">https://www.reddit.com/comments/17c9gmj</t>
  </si>
  <si>
    <t xml:space="preserve">What albums or songs should I check out based on what I enjoy. Recently I have been listening to albums while I play games Most recent ones were scari</t>
  </si>
  <si>
    <t xml:space="preserve">https://www.reddit.com/comments/17cotn4</t>
  </si>
  <si>
    <t xml:space="preserve">Podcast finishes then moves on to one I don't like.. Is there a way to move on to the next oldest episode of the podcast I'm already listening to, ins</t>
  </si>
  <si>
    <t xml:space="preserve">https://www.reddit.com/comments/17covd7</t>
  </si>
  <si>
    <t xml:space="preserve">anyone have song recommendations?. for ex, i love lil peep, lil tracy, mgk, stuff like that :)</t>
  </si>
  <si>
    <t xml:space="preserve">https://www.reddit.com/comments/17d2ljp</t>
  </si>
  <si>
    <t xml:space="preserve">Enhance button gone?. [removed]</t>
  </si>
  <si>
    <t xml:space="preserve">https://www.reddit.com/comments/17ddi6b</t>
  </si>
  <si>
    <t xml:space="preserve">smart shuffle will not turn off. [removed]</t>
  </si>
  <si>
    <t xml:space="preserve">https://www.reddit.com/comments/17dem7b</t>
  </si>
  <si>
    <t xml:space="preserve">Is it me or did the radio feature changed?. I used to love using the radio feature because I would hear similar artists and songs depending what’s I c</t>
  </si>
  <si>
    <t xml:space="preserve">https://www.reddit.com/comments/17dji77</t>
  </si>
  <si>
    <t xml:space="preserve">Why Spotify radio sucks?. [removed]</t>
  </si>
  <si>
    <t xml:space="preserve">https://www.reddit.com/comments/17dqx7n</t>
  </si>
  <si>
    <t xml:space="preserve">Do you use cross fade? If so why?. Recently I was using the Ai dj and it faded between songs, cutting off the final line of song. I personally don’t l</t>
  </si>
  <si>
    <t xml:space="preserve">https://www.reddit.com/comments/17e2p51</t>
  </si>
  <si>
    <t xml:space="preserve">BEDROOM SEX PLAYLIST | Sensual (Chase Atlantic - Swim, The Weeknd - Often, ZAYN, Two Feet) COMMENT SUGGESTIONS BELOW!.</t>
  </si>
  <si>
    <t xml:space="preserve">https://www.reddit.com/comments/17e59h9</t>
  </si>
  <si>
    <t xml:space="preserve">The best from 2000s, listen as if it were a radio, in random mode.</t>
  </si>
  <si>
    <t xml:space="preserve">https://www.reddit.com/comments/17edqzo</t>
  </si>
  <si>
    <t xml:space="preserve">Silencing the AI DJ Voice. I've read several posts complaining about the AI DJ voice, saying it's annoying and doesn't really add anything to the radi</t>
  </si>
  <si>
    <t xml:space="preserve">https://www.reddit.com/comments/17enah9</t>
  </si>
  <si>
    <t xml:space="preserve">Apple Music user switch to Spotify advice. Hey. Idk if this is dumb to ask but I recently switched to Spotify from AM. I got fed up with AM not having</t>
  </si>
  <si>
    <t xml:space="preserve">https://www.reddit.com/comments/17eqyti</t>
  </si>
  <si>
    <t xml:space="preserve">Weekly mix consisting almost completely of trending tiktok songs?. I used to enjoy checking what’s in my “personal” weekly mix and actually found a fe</t>
  </si>
  <si>
    <t xml:space="preserve">https://www.reddit.com/comments/17erd7h</t>
  </si>
  <si>
    <t xml:space="preserve">What are these uncanny songs? Why do they sound weird yet reminiscent? Where did they originate from? Maybe it has something to do with a school proje</t>
  </si>
  <si>
    <t xml:space="preserve">https://www.reddit.com/comments/17ex3bc</t>
  </si>
  <si>
    <t xml:space="preserve">Songs that sound like ending credits??. Hi. I am wondering if any of yall have some suggestions to add to a end credits like playlist or end of the wo</t>
  </si>
  <si>
    <t xml:space="preserve">https://www.reddit.com/comments/17ey3vb</t>
  </si>
  <si>
    <t xml:space="preserve">indie surf rock/ surf punk recs?. Do you guys have any surf punk/indie surf recs? Share songs/artists/playlists Here’s my playlist so far: I never see</t>
  </si>
  <si>
    <t xml:space="preserve">https://www.reddit.com/comments/17ezc43</t>
  </si>
  <si>
    <t xml:space="preserve">inappropriate podcasts showing up on my recommendations. [removed]</t>
  </si>
  <si>
    <t xml:space="preserve">https://www.reddit.com/comments/17f29pa</t>
  </si>
  <si>
    <t xml:space="preserve">Smart/Enhanced playlist (shuffle) is gone from Windows desktop now?. I can't find a reliable or updated post on this. I discovered this feature random</t>
  </si>
  <si>
    <t xml:space="preserve">https://www.reddit.com/comments/17f45el</t>
  </si>
  <si>
    <t xml:space="preserve">Fans also like tab. What the heck has happened to this? &amp;#x200B; Mine used to be populated with similar sounding artists. They changed their algorithm</t>
  </si>
  <si>
    <t xml:space="preserve">https://www.reddit.com/comments/17fecse</t>
  </si>
  <si>
    <t xml:space="preserve">Will a day of change, ruin my algorithm?. Let’s say I only listen to techno and DNB and have done that for years. If my friend then comes over and put</t>
  </si>
  <si>
    <t xml:space="preserve">https://www.reddit.com/comments/17feh8k</t>
  </si>
  <si>
    <t xml:space="preserve">How about instead of "Smart Shuffle" just a shuffle that... you know, does what's it's supposed to.. [removed]</t>
  </si>
  <si>
    <t xml:space="preserve">https://www.reddit.com/comments/17fueos</t>
  </si>
  <si>
    <t xml:space="preserve">Turn off Enhanced. I’ve looked and searched around for an answer on this and everything always points to turning off the “smart shuffle”. Well I don’t</t>
  </si>
  <si>
    <t xml:space="preserve">https://www.reddit.com/comments/17g9qhp</t>
  </si>
  <si>
    <t xml:space="preserve">Is there a way to block a song. Pretty much title this song I just hate keeps getting recommended to me. Any way to block it?</t>
  </si>
  <si>
    <t xml:space="preserve">https://www.reddit.com/comments/17goaeo</t>
  </si>
  <si>
    <t xml:space="preserve">Smart Shuffle permanently ruined one of my playlists. I’ve known about the smart shuffle feature for a while but never used it until yesterday. I was </t>
  </si>
  <si>
    <t xml:space="preserve">https://www.reddit.com/comments/17gyv81</t>
  </si>
  <si>
    <t xml:space="preserve">At this point it doesn't feel like it's just a recommendation anymore, lol. [removed]</t>
  </si>
  <si>
    <t xml:space="preserve">https://www.reddit.com/comments/17h0kv2</t>
  </si>
  <si>
    <t xml:space="preserve">my desktop spotify app barely works anymore. hi! i've been having issues with my desktop app of spotify for years now, though now it's gotten to the p</t>
  </si>
  <si>
    <t xml:space="preserve">https://www.reddit.com/comments/17h1mc4</t>
  </si>
  <si>
    <t xml:space="preserve">Hello From the Otherside. I am a devout apple music user asking your honest opinion. One of my friends said that **Spotify now has an (AI?) function t</t>
  </si>
  <si>
    <t xml:space="preserve">https://www.reddit.com/comments/17hfwfl</t>
  </si>
  <si>
    <t xml:space="preserve">Listen to USA Radio Stations Online | Media Box Live Radio. [removed]</t>
  </si>
  <si>
    <t xml:space="preserve">https://www.reddit.com/comments/17hmkn1</t>
  </si>
  <si>
    <t xml:space="preserve">Is there anyway to fully turn off things I don't want to see. There are a bunch of Spotify selects that I have no interest in seeing. In fact, it anno</t>
  </si>
  <si>
    <t xml:space="preserve">https://www.reddit.com/comments/17hpvsx</t>
  </si>
  <si>
    <t xml:space="preserve">Broken feafure. Is anyone else having problems with autoplay once an album ends? I have the "feature" toggled off, I have updated, toggled, reset the </t>
  </si>
  <si>
    <t xml:space="preserve">https://www.reddit.com/comments/17hv6gs</t>
  </si>
  <si>
    <t xml:space="preserve">Daylist Exclusions. My Daylist keeps creating lists with music that I dont listen to, and have no real interest in. Namely the Cowbell genre keeps com</t>
  </si>
  <si>
    <t xml:space="preserve">https://www.reddit.com/comments/17hwuvt</t>
  </si>
  <si>
    <t xml:space="preserve">I'm trying to finish up my playlists for my party coming up soon, and need help for some music to fit some certain themes.. So for 6:00 PM to 7:00 PM,</t>
  </si>
  <si>
    <t xml:space="preserve">https://www.reddit.com/comments/17i3ol3</t>
  </si>
  <si>
    <t xml:space="preserve">How is Spotify's radio feature these days?. I've been using a free Pandora account since the early 2010s and I really enjoy it, although the way I use</t>
  </si>
  <si>
    <t xml:space="preserve">https://www.reddit.com/comments/17i545v</t>
  </si>
  <si>
    <t xml:space="preserve">If you find a song you like in my playlist, then please link me your playlist with the same song in it.. [ This is so that I can find good music that </t>
  </si>
  <si>
    <t xml:space="preserve">https://www.reddit.com/comments/17i73mc</t>
  </si>
  <si>
    <t xml:space="preserve">Issues using a (very) old phone as remote Spotify player (Android). I have a very (very) old Xperia which I'd like to use as a dedicated Spotify playe</t>
  </si>
  <si>
    <t xml:space="preserve">https://www.reddit.com/comments/17ii17v</t>
  </si>
  <si>
    <t xml:space="preserve">"Made for Me" playlist has 120,000 likes?. []( This looks like a Spotify genre playlist (algorithmic or curated?) since it has 120,000 likes. But it's</t>
  </si>
  <si>
    <t xml:space="preserve">https://www.reddit.com/comments/17iliaj</t>
  </si>
  <si>
    <t xml:space="preserve">Why can't you choose the directory for local files on mobile?. On PC, I have the Local Files option turned on so I can listen to music that isn't on S</t>
  </si>
  <si>
    <t xml:space="preserve">https://www.reddit.com/comments/17ixtby</t>
  </si>
  <si>
    <t xml:space="preserve">shuffle plays exact same order every time. so, most users say that their shuffle plays the same 100 or so songs out of 4k+, but my issue here is that </t>
  </si>
  <si>
    <t xml:space="preserve">https://www.reddit.com/comments/17j5emr</t>
  </si>
  <si>
    <t xml:space="preserve">Spotify radios are no longer unique. Over the past year I’ve noticed Spotify radios based on different songs were starting to blend. And now I’ve hit </t>
  </si>
  <si>
    <t xml:space="preserve">https://www.reddit.com/comments/17j8nx5</t>
  </si>
  <si>
    <t xml:space="preserve">I love these daylists.</t>
  </si>
  <si>
    <t xml:space="preserve">https://www.reddit.com/comments/17ja0fq</t>
  </si>
  <si>
    <t xml:space="preserve">Are daylists coming to Europe anytime too?. I get it they're probably dealing with EU regulations and GDPR shenanigans, but man, they look so nice. I'</t>
  </si>
  <si>
    <t xml:space="preserve">https://www.reddit.com/comments/17jf7bw</t>
  </si>
  <si>
    <t xml:space="preserve">Wanna help?. So, I'm making a playlist. I'm trying to make a playlist with the greatest instrumentals across all of media, video games or movies, or e</t>
  </si>
  <si>
    <t xml:space="preserve">https://www.reddit.com/comments/17jfxx8</t>
  </si>
  <si>
    <t xml:space="preserve">Smart Shuffle Turning Itself On.. [removed]</t>
  </si>
  <si>
    <t xml:space="preserve">https://www.reddit.com/comments/17jqapn</t>
  </si>
  <si>
    <t xml:space="preserve">Spotify needs an option to remove "Episodes for You" suggestions so I don't have to see Hitler every time I open the app. Spotify is suggesting some h</t>
  </si>
  <si>
    <t xml:space="preserve">https://www.reddit.com/comments/17jtii4</t>
  </si>
  <si>
    <t xml:space="preserve">Smart shuffle plays the same songs in the same order every time?. Spotify plays the same songs in my playlist in the same order every time I use smart</t>
  </si>
  <si>
    <t xml:space="preserve">https://www.reddit.com/comments/17k61vw</t>
  </si>
  <si>
    <t xml:space="preserve">New update makes it difficult to find my podcasts.. They used to be all lined up in one place. Now when I go to podcasts it only shows 8 of them at th</t>
  </si>
  <si>
    <t xml:space="preserve">https://www.reddit.com/comments/17ko6kt</t>
  </si>
  <si>
    <t xml:space="preserve">Has anyone successfully gotten Spotify to stop recommending podcasts?. Maybe two months ago, I unsaved all my podcasts and stopped listening to podcas</t>
  </si>
  <si>
    <t xml:space="preserve">https://www.reddit.com/comments/17l7ahp</t>
  </si>
  <si>
    <t xml:space="preserve">any idea of when the spotify dj is gonna come to Italy?. it's so annoying to not have it here too</t>
  </si>
  <si>
    <t xml:space="preserve">https://www.reddit.com/comments/17la1lv</t>
  </si>
  <si>
    <t xml:space="preserve">Im leaving spotify because I can't turn off "Smart Shuffle".. There is no greater joy than having a never-ending loading icon appear, that forces you </t>
  </si>
  <si>
    <t xml:space="preserve">https://www.reddit.com/comments/17ladwf</t>
  </si>
  <si>
    <t xml:space="preserve">New undiscovered melodic indie-pop-rock playlist! Song recommendations welcome!.</t>
  </si>
  <si>
    <t xml:space="preserve">https://www.reddit.com/comments/17lf69b</t>
  </si>
  <si>
    <t xml:space="preserve">I think playlist recommendations are trying to warn me.</t>
  </si>
  <si>
    <t xml:space="preserve">https://www.reddit.com/comments/17ltlze</t>
  </si>
  <si>
    <t xml:space="preserve">Late night song recommendations. Hey guys, I’m looking for songs that would go well when it’s late and your driving alone in the car. This is the type</t>
  </si>
  <si>
    <t xml:space="preserve">https://www.reddit.com/comments/17lytgx</t>
  </si>
  <si>
    <t xml:space="preserve">Pro tip: ENAO is not just for exploring over 6000 genres of music. We all know it and are sick of it, Spotify shuffle sucks, the radio sucks, it's nat</t>
  </si>
  <si>
    <t xml:space="preserve">https://www.reddit.com/comments/17m5m6m</t>
  </si>
  <si>
    <t xml:space="preserve">Migrating from YTM. I'm moving out of Youtube Music because of the steep price increase, is there any way to migrate my libraries/recommendations and </t>
  </si>
  <si>
    <t xml:space="preserve">https://www.reddit.com/comments/17mpwgy</t>
  </si>
  <si>
    <t xml:space="preserve">Autoplay not working. When i used to search a song and listen to it, after it would play similar songs but that nolonger works. I use the mobile and d</t>
  </si>
  <si>
    <t xml:space="preserve">https://www.reddit.com/comments/17mqkw0</t>
  </si>
  <si>
    <t xml:space="preserve">Spotify DJ sounds just like Harry Mack. That's it, I just can't help but think my DJ is about to spit the sickest freestyle when telling me what he's </t>
  </si>
  <si>
    <t xml:space="preserve">https://www.reddit.com/comments/17mupio</t>
  </si>
  <si>
    <t xml:space="preserve">give me a song and I'll rate it out of 10 (but with actual nuance and reasoning!). I'm not a musician but I'd like to think I'm well-versed (or at lea</t>
  </si>
  <si>
    <t xml:space="preserve">https://www.reddit.com/comments/17na6bl</t>
  </si>
  <si>
    <t xml:space="preserve">The best radio about the 2000s you will hear, with 673 songs. Did you miss anything?.</t>
  </si>
  <si>
    <t xml:space="preserve">https://www.reddit.com/comments/17noffk</t>
  </si>
  <si>
    <t xml:space="preserve">Tom Petty is following me. It doesn’t matter what artist, song or genre I use to create a radio playlist, Tom Petty songs will show up in the rotation</t>
  </si>
  <si>
    <t xml:space="preserve">https://www.reddit.com/comments/17nva55</t>
  </si>
  <si>
    <t xml:space="preserve">Whats the first song on your latest 'On Repeat' playlist?.</t>
  </si>
  <si>
    <t xml:space="preserve">https://www.reddit.com/comments/17nxof8</t>
  </si>
  <si>
    <t xml:space="preserve">I recently switched from Spotify to Apple Music, why did I decide to make this change? And why am I thinking whether to go back or not?. Well first of</t>
  </si>
  <si>
    <t xml:space="preserve">https://www.reddit.com/comments/17o3y3y</t>
  </si>
  <si>
    <t xml:space="preserve">What spotify version had the enhancer button?.</t>
  </si>
  <si>
    <t xml:space="preserve">https://www.reddit.com/comments/17o6gox</t>
  </si>
  <si>
    <t xml:space="preserve">when will wrapped stop counting this year?. Their algorithm is becoming more efficient so the recording for wrapped has increased in length. Anyone kn</t>
  </si>
  <si>
    <t xml:space="preserve">https://www.reddit.com/comments/17o82hh</t>
  </si>
  <si>
    <t xml:space="preserve">I am making a playlist. Theme is Madness, I need your recommendations 🙂🙏.</t>
  </si>
  <si>
    <t xml:space="preserve">https://www.reddit.com/comments/17obyii</t>
  </si>
  <si>
    <t xml:space="preserve">I am making a playlist. Theme is Madness, I need your recommendations..</t>
  </si>
  <si>
    <t xml:space="preserve">https://www.reddit.com/comments/17obz69</t>
  </si>
  <si>
    <t xml:space="preserve">DJ X just surprised the shit out of me. So, I put on DJ X just to see what kinda stuff it would give mehavent tried him in a while and I was blown awa</t>
  </si>
  <si>
    <t xml:space="preserve">https://www.reddit.com/comments/17ojwvg</t>
  </si>
  <si>
    <t xml:space="preserve">why is the DJ so bad?. i listen to mostly indie rock stuff, a bit of pop rock, and punk. the DJ keeps trying to get me to listen to a bunch of random </t>
  </si>
  <si>
    <t xml:space="preserve">https://www.reddit.com/comments/17ozizw</t>
  </si>
  <si>
    <t xml:space="preserve">How to Clear Podcasts. Hi there, Is there a way for me to stop Spotify offering podcast recommendations based on past listening habits? For example, I</t>
  </si>
  <si>
    <t xml:space="preserve">https://www.reddit.com/comments/17pkk97</t>
  </si>
  <si>
    <t xml:space="preserve">Are they ever gonna fix the DJ ? it just repeats the same playlist no matter what. sure.. it makes a “new” one every day (the same songs in a differen</t>
  </si>
  <si>
    <t xml:space="preserve">https://www.reddit.com/comments/17pzog6</t>
  </si>
  <si>
    <t xml:space="preserve">Podcasts: At crossroads with sticking with Spotify or move to other apps. Would Spotify ever have listening stats for Podcasts?. Podcasts: At crossroa</t>
  </si>
  <si>
    <t xml:space="preserve">https://www.reddit.com/comments/17qap0d</t>
  </si>
  <si>
    <t xml:space="preserve">Help me with removing recommendations. [removed]</t>
  </si>
  <si>
    <t xml:space="preserve">https://www.reddit.com/comments/17qhbj9</t>
  </si>
  <si>
    <t xml:space="preserve">How to best use Spotify for music discovery by genre or type?. What I ideally want for music discovery is to create radio stations, seed them with son</t>
  </si>
  <si>
    <t xml:space="preserve">https://www.reddit.com/comments/17qtq7o</t>
  </si>
  <si>
    <t xml:space="preserve">I wish users could see every public playlist containing a specific song.. I know for a fact artists can do this. I've seen them post playlists their s</t>
  </si>
  <si>
    <t xml:space="preserve">https://www.reddit.com/comments/17rj4es</t>
  </si>
  <si>
    <t xml:space="preserve">What happened to Search? Did they need to ruin this flawlessly working feature aswell? Why the fuck am I suddenly seeing search suggestions? „🔍“. [rem</t>
  </si>
  <si>
    <t xml:space="preserve">https://www.reddit.com/comments/17rmhu4</t>
  </si>
  <si>
    <t xml:space="preserve">Here are my top 12. Judge me based on my music taste. Also some recommendations would be sick.</t>
  </si>
  <si>
    <t xml:space="preserve">https://www.reddit.com/comments/17rtkik</t>
  </si>
  <si>
    <t xml:space="preserve">https://www.reddit.com/comments/17rtlxv</t>
  </si>
  <si>
    <t xml:space="preserve">Did spotify just completely get rid of all the artists dj mixes?. Since the new update has dropped all the DJ Mixes have completely disappeared, I hav</t>
  </si>
  <si>
    <t xml:space="preserve">https://www.reddit.com/comments/17ruvfq</t>
  </si>
  <si>
    <t xml:space="preserve">Any suggestions for positive songs? I'm fine with any genre EXCEPT country. I often list to negative songs and I was hoping you guys would have some s</t>
  </si>
  <si>
    <t xml:space="preserve">https://www.reddit.com/comments/17rwc2u</t>
  </si>
  <si>
    <t xml:space="preserve">do you guys have any favorite poems (musical probably?) on Spotify that you'd recommend?.</t>
  </si>
  <si>
    <t xml:space="preserve">https://www.reddit.com/comments/17rx39s</t>
  </si>
  <si>
    <t xml:space="preserve">I have the new Radio templates (I thought Spotify neglected this feature?).</t>
  </si>
  <si>
    <t xml:space="preserve">https://www.reddit.com/comments/17s2o87</t>
  </si>
  <si>
    <t xml:space="preserve">Smart Shuffle Keeps Turning Itself On. It's too cold for me to keep taking my phone out on walks to turn it off for the 5th song in a row and their re</t>
  </si>
  <si>
    <t xml:space="preserve">https://www.reddit.com/comments/17sd6o7</t>
  </si>
  <si>
    <t xml:space="preserve">Where can I find Spotify DJ?. Hey, when it first came out, I didn't save it, and know I can't find it, anyone where I can find it, I can't find it in </t>
  </si>
  <si>
    <t xml:space="preserve">https://www.reddit.com/comments/17sz0x9</t>
  </si>
  <si>
    <t xml:space="preserve">Spotify auto-plays liked songs when connected to carplay. This only happens on my 2017 audi a4’s carplay, but when i connect my phone to my car, my li</t>
  </si>
  <si>
    <t xml:space="preserve">https://www.reddit.com/comments/17sza2w</t>
  </si>
  <si>
    <t xml:space="preserve">Why is smart shuffle randomly turning on by itself?. [removed]</t>
  </si>
  <si>
    <t xml:space="preserve">https://www.reddit.com/comments/17t9haj</t>
  </si>
  <si>
    <t xml:space="preserve">How to get Spotify to serve me songs I haven’t heard already.. I truly don’t understand what Spotify DJ is for when 90% of its picks are off my liked </t>
  </si>
  <si>
    <t xml:space="preserve">https://www.reddit.com/comments/17tjfmn</t>
  </si>
  <si>
    <t xml:space="preserve">powerful metal tracks (shuffle recommended).</t>
  </si>
  <si>
    <t xml:space="preserve">https://www.reddit.com/comments/17tkp8v</t>
  </si>
  <si>
    <t xml:space="preserve">Those that previously used spotify, what platform have you switched to?. Curious to hear what platforms people are using for music nowadays. I’m speci</t>
  </si>
  <si>
    <t xml:space="preserve">https://www.reddit.com/comments/17u46m9</t>
  </si>
  <si>
    <t xml:space="preserve">Turn off Autoplay when in car mode?. I’ve recently started having an issue where my Spotify app will automatically begin playing the top song in my li</t>
  </si>
  <si>
    <t xml:space="preserve">https://www.reddit.com/comments/17u4avi</t>
  </si>
  <si>
    <t xml:space="preserve">https://www.reddit.com/comments/17u80nj</t>
  </si>
  <si>
    <t xml:space="preserve">Smart shuffle doesn't exist on PC. I am trying to listen to my liked song with smart shuffle. I can turn it on while listening from my phone, and I ca</t>
  </si>
  <si>
    <t xml:space="preserve">https://www.reddit.com/comments/17ubxft</t>
  </si>
  <si>
    <t xml:space="preserve">Oh my GOD have you guys heard of deer death?. Just discovered this guy like 4 minutes ago. I'm absolutely obsessed. His music reminds me of Type O Neg</t>
  </si>
  <si>
    <t xml:space="preserve">https://www.reddit.com/comments/17uf081</t>
  </si>
  <si>
    <t xml:space="preserve">Spotify adds these songs to my queue. This isn't smart shuffle or any kind of shuffle for that matter.... Just normal playback of my favourite songs v</t>
  </si>
  <si>
    <t xml:space="preserve">https://www.reddit.com/comments/17ujohp</t>
  </si>
  <si>
    <t xml:space="preserve">Don't Go Chasing Waterfalls. Spotify users deserve more respect than the owners behind this app give. It's fair for them to be able to try out some al</t>
  </si>
  <si>
    <t xml:space="preserve">https://www.reddit.com/comments/17uu61x</t>
  </si>
  <si>
    <t xml:space="preserve">Recover old Daylists. Hey! I am loving the Daylists and wanna know if there's anyway to recover previous daylists as I forgot to save a load of songs!</t>
  </si>
  <si>
    <t xml:space="preserve">https://www.reddit.com/comments/17uxua5</t>
  </si>
  <si>
    <t xml:space="preserve">YO GUYS, I made a CONTEMPORARY RnB Playlist. I would also love suggestions!!! Bless your night with this chill playlist. It features popular artists s</t>
  </si>
  <si>
    <t xml:space="preserve">https://www.reddit.com/comments/17uzczo</t>
  </si>
  <si>
    <t xml:space="preserve">I'm just saying...the "daylist" is awesome. I even love the way the sun changes position in the icon across the day</t>
  </si>
  <si>
    <t xml:space="preserve">https://www.reddit.com/comments/17v0jlp</t>
  </si>
  <si>
    <t xml:space="preserve">How can I remove Lofi Songs from my Discover Weekly Playlist?. So I love lofi as well of course, but I am looking for just good music in general for t</t>
  </si>
  <si>
    <t xml:space="preserve">https://www.reddit.com/comments/17v5wvu</t>
  </si>
  <si>
    <t xml:space="preserve">It’s hard to discover new music on here. My daily mixes and other mixes just keep showing the same songs. Then I go to discover weekly and it’s some o</t>
  </si>
  <si>
    <t xml:space="preserve">https://www.reddit.com/comments/17v6glx</t>
  </si>
  <si>
    <t xml:space="preserve">Spotify has been recommending the most insane stuff… honestly just wanna make a whole new account and start over. This is so crazy..</t>
  </si>
  <si>
    <t xml:space="preserve">https://www.reddit.com/comments/17vfxcr</t>
  </si>
  <si>
    <t xml:space="preserve">Did my Spotify get hacked?. I just loaded up discover weekly and a bunch of obvious troll songs are recommended. My recently listened to playlist all </t>
  </si>
  <si>
    <t xml:space="preserve">https://www.reddit.com/comments/17vg41f</t>
  </si>
  <si>
    <t xml:space="preserve">Suggestions on how to find new music?. Ever since they got rid of playlist radios I've had a hard time trying to find new music. I hate the smart shuf</t>
  </si>
  <si>
    <t xml:space="preserve">https://www.reddit.com/comments/17vi69e</t>
  </si>
  <si>
    <t xml:space="preserve">Liked Song Hearts No Longer Show up When Scrolling Playlists. I really hate that this is gone. I like to see what songs from a random playlist I "like</t>
  </si>
  <si>
    <t xml:space="preserve">https://www.reddit.com/comments/17vm8pi</t>
  </si>
  <si>
    <t xml:space="preserve">The best feature/s Spotify could add!. Over a decade ago, Rdio revolutionized music discovery with a feature that remains unmatched even today. On the</t>
  </si>
  <si>
    <t xml:space="preserve">https://www.reddit.com/comments/17vns18</t>
  </si>
  <si>
    <t xml:space="preserve">How do i turn off smart shuffle?. Theres literally no option for it, I just want to loop a certain song but it won't allow me to.</t>
  </si>
  <si>
    <t xml:space="preserve">https://www.reddit.com/comments/17vqqh7</t>
  </si>
  <si>
    <t xml:space="preserve">Problems with Spotify on my SP1000M. I am using the recommended version of Spotify for the SP1000M ( 8.7.42.943 ) because it doesn't support the newer</t>
  </si>
  <si>
    <t xml:space="preserve">https://www.reddit.com/comments/17wn3bx</t>
  </si>
  <si>
    <t xml:space="preserve">Thoughts About Nature. suggestions welcome</t>
  </si>
  <si>
    <t xml:space="preserve">https://www.reddit.com/comments/17wnlz5</t>
  </si>
  <si>
    <t xml:space="preserve">Songs in recently played. I wish Spotify would NOT put songs I listen to in my recent plays if I only listened to the first few seconds and skipped it</t>
  </si>
  <si>
    <t xml:space="preserve">https://www.reddit.com/comments/17wtelv</t>
  </si>
  <si>
    <t xml:space="preserve">why dont i have spotify dj. [removed]</t>
  </si>
  <si>
    <t xml:space="preserve">https://www.reddit.com/comments/17wub1n</t>
  </si>
  <si>
    <t xml:space="preserve">how to block Artists from autoplaying when spotify picks the music?. I couldn't find an option on desktop so I just reported the band instead</t>
  </si>
  <si>
    <t xml:space="preserve">https://www.reddit.com/comments/17ww9ia</t>
  </si>
  <si>
    <t xml:space="preserve">I rarely listen to ASMR as sometimes it helps with my insomnia but I dont listen to women showing off their stuff, I already blocked this artist and s</t>
  </si>
  <si>
    <t xml:space="preserve">https://www.reddit.com/comments/17xalxm</t>
  </si>
  <si>
    <t xml:space="preserve">I need help finding a playlist name!. I got a notification for a ‘made for you’ Spotify playlist. When I went on it, it wasn’t like the usual mixes, i</t>
  </si>
  <si>
    <t xml:space="preserve">https://www.reddit.com/comments/17xc840</t>
  </si>
  <si>
    <t xml:space="preserve">Recently decided to try following artists so followed about 50 from my fave songs list. Why is my release radar now nearly 13 hours long lmao.</t>
  </si>
  <si>
    <t xml:space="preserve">https://www.reddit.com/comments/17xkzwi</t>
  </si>
  <si>
    <t xml:space="preserve">My non-religious Christmas playlist!. For anyone who’s not super religious, or just not Christian, but still enjoy the Holiday season. Lmk if you have</t>
  </si>
  <si>
    <t xml:space="preserve">https://www.reddit.com/comments/17xlmsy</t>
  </si>
  <si>
    <t xml:space="preserve">exploring genres?. i’ve been using spotify for a couple years now and for some reason all it wants me to listen to is indie rock. i’m not like an indi</t>
  </si>
  <si>
    <t xml:space="preserve">https://www.reddit.com/comments/17xr1ez</t>
  </si>
  <si>
    <t xml:space="preserve">Daily Mixes. [removed]</t>
  </si>
  <si>
    <t xml:space="preserve">https://www.reddit.com/comments/17xzfkd</t>
  </si>
  <si>
    <t xml:space="preserve">Thinking about moving from Spotify is there any better options for Desktop?. Honestly I really feel like the developers at Spotify are braindead they </t>
  </si>
  <si>
    <t xml:space="preserve">https://www.reddit.com/comments/17ye2z6</t>
  </si>
  <si>
    <t xml:space="preserve">For some reason my daylist keeps playing latin music at night even thought I never listen to it.. Anyone know why this might be happening?</t>
  </si>
  <si>
    <t xml:space="preserve">https://www.reddit.com/comments/17yxujy</t>
  </si>
  <si>
    <t xml:space="preserve">Feels like we should have a Shawn connory man whom play James bond. And not just ice t. Or maybe.. matt smith? Who would yall like to see added as the</t>
  </si>
  <si>
    <t xml:space="preserve">https://www.reddit.com/comments/17zbfuk</t>
  </si>
  <si>
    <t xml:space="preserve">I am having seizures from smart shuffle.</t>
  </si>
  <si>
    <t xml:space="preserve">https://www.reddit.com/comments/17zg3mx</t>
  </si>
  <si>
    <t xml:space="preserve">Spotify has gotten much better.. I’ve done premium for about six years. In the last year Spotify has IMO gotten much better. It now chooses tunes even</t>
  </si>
  <si>
    <t xml:space="preserve">https://www.reddit.com/comments/17znrao</t>
  </si>
  <si>
    <t xml:space="preserve">Hey, check out some of my playlists if you want (I update these playlists very regularly so there’s almost always new music being added) (recommendati</t>
  </si>
  <si>
    <t xml:space="preserve">https://www.reddit.com/comments/1801uq8</t>
  </si>
  <si>
    <t xml:space="preserve">Add some songs to my collaborative playlist!. I would appreciate it if you stop by an add a song, and hopefully get some good song recs from other str</t>
  </si>
  <si>
    <t xml:space="preserve">https://www.reddit.com/comments/181bf8b</t>
  </si>
  <si>
    <t xml:space="preserve">How do I get rid of smart shuffle entirely?. I'm so sick of smart shuffle. I always make sure to turn it off, but that doesn't matter because it turns</t>
  </si>
  <si>
    <t xml:space="preserve">https://www.reddit.com/comments/181lska</t>
  </si>
  <si>
    <t xml:space="preserve">Starting any playlist quickly skips 3 or 4 songs, those that play continue in silence after 10 seconds.. As stated in the title. When I click on any s</t>
  </si>
  <si>
    <t xml:space="preserve">https://www.reddit.com/comments/181peg2</t>
  </si>
  <si>
    <t xml:space="preserve">Help with a fast paced rock workout playlist (For Running). I'm looking for music similar to this: [Good F**cking Music - Solence]( Strong driving rhy</t>
  </si>
  <si>
    <t xml:space="preserve">https://www.reddit.com/comments/181tw03</t>
  </si>
  <si>
    <t xml:space="preserve">https://www.reddit.com/comments/1826rbn</t>
  </si>
  <si>
    <t xml:space="preserve">Smart shuffle not available on mobile premium?. I have seen that smart shuffle was became available on Windows desktop. But now I don't have it on mob</t>
  </si>
  <si>
    <t xml:space="preserve">https://www.reddit.com/comments/1828cc5</t>
  </si>
  <si>
    <t xml:space="preserve">Daily mix. Hi there! I had my old Spotify account, I had daily mix in it. Not so long ago I have had delete this account and created new one. I bought</t>
  </si>
  <si>
    <t xml:space="preserve">https://www.reddit.com/comments/182thbi</t>
  </si>
  <si>
    <t xml:space="preserve">Youtubers with spotify podcasts?. Looking to increase my spotify podcast library while having a youtubeish feel to them. Any and all suggestions welco</t>
  </si>
  <si>
    <t xml:space="preserve">https://www.reddit.com/comments/182utln</t>
  </si>
  <si>
    <t xml:space="preserve">The new AI DJ in Spotify is genuinely awesome. Who has tried it?. Just in case anyone is not aware I'm not talking about smart shuffle. This is a new </t>
  </si>
  <si>
    <t xml:space="preserve">https://www.reddit.com/comments/1831vtc</t>
  </si>
  <si>
    <t xml:space="preserve">What happened to ⛔ button on smart shuffle?.</t>
  </si>
  <si>
    <t xml:space="preserve">https://www.reddit.com/comments/18364hb</t>
  </si>
  <si>
    <t xml:space="preserve">Smart shuffle only recommends me the same songs. Enhance was so perfect, why did they take it away? Smart shuffle only recommends me the same songs th</t>
  </si>
  <si>
    <t xml:space="preserve">https://www.reddit.com/comments/183eypb</t>
  </si>
  <si>
    <t xml:space="preserve">Stranger list- Do you want discover new music that t'he algorithms don't recommend? It Is updated with songs regularly.</t>
  </si>
  <si>
    <t xml:space="preserve">https://www.reddit.com/comments/183hjzw</t>
  </si>
  <si>
    <t xml:space="preserve">Blocking artists doesn’t work. went through a pretty rough mentally abusive relationship. My ex and I would listen to the smiths on repeat, I blocked </t>
  </si>
  <si>
    <t xml:space="preserve">https://www.reddit.com/comments/183pxnc</t>
  </si>
  <si>
    <t xml:space="preserve">Does your Spotify AI DJ never seem to play an artist who you listen to occasionally (but frequently listened to for a few years, a couple years back?)</t>
  </si>
  <si>
    <t xml:space="preserve">https://www.reddit.com/comments/183qiko</t>
  </si>
  <si>
    <t xml:space="preserve">App no longer holds place in the playlist, defaults back to late song playlist every time I get in the car. Over the last week, I have noticed that th</t>
  </si>
  <si>
    <t xml:space="preserve">https://www.reddit.com/comments/183zhb4</t>
  </si>
  <si>
    <t xml:space="preserve">Song recommendations for jogging at 5 am in the cold weather?.</t>
  </si>
  <si>
    <t xml:space="preserve">https://www.reddit.com/comments/184cvw9</t>
  </si>
  <si>
    <t xml:space="preserve">Daylist is the best feature Spotify has introduced in a long long time. this is not a rant, i just couldn't find a better flair anyways what i am sayi</t>
  </si>
  <si>
    <t xml:space="preserve">https://www.reddit.com/comments/184jzo7</t>
  </si>
  <si>
    <t xml:space="preserve">Any Pop/R&amp;B song recommendations?. [removed]</t>
  </si>
  <si>
    <t xml:space="preserve">https://www.reddit.com/comments/1852fay</t>
  </si>
  <si>
    <t xml:space="preserve">Sleep playlist suggestions. I recently started sleeping with music and would like to grow my playlist, looking for some very chill songs 🙂 suggestions</t>
  </si>
  <si>
    <t xml:space="preserve">https://www.reddit.com/comments/185j307</t>
  </si>
  <si>
    <t xml:space="preserve">Older Versions of the App. Is there any way I can install older versions of the app? I accidentally downloaded the new update and I prefer the old ui </t>
  </si>
  <si>
    <t xml:space="preserve">https://www.reddit.com/comments/185ptql</t>
  </si>
  <si>
    <t xml:space="preserve">legendary daylist name.</t>
  </si>
  <si>
    <t xml:space="preserve">https://www.reddit.com/comments/185v8pt</t>
  </si>
  <si>
    <t xml:space="preserve">songs with “i kinda like you..” as the message but subtleee. idk im talking to this guy i met a while back, and honestly im down bad i think. but im n</t>
  </si>
  <si>
    <t xml:space="preserve">https://www.reddit.com/comments/18672hg</t>
  </si>
  <si>
    <t xml:space="preserve">Any recommendations of similar songs?. I really adore the lush indie/math sound of the Maccabees Given to the Wild album and All Eyes by Post War Year</t>
  </si>
  <si>
    <t xml:space="preserve">https://www.reddit.com/comments/1869khu</t>
  </si>
  <si>
    <t xml:space="preserve">My Spotify wrapped top songs are… a bunch of songs I’ve never listened to?. I was really looking forward to Spotify wrapped. The AI DJ guy prompted my</t>
  </si>
  <si>
    <t xml:space="preserve">https://www.reddit.com/comments/186q8d1</t>
  </si>
  <si>
    <t xml:space="preserve">Smart Shuffle ruined my Wrapped. [removed]</t>
  </si>
  <si>
    <t xml:space="preserve">https://www.reddit.com/comments/186tb14</t>
  </si>
  <si>
    <t xml:space="preserve">There needs to be a way to delete history.. I was hacked this year, and my wrapped was a joke. It says I listened to 1600 different artists, all of wh</t>
  </si>
  <si>
    <t xml:space="preserve">https://www.reddit.com/comments/186yc88</t>
  </si>
  <si>
    <t xml:space="preserve">I'm pretty sure Dj X didn't count. towards time counted at least. Kinda mixed on whether the songs counted towards other stats like top artists and su</t>
  </si>
  <si>
    <t xml:space="preserve">https://www.reddit.com/comments/1876awm</t>
  </si>
  <si>
    <t xml:space="preserve">One of my all time favorite rappers/hiphop artist. Been around for years and he's very underrated I recommend everyone to try his music.. He's got a s</t>
  </si>
  <si>
    <t xml:space="preserve">https://www.reddit.com/comments/187cjxp</t>
  </si>
  <si>
    <t xml:space="preserve">Anybody have mixed feelings about the DJ:Wrapped?. I mean, it does play songs that you did listen to that year, but every now and then it mixes in som</t>
  </si>
  <si>
    <t xml:space="preserve">https://www.reddit.com/comments/187hw8w</t>
  </si>
  <si>
    <t xml:space="preserve">It just me or does anyone else use AI DJ ALL THE TIME?. [removed]</t>
  </si>
  <si>
    <t xml:space="preserve">https://www.reddit.com/comments/187l494</t>
  </si>
  <si>
    <t xml:space="preserve">What ever happened to Tastebreakers and The Ones That Got Away playlists?. They did this for Spotify wrapped 2018 and never again. This was literally </t>
  </si>
  <si>
    <t xml:space="preserve">https://www.reddit.com/comments/187m9vg</t>
  </si>
  <si>
    <t xml:space="preserve">working on a playlist that is literally only funny to me and looking for recs. no duplicate years please and im for now looking for songs that are ONL</t>
  </si>
  <si>
    <t xml:space="preserve">https://www.reddit.com/comments/187muhv</t>
  </si>
  <si>
    <t xml:space="preserve">Smart shuffle is ruining my DnD sessions. So I am a dungeon master for a dnd group and I have being using spotify to make specific playlists for speci</t>
  </si>
  <si>
    <t xml:space="preserve">https://www.reddit.com/comments/187o77l</t>
  </si>
  <si>
    <t xml:space="preserve">Playlist or Liked songs playlist?. This is me posting for /u/General_Wave6467: Spotify playlist or likes? So I'm a huge fan of music, the way I manage</t>
  </si>
  <si>
    <t xml:space="preserve">https://www.reddit.com/comments/187ovoi</t>
  </si>
  <si>
    <t xml:space="preserve">How to get my officemate's activity off of my phone?. My officemate and I share a network at work, and her activity is showing up on my phone. We dele</t>
  </si>
  <si>
    <t xml:space="preserve">https://www.reddit.com/comments/187slww</t>
  </si>
  <si>
    <t xml:space="preserve">Song Suggestions. Hello! I’m a moderator of a group of students who create a yearbook for a school of preschool - 8th graders. This year, the students</t>
  </si>
  <si>
    <t xml:space="preserve">https://www.reddit.com/comments/187wxmp</t>
  </si>
  <si>
    <t xml:space="preserve">Spotify made discovering new music way more difficult and I don’t understand why.. Spotify within the last year got rid of a feature that might’ve see</t>
  </si>
  <si>
    <t xml:space="preserve">https://www.reddit.com/comments/18898bx</t>
  </si>
  <si>
    <t xml:space="preserve">My Wrapped "top artist" is someone I've never listened to in a genre I hate - was I hacked or something?. I don't even know who "Lil Durk" is, but cle</t>
  </si>
  <si>
    <t xml:space="preserve">https://www.reddit.com/comments/188hfp2</t>
  </si>
  <si>
    <t xml:space="preserve">BEDROOM SEX PLAYLIST | Sensual &lt;3 COMMENT SUGGESTIONS BELOW!.</t>
  </si>
  <si>
    <t xml:space="preserve">https://www.reddit.com/comments/188lr29</t>
  </si>
  <si>
    <t xml:space="preserve">Artist Recommendations- Not your usual question tho. My friends all listen to songs of Drake, Travis Scott, Kendrick Lamar, 21 Savage, etc. (COOL ARTI</t>
  </si>
  <si>
    <t xml:space="preserve">https://www.reddit.com/comments/188lwm0</t>
  </si>
  <si>
    <t xml:space="preserve">What's the point of the new search update?. Giving you word guesses/suggestions as you type, instead of the song suggestions, which you'd anyway anywa</t>
  </si>
  <si>
    <t xml:space="preserve">https://www.reddit.com/comments/18902y6</t>
  </si>
  <si>
    <t xml:space="preserve">I need advice on how to use spotify. The last time I used spotify was like 2015? The ui no longer feels familiar to me as I now have used youtube musi</t>
  </si>
  <si>
    <t xml:space="preserve">https://www.reddit.com/comments/1892j7g</t>
  </si>
  <si>
    <t xml:space="preserve">does removing a song from the queue do anything to affect the not-so-random suggestions on shuffle play?. [removed]</t>
  </si>
  <si>
    <t xml:space="preserve">https://www.reddit.com/comments/1892w52</t>
  </si>
  <si>
    <t xml:space="preserve">Is it possible to listen to sleep music without ruining my suggestions when I'm awake. [removed]</t>
  </si>
  <si>
    <t xml:space="preserve">https://www.reddit.com/comments/18955fc</t>
  </si>
  <si>
    <t xml:space="preserve">Why can't I like songs anymore simply with one click??. I suddenly can't like songs anymore by clicking on the green heart icon. I have to right click</t>
  </si>
  <si>
    <t xml:space="preserve">https://www.reddit.com/comments/1899b58</t>
  </si>
  <si>
    <t xml:space="preserve">Remote play/pause with screen off?. I'm looking for some type of remote or Bluetooth device that can play/pause Spotify on my phone without unlocking </t>
  </si>
  <si>
    <t xml:space="preserve">https://www.reddit.com/comments/189yj5l</t>
  </si>
  <si>
    <t xml:space="preserve">Any song suggestions form my 2023 wrapped. [removed]</t>
  </si>
  <si>
    <t xml:space="preserve">https://www.reddit.com/comments/18a2fgy</t>
  </si>
  <si>
    <t xml:space="preserve">Spotify vs Pandora vs Apple Music for EDM?. I love listening to EDM and it's the main music genre I listen to. How is Spotify as far as this genre goe</t>
  </si>
  <si>
    <t xml:space="preserve">https://www.reddit.com/comments/18a2lzg</t>
  </si>
  <si>
    <t xml:space="preserve">Suggestions?. I was hoping i could get some suggestions on a true ad free app for podcast. I have premium and listen to podcast all day and i just hat</t>
  </si>
  <si>
    <t xml:space="preserve">https://www.reddit.com/comments/18a6a90</t>
  </si>
  <si>
    <t xml:space="preserve">Suggestions on Surreal songs to add to my playlist?</t>
  </si>
  <si>
    <t xml:space="preserve">https://www.reddit.com/comments/18a7dz5</t>
  </si>
  <si>
    <t xml:space="preserve">Spotify Unwrapped: God Level Marketing. In recent years, Spotify Wrapped has evolved from simple data presentation to a cultural phenomenon, capturing</t>
  </si>
  <si>
    <t xml:space="preserve">https://www.reddit.com/comments/18ahwmw</t>
  </si>
  <si>
    <t xml:space="preserve">Playing songs from search will no longer play radio songs after, the searched songs repeats! Help!. Hey so I usually will search a song "x" and after </t>
  </si>
  <si>
    <t xml:space="preserve">https://www.reddit.com/comments/18antz9</t>
  </si>
  <si>
    <t xml:space="preserve">Pop Run - Looking for some recommendations :).</t>
  </si>
  <si>
    <t xml:space="preserve">https://www.reddit.com/comments/18anxlq</t>
  </si>
  <si>
    <t xml:space="preserve">How do I disable recommended concerts? I’ve seen this same Madonna ad multiple times and it’s really annoying.. I am a premium user. I think my settin</t>
  </si>
  <si>
    <t xml:space="preserve">https://www.reddit.com/comments/18ao003</t>
  </si>
  <si>
    <t xml:space="preserve">Does Spotify somehow know when I produced certain songs even if my name isn't on the credits?. I've produced the music for a few friends this year. Wh</t>
  </si>
  <si>
    <t xml:space="preserve">https://www.reddit.com/comments/18ap62h</t>
  </si>
  <si>
    <t xml:space="preserve">Enhance or some alternative?. I currently don't have Spotify premium but I use Spotify a lot obviously. PC and mobile. I used to have an Enhance featu</t>
  </si>
  <si>
    <t xml:space="preserve">https://www.reddit.com/comments/18apdj1</t>
  </si>
  <si>
    <t xml:space="preserve">(Artist) Sudden spike in listeners, but can’t find out where they come from. Hey all, We’ve noticed a sudden spike in listeners today, but we don’t kn</t>
  </si>
  <si>
    <t xml:space="preserve">https://www.reddit.com/comments/18ar2np</t>
  </si>
  <si>
    <t xml:space="preserve">Recommend Songs For Playlist: Songs NOT about Love and Relationships. I find this a hard category to discover new music in because it keeps circling b</t>
  </si>
  <si>
    <t xml:space="preserve">https://www.reddit.com/comments/18azr1f</t>
  </si>
  <si>
    <t xml:space="preserve">Removing the DJ?. So ever since the Wrapped came up it put the DJ on my front page and I want it gone. Every time I adjust my earbuds (SlullCandy ANC)</t>
  </si>
  <si>
    <t xml:space="preserve">https://www.reddit.com/comments/18bjgiy</t>
  </si>
  <si>
    <t xml:space="preserve">Best ways to discover new genres and music. Is Spotify the best way to discover new music or do you guys use any Instagram or social media platforms t</t>
  </si>
  <si>
    <t xml:space="preserve">https://www.reddit.com/comments/18bkfzz</t>
  </si>
  <si>
    <t xml:space="preserve">Big brain algorithm. [removed]</t>
  </si>
  <si>
    <t xml:space="preserve">https://www.reddit.com/comments/18c9j35</t>
  </si>
  <si>
    <t xml:space="preserve">My Jump Back in is clogged with "Discover Weekly" playlists made for other users. So I got hacked on Spotify a few weeks ago, and I got them off my ac</t>
  </si>
  <si>
    <t xml:space="preserve">https://www.reddit.com/comments/18cqvyo</t>
  </si>
  <si>
    <t xml:space="preserve">The best all albums of all the time by El Fotimer- radio program in Catalonian. A playlist with 125 albums.</t>
  </si>
  <si>
    <t xml:space="preserve">https://www.reddit.com/comments/18ctvnf</t>
  </si>
  <si>
    <t xml:space="preserve">Spotify duo plan. I currently have a personal yearly premium plan going on which expires on March 2024, but my friend's personal yearly plan has just </t>
  </si>
  <si>
    <t xml:space="preserve">https://www.reddit.com/comments/18cug8q</t>
  </si>
  <si>
    <t xml:space="preserve">My Spotify AI DJ needs a little more language training. Earlier this afternoon, he played *The Old Man Down the Road* by "John Fojerty", and now he's </t>
  </si>
  <si>
    <t xml:space="preserve">https://www.reddit.com/comments/18d9fnj</t>
  </si>
  <si>
    <t xml:space="preserve">No daily mixes /release radar. I’ve just rejoined Spotify, but have no daily mixes or release radar anymore, any ideas how I can get these back Done a</t>
  </si>
  <si>
    <t xml:space="preserve">https://www.reddit.com/comments/18digc1</t>
  </si>
  <si>
    <t xml:space="preserve">Anyway to stop the DJ from cross fading between songs?. Title. Been listening to the AI DJ which gets it right a lot of the time but the way it fades </t>
  </si>
  <si>
    <t xml:space="preserve">https://www.reddit.com/comments/18ds8jf</t>
  </si>
  <si>
    <t xml:space="preserve">The TikTok-esque "Explore your genres" feed is a god awful feature that's not only questionable as a business practice but also damaging for the perce</t>
  </si>
  <si>
    <t xml:space="preserve">https://www.reddit.com/comments/18dw1g6</t>
  </si>
  <si>
    <t xml:space="preserve">Soft Locked by Spotify DJ. I appear to be locked into using the AI Dj , and I can't navigate onto other music without force closing and going back int</t>
  </si>
  <si>
    <t xml:space="preserve">https://www.reddit.com/comments/18e6pih</t>
  </si>
  <si>
    <t xml:space="preserve">80’s songs!. Hi everyone, I'm compiling a playlist of the best 80s songs according to my taste and I wanted to ask you if you have any songs to recomm</t>
  </si>
  <si>
    <t xml:space="preserve">https://www.reddit.com/comments/18edilm</t>
  </si>
  <si>
    <t xml:space="preserve">This is for artists, does someone know the treshold on streams / intention rate to get into radio playlist?. So my last track made around 260 streams </t>
  </si>
  <si>
    <t xml:space="preserve">https://www.reddit.com/comments/18emk0o</t>
  </si>
  <si>
    <t xml:space="preserve">Revenge/Success songs. I'd love it if you could recommend me songs about a situation where someone was calling you names, hated you and wanted you to </t>
  </si>
  <si>
    <t xml:space="preserve">https://www.reddit.com/comments/18f6neh</t>
  </si>
  <si>
    <t xml:space="preserve">I wish Spotify would make smart shuffle and liked songs just a little bit bit better.. [removed]</t>
  </si>
  <si>
    <t xml:space="preserve">https://www.reddit.com/comments/18f8kdu</t>
  </si>
  <si>
    <t xml:space="preserve">Help Me Make an Instrumental Fantasy Playlist For My Wife for Christmas?. Hello everyone! As the title suggests I'm making my wife a playlist for Chri</t>
  </si>
  <si>
    <t xml:space="preserve">https://www.reddit.com/comments/18fksfm</t>
  </si>
  <si>
    <t xml:space="preserve">Any band suggestions for uplifting instrumental songs?. I quite enjoy this one; [ Vulfpeck and **KNOWER are** is my favorites too. Can you suggest me </t>
  </si>
  <si>
    <t xml:space="preserve">https://www.reddit.com/comments/18foc2k</t>
  </si>
  <si>
    <t xml:space="preserve">Album Recommendations. Hi everyone! I’m an avid music fan always in search of new music albums to listen to! I love albums and specifically how they h</t>
  </si>
  <si>
    <t xml:space="preserve">https://www.reddit.com/comments/18fugmp</t>
  </si>
  <si>
    <t xml:space="preserve">Why does spotify think I love The Beatles so much?. I do like the Beatles but I listen to a Beatles song maybe once a month and the rest of the time I</t>
  </si>
  <si>
    <t xml:space="preserve">https://www.reddit.com/comments/18fz1gr</t>
  </si>
  <si>
    <t xml:space="preserve">Why are my auto-play recommendations after an album or playlist almost exclusively below 3min in duration?. It it no way reflects my listening habits.</t>
  </si>
  <si>
    <t xml:space="preserve">https://www.reddit.com/comments/18g1n0c</t>
  </si>
  <si>
    <t xml:space="preserve">Roast (or compliment) my like songs. Open to recommendations to</t>
  </si>
  <si>
    <t xml:space="preserve">https://www.reddit.com/comments/18ghoiz</t>
  </si>
  <si>
    <t xml:space="preserve">I really hate this time of year. So I made a playlist of the only enjoyable holiday songs I know. Funk and jazz tunes.. Got any other suggestions? Let</t>
  </si>
  <si>
    <t xml:space="preserve">https://www.reddit.com/comments/18gnd6c</t>
  </si>
  <si>
    <t xml:space="preserve">Rock Songs &lt; 100.000 clicks. Hi everyone! I'm looking for some new songs/bands. I do already know a LOT so please only recommend bands/songs &lt; 100k st</t>
  </si>
  <si>
    <t xml:space="preserve">https://www.reddit.com/comments/18gngmy</t>
  </si>
  <si>
    <t xml:space="preserve">Recommend me some sad romantic songs.</t>
  </si>
  <si>
    <t xml:space="preserve">https://www.reddit.com/comments/18gnreh</t>
  </si>
  <si>
    <t xml:space="preserve">looking for some music like us and then - pink floyd. really just looking to update my playlist, it’s due in some tlc. currently have a lot on there b</t>
  </si>
  <si>
    <t xml:space="preserve">https://www.reddit.com/comments/18hkyn3</t>
  </si>
  <si>
    <t xml:space="preserve">some feature requests/ideas v2. hi all, after using spotify for a few years here is some feedback for the app. mainly focused on desktop since i use i</t>
  </si>
  <si>
    <t xml:space="preserve">https://www.reddit.com/comments/18hl20q</t>
  </si>
  <si>
    <t xml:space="preserve">Spotify accusing me of buying streams and I recived a strike. For nearly five years, I've been uploading music to Spotify without a single issue. I st</t>
  </si>
  <si>
    <t xml:space="preserve">https://www.reddit.com/comments/18hvp84</t>
  </si>
  <si>
    <t xml:space="preserve">Spotify DJ is the bomb!.</t>
  </si>
  <si>
    <t xml:space="preserve">https://www.reddit.com/comments/18i8oky</t>
  </si>
  <si>
    <t xml:space="preserve">'Smart' Shuffle update ruined everything. I don't know if im doing something wrong, but ever after this smart shuffle update I have been unable to swi</t>
  </si>
  <si>
    <t xml:space="preserve">https://www.reddit.com/comments/18ib8ag</t>
  </si>
  <si>
    <t xml:space="preserve">Artist recommendation ads?. [removed]</t>
  </si>
  <si>
    <t xml:space="preserve">https://www.reddit.com/comments/18j0blf</t>
  </si>
  <si>
    <t xml:space="preserve">Any song suggestions. I'm looking for song suggestions any at all. Here is my Playlist fir a sample of my taste.</t>
  </si>
  <si>
    <t xml:space="preserve">https://www.reddit.com/comments/18j0iw9</t>
  </si>
  <si>
    <t xml:space="preserve">How often are daily mixes supposed to change?. Not sure if I’ve ever had this problem before but I’m just realizing that the majority of my mixes, (Da</t>
  </si>
  <si>
    <t xml:space="preserve">https://www.reddit.com/comments/18j0pve</t>
  </si>
  <si>
    <t xml:space="preserve">if spotify’s algorithm is so good…. [removed]</t>
  </si>
  <si>
    <t xml:space="preserve">https://www.reddit.com/comments/18j84k3</t>
  </si>
  <si>
    <t xml:space="preserve">tell me ur fav song by ur fav artist and i’ll rate it. i’m trying to listen to more music so recommend as many as u like :)</t>
  </si>
  <si>
    <t xml:space="preserve">https://www.reddit.com/comments/18jecdr</t>
  </si>
  <si>
    <t xml:space="preserve">Artist playlist. Hello....I understand the "Daily mix" is suppose to change, But what about the "This is" (name of the artist).......For example if I </t>
  </si>
  <si>
    <t xml:space="preserve">https://www.reddit.com/comments/18jfp8z</t>
  </si>
  <si>
    <t xml:space="preserve">Can you please give me DREAMPOP suggestions. I am a huge fan of Beach house, M38, Clam Casino, Sigor Rós, etc. Can you please give me more dream pop a</t>
  </si>
  <si>
    <t xml:space="preserve">https://www.reddit.com/comments/18jhgsv</t>
  </si>
  <si>
    <t xml:space="preserve">Looking to get into Metal, please recommend me Artists, Songs, Albums etc.. [removed]</t>
  </si>
  <si>
    <t xml:space="preserve">https://www.reddit.com/comments/18jrw7q</t>
  </si>
  <si>
    <t xml:space="preserve">Why does the song im listening to most in my daily mix get removed?. I tend to listen to one song more than others in my daily mixes and then it gets </t>
  </si>
  <si>
    <t xml:space="preserve">https://www.reddit.com/comments/18k27mu</t>
  </si>
  <si>
    <t xml:space="preserve">I Need Music!!. I listen to my fair share of music, and because of that a lot of my music begins getting very stale. My playlist have been getting sho</t>
  </si>
  <si>
    <t xml:space="preserve">https://www.reddit.com/comments/18kar9w</t>
  </si>
  <si>
    <t xml:space="preserve">Recommend me a song based on my current favorites!.</t>
  </si>
  <si>
    <t xml:space="preserve">https://www.reddit.com/comments/18kk96x</t>
  </si>
  <si>
    <t xml:space="preserve">Over 25 hours of music released in 2023, new recs welcome to reach for 500 songs before the year ends. [deleted]</t>
  </si>
  <si>
    <t xml:space="preserve">https://www.reddit.com/comments/18kllj1</t>
  </si>
  <si>
    <t xml:space="preserve">Has anyone’s daylist had this error?. [removed]</t>
  </si>
  <si>
    <t xml:space="preserve">https://www.reddit.com/comments/18kqw19</t>
  </si>
  <si>
    <t xml:space="preserve">Relaxing playlists for work. I’m looking for song recommendations for work. I did a general google search for existing Reddit posts, but none that tic</t>
  </si>
  <si>
    <t xml:space="preserve">https://www.reddit.com/comments/18krw2l</t>
  </si>
  <si>
    <t xml:space="preserve">Calling all besties whose spotify wrapped city was Burlington to share your top bands!. My top 5 were: -Beach House -Mitski -JPEGMAFIA -Beirut -Mac De</t>
  </si>
  <si>
    <t xml:space="preserve">https://www.reddit.com/comments/18ktswq</t>
  </si>
  <si>
    <t xml:space="preserve">Looking for song recommendations. [removed]</t>
  </si>
  <si>
    <t xml:space="preserve">https://www.reddit.com/comments/18kzd9e</t>
  </si>
  <si>
    <t xml:space="preserve">What on earth does "parade" mean in my daylists?. The majority of the other words i see in my daylists make enough sense without a real explanation, b</t>
  </si>
  <si>
    <t xml:space="preserve">https://www.reddit.com/comments/18l81lf</t>
  </si>
  <si>
    <t xml:space="preserve">Why do we need "Jump back in" AND "Recently Played"??. Says it in the title. A majority of the UI (mobile, Android at least) are these two sections, s</t>
  </si>
  <si>
    <t xml:space="preserve">https://www.reddit.com/comments/18lge5t</t>
  </si>
  <si>
    <t xml:space="preserve">Curated/Algo created. How can I access original curated playlists instead of “made for (username)” Specifically, is this one ( ) curated and updated a</t>
  </si>
  <si>
    <t xml:space="preserve">https://www.reddit.com/comments/18lmwb8</t>
  </si>
  <si>
    <t xml:space="preserve">I can't find Spotify DJ?. They said to look for it in the music feed or made for you card but it aint there😔</t>
  </si>
  <si>
    <t xml:space="preserve">https://www.reddit.com/comments/18lz9h1</t>
  </si>
  <si>
    <t xml:space="preserve">Recommended songs no longer playing. This goes in opposition of most of the posts about turning off recommended songs. I actually like them. I have th</t>
  </si>
  <si>
    <t xml:space="preserve">https://www.reddit.com/comments/18m6mez</t>
  </si>
  <si>
    <t xml:space="preserve">Need some recommendations!. [deleted]</t>
  </si>
  <si>
    <t xml:space="preserve">https://www.reddit.com/comments/18mfva9</t>
  </si>
  <si>
    <t xml:space="preserve">What's the best playlist for a Christmas cocktail party?. I'm having a family friendly cocktail party and I'm looking for upbeat, good energy, high sp</t>
  </si>
  <si>
    <t xml:space="preserve">https://www.reddit.com/comments/18mhyqg</t>
  </si>
  <si>
    <t xml:space="preserve">Does free Spotify only have smart shuffle now?. I saw someone post the first pic on Twitter and I am now quite concerned. I can’t afford Spotify premi</t>
  </si>
  <si>
    <t xml:space="preserve">https://www.reddit.com/comments/18mi2ui</t>
  </si>
  <si>
    <t xml:space="preserve">I got hacked a month ago, and there is still a daily mix being made daily for the hackers tastes.. I got hacked around a month ago, the hacker was on </t>
  </si>
  <si>
    <t xml:space="preserve">https://www.reddit.com/comments/18mqj98</t>
  </si>
  <si>
    <t xml:space="preserve">I need song recommendations that remind you of a love that could never be. Title lol Im in a rough "love"-ish patch</t>
  </si>
  <si>
    <t xml:space="preserve">https://www.reddit.com/comments/18mztmc</t>
  </si>
  <si>
    <t xml:space="preserve">song recs. need song recommendations that are under that whole “you’re better off without me” feel to it so i can heal from cutting off the man i love</t>
  </si>
  <si>
    <t xml:space="preserve">https://www.reddit.com/comments/18nnrmh</t>
  </si>
  <si>
    <t xml:space="preserve">Would love some recommendations. My card was vampire on wrapped if that helps lol</t>
  </si>
  <si>
    <t xml:space="preserve">https://www.reddit.com/comments/18o27md</t>
  </si>
  <si>
    <t xml:space="preserve">Song Recs Plssssss. So right now I'm obsessed with sign crushes motorist and I \*need\* more songs like his I also like alex g/alex\_g\_offline and on</t>
  </si>
  <si>
    <t xml:space="preserve">https://www.reddit.com/comments/18oct01</t>
  </si>
  <si>
    <t xml:space="preserve">Trying to set the mood. Any suggestions lmk</t>
  </si>
  <si>
    <t xml:space="preserve">https://www.reddit.com/comments/18ohrnj</t>
  </si>
  <si>
    <t xml:space="preserve">Has the music recommendation algorithm gotten worse over the past year or so?. I never listen to Mt. Joy, yet they are the majority of my recommendati</t>
  </si>
  <si>
    <t xml:space="preserve">https://www.reddit.com/comments/18ojt1u</t>
  </si>
  <si>
    <t xml:space="preserve">I'm looking for recommendations based on my favorite playlist, please &lt;3. Help me, I need more</t>
  </si>
  <si>
    <t xml:space="preserve">https://www.reddit.com/comments/18ojvc2</t>
  </si>
  <si>
    <t xml:space="preserve">Open playlist for you to drop some recommendations.. I want to know you favorite songs right now so drop your song recommendations as a collaborator f</t>
  </si>
  <si>
    <t xml:space="preserve">https://www.reddit.com/comments/18oqg28</t>
  </si>
  <si>
    <t xml:space="preserve">Artists/genre recommendations. I like Ozzie, Chase Atlantic, The weeknd, Teflon Sega, bülow, Shaker and Isabel Larosa. Any recommendations of artists </t>
  </si>
  <si>
    <t xml:space="preserve">https://www.reddit.com/comments/18oyrgk</t>
  </si>
  <si>
    <t xml:space="preserve">Playlist like ‘the story is told’ by Roque Baños. I have always found this track incredibly moving. Looking for playlist recommendations that might be</t>
  </si>
  <si>
    <t xml:space="preserve">https://www.reddit.com/comments/18pa9cw</t>
  </si>
  <si>
    <t xml:space="preserve">Good song cap for a playlist?. I’ve always been more of an album guy so my playlists always get so bloated that I don’t even care to listen to them. A</t>
  </si>
  <si>
    <t xml:space="preserve">https://www.reddit.com/comments/18pke26</t>
  </si>
  <si>
    <t xml:space="preserve">Spotify DJ said “Heres some music in your zone” then made an entire playlist of fan noises?.</t>
  </si>
  <si>
    <t xml:space="preserve">https://www.reddit.com/comments/18pkg9v</t>
  </si>
  <si>
    <t xml:space="preserve">What is playing and how do I come back to it?. I had left a shorter playlist of mine running on PC and came back to the house after about 5 hours to s</t>
  </si>
  <si>
    <t xml:space="preserve">https://www.reddit.com/comments/18pps9j</t>
  </si>
  <si>
    <t xml:space="preserve">Recommend me a song or two based on my top 5 songs for 2023. I'm gonna add them in a Spotify Playlist.. [removed]</t>
  </si>
  <si>
    <t xml:space="preserve">https://www.reddit.com/comments/18pr3cn</t>
  </si>
  <si>
    <t xml:space="preserve">Noticed missing features today. Jam isn’t available on desktop currently , although you can connect with your phone if you have the mobile app and out</t>
  </si>
  <si>
    <t xml:space="preserve">https://www.reddit.com/comments/18q9kvo</t>
  </si>
  <si>
    <t xml:space="preserve">Is anyone else not able to open the app lately, or is it only me?. For the last two days the app kept making me log in every time I opened it. So I de</t>
  </si>
  <si>
    <t xml:space="preserve">https://www.reddit.com/comments/18qq3c9</t>
  </si>
  <si>
    <t xml:space="preserve">Smart Shuffle. I swear if Spotify puts Smart Shuffle back on by itself while im at work im goona go mental, like fuck right off lmao</t>
  </si>
  <si>
    <t xml:space="preserve">https://www.reddit.com/comments/18ris4w</t>
  </si>
  <si>
    <t xml:space="preserve">Got premium again, DJ AI is amazing but.... I didn't want to get premium again bc of the recent news of them not paying indie artists but I couldn't f</t>
  </si>
  <si>
    <t xml:space="preserve">https://www.reddit.com/comments/18rnm4p</t>
  </si>
  <si>
    <t xml:space="preserve">Dj. The dj option is a cool concept but I feel like it plays me the same songs over and over again and when it does play new stuff it’s stuff that I’v</t>
  </si>
  <si>
    <t xml:space="preserve">https://www.reddit.com/comments/18s5x97</t>
  </si>
  <si>
    <t xml:space="preserve">The DJ needs to allow you to manually queue a song.</t>
  </si>
  <si>
    <t xml:space="preserve">https://www.reddit.com/comments/18s6io5</t>
  </si>
  <si>
    <t xml:space="preserve">Need Opinions‼️. Since coming to college i’ve been getting really into house music and finally started a house playlist, just want to know if my playl</t>
  </si>
  <si>
    <t xml:space="preserve">https://www.reddit.com/comments/18s8eok</t>
  </si>
  <si>
    <t xml:space="preserve">Recommendations for this playlist?. [deleted]</t>
  </si>
  <si>
    <t xml:space="preserve">https://www.reddit.com/comments/18seaz0</t>
  </si>
  <si>
    <t xml:space="preserve">Share your "On Repeat" playlist. I'm checking a lot of playlists since I started making spotify friends, and I want to check what are your main likes </t>
  </si>
  <si>
    <t xml:space="preserve">https://www.reddit.com/comments/18sey9s</t>
  </si>
  <si>
    <t xml:space="preserve">I made a playlist from the "metal songs on repeat" from the other day Original thread I stopped adding songs after the first 100. Also, I haven't hear</t>
  </si>
  <si>
    <t xml:space="preserve">https://www.reddit.com/comments/18sxhy3</t>
  </si>
  <si>
    <t xml:space="preserve">artist suggestions!. could anyone recommend any new artists for me, my new years resolution for myself was to start to venture out and explore differe</t>
  </si>
  <si>
    <t xml:space="preserve">https://www.reddit.com/comments/18t0eer</t>
  </si>
  <si>
    <t xml:space="preserve">Please give me a recommendation.</t>
  </si>
  <si>
    <t xml:space="preserve">https://www.reddit.com/comments/18tbg4j</t>
  </si>
  <si>
    <t xml:space="preserve">Artist Recommendations. I want to get into more bands or solo artists since I only really listen to the same stuff over and over again.. (My top) Band</t>
  </si>
  <si>
    <t xml:space="preserve">https://www.reddit.com/comments/18tgpgq</t>
  </si>
  <si>
    <t xml:space="preserve">Song Requests. Honestly I need some new music, would love to hear your recommendations! I listen to just about everything including: indie, alternativ</t>
  </si>
  <si>
    <t xml:space="preserve">https://www.reddit.com/comments/18th1sb</t>
  </si>
  <si>
    <t xml:space="preserve">Techno Radio | Ringing in the New Year! 😊. [removed]</t>
  </si>
  <si>
    <t xml:space="preserve">https://www.reddit.com/comments/18the5k</t>
  </si>
  <si>
    <t xml:space="preserve">What is the saddest song you know?. Recommend me the saddest song you know, no matter the genre.</t>
  </si>
  <si>
    <t xml:space="preserve">https://www.reddit.com/comments/18tzhw2</t>
  </si>
  <si>
    <t xml:space="preserve">I used to look forward to my discover weekly playlist. [removed]</t>
  </si>
  <si>
    <t xml:space="preserve">https://www.reddit.com/comments/18u7ax5</t>
  </si>
  <si>
    <t xml:space="preserve">Music Recommendations. [removed]</t>
  </si>
  <si>
    <t xml:space="preserve">https://www.reddit.com/comments/18uaxde</t>
  </si>
  <si>
    <t xml:space="preserve">spotify song radio has degraded nowadays. is it just me, or has spotify’s song radio lost its touch? it’s like the algorithm is struggling to maintain</t>
  </si>
  <si>
    <t xml:space="preserve">https://www.reddit.com/comments/18uii7a</t>
  </si>
  <si>
    <t xml:space="preserve">[REQUEST] Filter a search of playlists by popularity, recommended-for-you, total duration, etc.. Hello, When you search for playlists on Spotify the r</t>
  </si>
  <si>
    <t xml:space="preserve">https://www.reddit.com/comments/18ulfxh</t>
  </si>
  <si>
    <t xml:space="preserve">How does smart shuffle really work ?. Title. Does it queue same music genres or artist ? How does it work ?</t>
  </si>
  <si>
    <t xml:space="preserve">https://www.reddit.com/comments/18us2y2</t>
  </si>
  <si>
    <t xml:space="preserve">Is there a way to stop Spotify from using frequently played songs by me to generate every new recommended mix?. It used to be that I could use the rec</t>
  </si>
  <si>
    <t xml:space="preserve">https://www.reddit.com/comments/18v9la0</t>
  </si>
  <si>
    <t xml:space="preserve">Any alternatives to AI DJ?. [removed]</t>
  </si>
  <si>
    <t xml:space="preserve">https://www.reddit.com/comments/18wbo7u</t>
  </si>
  <si>
    <t xml:space="preserve">Is there any news on the expansion for the ai dj feature. I would love to know if there is some news if it would come to belguim</t>
  </si>
  <si>
    <t xml:space="preserve">https://www.reddit.com/comments/18wpmig</t>
  </si>
  <si>
    <t xml:space="preserve">Recommendations to keep it dope city.. [removed]</t>
  </si>
  <si>
    <t xml:space="preserve">https://www.reddit.com/comments/18x9l1g</t>
  </si>
  <si>
    <t xml:space="preserve">Getting around “made for you” radios. Mobile iOS It’s a little jank. I add the target radio song to a playlist, scroll down to the “Recommended Songs”</t>
  </si>
  <si>
    <t xml:space="preserve">https://www.reddit.com/comments/18xeo0t</t>
  </si>
  <si>
    <t xml:space="preserve">Bit of a noob - sorry if a stupid question/s. I’m on Spotify and was rummaging around. I idly searched for a specific ex’s name and he popped up as an</t>
  </si>
  <si>
    <t xml:space="preserve">https://www.reddit.com/comments/18xwcl4</t>
  </si>
  <si>
    <t xml:space="preserve">Sad songs to hear after being rejected. Hello, I confessed my love to my crush a few days ago and she said "...but you're just a good friend to me" an</t>
  </si>
  <si>
    <t xml:space="preserve">https://www.reddit.com/comments/18y5ne8</t>
  </si>
  <si>
    <t xml:space="preserve">how do i get this podcast to not be recommended to me. [removed]</t>
  </si>
  <si>
    <t xml:space="preserve">https://www.reddit.com/comments/18ykc38</t>
  </si>
  <si>
    <t xml:space="preserve">Video Podcast Suggestions on Spotify. I've listened to podcasts on Spotify for a couple years. Someone told me there are video podcasts too. Do any of</t>
  </si>
  <si>
    <t xml:space="preserve">https://www.reddit.com/comments/18yo52q</t>
  </si>
  <si>
    <t xml:space="preserve">Spotify thinks our music is phonk, we make noise rock ... How do we correct this?. So like the title says we are a noise rock post hardcore whatever b</t>
  </si>
  <si>
    <t xml:space="preserve">https://www.reddit.com/comments/18z4zdk</t>
  </si>
  <si>
    <t xml:space="preserve">Music for invoice processing. Hold on!. I recommend this to the working class heroes out there! Keep on keeping on! 💪</t>
  </si>
  <si>
    <t xml:space="preserve">https://www.reddit.com/comments/18z9bkx</t>
  </si>
  <si>
    <t xml:space="preserve">Re-releasing Songs Under New Band Name. I work with a band that recently had their music taken down from Spotify due to artificial streams. We’re disc</t>
  </si>
  <si>
    <t xml:space="preserve">https://www.reddit.com/comments/190cp2c</t>
  </si>
  <si>
    <t xml:space="preserve">New Songs in personalized Mixes. Hello everyone, I recommend my friend a genre mix and he had different tracks in it then I have. I asked him if he co</t>
  </si>
  <si>
    <t xml:space="preserve">https://www.reddit.com/comments/190czty</t>
  </si>
  <si>
    <t xml:space="preserve">Where is the "expand" playlist button?. So I just formatted my PC and now I can't see the "expand" playlist button that recommended other songs absed </t>
  </si>
  <si>
    <t xml:space="preserve">https://www.reddit.com/comments/190ldvs</t>
  </si>
  <si>
    <t xml:space="preserve">Why must Spotify recommend this horrible shit to me. I'm getting tired of this..</t>
  </si>
  <si>
    <t xml:space="preserve">https://www.reddit.com/comments/19128xa</t>
  </si>
  <si>
    <t xml:space="preserve">No matter playlist, after the first song it switches to Coldplay.. No matter what I do, after the first song finishes on whatever playlist I'm listeni</t>
  </si>
  <si>
    <t xml:space="preserve">https://www.reddit.com/comments/191ej1o</t>
  </si>
  <si>
    <t xml:space="preserve">Can you find similar songs like this one?. I found this artist named Andreotti on Spotify almost a year ago in 2022. I listen to Psychedelic Rock a lo</t>
  </si>
  <si>
    <t xml:space="preserve">https://www.reddit.com/comments/191frgy</t>
  </si>
  <si>
    <t xml:space="preserve">Song Recommendations: What am I missing?.</t>
  </si>
  <si>
    <t xml:space="preserve">https://www.reddit.com/comments/191nm48</t>
  </si>
  <si>
    <t xml:space="preserve">Spotify keeps recommending me Joe Rogan. [removed]</t>
  </si>
  <si>
    <t xml:space="preserve">https://www.reddit.com/comments/191zbw3</t>
  </si>
  <si>
    <t xml:space="preserve">Is it just me or does Spotify compare "similar artists" artists based on popularity more than Sound?. For example my friends band gets about 5k monthl</t>
  </si>
  <si>
    <t xml:space="preserve">https://www.reddit.com/comments/1928rdq</t>
  </si>
  <si>
    <t xml:space="preserve">Is There a Way to Increase Album Recommendations on Spotify?. I’m a Spotify user and I usually receive playlist suggestions. However, I prefer listeni</t>
  </si>
  <si>
    <t xml:space="preserve">https://www.reddit.com/comments/1929esw</t>
  </si>
  <si>
    <t xml:space="preserve">I really hope Spotify will bring back the original heart shaped like button in the new mobile update. I usually love when Spotify comes up with new fu</t>
  </si>
  <si>
    <t xml:space="preserve">https://www.reddit.com/comments/192d672</t>
  </si>
  <si>
    <t xml:space="preserve">DJ is the best thing they've added in a long time. now a vast majority of the time i listen to albums. but sometimes i either don't have time to liste</t>
  </si>
  <si>
    <t xml:space="preserve">https://www.reddit.com/comments/192sq9z</t>
  </si>
  <si>
    <t xml:space="preserve">Anyone else’s playlist with local files just stop working?. ~Premium User, IPhone 14, IOS 17.2.1.~ Let me just say, local files on mobile is a dream c</t>
  </si>
  <si>
    <t xml:space="preserve">https://www.reddit.com/comments/192y195</t>
  </si>
  <si>
    <t xml:space="preserve">Why are radio stations so stupid. They literally never play anything actually related to the song I started the station for, and just gives me unrelat</t>
  </si>
  <si>
    <t xml:space="preserve">https://www.reddit.com/comments/1933xns</t>
  </si>
  <si>
    <t xml:space="preserve">Why does the DJ think this is country?. This is closer to rock then country</t>
  </si>
  <si>
    <t xml:space="preserve">https://www.reddit.com/comments/1934m7y</t>
  </si>
  <si>
    <t xml:space="preserve">How to get proper suggestions from Spotify?. It seems like my "home" section is filled with auto-generated playlists that are basically the same songs</t>
  </si>
  <si>
    <t xml:space="preserve">https://www.reddit.com/comments/193arxu</t>
  </si>
  <si>
    <t xml:space="preserve">Comment And I'll Recommend You A Random Song.</t>
  </si>
  <si>
    <t xml:space="preserve">https://www.reddit.com/comments/193n3f4</t>
  </si>
  <si>
    <t xml:space="preserve">Urban Gritty / Bleak songs or albums. I'm gathering songs for a playlist that evokes a certain feeling that I'm unable to describe. The visual referen</t>
  </si>
  <si>
    <t xml:space="preserve">https://www.reddit.com/comments/194ht4q</t>
  </si>
  <si>
    <t xml:space="preserve">Hurdy Gurdy. I'm currently building out a hurdy gurdy playlist. Like the others, I'm going for high energy. I'm also favoring songs with vocals. Any r</t>
  </si>
  <si>
    <t xml:space="preserve">https://www.reddit.com/comments/194jszh</t>
  </si>
  <si>
    <t xml:space="preserve">Please add enhance mode back. all smart shuffle does is crash my phone.. Enhance mode was the best mode I've ever seen spotify have. If I had a time m</t>
  </si>
  <si>
    <t xml:space="preserve">https://www.reddit.com/comments/194l3lg</t>
  </si>
  <si>
    <t xml:space="preserve">Looking for song recs! Thanks!.</t>
  </si>
  <si>
    <t xml:space="preserve">https://www.reddit.com/comments/194nrxh</t>
  </si>
  <si>
    <t xml:space="preserve">Discover weekly suddenly really bad. [removed]</t>
  </si>
  <si>
    <t xml:space="preserve">https://www.reddit.com/comments/1952duw</t>
  </si>
  <si>
    <t xml:space="preserve">Recommendations for a playlist of erotic songs with religious undertones?. I’m building a playlist that I’m calling “ambrosia” and the vibe is alt/har</t>
  </si>
  <si>
    <t xml:space="preserve">https://www.reddit.com/comments/19608up</t>
  </si>
  <si>
    <t xml:space="preserve">I hate how Spotify is so limited now. For people who cant be bothered to pay, Spotify is honestly shit sometimes. I often like listening to specific s</t>
  </si>
  <si>
    <t xml:space="preserve">https://www.reddit.com/comments/196pdh8</t>
  </si>
  <si>
    <t xml:space="preserve">2000s Anthems - tap into the endless vault. over 6 hours of the 2000s radio classics [playlist] 2000s Jams / Anthems</t>
  </si>
  <si>
    <t xml:space="preserve">https://www.reddit.com/comments/196v413</t>
  </si>
  <si>
    <t xml:space="preserve">The recommended albums became even more irrelevant!.</t>
  </si>
  <si>
    <t xml:space="preserve">https://www.reddit.com/comments/19719jq</t>
  </si>
  <si>
    <t xml:space="preserve">To bypass Smart Shuffle: On Windows, use Ctrl+S to turn Shuffle on and off like the old Shuffle button.</t>
  </si>
  <si>
    <t xml:space="preserve">https://www.reddit.com/comments/197tz9d</t>
  </si>
  <si>
    <t xml:space="preserve">https://www.reddit.com/comments/197u0c4</t>
  </si>
  <si>
    <t xml:space="preserve">We need a term for this. Do you ever get into the situation when you start your Discover Weekly playlist and every single track makes you want to bing</t>
  </si>
  <si>
    <t xml:space="preserve">https://www.reddit.com/comments/197yt91</t>
  </si>
  <si>
    <t xml:space="preserve">How to hide forever certain songs?. I have in some of my daily mixes some song I loathe. I never wanna listen them again, but there's no button or act</t>
  </si>
  <si>
    <t xml:space="preserve">https://www.reddit.com/comments/1980dmo</t>
  </si>
  <si>
    <t xml:space="preserve">Spotify Shuffling to songs in same Key. Okay. Maybe I am crazy, but recently I’ve been noticing an unusual amount of songs being shuffled one after th</t>
  </si>
  <si>
    <t xml:space="preserve">https://www.reddit.com/comments/198adsi</t>
  </si>
  <si>
    <t xml:space="preserve">Sweet nostalgic memories. I'm not sure if anyone else does this, but.... Think of a memorable time (when you first got your license, when you graduate</t>
  </si>
  <si>
    <t xml:space="preserve">https://www.reddit.com/comments/198bayp</t>
  </si>
  <si>
    <t xml:space="preserve">How to make suggested songs not play. [removed]</t>
  </si>
  <si>
    <t xml:space="preserve">https://www.reddit.com/comments/198mggb</t>
  </si>
  <si>
    <t xml:space="preserve">DAYLIST automatic save?. [removed]</t>
  </si>
  <si>
    <t xml:space="preserve">https://www.reddit.com/comments/199bvlk</t>
  </si>
  <si>
    <t xml:space="preserve">Song suggestions. [removed]</t>
  </si>
  <si>
    <t xml:space="preserve">https://www.reddit.com/comments/199jtoe</t>
  </si>
  <si>
    <t xml:space="preserve">no daylist?. hey guys, when i go search for a daylist it just shows me the tips and tricks, and then "morning mix", "evening mix", and other mixes ins</t>
  </si>
  <si>
    <t xml:space="preserve">https://www.reddit.com/comments/199li5n</t>
  </si>
  <si>
    <t xml:space="preserve">D&amp;B music recommendations. [removed]</t>
  </si>
  <si>
    <t xml:space="preserve">https://www.reddit.com/comments/199m3t3</t>
  </si>
  <si>
    <t xml:space="preserve">Spotify opens to a black screen. So I had this issue before and followed this tutorial to fix the issue: [ However, it started again but when I wen't </t>
  </si>
  <si>
    <t xml:space="preserve">https://www.reddit.com/comments/19a5nr5</t>
  </si>
  <si>
    <t xml:space="preserve">Similar artist like men i trust and The Maria’s ?. I’ve really love this genre of music and was hoping i could get some more recommendations. Thank yo</t>
  </si>
  <si>
    <t xml:space="preserve">https://www.reddit.com/comments/19aeoup</t>
  </si>
  <si>
    <t xml:space="preserve">I don’t have a quirky Daylist title. Hello everyone! I’ve been trying to find my Daylist playlist with the cute quirky titles. Am i doing something wr</t>
  </si>
  <si>
    <t xml:space="preserve">https://www.reddit.com/comments/19af43e</t>
  </si>
  <si>
    <t xml:space="preserve">Is it possible to meaningfully contact spotify about release radar?. [removed]</t>
  </si>
  <si>
    <t xml:space="preserve">https://www.reddit.com/comments/19amc93</t>
  </si>
  <si>
    <t xml:space="preserve">Absolutely not acceptable spotify.. You DO NOT get to recommend a song that is unreleased to my genres and tastes because it promotes some big shot. I</t>
  </si>
  <si>
    <t xml:space="preserve">https://www.reddit.com/comments/19ay4uj</t>
  </si>
  <si>
    <t xml:space="preserve">Looking for music that moves you. Hi everyone! I'm trying to expand the music I listen to. Does anyone have any recommendations? I'm not set on any ge</t>
  </si>
  <si>
    <t xml:space="preserve">https://www.reddit.com/comments/19b0aqz</t>
  </si>
  <si>
    <t xml:space="preserve">Spotify keeps me in my own music bubble, and I hate it. How to break out of it?. I find it quite difficult to discover new music with spotify, with th</t>
  </si>
  <si>
    <t xml:space="preserve">https://www.reddit.com/comments/19b75et</t>
  </si>
  <si>
    <t xml:space="preserve">Random songs appearing as the first track in playlist. I have a playlist with songs that I gathered that I want to listen to before adding to my libra</t>
  </si>
  <si>
    <t xml:space="preserve">https://www.reddit.com/comments/19bncpt</t>
  </si>
  <si>
    <t xml:space="preserve">Synthwave/electronic videogame OSTs. Adobe flash era throwbacks. viral video original music. The playlist is organized into different moods, so listen</t>
  </si>
  <si>
    <t xml:space="preserve">https://www.reddit.com/comments/19br2jl</t>
  </si>
  <si>
    <t xml:space="preserve">Albums that tell a story. I'm doing my own version of the album challenge, where I listen to complete albums of songs I love or from artists I want mo</t>
  </si>
  <si>
    <t xml:space="preserve">https://www.reddit.com/comments/19by0zj</t>
  </si>
  <si>
    <t xml:space="preserve">recommendations needed. ya girl is new music deprived and i need something good to listen to, from any genre, although pop/rock is preferred thanks a </t>
  </si>
  <si>
    <t xml:space="preserve">https://www.reddit.com/comments/19bzzhr</t>
  </si>
  <si>
    <t xml:space="preserve">Any suggestions on what unique playlist I should prepare….</t>
  </si>
  <si>
    <t xml:space="preserve">https://www.reddit.com/comments/19c06wo</t>
  </si>
  <si>
    <t xml:space="preserve">This AI DJ is sickkkkkk. It’s like shuffling except it’s my homie and when I ain’t feelin the songs he changes it up instead of going to a whole other</t>
  </si>
  <si>
    <t xml:space="preserve">https://www.reddit.com/comments/19c65xc</t>
  </si>
  <si>
    <t xml:space="preserve">Playlist Sorting Glitch. I need help! There is this odd glitch causing the order in which I desire to arrange my playlist to mess up... It automatical</t>
  </si>
  <si>
    <t xml:space="preserve">https://www.reddit.com/comments/19c76nw</t>
  </si>
  <si>
    <t xml:space="preserve">My daylist title…. I listen to the same thing everyday and it’s usually something about vocaloids… WHY IS IT UNHAPPY GYAT???</t>
  </si>
  <si>
    <t xml:space="preserve">https://www.reddit.com/comments/19c7c73</t>
  </si>
  <si>
    <t xml:space="preserve">Random Playlist. Not a functional playlist (not gonna listen in one sitting). Half are memes. Welcome to suggestions. I couldn't sort it if I tried fo</t>
  </si>
  <si>
    <t xml:space="preserve">https://www.reddit.com/comments/19ckady</t>
  </si>
  <si>
    <t xml:space="preserve">Samsung Galaxy Smart Shuffle glitch. If you are having problems playing music, try TURNING OFF SMART SHUFFLE. We have a family plan, and my mom for we</t>
  </si>
  <si>
    <t xml:space="preserve">https://www.reddit.com/comments/19cm8e1</t>
  </si>
  <si>
    <t xml:space="preserve">DJ is a loop. I listened to DJ for around 4-5 hours and then it just started over again. Only 91 songs. Surely it wouldn’t be hard to make it nonstop.</t>
  </si>
  <si>
    <t xml:space="preserve">https://www.reddit.com/comments/19cnsve</t>
  </si>
  <si>
    <t xml:space="preserve">Can I remove a podcast from showing up in my algorithm?. I fall asleep to podcasts because the noise helps me, but I often wake up in the morning to p</t>
  </si>
  <si>
    <t xml:space="preserve">https://www.reddit.com/comments/19d2ceq</t>
  </si>
  <si>
    <t xml:space="preserve">Shuffle keeps activating itself. Seems like everyone has an issue with how it shuffles. I just dont want it to shuffle but it forces itself on me. Mos</t>
  </si>
  <si>
    <t xml:space="preserve">https://www.reddit.com/comments/19dj1a5</t>
  </si>
  <si>
    <t xml:space="preserve">What happened to Spotify‘s AI DJ?. Haven’t heard anything about it since the first release in the US. No updates nor release dates for Europe</t>
  </si>
  <si>
    <t xml:space="preserve">https://www.reddit.com/comments/19dzhfu</t>
  </si>
  <si>
    <t xml:space="preserve">Suggestions for my 30th Birthday. [removed]</t>
  </si>
  <si>
    <t xml:space="preserve">https://www.reddit.com/comments/19emjfb</t>
  </si>
  <si>
    <t xml:space="preserve">The shuffle on Spotify isn't random?. Tl;dr the shuffle on Spotify seems to prioritize some songs over others I used to just hit shuffle on playlists </t>
  </si>
  <si>
    <t xml:space="preserve">https://www.reddit.com/comments/19erjed</t>
  </si>
  <si>
    <t xml:space="preserve">Recommend similar songs for my playlist (indie, synth).</t>
  </si>
  <si>
    <t xml:space="preserve">https://www.reddit.com/comments/19fdl2z</t>
  </si>
  <si>
    <t xml:space="preserve">(Dumb question but please help me out 😭) Is it true that original albums are gradually being phased out in favour of deluxe editions?. I add the songs</t>
  </si>
  <si>
    <t xml:space="preserve">https://www.reddit.com/comments/19fhexz</t>
  </si>
  <si>
    <t xml:space="preserve">Looking for artists similar to Hideki Naganuma. Last night I came across the OST for an older playstation game called Ronaldo V-Football when listenin</t>
  </si>
  <si>
    <t xml:space="preserve">https://www.reddit.com/comments/19fk1kp</t>
  </si>
  <si>
    <t xml:space="preserve">Why do I keep getting recommended this random artist? I’ve never listened to their music or similar, never interacted, but weekly I get notified of th</t>
  </si>
  <si>
    <t xml:space="preserve">https://www.reddit.com/comments/1ab801p</t>
  </si>
  <si>
    <t xml:space="preserve">Daughter just turned seventeen. Anything I'm missing? :). &lt;iframe style="border-radius:12px" src="[ width="100%" height="352" frameBorder="0" allowful</t>
  </si>
  <si>
    <t xml:space="preserve">https://www.reddit.com/comments/1abnvc1</t>
  </si>
  <si>
    <t xml:space="preserve">What's the silliest thing Spotify's AI DJ "X" has said to you?. I just heard the AI DJ say that Bob Dylan was one of the most influential artists of t</t>
  </si>
  <si>
    <t xml:space="preserve">https://www.reddit.com/comments/1abrvre</t>
  </si>
  <si>
    <t xml:space="preserve">Lost friend because of Apple Music. I recently lost a friendship over Apple Music. I had a friend for over 10 years. We used to listen to music everyd</t>
  </si>
  <si>
    <t xml:space="preserve">https://www.reddit.com/comments/1acb3gm</t>
  </si>
  <si>
    <t xml:space="preserve">Please any suggestions. Similar to ‘who I am’ Parker jack / ‘toxic twins’ gentrammel.. [removed]</t>
  </si>
  <si>
    <t xml:space="preserve">https://www.reddit.com/comments/1aczkos</t>
  </si>
  <si>
    <t xml:space="preserve">Spotify playlist generated from a list of songs on a webpage. I'm looking for a playlist generator that can create a playlist automatically from a set</t>
  </si>
  <si>
    <t xml:space="preserve">https://www.reddit.com/comments/1ad6e64</t>
  </si>
  <si>
    <t xml:space="preserve">GTA V inspired Blonded Radio playlist, thought you guys might like it. [removed]</t>
  </si>
  <si>
    <t xml:space="preserve">https://www.reddit.com/comments/1adaict</t>
  </si>
  <si>
    <t xml:space="preserve">Spotify no longer provides suggested songs at the bottom of my playlist.. I loved the feature where Spotify looks at your playlist and gives suggested</t>
  </si>
  <si>
    <t xml:space="preserve">https://www.reddit.com/comments/1ade4d8</t>
  </si>
  <si>
    <t xml:space="preserve">I built a “Guess the song” game that uses your Spotify musical tastes. Hi, I’m building [spotiguess.com]( a music quiz game that uses your musical tas</t>
  </si>
  <si>
    <t xml:space="preserve">https://www.reddit.com/comments/1adhtbd</t>
  </si>
  <si>
    <t xml:space="preserve">do you know what happened to the feature where you can add recommended songs they appeared under the regular playlist songs (it had star icon✨) and th</t>
  </si>
  <si>
    <t xml:space="preserve">https://www.reddit.com/comments/1adk35w</t>
  </si>
  <si>
    <t xml:space="preserve">Help!!!. My daughter and I shared my Spotify account for the last year until I finally just did the family plan. Now, my DJ is dominated by her music.</t>
  </si>
  <si>
    <t xml:space="preserve">https://www.reddit.com/comments/1ady6zx</t>
  </si>
  <si>
    <t xml:space="preserve">Anyone else ever make a playlist with a recommended crossfade for custom order playback?. I had to pull this up on my browser because the ongoing Andr</t>
  </si>
  <si>
    <t xml:space="preserve">https://www.reddit.com/comments/1aedjul</t>
  </si>
  <si>
    <t xml:space="preserve">Im done with spotify, what other streaming services can you recommend?. To start, spotify barely pays artist (however, I hear this problem is somewhat</t>
  </si>
  <si>
    <t xml:space="preserve">https://www.reddit.com/comments/1aefuaf</t>
  </si>
  <si>
    <t xml:space="preserve">DJ interrupting my podcasts and other listening - what can I do?. Controversially, I'm fine with Spotify's AI DJ. I use it now when I can't decide wha</t>
  </si>
  <si>
    <t xml:space="preserve">https://www.reddit.com/comments/1aeubyg</t>
  </si>
  <si>
    <t xml:space="preserve">Recommendations. [removed]</t>
  </si>
  <si>
    <t xml:space="preserve">https://www.reddit.com/comments/1ag07u2</t>
  </si>
  <si>
    <t xml:space="preserve">2024 New Playlist. Recently decided that I will remake my daily playlist for this year. Spent the last couple days adding songs and artists mainly fro</t>
  </si>
  <si>
    <t xml:space="preserve">https://www.reddit.com/comments/1ag5zts</t>
  </si>
  <si>
    <t xml:space="preserve">New so suggestions for playlist?. Hi, I’m working on a “master playlist” of everything I’ve ever enjoyed 😂 At first Spotify was offering up tons of su</t>
  </si>
  <si>
    <t xml:space="preserve">https://www.reddit.com/comments/1ag66kw</t>
  </si>
  <si>
    <t xml:space="preserve">1980's playlist. Looking for suggestions on songs that I could add. Mainly looking for Hi-NRG, Italo Disco, New Wave, Synthpop. But anything 80's can </t>
  </si>
  <si>
    <t xml:space="preserve">https://www.reddit.com/comments/1agcyeu</t>
  </si>
  <si>
    <t xml:space="preserve">Radio and playlists. I am tired of Spotify playing the same SINGLE song over and over on my recommended playlist and radio. Is there a way to adjust t</t>
  </si>
  <si>
    <t xml:space="preserve">https://www.reddit.com/comments/1aglgyi</t>
  </si>
  <si>
    <t xml:space="preserve">Looking for recommendations. For songs with a certain tone of guitar Examples like: freaking out the neighborhood -mac demarco Right down the line- Ge</t>
  </si>
  <si>
    <t xml:space="preserve">https://www.reddit.com/comments/1ahiywr</t>
  </si>
  <si>
    <t xml:space="preserve">Android Auto question. Why when I say "Hey Google play (insert band name) radio" it works flawless on my phone and starts a Playlist? But on Android A</t>
  </si>
  <si>
    <t xml:space="preserve">https://www.reddit.com/comments/1ahnn9f</t>
  </si>
  <si>
    <t xml:space="preserve">why is my song playing the same song overnight once since october. every goddamn day it plays this song and it's never when i'm actually listening to </t>
  </si>
  <si>
    <t xml:space="preserve">https://www.reddit.com/comments/1ahs9s1</t>
  </si>
  <si>
    <t xml:space="preserve">Why can't I block stuff I don't like. Why the F(&amp;K doesn't spotify have a block function? It keeps recommending or playing Joe rogan podcast, I'm not </t>
  </si>
  <si>
    <t xml:space="preserve">https://www.reddit.com/comments/1ahteu9</t>
  </si>
  <si>
    <t xml:space="preserve">Spotify's discover weekly put taylor swift on my playlist. Is it stupid?.</t>
  </si>
  <si>
    <t xml:space="preserve">https://www.reddit.com/comments/1ai4rqy</t>
  </si>
  <si>
    <t xml:space="preserve">my january music, any recs?.</t>
  </si>
  <si>
    <t xml:space="preserve">https://www.reddit.com/comments/1ai5eio</t>
  </si>
  <si>
    <t xml:space="preserve">Have you listened to anything outside of your usual and would you recommend what you listened to?. I listen to a lot of metal and darker indie stuff, </t>
  </si>
  <si>
    <t xml:space="preserve">https://www.reddit.com/comments/1aiij8j</t>
  </si>
  <si>
    <t xml:space="preserve">Where did the "Enhance" button go?. [removed]</t>
  </si>
  <si>
    <t xml:space="preserve">https://www.reddit.com/comments/1aijhu8</t>
  </si>
  <si>
    <t xml:space="preserve">Share ur local music here!!. If you listen to any good underrated bands that are local to you, share em with me!! I really love discovering new smalle</t>
  </si>
  <si>
    <t xml:space="preserve">https://www.reddit.com/comments/1aj7179</t>
  </si>
  <si>
    <t xml:space="preserve">What could have caused This?. So, I’m mainly an Apple Music user- however I do use Spotify for mainly making playlists to share with people, as it’s e</t>
  </si>
  <si>
    <t xml:space="preserve">https://www.reddit.com/comments/1aj9vlb</t>
  </si>
  <si>
    <t xml:space="preserve">The Discovery Weekly AI has become so lazy that it recommends artist and songs that I 've just searched for and listened to the day before Discovery W</t>
  </si>
  <si>
    <t xml:space="preserve">https://www.reddit.com/comments/1ajeitd</t>
  </si>
  <si>
    <t xml:space="preserve">[Peaceful playlist] Hey, hi, hello! I've recently made this playlist which main focus is to gather instrumental(mainly) songs, that you would listen t</t>
  </si>
  <si>
    <t xml:space="preserve">https://www.reddit.com/comments/1ajem5t</t>
  </si>
  <si>
    <t xml:space="preserve">Spotify friends?. hey who wants to be Spotify friends I am looking for more music recommendations I listen to everything. Black metal, shoegaze, folk,</t>
  </si>
  <si>
    <t xml:space="preserve">https://www.reddit.com/comments/1akamiq</t>
  </si>
  <si>
    <t xml:space="preserve">Only 2 songs get recommended to me. So, I'm brazilian, and I mostly listen to rap and hip-hop adjacent music from my country on spotify, sometimes on </t>
  </si>
  <si>
    <t xml:space="preserve">https://www.reddit.com/comments/1ake82t</t>
  </si>
  <si>
    <t xml:space="preserve">New Feature????. Does anybody know what this new feature is? It seems to be radio maybe for said artist? I tried looking it up but couldn't get a defi</t>
  </si>
  <si>
    <t xml:space="preserve">https://www.reddit.com/comments/1akfm7e</t>
  </si>
  <si>
    <t xml:space="preserve">Why does Spotify play the same 4 songs in rotation?. Kind of an exaggeration but this is with any genre whenever I listen to Spotify, but I just recen</t>
  </si>
  <si>
    <t xml:space="preserve">https://www.reddit.com/comments/1akr6u2</t>
  </si>
  <si>
    <t xml:space="preserve">Looking for Ex-spotify employee. Hi, So I host a podcast. It's pretty new. I want to do an episode on spotify playlists and how the algorithm works. I</t>
  </si>
  <si>
    <t xml:space="preserve">https://www.reddit.com/comments/1akriww</t>
  </si>
  <si>
    <t xml:space="preserve">Help making shuffle work again?. At first, smart shuffle worked well. But now, it plays the same string of songs in the same order every time. Any hel</t>
  </si>
  <si>
    <t xml:space="preserve">https://www.reddit.com/comments/1al8lt5</t>
  </si>
  <si>
    <t xml:space="preserve">Looking for any.. Cozy/ Cafè/ Bossa/ Lo-fi/ Jazz/ Blues/ Latin/ Mellow music suggestions please ☕️🧣🌤️. [removed]</t>
  </si>
  <si>
    <t xml:space="preserve">https://www.reddit.com/comments/1aluckb</t>
  </si>
  <si>
    <t xml:space="preserve">Any recommended songs for this techno playlist?. [removed]</t>
  </si>
  <si>
    <t xml:space="preserve">https://www.reddit.com/comments/1am6c5z</t>
  </si>
  <si>
    <t xml:space="preserve">Recommendations. I have noticed for a while now that whenever I search for a song on Spotify, when the song ends it keeps playing over and over again </t>
  </si>
  <si>
    <t xml:space="preserve">https://www.reddit.com/comments/1ambejz</t>
  </si>
  <si>
    <t xml:space="preserve">Can anyone give me recommendations based on my playlist (I know I have too much Kanye haha).</t>
  </si>
  <si>
    <t xml:space="preserve">https://www.reddit.com/comments/1amko39</t>
  </si>
  <si>
    <t xml:space="preserve">unchecking loop button. context: i am autistic. i listen to songs on repeat - either one song or an entire album if the songs in the album have a simi</t>
  </si>
  <si>
    <t xml:space="preserve">https://www.reddit.com/comments/1amnv58</t>
  </si>
  <si>
    <t xml:space="preserve">Songs for when life means nothing. Been shown life is meaningless, any song recs to help me stop thinking would be great. Thanks in advance</t>
  </si>
  <si>
    <t xml:space="preserve">https://www.reddit.com/comments/1amw09f</t>
  </si>
  <si>
    <t xml:space="preserve">Can someone give me song recs based on some of my music?. [removed]</t>
  </si>
  <si>
    <t xml:space="preserve">https://www.reddit.com/comments/1an5jjn</t>
  </si>
  <si>
    <t xml:space="preserve">Glitter &amp; Honey (if you like hozier, maggie rogers, del water gap or similar artists - my on repeat).</t>
  </si>
  <si>
    <t xml:space="preserve">https://www.reddit.com/comments/1aoh360</t>
  </si>
  <si>
    <t xml:space="preserve">Is there any way to flag false featurings?. I don't know about you guys, but every week I need to dislike a lot of songs in my discover weekly playlis</t>
  </si>
  <si>
    <t xml:space="preserve">https://www.reddit.com/comments/1aokpfe</t>
  </si>
  <si>
    <t xml:space="preserve">who the FUCK is this guy and why was he recommended to me😭. [removed]</t>
  </si>
  <si>
    <t xml:space="preserve">https://www.reddit.com/comments/1ap12kh</t>
  </si>
  <si>
    <t xml:space="preserve">why is spotify recommending this? they have only 1 song.</t>
  </si>
  <si>
    <t xml:space="preserve">https://www.reddit.com/comments/1apho2v</t>
  </si>
  <si>
    <t xml:space="preserve">Smart shuffle gives the EXACT same songs every time. I couldn't find any posts or issue posts directly mentioning this issue but whenever I use smart </t>
  </si>
  <si>
    <t xml:space="preserve">https://www.reddit.com/comments/1aprv69</t>
  </si>
  <si>
    <t xml:space="preserve">Looking for the best solo car ride playlist. TLDR: Looking for playlist with best parts of popular songs Dear Reddit, I’m a sucker for listening to (r</t>
  </si>
  <si>
    <t xml:space="preserve">https://www.reddit.com/comments/1apthon</t>
  </si>
  <si>
    <t xml:space="preserve">I NEED NEW FUNK MUSIC!!. I just got introduced into the funk genre and I’m hooked. What songs/albums/artists do you guys recommend?</t>
  </si>
  <si>
    <t xml:space="preserve">https://www.reddit.com/comments/1aq14w1</t>
  </si>
  <si>
    <t xml:space="preserve">I hate this new tiktok -esque scroll layout for the recommendations....</t>
  </si>
  <si>
    <t xml:space="preserve">https://www.reddit.com/comments/1aq51de</t>
  </si>
  <si>
    <t xml:space="preserve">Having An Odd Spotify Problem. I love me some spotify and i listen to all the time when walkimg Today for the first time it stopped working. I think i</t>
  </si>
  <si>
    <t xml:space="preserve">https://www.reddit.com/comments/1aqto2u</t>
  </si>
  <si>
    <t xml:space="preserve">Anyway to block a song on Spotify?. There’s a certain song on Spotify that I do not wish to listen to. I really really am tired of hearing this song. </t>
  </si>
  <si>
    <t xml:space="preserve">https://www.reddit.com/comments/1ar0ae1</t>
  </si>
  <si>
    <t xml:space="preserve">Listening to a playlist spotify made for me called "On Repeat" which contains my most listened songs and I haven't finished listening to it but so far</t>
  </si>
  <si>
    <t xml:space="preserve">https://www.reddit.com/comments/1ar2jeo</t>
  </si>
  <si>
    <t xml:space="preserve">Safe to Say Daily Mixes Are Broken?. I began to notice the daily mixes not updating last year. The songs would update, but the artists wouldn't. I was</t>
  </si>
  <si>
    <t xml:space="preserve">https://www.reddit.com/comments/1arwzm5</t>
  </si>
  <si>
    <t xml:space="preserve">Suggested songs. How do I stop Spotify from playing suggested songs after only listening to 1-4 songs in my playlists?</t>
  </si>
  <si>
    <t xml:space="preserve">https://www.reddit.com/comments/1asck8y</t>
  </si>
  <si>
    <t xml:space="preserve">Best anime OST. Not openings nor endings. Recommend as many as you want</t>
  </si>
  <si>
    <t xml:space="preserve">https://www.reddit.com/comments/1asi674</t>
  </si>
  <si>
    <t xml:space="preserve">Finding new music. Is there an option so I can only listen to songs I haven’t heard before? Anytime I want to listen to something different, the same </t>
  </si>
  <si>
    <t xml:space="preserve">https://www.reddit.com/comments/1aslrq1</t>
  </si>
  <si>
    <t xml:space="preserve">The BEST Sex Playlist on Spotify 😏 Suggestions?. [removed]</t>
  </si>
  <si>
    <t xml:space="preserve">https://www.reddit.com/comments/1asr5mu</t>
  </si>
  <si>
    <t xml:space="preserve">Just wanna post my playlist. The songs it have are: 1.MOVE YO BODY 2.Animal in Me 3.Misery Meat 4.Hansel 5.Candel Queen 6.Housewife radio 7.Noels Lame</t>
  </si>
  <si>
    <t xml:space="preserve">https://www.reddit.com/comments/1atka9r</t>
  </si>
  <si>
    <t xml:space="preserve">Turning off Spotify recommendation and announcement banners when I already pay for Premium?. I pay for premium but I basically get ads from Spotify se</t>
  </si>
  <si>
    <t xml:space="preserve">https://www.reddit.com/comments/1atnig9</t>
  </si>
  <si>
    <t xml:space="preserve">Help with playlist. Hey guys, I've been making this playlist for a few weeks now and was looking for more songs to add. Up for any suggestions and wou</t>
  </si>
  <si>
    <t xml:space="preserve">https://www.reddit.com/comments/1au00ws</t>
  </si>
  <si>
    <t xml:space="preserve">Lucifers Racin’ Jams. Psychobilly and Neo-Rockabilly jamming songs about Hot Rods, racing, women, and the devil Upbeat and intense Check out my playli</t>
  </si>
  <si>
    <t xml:space="preserve">https://www.reddit.com/comments/1av7nvn</t>
  </si>
  <si>
    <t xml:space="preserve">How to pull the stick out of the algorithms ass?. Everytime I start listening to my favourites it plays everything in the exact same order as it did l</t>
  </si>
  <si>
    <t xml:space="preserve">https://www.reddit.com/comments/1av9fpn</t>
  </si>
  <si>
    <t xml:space="preserve">How are you getting good recommendations?. I have been trying to find a way to get Spotify to give me good recommendations based off music I like and </t>
  </si>
  <si>
    <t xml:space="preserve">https://www.reddit.com/comments/1avod7n</t>
  </si>
  <si>
    <t xml:space="preserve">Is there a way to change the recommended songs on a song or artist’s radio?. I seriously only find use in the radio options to find songs and artists </t>
  </si>
  <si>
    <t xml:space="preserve">https://www.reddit.com/comments/1awnzs4</t>
  </si>
  <si>
    <t xml:space="preserve">How do I view all of my mixes created by spotify?. How do I view all of my mixes created by spotify? It shows me only a few but when I type "romance m</t>
  </si>
  <si>
    <t xml:space="preserve">https://www.reddit.com/comments/1awtypf</t>
  </si>
  <si>
    <t xml:space="preserve">Summer Rewind “Abandoned?”. Why has Spotify never updated this playlist??? I mean it’s almost ridiculous to still have this playlist available if they</t>
  </si>
  <si>
    <t xml:space="preserve">https://www.reddit.com/comments/1axacaj</t>
  </si>
  <si>
    <t xml:space="preserve">(Alt) Rock stomp and holler recs? . I've recently discovered that a majority of my favourite songs all fit into this catagory, but I find it very diff</t>
  </si>
  <si>
    <t xml:space="preserve">https://www.reddit.com/comments/1axj4mp</t>
  </si>
  <si>
    <t xml:space="preserve">Does the Spotify API support auto complete for searching?. Essentially before I implement this I am wondering if I have a input box that a person type</t>
  </si>
  <si>
    <t xml:space="preserve">https://www.reddit.com/comments/1axmwpv</t>
  </si>
  <si>
    <t xml:space="preserve">Returned user after a few years, need declutter advice. So I used to love the music suggestions I got from the app, and that’s why I restarted my subs</t>
  </si>
  <si>
    <t xml:space="preserve">https://www.reddit.com/comments/1axurbf</t>
  </si>
  <si>
    <t xml:space="preserve">3rd party app for filtered, better playlists?. Hey all. No matter what radio I choose, Spotify still thinks I want to listen to the same 5 songs. I'm </t>
  </si>
  <si>
    <t xml:space="preserve">https://www.reddit.com/comments/1ay1arl</t>
  </si>
  <si>
    <t xml:space="preserve">What is the point of smart shuffle?. [removed]</t>
  </si>
  <si>
    <t xml:space="preserve">https://www.reddit.com/comments/1ays5m5</t>
  </si>
  <si>
    <t xml:space="preserve">Am I the only one that Daylists kind of suck for?. [removed]</t>
  </si>
  <si>
    <t xml:space="preserve">https://www.reddit.com/comments/1aywz7d</t>
  </si>
  <si>
    <t xml:space="preserve">Why is smart shuffle on every playlist by default, even the ones I didn't make and have never played before?. Title pretty much. I find it INCREDIBLY </t>
  </si>
  <si>
    <t xml:space="preserve">https://www.reddit.com/comments/1ayx0nz</t>
  </si>
  <si>
    <t xml:space="preserve">Artist abusing voice features, making them unusable- anyone have a fix? Or can Spotify remove them?. Whenever I am using android auto, google home, or</t>
  </si>
  <si>
    <t xml:space="preserve">https://www.reddit.com/comments/1ayze0w</t>
  </si>
  <si>
    <t xml:space="preserve">Is Spotify Turning on Smart Shuffle Automatically?. I have no idea what's happening, but when I play a playlist, for some odd reason, Spotify turns on</t>
  </si>
  <si>
    <t xml:space="preserve">https://www.reddit.com/comments/1az9o0c</t>
  </si>
  <si>
    <t xml:space="preserve">Why does the mobile app only allow you to do their "smart shuffle" instead of playing what you wanted to?. This isn't a thing on my laptop, only my ph</t>
  </si>
  <si>
    <t xml:space="preserve">https://www.reddit.com/comments/1azh74c</t>
  </si>
  <si>
    <t xml:space="preserve">Siri plays the song radio on iPad, not the actual song?. [removed]</t>
  </si>
  <si>
    <t xml:space="preserve">https://www.reddit.com/comments/1b0ayag</t>
  </si>
  <si>
    <t xml:space="preserve">Release Radar ruined. At the time of writing this my Release Radar has maybe 5 songs from artists that I listen to regularly, the rest are artists lik</t>
  </si>
  <si>
    <t xml:space="preserve">https://www.reddit.com/comments/1b0dsbn</t>
  </si>
  <si>
    <t xml:space="preserve">Spotify really wants me to listen to this band. Not a huge fan (only have one of their songs added) but the algorithm floods my recommended with them.</t>
  </si>
  <si>
    <t xml:space="preserve">https://www.reddit.com/comments/1b0suky</t>
  </si>
  <si>
    <t xml:space="preserve">Where are my latinos. I have this song which recently blew up on the radio, and even landed me major hit with music contacts. This song is crazy i kno</t>
  </si>
  <si>
    <t xml:space="preserve">https://www.reddit.com/comments/1b1335e</t>
  </si>
  <si>
    <t xml:space="preserve">Has anyone else noticed this?. Famous rappers like The Game seem to be selling samples of them rapping and then people just insert them in their track</t>
  </si>
  <si>
    <t xml:space="preserve">https://www.reddit.com/comments/1b1avi0</t>
  </si>
  <si>
    <t xml:space="preserve">Daylist Glitches. So for the most part the daylist feature has totally changed how I use Spotify and I love it but a weird thing that happens occasion</t>
  </si>
  <si>
    <t xml:space="preserve">https://www.reddit.com/comments/1b1hbnd</t>
  </si>
  <si>
    <t xml:space="preserve">SEX - HOT PLAYLIST - 70K+ FOLLOWERS (comment suggestions below).</t>
  </si>
  <si>
    <t xml:space="preserve">https://www.reddit.com/comments/1b1kt18</t>
  </si>
  <si>
    <t xml:space="preserve">Can I cancel three month trial . I want to cancel my payment for premium before Spotify has the chance to take it That and really broke but I don't se</t>
  </si>
  <si>
    <t xml:space="preserve">https://www.reddit.com/comments/1b1v90e</t>
  </si>
  <si>
    <t xml:space="preserve">Is it possible to make a random playlist out of all my liked artists?. It seems like Spotify DJ does this, but you can't turn off the moronic voice th</t>
  </si>
  <si>
    <t xml:space="preserve">https://www.reddit.com/comments/1b2ere9</t>
  </si>
  <si>
    <t xml:space="preserve">🍑 who wants to test an extension i made for discovering new niche music through spotify recommendations. Hi I made this thing and I'd like to have som</t>
  </si>
  <si>
    <t xml:space="preserve">https://www.reddit.com/comments/1b2q7y6</t>
  </si>
  <si>
    <t xml:space="preserve">Could you recommend me bands based on my playlist?. Here's my playlist!</t>
  </si>
  <si>
    <t xml:space="preserve">https://www.reddit.com/comments/1b2xuij</t>
  </si>
  <si>
    <t xml:space="preserve">Only the best Alternative music, recommend your favourite song from this genre and I'll give it a listen.</t>
  </si>
  <si>
    <t xml:space="preserve">https://www.reddit.com/comments/1b3dnp3</t>
  </si>
  <si>
    <t xml:space="preserve">September - ostavi trag. Any song recommendations similar to the beginning part of this song? Ty</t>
  </si>
  <si>
    <t xml:space="preserve">https://www.reddit.com/comments/1b3ep4w</t>
  </si>
  <si>
    <t xml:space="preserve">Sppoky small town vibes. I'm looking for spooky, small town America songs. The type of ethereal indie music you'd hear crackling over the AM radio fro</t>
  </si>
  <si>
    <t xml:space="preserve">https://www.reddit.com/comments/1b477zw</t>
  </si>
  <si>
    <t xml:space="preserve">Spooky small time vibes. I'm looking for spooky, small town America songs. The type of ethereal indie music you'd hear crackling over the AM radio fro</t>
  </si>
  <si>
    <t xml:space="preserve">https://www.reddit.com/comments/1b47aq0</t>
  </si>
  <si>
    <t xml:space="preserve">Why is the DJ feature so hit and miss?. It keeps doing things like telling me "here are some tracks you haven't listened to in a long time" and then p</t>
  </si>
  <si>
    <t xml:space="preserve">https://www.reddit.com/comments/1b4rocw</t>
  </si>
  <si>
    <t xml:space="preserve">Why is autoplay on when I've already turned it off?. I have the song on other playlists but it's not on this playlist. I have turned off 'autoplay sim</t>
  </si>
  <si>
    <t xml:space="preserve">https://www.reddit.com/comments/1b7alt1</t>
  </si>
  <si>
    <t xml:space="preserve">How do I block a band from playing. I want to block the Foo Fighters from showing up in my radio. Thanks</t>
  </si>
  <si>
    <t xml:space="preserve">https://www.reddit.com/comments/1b7cz4d</t>
  </si>
  <si>
    <t xml:space="preserve">Radio is an echo chamber.</t>
  </si>
  <si>
    <t xml:space="preserve">https://www.reddit.com/comments/1b7kcpz</t>
  </si>
  <si>
    <t xml:space="preserve">How do I get Spotify to branch out and give me new suggestions?. I'm new to Spotify and I've only had it for about 3 months. The problem I'm having is</t>
  </si>
  <si>
    <t xml:space="preserve">https://www.reddit.com/comments/1b7ru0z</t>
  </si>
  <si>
    <t xml:space="preserve">Drop your favourite song to get you hyped up in the morning, I need recs to make a playlist!!.</t>
  </si>
  <si>
    <t xml:space="preserve">https://www.reddit.com/comments/1b81l20</t>
  </si>
  <si>
    <t xml:space="preserve">Having every playlist be "made for you" really made everything worse.</t>
  </si>
  <si>
    <t xml:space="preserve">https://www.reddit.com/comments/1b8ep9i</t>
  </si>
  <si>
    <t xml:space="preserve">AI DJ out of recommendations?. Am I only one who’s noticed that the AI only has a few recommendations before repeating the same categories and same so</t>
  </si>
  <si>
    <t xml:space="preserve">https://www.reddit.com/comments/1b8pzus</t>
  </si>
  <si>
    <t xml:space="preserve">New undiscovered melodic indie-pop-rock playlist! Song recommendations welcome.</t>
  </si>
  <si>
    <t xml:space="preserve">https://www.reddit.com/comments/1b8z838</t>
  </si>
  <si>
    <t xml:space="preserve">New Music Friday . 🎧 Tune in and let the rhythm of life take over! 🎵 ✨ Welcome to the heart and soul of radio, where music meets magic and dreams come</t>
  </si>
  <si>
    <t xml:space="preserve">https://www.reddit.com/comments/1b9ai82</t>
  </si>
  <si>
    <t xml:space="preserve">Discover weekly just feels like a bunch of promoted songs instead of actual songs I like. It’s getting annoying for me. I weighed a whole week just fo</t>
  </si>
  <si>
    <t xml:space="preserve">https://www.reddit.com/comments/1baz1r9</t>
  </si>
  <si>
    <t xml:space="preserve">Please recommend songs that have the same coke in them as Let It Happen by Tame Impala.</t>
  </si>
  <si>
    <t xml:space="preserve">https://www.reddit.com/comments/1bbqiqs</t>
  </si>
  <si>
    <t xml:space="preserve">Does smart shuffle play automatically for everyone? . I use playlists all the time when using the Spotify app but I usually never do shuffle unless I </t>
  </si>
  <si>
    <t xml:space="preserve">https://www.reddit.com/comments/1bc7vb6</t>
  </si>
  <si>
    <t xml:space="preserve">Obscure music that’s reminiscent is cowboys in space?. Just looking for song recs</t>
  </si>
  <si>
    <t xml:space="preserve">https://www.reddit.com/comments/1bc947i</t>
  </si>
  <si>
    <t xml:space="preserve">I need some workout songs recommendations.. I have dmx and doom eternal stuff and new noise song, just can’t think of anything else I’m new to working</t>
  </si>
  <si>
    <t xml:space="preserve">https://www.reddit.com/comments/1bclll0</t>
  </si>
  <si>
    <t xml:space="preserve">Spotify autoplay is weird. So I have the thing on where after my queue is finished it plays other songs based on what I was listening to but everytime</t>
  </si>
  <si>
    <t xml:space="preserve">https://www.reddit.com/comments/1bd797r</t>
  </si>
  <si>
    <t xml:space="preserve">White noise track goes slightly quieter in first second of play. I like to loop a white noise track for sleep etc to drown out sound. I like to downlo</t>
  </si>
  <si>
    <t xml:space="preserve">https://www.reddit.com/comments/1bdcjww</t>
  </si>
  <si>
    <t xml:space="preserve">100 Songs Before You Die: 70s. I'm trying to collate the ultimate playlist, so I need your help. I want the best songs from each decade, and hopefully</t>
  </si>
  <si>
    <t xml:space="preserve">https://www.reddit.com/comments/1bdsy70</t>
  </si>
  <si>
    <t xml:space="preserve">"now playing" notif not working properly. &amp;#x200B; [my now playing thing is becoming blurry and not showing the length of the song and everything, it </t>
  </si>
  <si>
    <t xml:space="preserve">https://www.reddit.com/comments/1bdwoph</t>
  </si>
  <si>
    <t xml:space="preserve">Started a Deezer trial. I was under the impression that since Spotify had Connect, there must be some licensing issue for HiFi with the providers. Tur</t>
  </si>
  <si>
    <t xml:space="preserve">https://www.reddit.com/comments/1be5v1h</t>
  </si>
  <si>
    <t xml:space="preserve">Need help filling out this playlist please! Epic songs that destroy you like Nothing Else Matters. This is all I have (not many unfortunately...). So,</t>
  </si>
  <si>
    <t xml:space="preserve">https://www.reddit.com/comments/1be9qe8</t>
  </si>
  <si>
    <t xml:space="preserve">Spotify daily mixes have not been updated for over a year now. [removed]</t>
  </si>
  <si>
    <t xml:space="preserve">https://www.reddit.com/comments/1beqn77</t>
  </si>
  <si>
    <t xml:space="preserve">AI DJ Adding Podcasts. [removed]</t>
  </si>
  <si>
    <t xml:space="preserve">https://www.reddit.com/comments/1bewq73</t>
  </si>
  <si>
    <t xml:space="preserve">Song recs with this specific message (I got you). Ok so something with the intention of letting someone know you got them forever, wanting to make it </t>
  </si>
  <si>
    <t xml:space="preserve">https://www.reddit.com/comments/1bewtvt</t>
  </si>
  <si>
    <t xml:space="preserve">Anybody else find themselves saving their Daylists?. Sometimes I get a daylist that really hits the spot, and I want to go back and listen to it again</t>
  </si>
  <si>
    <t xml:space="preserve">https://www.reddit.com/comments/1bf0did</t>
  </si>
  <si>
    <t xml:space="preserve">House Music/rooftop house. [ &amp;#x200B; please make suggestions on the comments for songs</t>
  </si>
  <si>
    <t xml:space="preserve">https://www.reddit.com/comments/1bf524l</t>
  </si>
  <si>
    <t xml:space="preserve">Any song recommendations??. [removed]</t>
  </si>
  <si>
    <t xml:space="preserve">https://www.reddit.com/comments/1bfez3v</t>
  </si>
  <si>
    <t xml:space="preserve">Need song recommendations - tamil , English even Hindi would be fine. [removed]</t>
  </si>
  <si>
    <t xml:space="preserve">https://www.reddit.com/comments/1bfg0tz</t>
  </si>
  <si>
    <t xml:space="preserve">If you're a fan of the Disney Movie Soundtracks I recommend this playlist. No vocals, just the Soundtrack :) Been using it to study and falling asleep</t>
  </si>
  <si>
    <t xml:space="preserve">https://www.reddit.com/comments/1bfiahn</t>
  </si>
  <si>
    <t xml:space="preserve">what are the best love songs?. i am in the process of making a spotify playlist, and i want to know what the best love songs are to you guys. any sugg</t>
  </si>
  <si>
    <t xml:space="preserve">https://www.reddit.com/comments/1bfkaz4</t>
  </si>
  <si>
    <t xml:space="preserve">song recommendations?. [removed]</t>
  </si>
  <si>
    <t xml:space="preserve">https://www.reddit.com/comments/1bfu1w6</t>
  </si>
  <si>
    <t xml:space="preserve">A lot of my favorite songs (open to any suggestions).</t>
  </si>
  <si>
    <t xml:space="preserve">https://www.reddit.com/comments/1bgb8ar</t>
  </si>
  <si>
    <t xml:space="preserve">Random music button . I've been thinking recently that spotify needs a button . Like something you click and a random songs starts playing. Then after</t>
  </si>
  <si>
    <t xml:space="preserve">https://www.reddit.com/comments/1bgeqyq</t>
  </si>
  <si>
    <t xml:space="preserve">Extremely slow, crashes when I’m playing music in the background after 30-60 seconds . Firstly I want to say, I have background app refresh on. I’ve l</t>
  </si>
  <si>
    <t xml:space="preserve">https://www.reddit.com/comments/1bgzrv1</t>
  </si>
  <si>
    <t xml:space="preserve">A mix of my favorite songs from different genres( open to any suggestions).</t>
  </si>
  <si>
    <t xml:space="preserve">https://www.reddit.com/comments/1bhdm1m</t>
  </si>
  <si>
    <t xml:space="preserve">Made a new playlist!!. please do give it a like and open for more song suggestions! [</t>
  </si>
  <si>
    <t xml:space="preserve">https://www.reddit.com/comments/1bhqqps</t>
  </si>
  <si>
    <t xml:space="preserve">How to play songs that weren't played for a long time. I am already sick of all songs in my daily mixes. Unless I explicitly find songs one by one and</t>
  </si>
  <si>
    <t xml:space="preserve">https://www.reddit.com/comments/1bhumul</t>
  </si>
  <si>
    <t xml:space="preserve">Songs like Supersonic(My existence) by Skrillex?. That song slaps so hard. Ofc songs by skrillex and noisia are all pretty similar. What other artists</t>
  </si>
  <si>
    <t xml:space="preserve">https://www.reddit.com/comments/1bhv8ay</t>
  </si>
  <si>
    <t xml:space="preserve">Daily mixes totally wrong?. I've always listened to hard rock, metal( and some hiphop but that's negligible, only local artists)but have been getting </t>
  </si>
  <si>
    <t xml:space="preserve">https://www.reddit.com/comments/1bimabw</t>
  </si>
  <si>
    <t xml:space="preserve">Grand Theft Auto radio . I got asked if I'm a 50 year old black man from SoCal or underage kid who thinks he grew up in the wrong time which I find th</t>
  </si>
  <si>
    <t xml:space="preserve">https://www.reddit.com/comments/1birxmr</t>
  </si>
  <si>
    <t xml:space="preserve">NTS Radio // Optimo.</t>
  </si>
  <si>
    <t xml:space="preserve">https://www.reddit.com/comments/1biw13s</t>
  </si>
  <si>
    <t xml:space="preserve">Discovery Weekly Sucks. What happened to discover weekly? Mine is now populated with a bunch of old songs that I already know and love… bunch of 90s c</t>
  </si>
  <si>
    <t xml:space="preserve">https://www.reddit.com/comments/1bixaw2</t>
  </si>
  <si>
    <t xml:space="preserve">Discover Weekly, what the fuck?.</t>
  </si>
  <si>
    <t xml:space="preserve">https://www.reddit.com/comments/1bjh6zy</t>
  </si>
  <si>
    <t xml:space="preserve">daylist now available in many more countries. [removed]</t>
  </si>
  <si>
    <t xml:space="preserve">https://www.reddit.com/comments/1bkcvdb</t>
  </si>
  <si>
    <t xml:space="preserve">Recently switched to Spotify Duo, does anyone else feel like it completely changed their personalization?. Just as the title says. My husband and I de</t>
  </si>
  <si>
    <t xml:space="preserve">https://www.reddit.com/comments/1bkf3hc</t>
  </si>
  <si>
    <t xml:space="preserve">Are Spotify UI Designers Cross-Eyed?. I turned on Spotify today to find yet another unasked UI change. The song queue is now in the sidebar which is f</t>
  </si>
  <si>
    <t xml:space="preserve">https://www.reddit.com/comments/1bkuq8q</t>
  </si>
  <si>
    <t xml:space="preserve">How can you curate recommendations again?. Sorry, semi-new Spotify user here. Used it for years in high school but after 2021, I switched to Apple Mus</t>
  </si>
  <si>
    <t xml:space="preserve">https://www.reddit.com/comments/1bkyho8</t>
  </si>
  <si>
    <t xml:space="preserve">Spotify DJ. I’m not sure when Spotify introduced the AI DJ feature and in fact if I had known what it was before I clicked on it I probably wouldn’t h</t>
  </si>
  <si>
    <t xml:space="preserve">https://www.reddit.com/comments/1bl6a3a</t>
  </si>
  <si>
    <t xml:space="preserve">A nice chillhop tune I made for you all :) Enjoy your Sunday. [removed]</t>
  </si>
  <si>
    <t xml:space="preserve">https://www.reddit.com/comments/1blvga3</t>
  </si>
  <si>
    <t xml:space="preserve">Songs with the same vibe as Blue Jean Blues by ZZ Top. Hey, I’m looking for songs with a similar vibe as Blue Jean Blues. When I hear the song it remi</t>
  </si>
  <si>
    <t xml:space="preserve">https://www.reddit.com/comments/1bnbapo</t>
  </si>
  <si>
    <t xml:space="preserve">How do you guys get songs recommendation?. How do you gather information about currently trending artists or playlists, and how do you discover your f</t>
  </si>
  <si>
    <t xml:space="preserve">https://www.reddit.com/comments/1bngn78</t>
  </si>
  <si>
    <t xml:space="preserve">My friend's Release Radar was a bit wild this week... (NSFW).</t>
  </si>
  <si>
    <t xml:space="preserve">https://www.reddit.com/comments/1bnmtsy</t>
  </si>
  <si>
    <t xml:space="preserve">https://www.reddit.com/comments/1bnmwve</t>
  </si>
  <si>
    <t xml:space="preserve">Why does no European country have access to Spotify Daylist? I'd love to have that feature!.</t>
  </si>
  <si>
    <t xml:space="preserve">https://www.reddit.com/comments/1bnu2oh</t>
  </si>
  <si>
    <t xml:space="preserve">https://www.reddit.com/comments/1bo2d53</t>
  </si>
  <si>
    <t xml:space="preserve">Song for yearbook. Instead of quotes, I need to pick a song for my yearbook (cos it's Spotify themed) and I thought this would be the best place to as</t>
  </si>
  <si>
    <t xml:space="preserve">https://www.reddit.com/comments/1bo2if0</t>
  </si>
  <si>
    <t xml:space="preserve">Someone pls help: fix my daily mixes.. [removed]</t>
  </si>
  <si>
    <t xml:space="preserve">https://www.reddit.com/comments/1bodfao</t>
  </si>
  <si>
    <t xml:space="preserve">Recommend me some songs/albums!! . Some of my favorite artists are: Tyler, the Creator, Arctic Monkeys, The Smashing Pumpkins, Ramones, Deftones, Alex</t>
  </si>
  <si>
    <t xml:space="preserve">https://www.reddit.com/comments/1bom8ds</t>
  </si>
  <si>
    <t xml:space="preserve">Looking for emotional songs by male singers, preferably deep, dark and generally low frequency.. So far I got: "Impossible Year" by Panic! At the disc</t>
  </si>
  <si>
    <t xml:space="preserve">https://www.reddit.com/comments/1bomtuw</t>
  </si>
  <si>
    <t xml:space="preserve">when will spotify stop showing me music i already listen to!?. seriously like they shove the music i already listen to down my throat. i miss when it </t>
  </si>
  <si>
    <t xml:space="preserve">https://www.reddit.com/comments/1bowun1</t>
  </si>
  <si>
    <t xml:space="preserve">song/artist recommendation. I wanna expand my music taste because the songs i like are usually just kpop or songs i found on tiktok 🥲 Can anyone recom</t>
  </si>
  <si>
    <t xml:space="preserve">https://www.reddit.com/comments/1boxk3k</t>
  </si>
  <si>
    <t xml:space="preserve">Follow up on post I made on r/spotify. Sometimes while listening to an album I’ll pause whatever song I’m on, and after either listening to something </t>
  </si>
  <si>
    <t xml:space="preserve">https://www.reddit.com/comments/1bp836x</t>
  </si>
  <si>
    <t xml:space="preserve">Folk music recommendations . I wanna start listening to folk music n shit, like bob Dylan. But I don't really know where to start. Anyone got any reco</t>
  </si>
  <si>
    <t xml:space="preserve">https://www.reddit.com/comments/1bpc7jr</t>
  </si>
  <si>
    <t xml:space="preserve">Spotify is a a corporate echo chamber.. Spotify is just one big echo chamber that plays the same fucking 5 artists and 10 songs it sucks so much and j</t>
  </si>
  <si>
    <t xml:space="preserve">https://www.reddit.com/comments/1bpm6r3</t>
  </si>
  <si>
    <t xml:space="preserve">Can’t turn off shuffle???. Can’t post video but as soon as I try to turn it off in any playlist, it turns on smart shuffle after a second or two. Wtf </t>
  </si>
  <si>
    <t xml:space="preserve">https://www.reddit.com/comments/1bq3o3i</t>
  </si>
  <si>
    <t xml:space="preserve">DJ X does not know me at all. Who is this guy and what makes him think that because I like train food by XXXtentacion, the next song I should hear is </t>
  </si>
  <si>
    <t xml:space="preserve">https://www.reddit.com/comments/1bqvh2o</t>
  </si>
  <si>
    <t xml:space="preserve">Daylist offers me Chinese hip hop. [removed]</t>
  </si>
  <si>
    <t xml:space="preserve">https://www.reddit.com/comments/1br72nv</t>
  </si>
  <si>
    <t xml:space="preserve">Songs like Bad Sneakers. . Bad Sneakers by steely Dan is my favorite time but I can’t find any songs that feel the same. Even other steely dan songs I</t>
  </si>
  <si>
    <t xml:space="preserve">https://www.reddit.com/comments/1br8vyg</t>
  </si>
  <si>
    <t xml:space="preserve">Difference between Radio and Mix?. I was wondering what the difference is between an artist’s radio and their mix? Does anyone know?!</t>
  </si>
  <si>
    <t xml:space="preserve">https://www.reddit.com/comments/1bsh70c</t>
  </si>
  <si>
    <t xml:space="preserve">Song in my playlist is playing a completely different song by a different artist that isn’t in my playlist.. I am playing my Oldies playlist, when “Tw</t>
  </si>
  <si>
    <t xml:space="preserve">https://www.reddit.com/comments/1bsijfr</t>
  </si>
  <si>
    <t xml:space="preserve">are there any bots that can hook up to spotify desktop to save songs from daylist periodically. every time daylist is pretty good, or daily mix but yo</t>
  </si>
  <si>
    <t xml:space="preserve">https://www.reddit.com/comments/1bsinx4</t>
  </si>
  <si>
    <t xml:space="preserve">recently fell in love with this type of music, it feels so nostalgic and i want more. any recommendations?.</t>
  </si>
  <si>
    <t xml:space="preserve">https://www.reddit.com/comments/1bskezc</t>
  </si>
  <si>
    <t xml:space="preserve">recently fell in love with this type of music, it feels so nostalgic and i want more. any recommendations?. to clarify what i mean (also check “Down” </t>
  </si>
  <si>
    <t xml:space="preserve">https://www.reddit.com/comments/1bskonz</t>
  </si>
  <si>
    <t xml:space="preserve">Best music from the classical era to the 1940s?. I’m looking for more music from this time but it’s kind of hard as it’s a very long time ago. I would</t>
  </si>
  <si>
    <t xml:space="preserve">https://www.reddit.com/comments/1bsp4xe</t>
  </si>
  <si>
    <t xml:space="preserve">NTS Radio // John Zorn Special.</t>
  </si>
  <si>
    <t xml:space="preserve">https://www.reddit.com/comments/1bspmm4</t>
  </si>
  <si>
    <t xml:space="preserve">How do i get Spotify dj? . I've have premium, i was originally from Finland but now live in Ireland. And I've read that it was released here a year ag</t>
  </si>
  <si>
    <t xml:space="preserve">https://www.reddit.com/comments/1bt1wy2</t>
  </si>
  <si>
    <t xml:space="preserve">Spotify DJ April fool joke. Is it just me or did anyone else’s Spotify DJ, play an April fools joke on them?? I was caught of guard this morning but i</t>
  </si>
  <si>
    <t xml:space="preserve">https://www.reddit.com/comments/1bt7xfb</t>
  </si>
  <si>
    <t xml:space="preserve">Anyone else experiencing this bug?. When I’m listening to an album, in the middle of it not even after it’s over, it’ll randomly start playing recomme</t>
  </si>
  <si>
    <t xml:space="preserve">https://www.reddit.com/comments/1bthukf</t>
  </si>
  <si>
    <t xml:space="preserve">Forcing a popular song in my On Repeat🤡 I played it one time. Stop letting labels buy this much promotion please it's a monopoly .</t>
  </si>
  <si>
    <t xml:space="preserve">https://www.reddit.com/comments/1bu2hjt</t>
  </si>
  <si>
    <t xml:space="preserve">Listened Once, Regretting It Forever (?). So I listened to a relaxation Playlist last week. Spotify is now mixing it into EVERYTHING!!! I don't want r</t>
  </si>
  <si>
    <t xml:space="preserve">https://www.reddit.com/comments/1bv817x</t>
  </si>
  <si>
    <t xml:space="preserve">Recommend me song at Traffic Jam. [removed]</t>
  </si>
  <si>
    <t xml:space="preserve">https://www.reddit.com/comments/1bx4usd</t>
  </si>
  <si>
    <t xml:space="preserve">Wtf? 😭 My daylist consist on 99% of Amy MacDonald’s songs.. Same happens when I listen liked songs on shuffle or smart shuffle. Spotify just randomly </t>
  </si>
  <si>
    <t xml:space="preserve">https://www.reddit.com/comments/1bxaz9r</t>
  </si>
  <si>
    <t xml:space="preserve">Is it just me, or is the spotify recommend songs in your playlist terrible?. Not just the options, but it keeps showing the same ones. If i refresh th</t>
  </si>
  <si>
    <t xml:space="preserve">https://www.reddit.com/comments/1bxfvrc</t>
  </si>
  <si>
    <t xml:space="preserve">dntst here, fellow playlist addict. for anyone that wants to feed their addiction with fresh music, some of my favorite daily mixes below :3. Essentia</t>
  </si>
  <si>
    <t xml:space="preserve">https://www.reddit.com/comments/1bxggg5</t>
  </si>
  <si>
    <t xml:space="preserve">Files app. Spotify isn’t showing up in my files app (Apple) and I don’t know what to do. Any suggestions?</t>
  </si>
  <si>
    <t xml:space="preserve">https://www.reddit.com/comments/1bxnspf</t>
  </si>
  <si>
    <t xml:space="preserve">Can’t see record labels anymore. When you click on an album and scroll to the bottom, you can no longer see who owns the rights to the music or which </t>
  </si>
  <si>
    <t xml:space="preserve">https://www.reddit.com/comments/1bxvczx</t>
  </si>
  <si>
    <t xml:space="preserve">Unwanted songs . How can I stop unwanted "recommended songs" popping up on my playlists on the mobile app. (I have standard Spotify) I have created th</t>
  </si>
  <si>
    <t xml:space="preserve">https://www.reddit.com/comments/1by3x59</t>
  </si>
  <si>
    <t xml:space="preserve">Music suggestions that are similar to those of this playlist? . Hi! I'm a Singer-Songwriter and I'm looking for new songs to cover. Here's what I've c</t>
  </si>
  <si>
    <t xml:space="preserve">https://www.reddit.com/comments/1by94sp</t>
  </si>
  <si>
    <t xml:space="preserve">Bluegrass/country music playslist! Feel free to leave suggestions.. [ I've put together a playlist of my favorite bluegrass/country songs that I'd lis</t>
  </si>
  <si>
    <t xml:space="preserve">https://www.reddit.com/comments/1byc4r1</t>
  </si>
  <si>
    <t xml:space="preserve">The radio edit version of Praise You by Fatboy Slim is randomly unavailable for me as of yesterday. Is there a way to get the song back?.</t>
  </si>
  <si>
    <t xml:space="preserve">https://www.reddit.com/comments/1byc5va</t>
  </si>
  <si>
    <t xml:space="preserve">Am I the only one waiting for Discover Weekly every sunday night?. some of the advice you give me is just great. what are some of your favorite songs </t>
  </si>
  <si>
    <t xml:space="preserve">https://www.reddit.com/comments/1bydim7</t>
  </si>
  <si>
    <t xml:space="preserve">release radar is truly dead. I would throw in a screenshot but theres no point because i cant even get all of them in one. Out of my 120 song release </t>
  </si>
  <si>
    <t xml:space="preserve">https://www.reddit.com/comments/1byi16x</t>
  </si>
  <si>
    <t xml:space="preserve">just opted out of sponsored recommendations for the fifth time. this app is run by clowns. [removed]</t>
  </si>
  <si>
    <t xml:space="preserve">https://www.reddit.com/comments/1byxmq8</t>
  </si>
  <si>
    <t xml:space="preserve">Daylist. What are your views on daylist feature of spotify?</t>
  </si>
  <si>
    <t xml:space="preserve">https://www.reddit.com/comments/1bz1qtc</t>
  </si>
  <si>
    <t xml:space="preserve">100 Songs Before You Die Disc 2: Pre-1960s. I’m back! The second part of the 100 Songs Before You Die series starts today. Here’s the schedule, they w</t>
  </si>
  <si>
    <t xml:space="preserve">https://www.reddit.com/comments/1bz34yb</t>
  </si>
  <si>
    <t xml:space="preserve">Why does Spotify keep recommending the same songs?. Whenever i create a playlist with a certain genre Spotify keeps recommending me the same songs, ev</t>
  </si>
  <si>
    <t xml:space="preserve">https://www.reddit.com/comments/1bz3ift</t>
  </si>
  <si>
    <t xml:space="preserve">App issue - not sure if this is the right place. Hi, Since I got my new phone the Spotify app refuses to save my preferences on how my playlists are l</t>
  </si>
  <si>
    <t xml:space="preserve">https://www.reddit.com/comments/1bz59sz</t>
  </si>
  <si>
    <t xml:space="preserve">I AM A BAD BAD BOY (Deadpool cover song)@D.J-Radio.</t>
  </si>
  <si>
    <t xml:space="preserve">https://www.reddit.com/comments/1bzh50q</t>
  </si>
  <si>
    <t xml:space="preserve">How do I delete playlists that are displayed on the Home page?. On Spotify, at the top, there is a grid of your own playlists and playlists that have </t>
  </si>
  <si>
    <t xml:space="preserve">https://www.reddit.com/comments/1bzul6x</t>
  </si>
  <si>
    <t xml:space="preserve">My Spotify playlist is over 5 hours long with 132 songs on it, why does it keep playing the same 10-15 songs?. It’s always those ones in rotation on s</t>
  </si>
  <si>
    <t xml:space="preserve">https://www.reddit.com/comments/1bzzfjv</t>
  </si>
  <si>
    <t xml:space="preserve">Can anyone suggest me an algorithm to generate music compatibilty score using the spotify web API? . What metrics can I use that I can easily fetch fr</t>
  </si>
  <si>
    <t xml:space="preserve">https://www.reddit.com/comments/1bzzv0u</t>
  </si>
  <si>
    <t xml:space="preserve">Mega pop playlist my friends and I made , looking for song recommendations , 300 songs so far 🙂.</t>
  </si>
  <si>
    <t xml:space="preserve">https://www.reddit.com/comments/1c01idx</t>
  </si>
  <si>
    <t xml:space="preserve">Mega pop playlist my friends and I made , looking for song recommendations , 300 songs so far !!.</t>
  </si>
  <si>
    <t xml:space="preserve">https://www.reddit.com/comments/1c01ked</t>
  </si>
  <si>
    <t xml:space="preserve">I want to listen to **my** podcasts an **not** recommendations!. [removed]</t>
  </si>
  <si>
    <t xml:space="preserve">https://www.reddit.com/comments/1c0fvr8</t>
  </si>
  <si>
    <t xml:space="preserve">Daylist trying to tell me something . [removed]</t>
  </si>
  <si>
    <t xml:space="preserve">https://www.reddit.com/comments/1c0lz0r</t>
  </si>
  <si>
    <t xml:space="preserve">New information about Supremium, Lossless and more. Hello again :) After [my last post here about Supremium]( Spotify was quick to remove all the stri</t>
  </si>
  <si>
    <t xml:space="preserve">https://www.reddit.com/comments/1c0pd1d</t>
  </si>
  <si>
    <t xml:space="preserve">Songs out of playlist played. Free plan. I cant find any setting that turns these off. Automix off, Autoplay similar content off. Thats all the settin</t>
  </si>
  <si>
    <t xml:space="preserve">https://www.reddit.com/comments/1c0pv1k</t>
  </si>
  <si>
    <t xml:space="preserve">100 Songs Before You Die Part 2: 1960s. This is the second part of the ultimate playlist through the years. Today I am looking for 14 songs from the 1</t>
  </si>
  <si>
    <t xml:space="preserve">https://www.reddit.com/comments/1c0qnx7</t>
  </si>
  <si>
    <t xml:space="preserve">Looking for darkwave/dark-synthpop/wave songs that will fit into my playlist. Hey all, I'm building a playlist with my fav darkwave/wave/synthpop etc.</t>
  </si>
  <si>
    <t xml:space="preserve">https://www.reddit.com/comments/1c0wi97</t>
  </si>
  <si>
    <t xml:space="preserve">Looking for Rap songs for my 119h long playlist . Let’s get the playlist to 200h lol. I’m open to any rap suggestions really so just comment your favo</t>
  </si>
  <si>
    <t xml:space="preserve">https://www.reddit.com/comments/1c0ww6t</t>
  </si>
  <si>
    <t xml:space="preserve">Playlist on someone’s account shows “made for (my username)” ? . To clarify , this person isn’t on my friends list or anything . This is a playlist on</t>
  </si>
  <si>
    <t xml:space="preserve">https://www.reddit.com/comments/1c10ze3</t>
  </si>
  <si>
    <t xml:space="preserve">Daylist is nice and interesting, but today it was only about one artist.</t>
  </si>
  <si>
    <t xml:space="preserve">https://www.reddit.com/comments/1c1btbk</t>
  </si>
  <si>
    <t xml:space="preserve">Songs for that sad mood. If you have any suggestions please feel free to share it</t>
  </si>
  <si>
    <t xml:space="preserve">https://www.reddit.com/comments/1c1hete</t>
  </si>
  <si>
    <t xml:space="preserve">BDSM songs?. I'm looking for songs such as ms salmonella which usually have alot of emotion or usually said as soul crushing. Not looking for a playli</t>
  </si>
  <si>
    <t xml:space="preserve">https://www.reddit.com/comments/1c1hx71</t>
  </si>
  <si>
    <t xml:space="preserve">Why are three of the first four suggestions songs which are already on the playlist? Good job Spotify lmao..</t>
  </si>
  <si>
    <t xml:space="preserve">https://www.reddit.com/comments/1c1ltay</t>
  </si>
  <si>
    <t xml:space="preserve">I’ve been into ambient jazz and melodic ambient lately, anyone have good suggestions for the list I’m putting together?.</t>
  </si>
  <si>
    <t xml:space="preserve">https://www.reddit.com/comments/1c1q5b5</t>
  </si>
  <si>
    <t xml:space="preserve">Is anybody else able to turn off shuffle in their daily mix? (Free version) . I’m confused how it happened is this a thing or is it a glitch</t>
  </si>
  <si>
    <t xml:space="preserve">https://www.reddit.com/comments/1c1qrjf</t>
  </si>
  <si>
    <t xml:space="preserve">Looking for 80s best songs! (top 5). Drop me your top 5 songs from the 80s, I'm trying to make the ultimate 80s music playlist and looking for recomme</t>
  </si>
  <si>
    <t xml:space="preserve">https://www.reddit.com/comments/1c2lqot</t>
  </si>
  <si>
    <t xml:space="preserve">Can you recommend me a song about unrequited love?. [removed]</t>
  </si>
  <si>
    <t xml:space="preserve">https://www.reddit.com/comments/1c2x9c4</t>
  </si>
  <si>
    <t xml:space="preserve">Spotify don't let me turn off autoplay. I use Spotify Premium on 3 devices : two laptops and a smartphone. In each of them, I turned off "Autoplay", "</t>
  </si>
  <si>
    <t xml:space="preserve">https://www.reddit.com/comments/1c3ahwe</t>
  </si>
  <si>
    <t xml:space="preserve">“Your Favourite Artists” Just advertising now?. Previously ‘Your favourite artists’ used to show my actual top artists. Now it seems to just be showin</t>
  </si>
  <si>
    <t xml:space="preserve">https://www.reddit.com/comments/1c3e0n1</t>
  </si>
  <si>
    <t xml:space="preserve">Where’s all the features??. How come so many people have the music videos, the snake playlist, ai DJ, audiobooks, and the monthly stats. IM PAYING FOR</t>
  </si>
  <si>
    <t xml:space="preserve">https://www.reddit.com/comments/1c432yn</t>
  </si>
  <si>
    <t xml:space="preserve">the hell is going on with this song?. the song itself seemed normal, but when i clicked on the artist it said they had no songs. then i clicked on the</t>
  </si>
  <si>
    <t xml:space="preserve">https://www.reddit.com/comments/1c4enci</t>
  </si>
  <si>
    <t xml:space="preserve">AI DJ Crossfade for different playlists?. Hey, I just wanted to know if there’s a way too, or I should make an idea on Spotify’s website(?) I want an </t>
  </si>
  <si>
    <t xml:space="preserve">https://www.reddit.com/comments/1c4l80e</t>
  </si>
  <si>
    <t xml:space="preserve">any other songs that sounds like JungKook's seven and TateMcrae's exes ?. i don't know the exact genre of these songs but i love it a lot. any other r</t>
  </si>
  <si>
    <t xml:space="preserve">https://www.reddit.com/comments/1c4nrc2</t>
  </si>
  <si>
    <t xml:space="preserve">Cruel Summer always recommended. I'm getting quite annoyed. On multiple people's accounts, Cruel Summer is oftentimes the song that Spotify chooses to</t>
  </si>
  <si>
    <t xml:space="preserve">https://www.reddit.com/comments/1c4woaq</t>
  </si>
  <si>
    <t xml:space="preserve">music suggestions . [removed]</t>
  </si>
  <si>
    <t xml:space="preserve">https://www.reddit.com/comments/1c508z9</t>
  </si>
  <si>
    <t xml:space="preserve">Does not saving Podcast episodes to 'Your episodes' affect recommendations?. I don't like the way the 'Your Episodes' playlist handles podcasts. (ie. </t>
  </si>
  <si>
    <t xml:space="preserve">https://www.reddit.com/comments/1c53v1y</t>
  </si>
  <si>
    <t xml:space="preserve">I feel like everyone in my life is leaving me, any sad song recommendations that explore this? . I know I’ll eventually get over it but for now sittin</t>
  </si>
  <si>
    <t xml:space="preserve">https://www.reddit.com/comments/1c72eoc</t>
  </si>
  <si>
    <t xml:space="preserve">I feel like everyone I love is leaving me, any sad song recommendations that explore this? . I know I’ll eventually get over this but right now sittin</t>
  </si>
  <si>
    <t xml:space="preserve">https://www.reddit.com/comments/1c72g66</t>
  </si>
  <si>
    <t xml:space="preserve">Help me find more songs like this . I'm looking for more music like this song. Energetic, poppy, and a little rock/metal. It's so catchy and I have it</t>
  </si>
  <si>
    <t xml:space="preserve">https://www.reddit.com/comments/1c735i1</t>
  </si>
  <si>
    <t xml:space="preserve">Music Recs - Emo, Post-Hardcore??. I've been listening to a lot of [this kind of music]( lately and would love to know if anyone has any recommendatio</t>
  </si>
  <si>
    <t xml:space="preserve">https://www.reddit.com/comments/1c7dwi1</t>
  </si>
  <si>
    <t xml:space="preserve">Check out my new epic cinematic music playlist! Open to song suggestions!.</t>
  </si>
  <si>
    <t xml:space="preserve">https://www.reddit.com/comments/1c7tluh</t>
  </si>
  <si>
    <t xml:space="preserve">any song suggestions that would fit this late night playlist?. [</t>
  </si>
  <si>
    <t xml:space="preserve">https://www.reddit.com/comments/1c84emf</t>
  </si>
  <si>
    <t xml:space="preserve">playback device. Hi, Long story short (and unresolved by Spotify "support" for a long time), I have a few Echo Dots and Apple homepods in the house. M</t>
  </si>
  <si>
    <t xml:space="preserve">https://www.reddit.com/comments/1c8i8g0</t>
  </si>
  <si>
    <t xml:space="preserve">Making a playlist where I listen to Smosh songs as a start for listening Smosh musics in Spotify since I am not ready yet so can you please recommend </t>
  </si>
  <si>
    <t xml:space="preserve">https://www.reddit.com/comments/1c8tjrj</t>
  </si>
  <si>
    <t xml:space="preserve">Playlist recommendation glitch?. Playlists have the recommended songs if you scroll to the bottom, and usually if you hit refresh it will give you dif</t>
  </si>
  <si>
    <t xml:space="preserve">https://www.reddit.com/comments/1c8vxdl</t>
  </si>
  <si>
    <t xml:space="preserve">Spotify DJ Fanart. [removed]</t>
  </si>
  <si>
    <t xml:space="preserve">https://www.reddit.com/comments/1c95wh6</t>
  </si>
  <si>
    <t xml:space="preserve">Looking for suggestions - made this Afro House playlist to start enjoying the spring/summer season. Including music from Keinemusik (&amp;ME, Rampa, Adam </t>
  </si>
  <si>
    <t xml:space="preserve">https://www.reddit.com/comments/1c9jawi</t>
  </si>
  <si>
    <t xml:space="preserve">Anyone else getting recommended questionable songs?. I keep getting recommended “Tell your girlfriend” and “The End of Beginning” regardless of the so</t>
  </si>
  <si>
    <t xml:space="preserve">https://www.reddit.com/comments/1c9ouka</t>
  </si>
  <si>
    <t xml:space="preserve">Share your playlist and let others suggest some songs to add to it. Here's mine. Chill type EDM songs with all songs having vocals in them. Always add</t>
  </si>
  <si>
    <t xml:space="preserve">https://www.reddit.com/comments/1c9pysz</t>
  </si>
  <si>
    <t xml:space="preserve">Songs about napalm . This might sound weird but, I'm looking for song recommendations that talks about or references napalm. Any genre is fine. [You c</t>
  </si>
  <si>
    <t xml:space="preserve">https://www.reddit.com/comments/1c9sq3x</t>
  </si>
  <si>
    <t xml:space="preserve">Anyone Else Annoyed By This?. Has anyone noticed when you are scrolling through a playlist other than your "Liked Songs" (ie Daylist, or Top Rap Hits </t>
  </si>
  <si>
    <t xml:space="preserve">https://www.reddit.com/comments/1c9zr57</t>
  </si>
  <si>
    <t xml:space="preserve">For those looking for song recommendations! Indie rock/pop hits and hidden gems!. [removed]</t>
  </si>
  <si>
    <t xml:space="preserve">https://www.reddit.com/comments/1ca1s35</t>
  </si>
  <si>
    <t xml:space="preserve">Discover Weekly Empty for anyone?. Is anyone else's Discover Weekly empty this week? I wanted to listed to the new song recommendations as I do every </t>
  </si>
  <si>
    <t xml:space="preserve">https://www.reddit.com/comments/1ca3cgv</t>
  </si>
  <si>
    <t xml:space="preserve">Recommend for you banner. [removed]</t>
  </si>
  <si>
    <t xml:space="preserve">https://www.reddit.com/comments/1ca63kv</t>
  </si>
  <si>
    <t xml:space="preserve">My playlist &amp; radio playlists recommendations are almost identical now.. Is anyone else really unhappy with their song recommendations and playlist so</t>
  </si>
  <si>
    <t xml:space="preserve">https://www.reddit.com/comments/1cab0a9</t>
  </si>
  <si>
    <t xml:space="preserve">Am I going crazy or did shuffle just get a major upgrade?. I have been disappointed in Spotify’s shuffle feature for as long as I’ve used the service,</t>
  </si>
  <si>
    <t xml:space="preserve">https://www.reddit.com/comments/1cah2yd</t>
  </si>
  <si>
    <t xml:space="preserve">Is it just me or recommendations are very broken?. For the last 5 months my release radar and weekly playlists have been mostly phonk music, but I don</t>
  </si>
  <si>
    <t xml:space="preserve">https://www.reddit.com/comments/1car4h5</t>
  </si>
  <si>
    <t xml:space="preserve">My Discover Weekly keeps getting worse and I’m powerless to stop it. I save plenty of songs that I like and I hide songs I dislike rather than just sk</t>
  </si>
  <si>
    <t xml:space="preserve">https://www.reddit.com/comments/1caregg</t>
  </si>
  <si>
    <t xml:space="preserve">My Spotify app doesn't have the DJ AI feature . I live in the US but paid for my subscription while traveling in south America, would that have anythi</t>
  </si>
  <si>
    <t xml:space="preserve">https://www.reddit.com/comments/1cb6crs</t>
  </si>
  <si>
    <t xml:space="preserve">Issue with Collaborative Playlist. My friend and I have been trying to make a playlist together for the past few days and for some reason the second p</t>
  </si>
  <si>
    <t xml:space="preserve">https://www.reddit.com/comments/1cbo3sl</t>
  </si>
  <si>
    <t xml:space="preserve">I make music. Hey guys, I'm a high schooler that just started composing and publishing music. I'm on spotify. I am looking for suggestions. Please let</t>
  </si>
  <si>
    <t xml:space="preserve">https://www.reddit.com/comments/1cc0h87</t>
  </si>
  <si>
    <t xml:space="preserve">Recommending songs already on a playlist. On spotify mobile for IOS they keep recommending me songs that are already on the playlist. After restarting</t>
  </si>
  <si>
    <t xml:space="preserve">https://www.reddit.com/comments/1cc8dl9</t>
  </si>
  <si>
    <t xml:space="preserve">44+ hrs of edm, give me some suggestions to make it even longer.</t>
  </si>
  <si>
    <t xml:space="preserve">https://www.reddit.com/comments/1cdl3wi</t>
  </si>
  <si>
    <t xml:space="preserve">If I change my spotify account's regoin to USA with a vpn, will I have Spotify AI DJ?. the dj thing isnt available in my contry yet. is it possible? i</t>
  </si>
  <si>
    <t xml:space="preserve">https://www.reddit.com/comments/1cdpiok</t>
  </si>
  <si>
    <t xml:space="preserve">App not following playlist . When casting to my Smart TV from my Android tablet, spotify plays random songs and do not follow the playlist. Smart shuf</t>
  </si>
  <si>
    <t xml:space="preserve">https://www.reddit.com/comments/1cdtcob</t>
  </si>
  <si>
    <t xml:space="preserve">Song skips to the end when on repeat. Does anyone else have this problem? I really like a song, "Oleander" by Mother Mother, and I listen to it on rep</t>
  </si>
  <si>
    <t xml:space="preserve">https://www.reddit.com/comments/1cdvc0v</t>
  </si>
  <si>
    <t xml:space="preserve">AI generated song showing up in my release radar. [removed]</t>
  </si>
  <si>
    <t xml:space="preserve">https://www.reddit.com/comments/1ce11h3</t>
  </si>
  <si>
    <t xml:space="preserve">Favourite songs for working out? . Looking for some music to add to my workout playlist. Any recommendations?</t>
  </si>
  <si>
    <t xml:space="preserve">https://www.reddit.com/comments/1ce1yuo</t>
  </si>
  <si>
    <t xml:space="preserve">Spotify smart shuffle is terrible.. Finally tried the Not-So-Smart shuffle and boy, does it suck dick through a straw. It’s cool that it gives me a ra</t>
  </si>
  <si>
    <t xml:space="preserve">https://www.reddit.com/comments/1ce2386</t>
  </si>
  <si>
    <t xml:space="preserve">Spotify Playlist : Radio r.n.kedidjein.</t>
  </si>
  <si>
    <t xml:space="preserve">https://www.reddit.com/comments/1cefcf5</t>
  </si>
  <si>
    <t xml:space="preserve">Smart Shuffle replacing regular Shuffle. So why exactly did this happen? You're telling me that the shitty AI Shuffle is now the only way to listen to</t>
  </si>
  <si>
    <t xml:space="preserve">https://www.reddit.com/comments/1cex7oq</t>
  </si>
  <si>
    <t xml:space="preserve">Spotify could beat Apple in every way, even without the presence of lossless audio, if only…. After exactly 1 month of trying to give Spotify a chance</t>
  </si>
  <si>
    <t xml:space="preserve">https://www.reddit.com/comments/1cf80sz</t>
  </si>
  <si>
    <t xml:space="preserve">account was hacked || how long will it take til I start getting recommended my tastes again /get my profile catered to me again? . i tend to listen to</t>
  </si>
  <si>
    <t xml:space="preserve">https://www.reddit.com/comments/1cfhjll</t>
  </si>
  <si>
    <t xml:space="preserve">How do “made for you” playlists appear to other people?. [removed]</t>
  </si>
  <si>
    <t xml:space="preserve">https://www.reddit.com/comments/1cfkszd</t>
  </si>
  <si>
    <t xml:space="preserve">New song recommendations. [removed]</t>
  </si>
  <si>
    <t xml:space="preserve">https://www.reddit.com/comments/1cfpfy7</t>
  </si>
  <si>
    <t xml:space="preserve">AI artists / bots showing up in my discover weekly. There have been a few of these tracks in my discover weekly over the past weeks - they have quite </t>
  </si>
  <si>
    <t xml:space="preserve">https://www.reddit.com/comments/1cfs5sq</t>
  </si>
  <si>
    <t xml:space="preserve">working on a playlist called Polychrome that features songs with colors in the name. Please drop some recommendations!. here is the link to the playli</t>
  </si>
  <si>
    <t xml:space="preserve">https://www.reddit.com/comments/1cg5r6k</t>
  </si>
  <si>
    <t xml:space="preserve">Artists/Bands with less than 1,000 listeners but everyone should be listening to?. If you like punk or pop punk, you should definitely check out Orlan</t>
  </si>
  <si>
    <t xml:space="preserve">https://www.reddit.com/comments/1cg79nq</t>
  </si>
  <si>
    <t xml:space="preserve">Is Spotify Anti- Radiohead?. I only ask because literally none of my Radiohead plays show up in my stats. Not on Stats. FM, not on Receiptify, no wher</t>
  </si>
  <si>
    <t xml:space="preserve">https://www.reddit.com/comments/1cgct62</t>
  </si>
  <si>
    <t xml:space="preserve">Rate my 2nd spring playlist of 2024 and give some suggestions. Playlist: [lipstick is not a slut]( please and thank you</t>
  </si>
  <si>
    <t xml:space="preserve">https://www.reddit.com/comments/1cgh5us</t>
  </si>
  <si>
    <t xml:space="preserve">Spotify, this is unacceptable. Smart Shuffle is broken, and I still can't opt out of it completely. . Sadly I can't post a video or I would. Essential</t>
  </si>
  <si>
    <t xml:space="preserve">https://www.reddit.com/comments/1cgzffd</t>
  </si>
  <si>
    <t xml:space="preserve">Spotify just shitposted on my daylist??? .</t>
  </si>
  <si>
    <t xml:space="preserve">https://www.reddit.com/comments/1chm4ft</t>
  </si>
  <si>
    <t xml:space="preserve">It has been a month and a half since I played a few Irish songs on St. Paddy’s day. Why is this still one of my daily mixes??? .</t>
  </si>
  <si>
    <t xml:space="preserve">https://www.reddit.com/comments/1chxdt8</t>
  </si>
  <si>
    <t xml:space="preserve">Hi guys, I made some cool changes at my smashing Alternative Groovy Vibes playlist, I love it! hope you'll like it too :) Check it out! &amp; you are more</t>
  </si>
  <si>
    <t xml:space="preserve">https://www.reddit.com/comments/1cilu98</t>
  </si>
  <si>
    <t xml:space="preserve">Anyone else have this issue? . Anyone else have this issue? I’m wondering if anyone else has issues with any of the shuffle options? I’ve had issues w</t>
  </si>
  <si>
    <t xml:space="preserve">https://www.reddit.com/comments/1ciqmq5</t>
  </si>
  <si>
    <t xml:space="preserve">Looking for album recommendations . I’m hoping to discover some new (or new to me at least, any era is good) music as I’m in a bit of a rut right now </t>
  </si>
  <si>
    <t xml:space="preserve">https://www.reddit.com/comments/1cj9yhh</t>
  </si>
  <si>
    <t xml:space="preserve">Any song suggestions for this playlist? .</t>
  </si>
  <si>
    <t xml:space="preserve">https://www.reddit.com/comments/1cjmeni</t>
  </si>
  <si>
    <t xml:space="preserve">Looking to support small artists and bands. I have a wide variety of music taste. I’ve been in and indie/ alternative mood lately. I’ve also been list</t>
  </si>
  <si>
    <t xml:space="preserve">https://www.reddit.com/comments/1cju096</t>
  </si>
  <si>
    <t xml:space="preserve">Why am I only allowed to use smart shuffle?. [removed]</t>
  </si>
  <si>
    <t xml:space="preserve">https://www.reddit.com/comments/1ck6yet</t>
  </si>
  <si>
    <t xml:space="preserve">Artist question. If I release 2 singles in 1 week, which one gets posted to release radar for my followers? The 1st or the 2nd release? (the one that'</t>
  </si>
  <si>
    <t xml:space="preserve">https://www.reddit.com/comments/1ckf44i</t>
  </si>
  <si>
    <t xml:space="preserve">song/artist recs?. im looking for new artists or songs for my playlist, but i cant really pinpoint my music taste, so ill just link my playlist [here]</t>
  </si>
  <si>
    <t xml:space="preserve">https://www.reddit.com/comments/1cktnrg</t>
  </si>
  <si>
    <t xml:space="preserve">I noticed that a radio station created for me by the app appeared in my ex's playlist. Was it a personal station or one generated by Spotify?.</t>
  </si>
  <si>
    <t xml:space="preserve">https://www.reddit.com/comments/1ckxi62</t>
  </si>
  <si>
    <t xml:space="preserve">songs about fire/burning things. making a character whos obsessed with fire and id like some recommendations for my chr playlist</t>
  </si>
  <si>
    <t xml:space="preserve">https://www.reddit.com/comments/1clbrez</t>
  </si>
  <si>
    <t xml:space="preserve">Jazzy / Groovy recommendations for my bar playlist? . [removed]</t>
  </si>
  <si>
    <t xml:space="preserve">https://www.reddit.com/comments/1clj9xk</t>
  </si>
  <si>
    <t xml:space="preserve">How to stop Spotify playing recommended songs?. I don’t have smart shuffle enabled. I just want to listen to the songs on my playlist but it keeps pla</t>
  </si>
  <si>
    <t xml:space="preserve">https://www.reddit.com/comments/1cljrs1</t>
  </si>
  <si>
    <t xml:space="preserve">Did Spotify really make this for me? . Ran across this playlist on my home page after it was suggested to me, and quickly followed so I could check it</t>
  </si>
  <si>
    <t xml:space="preserve">https://www.reddit.com/comments/1cmg1j7</t>
  </si>
  <si>
    <t xml:space="preserve">Give me artists that you weren’t into at first, but then after watching them live you’re addicted to! I’m convinced the memories of gigs make the reco</t>
  </si>
  <si>
    <t xml:space="preserve">https://www.reddit.com/comments/1cnq8mw</t>
  </si>
  <si>
    <t xml:space="preserve">How do you all find good new music? Like really good new music that isn't getting cycled into these Spotify playlists?. I feel like my approach change</t>
  </si>
  <si>
    <t xml:space="preserve">https://www.reddit.com/comments/1cnx2ku</t>
  </si>
  <si>
    <t xml:space="preserve">Spotify Autoplay. [removed]</t>
  </si>
  <si>
    <t xml:space="preserve">https://www.reddit.com/comments/1co11em</t>
  </si>
  <si>
    <t xml:space="preserve">Modern jazz noire . Suggestions appreciated!</t>
  </si>
  <si>
    <t xml:space="preserve">https://www.reddit.com/comments/1co88oo</t>
  </si>
  <si>
    <t xml:space="preserve">What's a lesser-known subgenre that you really like? Looking for music recommendations!. I love discovering new types of music. I love hearing a sound</t>
  </si>
  <si>
    <t xml:space="preserve">https://www.reddit.com/comments/1co97kx</t>
  </si>
  <si>
    <t xml:space="preserve">I'm not joking, actually is happening.. *Me disliking a as on Spotify because I'm getting it too often* Spotify : Thank you! this helps change your ad</t>
  </si>
  <si>
    <t xml:space="preserve">https://www.reddit.com/comments/1coln4k</t>
  </si>
  <si>
    <t xml:space="preserve">Making a Talking Heads playlist - Suggestions are welcome.</t>
  </si>
  <si>
    <t xml:space="preserve">https://www.reddit.com/comments/1com0hh</t>
  </si>
  <si>
    <t xml:space="preserve">does anyone have good playlist, or playlist recommendations?. [removed]</t>
  </si>
  <si>
    <t xml:space="preserve">https://www.reddit.com/comments/1coompk</t>
  </si>
  <si>
    <t xml:space="preserve">Why does smart shuffle ONLY put on raggeton and other Spanish music from my liked songs?. That genre makes up a very small minority of what I listen t</t>
  </si>
  <si>
    <t xml:space="preserve">https://www.reddit.com/comments/1cp9qwg</t>
  </si>
  <si>
    <t xml:space="preserve">Music video recommendations now on the home screen. tapping on the video brings up a list of videos, similar to YouTube music</t>
  </si>
  <si>
    <t xml:space="preserve">https://www.reddit.com/comments/1cpgvd4</t>
  </si>
  <si>
    <t xml:space="preserve">Hey everyone, I've put together an ambient &amp; melodic techno playlist for you. Best enjoyed during long night drives, study sessions, or winding down a</t>
  </si>
  <si>
    <t xml:space="preserve">https://www.reddit.com/comments/1cphgjz</t>
  </si>
  <si>
    <t xml:space="preserve">Any progress on Made for You?. [removed]</t>
  </si>
  <si>
    <t xml:space="preserve">https://www.reddit.com/comments/1cpiw1j</t>
  </si>
  <si>
    <t xml:space="preserve">Recommending artist I have blocked. Tell me why I have this man blocked (“don’t show this artist anymore” feature) and he’s the top 4 for my suggested</t>
  </si>
  <si>
    <t xml:space="preserve">https://www.reddit.com/comments/1cpljvq</t>
  </si>
  <si>
    <t xml:space="preserve">making a playlist that includes music from all eras - suggestions are welcome .</t>
  </si>
  <si>
    <t xml:space="preserve">https://www.reddit.com/comments/1cqbqvq</t>
  </si>
  <si>
    <t xml:space="preserve">tf up with spotify i played a 9 minute death metal album once a week ago and now it recommends me this shi💀💀💀.</t>
  </si>
  <si>
    <t xml:space="preserve">https://www.reddit.com/comments/1cqjcxu</t>
  </si>
  <si>
    <t xml:space="preserve">What is this playlist (radio)? Like is it the actual Spotify radio or just some random playlist.</t>
  </si>
  <si>
    <t xml:space="preserve">https://www.reddit.com/comments/1cr9rue</t>
  </si>
  <si>
    <t xml:space="preserve">Reset Music Preferences?. I really like listening to the *Discover Weekly* mix, especially while I’m driving, I’ve found a lot of new music I like tha</t>
  </si>
  <si>
    <t xml:space="preserve">https://www.reddit.com/comments/1cravkd</t>
  </si>
  <si>
    <t xml:space="preserve">Can you recommend any songs sounds similar vibes with The1975 . [removed]</t>
  </si>
  <si>
    <t xml:space="preserve">https://www.reddit.com/comments/1crfkaf</t>
  </si>
  <si>
    <t xml:space="preserve">After i started avoiding “made for you”, spotify has been amazing. Try it guys, pretend they are absolute poison and i promise you things will become </t>
  </si>
  <si>
    <t xml:space="preserve">https://www.reddit.com/comments/1crisqj</t>
  </si>
  <si>
    <t xml:space="preserve">How do you guys find new music?. I'm looking for playlists with regular updates to find music within certain genres but outside my usual artists, if t</t>
  </si>
  <si>
    <t xml:space="preserve">https://www.reddit.com/comments/1cs0sqb</t>
  </si>
  <si>
    <t xml:space="preserve">Can anyone recommend playlists that can help with studying . [removed]</t>
  </si>
  <si>
    <t xml:space="preserve">https://www.reddit.com/comments/1cs8v3i</t>
  </si>
  <si>
    <t xml:space="preserve">Wtf is going on with Recommended Concerts?!. [removed]</t>
  </si>
  <si>
    <t xml:space="preserve">https://www.reddit.com/comments/1csvttj</t>
  </si>
  <si>
    <t xml:space="preserve">Pls make smart shuffle not a mandatory feature without premium . I get adds I'm fine with that but making the playlist option basically unusable so yo</t>
  </si>
  <si>
    <t xml:space="preserve">https://www.reddit.com/comments/1ct6k9m</t>
  </si>
  <si>
    <t xml:space="preserve">Spotify &amp; CloudCall Communicator. I work from home and like to have spotify playing while working, my employer uses cloudcall communicator for calls b</t>
  </si>
  <si>
    <t xml:space="preserve">https://www.reddit.com/comments/1cti8zf</t>
  </si>
  <si>
    <t xml:space="preserve">I disabled the auto play feature but Spotify keeps playing random songs from my playlist . I disabled the auto play featured from the playback setting</t>
  </si>
  <si>
    <t xml:space="preserve">https://www.reddit.com/comments/1ctkam7</t>
  </si>
  <si>
    <t xml:space="preserve">Slower rock songs. What are some songs similar to Shadow of the Day - Linkin Park One Last Breath - Creed High and Dry - Radiohead Mayonnaise - Smashi</t>
  </si>
  <si>
    <t xml:space="preserve">https://www.reddit.com/comments/1cts9ix</t>
  </si>
  <si>
    <t xml:space="preserve">Can Spotify just fucking work?. What is it with them? Constantly changing everything? First they added the stupid resuming AI voice that nobody asked </t>
  </si>
  <si>
    <t xml:space="preserve">https://www.reddit.com/comments/1cug9lm</t>
  </si>
  <si>
    <t xml:space="preserve">Search Genres Not Updated. Has anyone else noticed some of the genres under Search &gt; Browse All haven’t been updated in a while? I’m specifically look</t>
  </si>
  <si>
    <t xml:space="preserve">https://www.reddit.com/comments/1cuzpey</t>
  </si>
  <si>
    <t xml:space="preserve">gimme ur suggestions for this playlist. [removed]</t>
  </si>
  <si>
    <t xml:space="preserve">https://www.reddit.com/comments/1cvn1e4</t>
  </si>
  <si>
    <t xml:space="preserve">Algorithm changed for the worse. [removed]</t>
  </si>
  <si>
    <t xml:space="preserve">https://www.reddit.com/comments/1cvn9zi</t>
  </si>
  <si>
    <t xml:space="preserve">Discover weekly . [removed]</t>
  </si>
  <si>
    <t xml:space="preserve">https://www.reddit.com/comments/1cvxtd3</t>
  </si>
  <si>
    <t xml:space="preserve">Did anyone else notice a problem with their On Repeat playlists?. Whenever I check out my On Repeat playlist, half of it are songs I listen to regular</t>
  </si>
  <si>
    <t xml:space="preserve">https://www.reddit.com/comments/1cw0d45</t>
  </si>
  <si>
    <t xml:space="preserve">Song recommendations for teenage girls?. [removed]</t>
  </si>
  <si>
    <t xml:space="preserve">https://www.reddit.com/comments/1cwbjs4</t>
  </si>
  <si>
    <t xml:space="preserve">Spotify used my photo library without permission.. I saw that spotify randomly used a image from my photo library and used it for a discover weekly pl</t>
  </si>
  <si>
    <t xml:space="preserve">https://www.reddit.com/comments/1cwkl3v</t>
  </si>
  <si>
    <t xml:space="preserve">Recommendations/Your favourite spotify tools?. I'm looking for some new tools/apps that basically help with finding new music, sorting playlists or ju</t>
  </si>
  <si>
    <t xml:space="preserve">https://www.reddit.com/comments/1cwvffk</t>
  </si>
  <si>
    <t xml:space="preserve">How do i not get recommended songs.</t>
  </si>
  <si>
    <t xml:space="preserve">https://www.reddit.com/comments/1cx2j8m</t>
  </si>
  <si>
    <t xml:space="preserve">spotify says i’m offline when i try logging in. whenever i try logging into spotify (after accidentally deleting it) it says i’m offline. i tried with</t>
  </si>
  <si>
    <t xml:space="preserve">https://www.reddit.com/comments/1cxt3cb</t>
  </si>
  <si>
    <t xml:space="preserve">Change algorithm?. How do I change my algorithm? I keep on getting girl music on my Daylist 😂</t>
  </si>
  <si>
    <t xml:space="preserve">https://www.reddit.com/comments/1cxtg8e</t>
  </si>
  <si>
    <t xml:space="preserve">Indie Radio Dept - (some new artists I have discovered lately) super chill vibes!.</t>
  </si>
  <si>
    <t xml:space="preserve">https://www.reddit.com/comments/1cy0kfo</t>
  </si>
  <si>
    <t xml:space="preserve">Some of the names daylist comes up with are wild .</t>
  </si>
  <si>
    <t xml:space="preserve">https://www.reddit.com/comments/1cy4hk3</t>
  </si>
  <si>
    <t xml:space="preserve">How’s everyone feeling about the new AI DJ? . I am thoroughly enjoying this new update. The fact I can have a dj curating mixes out of all my favorite</t>
  </si>
  <si>
    <t xml:space="preserve">https://www.reddit.com/comments/1cy557t</t>
  </si>
  <si>
    <t xml:space="preserve">Keeps auto-playing a single playlist when connected to Bluetooth. Recently, my spotify has decided that whenever it connects to a Bluetooth device (ca</t>
  </si>
  <si>
    <t xml:space="preserve">https://www.reddit.com/comments/1cyi7z9</t>
  </si>
  <si>
    <t xml:space="preserve">How to stop recommendations from playing in a playlist. Hello, so I’m trying to listen to an artists discography playlist, but there are random “recom</t>
  </si>
  <si>
    <t xml:space="preserve">https://www.reddit.com/comments/1cyjsrf</t>
  </si>
  <si>
    <t xml:space="preserve">Recommendations for a alone at the end of the universe playlist?!. [removed]</t>
  </si>
  <si>
    <t xml:space="preserve">https://www.reddit.com/comments/1cyn7oa</t>
  </si>
  <si>
    <t xml:space="preserve">My Spotify only plays reggae?. So this morning I woke up and started my daylist, which was a reggae mix. I listened to it for a bit and got tired so I</t>
  </si>
  <si>
    <t xml:space="preserve">https://www.reddit.com/comments/1cyypud</t>
  </si>
  <si>
    <t xml:space="preserve">Options for Moving Forward (Car Thing). I'm just as upset with Spotify's decision to brick Car Thing as everyone else. I liked the idea of Car Thing f</t>
  </si>
  <si>
    <t xml:space="preserve">https://www.reddit.com/comments/1cz1yxo</t>
  </si>
  <si>
    <t xml:space="preserve">Songs with a good moving picture for kids. Sounds weird I know, but my 4 year old loves listening to music with me in the car, but recently wants song</t>
  </si>
  <si>
    <t xml:space="preserve">https://www.reddit.com/comments/1cz4zjp</t>
  </si>
  <si>
    <t xml:space="preserve">What exactly is the point of recommending tracks I have in my favourite playlist on my discover weekly? This is a first..</t>
  </si>
  <si>
    <t xml:space="preserve">https://www.reddit.com/comments/1czjpkl</t>
  </si>
  <si>
    <t xml:space="preserve">Rant: why is billie in almost all my radios?. I'll try to keep this short I like listening to different music from different artists. That's why I lov</t>
  </si>
  <si>
    <t xml:space="preserve">https://www.reddit.com/comments/1czqk7n</t>
  </si>
  <si>
    <t xml:space="preserve">My Spotify won't show recommended artists when i click on an artists page (my phone is a s23 if that makes any difference).</t>
  </si>
  <si>
    <t xml:space="preserve">https://www.reddit.com/comments/1d01wpy</t>
  </si>
  <si>
    <t xml:space="preserve">Spotify won't skip to the next song whenever a song is over sometimes (Xbox). This issue has been happening out of nowhere and I don't know how to fix</t>
  </si>
  <si>
    <t xml:space="preserve">https://www.reddit.com/comments/1d02hmh</t>
  </si>
  <si>
    <t xml:space="preserve">https://www.reddit.com/comments/1d03eh9</t>
  </si>
  <si>
    <t xml:space="preserve">Spotify Algorithm Sux. Despite my liked songs being comprised of a wide variety of punk, taiko, blues, hip hop, throat singing, rock, poet rap(milo), </t>
  </si>
  <si>
    <t xml:space="preserve">https://www.reddit.com/comments/1d0ajv6</t>
  </si>
  <si>
    <t xml:space="preserve">Ultimate Spotify Playlists for Every Mood! . I've put together some awesome Spotify playlists that I think you'll love. Whether you're into mashups, p</t>
  </si>
  <si>
    <t xml:space="preserve">https://www.reddit.com/comments/1d0cxcj</t>
  </si>
  <si>
    <t xml:space="preserve">The fake collaborations problem. The fake collaboration problem. Spotify has had a major problem with their release radar for a very long time now. Th</t>
  </si>
  <si>
    <t xml:space="preserve">https://www.reddit.com/comments/1d0eh6s</t>
  </si>
  <si>
    <t xml:space="preserve">Playlist button gone under search bar results??. I’m wondering if this is a new thing with the latest Spotify update, just a few days ago I saw the “p</t>
  </si>
  <si>
    <t xml:space="preserve">https://www.reddit.com/comments/1d0jhy7</t>
  </si>
  <si>
    <t xml:space="preserve">Why did Spotify break Autoplay / Radio? . For as long as I've had Spotify, a convenient feature called Autoplay would play similar music whenever a so</t>
  </si>
  <si>
    <t xml:space="preserve">https://www.reddit.com/comments/1d0mqzg</t>
  </si>
  <si>
    <t xml:space="preserve">Why don't we get the option to rename the daily mixes?. This might be a very particular request from the app. I don't know how others go about incorpo</t>
  </si>
  <si>
    <t xml:space="preserve">https://www.reddit.com/comments/1d0w8my</t>
  </si>
  <si>
    <t xml:space="preserve">Songs about the disappointment that ex partner has given up/betrayed relationship.. Preferably indie songs but am grateful for all suggestions</t>
  </si>
  <si>
    <t xml:space="preserve">https://www.reddit.com/comments/1d11so4</t>
  </si>
  <si>
    <t xml:space="preserve">What's the second best thing to "Create similar playlist". Title, I MISS IT! I used it so much and was so convenient to find good new songs :D :( Afte</t>
  </si>
  <si>
    <t xml:space="preserve">https://www.reddit.com/comments/1d14fui</t>
  </si>
  <si>
    <t xml:space="preserve">Smart Shuffle Not Turning Off. [removed]</t>
  </si>
  <si>
    <t xml:space="preserve">https://www.reddit.com/comments/1d15qtj</t>
  </si>
  <si>
    <t xml:space="preserve">Billie Eilish’s new album in every radio. I’m noticing that in every radio I have there’s always a song from her new album. Quite often the radios are</t>
  </si>
  <si>
    <t xml:space="preserve">https://www.reddit.com/comments/1d16obi</t>
  </si>
  <si>
    <t xml:space="preserve">Finally a full Siri integration with Spotify!. I don’t know exactly when but for the iPhone users here, we finally have a good working Siri integratio</t>
  </si>
  <si>
    <t xml:space="preserve">https://www.reddit.com/comments/1d1sotd</t>
  </si>
  <si>
    <t xml:space="preserve">Find bomb music? . Has anyone mastered the art of finding bomb music on SPOTIFY? SPOTIFY just recommends me ass music which is so unrelated to the gen</t>
  </si>
  <si>
    <t xml:space="preserve">https://www.reddit.com/comments/1d1zyel</t>
  </si>
  <si>
    <t xml:space="preserve">HiFi saga: do you even care?. Let’s be honest, 90% of the users who are requesting crazily for HiFi on Spotify don’t even have a Pro sound system or a</t>
  </si>
  <si>
    <t xml:space="preserve">https://www.reddit.com/comments/1d29n3j</t>
  </si>
  <si>
    <t xml:space="preserve">Daylist titles are something else.</t>
  </si>
  <si>
    <t xml:space="preserve">https://www.reddit.com/comments/1d2kn98</t>
  </si>
  <si>
    <t xml:space="preserve">Is there any way to block podcast/audiobook recommendations?. My home page is 1 line of music recommendations and the rest is made up of podcast/audio</t>
  </si>
  <si>
    <t xml:space="preserve">https://www.reddit.com/comments/1d3dbry</t>
  </si>
  <si>
    <t xml:space="preserve">jazzfusion + funk playlist -- listened to your suggestions, and added some myself (more suggestions are always welcome!).</t>
  </si>
  <si>
    <t xml:space="preserve">https://www.reddit.com/comments/1d404ns</t>
  </si>
  <si>
    <t xml:space="preserve">There were 8 Billie Eilish songs in my Radio playlist for “Pink Skies” by Zach Bryan. There were 9 total Zach Bryan songs. . [removed]</t>
  </si>
  <si>
    <t xml:space="preserve">https://www.reddit.com/comments/1d49otm</t>
  </si>
  <si>
    <t xml:space="preserve">Spotify is definitely pushing Billie Eilish's new album. I get her new album popping up randomly in so many of my "artist radio" stations. Just now st</t>
  </si>
  <si>
    <t xml:space="preserve">https://www.reddit.com/comments/1d4ava0</t>
  </si>
  <si>
    <t xml:space="preserve">Shuffle is so fucking bad. I know there's a million other posts about this since the earliest one I could find was *12 fucking years ago,* (good to kn</t>
  </si>
  <si>
    <t xml:space="preserve">https://www.reddit.com/comments/1d4fyms</t>
  </si>
  <si>
    <t xml:space="preserve">Rate my playlist please. Have been listening to ONE OK ROCK and coldrain many many years ago. Within Temptation as well but only started getting into </t>
  </si>
  <si>
    <t xml:space="preserve">https://www.reddit.com/comments/1d4lcp0</t>
  </si>
  <si>
    <t xml:space="preserve">My favorite Daylist name yet haha.</t>
  </si>
  <si>
    <t xml:space="preserve">https://www.reddit.com/comments/1d4sblo</t>
  </si>
  <si>
    <t xml:space="preserve">Why does Spotify jack around with my playlists?!. It seems to mainly happen with one playlist, but maybe that's just because I'm playing it more than </t>
  </si>
  <si>
    <t xml:space="preserve">https://www.reddit.com/comments/1d55nyr</t>
  </si>
  <si>
    <t xml:space="preserve">Want to find a radio playing new music?. [removed]</t>
  </si>
  <si>
    <t xml:space="preserve">https://www.reddit.com/comments/1d5bk3w</t>
  </si>
  <si>
    <t xml:space="preserve">Having Problems With Spotify. Anytime i choose a song radio it plays songs I've heard a million times and that are completely unrelated to the origina</t>
  </si>
  <si>
    <t xml:space="preserve">https://www.reddit.com/comments/1d5mta3</t>
  </si>
  <si>
    <t xml:space="preserve">Smart Shuffle not working on Connect speaker. Is Smart Shuffle supposed to work when listening on a Spotify Connect speaker? When I turn on smart shuf</t>
  </si>
  <si>
    <t xml:space="preserve">https://www.reddit.com/comments/1d5rzow</t>
  </si>
  <si>
    <t xml:space="preserve">looking for early morning flight playlist for my next trip. I’ll be on a plane at 5am heading to another country and please recommend me a playlist!</t>
  </si>
  <si>
    <t xml:space="preserve">https://www.reddit.com/comments/1d6jroe</t>
  </si>
  <si>
    <t xml:space="preserve">raw . Made a playlist for when you’re hitting the za late night. Got that high-chill vibe to it, hope you get the same feeling. Also be pleased to sha</t>
  </si>
  <si>
    <t xml:space="preserve">https://www.reddit.com/comments/1d6uf6j</t>
  </si>
  <si>
    <t xml:space="preserve">Hey Spotify, kindly stop recommending Joe Rogan to me, please and thanks! . Sick of seeing JRE and other shit I’m not interested in on my home page an</t>
  </si>
  <si>
    <t xml:space="preserve">https://www.reddit.com/comments/1d6v0wr</t>
  </si>
  <si>
    <t xml:space="preserve">Are there any third-party apps that have shuffle feature which only include tracks added in a certain time period?. tried to google but can't find any</t>
  </si>
  <si>
    <t xml:space="preserve">https://www.reddit.com/comments/1d76a5o</t>
  </si>
  <si>
    <t xml:space="preserve">Who is actually paying for these recommended (sponsored) songs?. I keep getting these recommended songs for fairly unknown artists and I’m curious if </t>
  </si>
  <si>
    <t xml:space="preserve">https://www.reddit.com/comments/1d7cmeu</t>
  </si>
  <si>
    <t xml:space="preserve">quality of app steadily diminishing. algorithm for daily mixes is exact same every day, pushing artists i repeatedly skip. discover weekly routinely i</t>
  </si>
  <si>
    <t xml:space="preserve">https://www.reddit.com/comments/1d7mrwf</t>
  </si>
  <si>
    <t xml:space="preserve">Playlist generator recommendation - surprisify.me. [removed]</t>
  </si>
  <si>
    <t xml:space="preserve">https://www.reddit.com/comments/1d80jh0</t>
  </si>
  <si>
    <t xml:space="preserve">FIGHT back Against the Price Increase. Spotify Premium used to cost $9.99 a month. Now, it's nearly $13 per month after tax, with another price hike c</t>
  </si>
  <si>
    <t xml:space="preserve">https://www.reddit.com/comments/1d87in8</t>
  </si>
  <si>
    <t xml:space="preserve">Spotify the king of algorithms and recommendations finds good new content just for me like a sandpaper brush on car paint, and then gives me the ultim</t>
  </si>
  <si>
    <t xml:space="preserve">https://www.reddit.com/comments/1d8jbg0</t>
  </si>
  <si>
    <t xml:space="preserve">Spotify vs Pandora - Which One is Right for You?. Spotify has long been dominant in music streaming, with millions of songs in the library and a great</t>
  </si>
  <si>
    <t xml:space="preserve">https://www.reddit.com/comments/1d8jprb</t>
  </si>
  <si>
    <t xml:space="preserve">For Anyone Curious about Tidal. I jumped ship a couple of days ago, and I feel really good about it. Nicer Home page, everything inside it its relevan</t>
  </si>
  <si>
    <t xml:space="preserve">https://www.reddit.com/comments/1d8u6lv</t>
  </si>
  <si>
    <t xml:space="preserve">Are Spotify Playlists Increasingly Broken?. I've noticed the quality of playlists, including Spotify curated playlists, the On Repeat and the Daylist,</t>
  </si>
  <si>
    <t xml:space="preserve">https://www.reddit.com/comments/1d8xvoe</t>
  </si>
  <si>
    <t xml:space="preserve">Adele got spotify to separate the shuffle button from the play button. How can we get her to get spotify to actually shuffle playlists and artist page</t>
  </si>
  <si>
    <t xml:space="preserve">https://www.reddit.com/comments/1d9c6kp</t>
  </si>
  <si>
    <t xml:space="preserve">https://www.reddit.com/comments/1d9cvfo</t>
  </si>
  <si>
    <t xml:space="preserve">After seeing lots of complaints about how repetitive Spotify suggestions are, I wanted to give some suggestions for a variety of tastes.. [removed]</t>
  </si>
  <si>
    <t xml:space="preserve">https://www.reddit.com/comments/1d9h2wq</t>
  </si>
  <si>
    <t xml:space="preserve">Latin songs that sound (vaguely) like the Pet Shop Boys. Hey, folks! I made a playlist featuring Spanish and Portuguese songs that remind me of that k</t>
  </si>
  <si>
    <t xml:space="preserve">https://www.reddit.com/comments/1d9mb9h</t>
  </si>
  <si>
    <t xml:space="preserve">hello! i'm looking for new songs that match the vibes of this playlist. i usually add songs i discover into this playlist and remove them if i get bor</t>
  </si>
  <si>
    <t xml:space="preserve">https://www.reddit.com/comments/1d9opdy</t>
  </si>
  <si>
    <t xml:space="preserve">The AI DJ needs to have a song fadeout when you press the DJ button. . Title. Whenever you press the blue DJ button (the one to the right of the queue</t>
  </si>
  <si>
    <t xml:space="preserve">https://www.reddit.com/comments/1dagund</t>
  </si>
  <si>
    <t xml:space="preserve">Need song recommendations to keep passengers entertained when I’m driving. Basically, I want more songs to add to my driving playlist. It can be any m</t>
  </si>
  <si>
    <t xml:space="preserve">https://www.reddit.com/comments/1dashhd</t>
  </si>
  <si>
    <t xml:space="preserve">assorted love songs : ) i’m open to any suggestions for songs to add!.</t>
  </si>
  <si>
    <t xml:space="preserve">https://www.reddit.com/comments/1daueru</t>
  </si>
  <si>
    <t xml:space="preserve">What is the course?. What are the persons in charge doing right now? In a dialogue with customer support they told me they changed their algorithm (my</t>
  </si>
  <si>
    <t xml:space="preserve">https://www.reddit.com/comments/1dax7u0</t>
  </si>
  <si>
    <t xml:space="preserve">Music suggestions? . Hi! I am a singer and here's my playlist of songs I'm intending to sing soon or songs I've already sung as covers. Any suggestion</t>
  </si>
  <si>
    <t xml:space="preserve">https://www.reddit.com/comments/1db7psc</t>
  </si>
  <si>
    <t xml:space="preserve">Can’t add artist radio only download. [removed]</t>
  </si>
  <si>
    <t xml:space="preserve">https://www.reddit.com/comments/1dbgy4a</t>
  </si>
  <si>
    <t xml:space="preserve">Premium but can't select from liked songs. Liked songs will only shuffle, in my other playlists I can select whatever and it works fine but on my like</t>
  </si>
  <si>
    <t xml:space="preserve">https://www.reddit.com/comments/1dbipx8</t>
  </si>
  <si>
    <t xml:space="preserve">Tips on transitioning to YT Music?. I've just about had enough of spotify's reckless abandon of features, design changes and overall bad treatment of </t>
  </si>
  <si>
    <t xml:space="preserve">https://www.reddit.com/comments/1dbsery</t>
  </si>
  <si>
    <t xml:space="preserve">Help with safety settings for young teen account on Spotify. Is it possible to block or remove specific podcasts in Spotify similar to how you can sel</t>
  </si>
  <si>
    <t xml:space="preserve">https://www.reddit.com/comments/1dc2esq</t>
  </si>
  <si>
    <t xml:space="preserve">Why does a 'made for [me]' playlist have so many followers? Did it actually start with me?. [Here's the playlist and number of followers in question.]</t>
  </si>
  <si>
    <t xml:space="preserve">https://www.reddit.com/comments/1dcql27</t>
  </si>
  <si>
    <t xml:space="preserve">How do I block drake songs from showing up in the recommended songs/radio?. [removed]</t>
  </si>
  <si>
    <t xml:space="preserve">https://www.reddit.com/comments/1dd6l62</t>
  </si>
  <si>
    <t xml:space="preserve">Give me your score/OST playlists . I’ve had a really terrible day and just want to drown in score music. Give me your playlists or songs, or even just</t>
  </si>
  <si>
    <t xml:space="preserve">https://www.reddit.com/comments/1dd95xb</t>
  </si>
  <si>
    <t xml:space="preserve">How to get rid of “recently announced” and “recommended for you”. [removed]</t>
  </si>
  <si>
    <t xml:space="preserve">https://www.reddit.com/comments/1ddgnrf</t>
  </si>
  <si>
    <t xml:space="preserve">how to get Spotify to autoplay from deluxe album?. Hi everyone! I hope this makes sense. Essentially, Spotify always autoplays from the standard versi</t>
  </si>
  <si>
    <t xml:space="preserve">https://www.reddit.com/comments/1ddgx3d</t>
  </si>
  <si>
    <t xml:space="preserve">Gimme gay songs!!!. 🏳️‍🌈🌈❤️🩷🧡💛💚💙🩵💜🤎🖤🩶🤍🌈🏳️‍🌈 I signed up for the gay 10k. Pride run. At the end of the month. So excited. I'm trying to get a little bi</t>
  </si>
  <si>
    <t xml:space="preserve">https://www.reddit.com/comments/1ddijt1</t>
  </si>
  <si>
    <t xml:space="preserve">fuck spotify. I FUCKING HATE SPOTIFY. i’ve had spotify premium for a while and now i don’t and it’s such a fucking god awful experience it makes me wa</t>
  </si>
  <si>
    <t xml:space="preserve">https://www.reddit.com/comments/1ddjqir</t>
  </si>
  <si>
    <t xml:space="preserve">Smart Shuffle been broken for weeks. [removed]</t>
  </si>
  <si>
    <t xml:space="preserve">https://www.reddit.com/comments/1deoii7</t>
  </si>
  <si>
    <t xml:space="preserve">Smart Shuffle been broken for weeks. Keep getting this error message everytime I try to use smart shuffle. Been weeks maybe even months since I’ve las</t>
  </si>
  <si>
    <t xml:space="preserve">https://www.reddit.com/comments/1deok5h</t>
  </si>
  <si>
    <t xml:space="preserve">Discover Weekly playlist . Is it just me or does this playlist now only suggest recently released songs? As in the last year. A few years ago I recall</t>
  </si>
  <si>
    <t xml:space="preserve">https://www.reddit.com/comments/1deww9x</t>
  </si>
  <si>
    <t xml:space="preserve">Hey party people! I've made a playlist of the most powerful electropop by female artists. Perfect for when you need a motivation boost, a late-night d</t>
  </si>
  <si>
    <t xml:space="preserve">https://www.reddit.com/comments/1df5yfg</t>
  </si>
  <si>
    <t xml:space="preserve">Post your everyday playlist and I'll rate it. . Post your playlist with a brief description, and I'll rate it between 1-5. Here's an example of a repl</t>
  </si>
  <si>
    <t xml:space="preserve">https://www.reddit.com/comments/1dfgztv</t>
  </si>
  <si>
    <t xml:space="preserve">Send your playlists/songs with languages other than English. Hey y’all, I’m interested in listening to more songs with different languages. It can be </t>
  </si>
  <si>
    <t xml:space="preserve">https://www.reddit.com/comments/1dfkjkm</t>
  </si>
  <si>
    <t xml:space="preserve">Before I quit subscription, what are the cool payed only feature you would recommend?. Since playlisty is a near perfect solution for adding songs dis</t>
  </si>
  <si>
    <t xml:space="preserve">https://www.reddit.com/comments/1dftq35</t>
  </si>
  <si>
    <t xml:space="preserve">This AI DJ is actually great! For about 10 minutes... [removed]</t>
  </si>
  <si>
    <t xml:space="preserve">https://www.reddit.com/comments/1dg8b2m</t>
  </si>
  <si>
    <t xml:space="preserve">song recommendations based on my playlist? . [removed]</t>
  </si>
  <si>
    <t xml:space="preserve">https://www.reddit.com/comments/1dggg65</t>
  </si>
  <si>
    <t xml:space="preserve">Hello :) I've made an almost 30 hour long playlist with song from all over the place.. It has a little bit of everything with both old and new songs. </t>
  </si>
  <si>
    <t xml:space="preserve">https://www.reddit.com/comments/1dgowp4</t>
  </si>
  <si>
    <t xml:space="preserve">Bass heavy songs for subwoofers. Hello y'all, I just made a post probably not about 20 minutes ago and so far I'm enjoying the suggestions. But I was </t>
  </si>
  <si>
    <t xml:space="preserve">https://www.reddit.com/comments/1dgrsj4</t>
  </si>
  <si>
    <t xml:space="preserve">if your spotify suggestions have been lacking and youre looking for more music. let me put you on moodify.toasted.ai !! it makes a playlist based on w</t>
  </si>
  <si>
    <t xml:space="preserve">https://www.reddit.com/comments/1dgw8pi</t>
  </si>
  <si>
    <t xml:space="preserve">Got our own brand new Spotify radio! Let’s party 🎉❤️. [removed]</t>
  </si>
  <si>
    <t xml:space="preserve">https://www.reddit.com/comments/1dh1u39</t>
  </si>
  <si>
    <t xml:space="preserve">spotify premium has been very laggy on my android phone these last several months.. I have a Samsung galaxy s21 and I've noticed my spotify app has be</t>
  </si>
  <si>
    <t xml:space="preserve">https://www.reddit.com/comments/1dh6qzm</t>
  </si>
  <si>
    <t xml:space="preserve">why is my spotify app lagging on android?. why is my spotify app lagging on spotify premium has been very laggy on my android phone these last several</t>
  </si>
  <si>
    <t xml:space="preserve">https://www.reddit.com/comments/1dhcsaf</t>
  </si>
  <si>
    <t xml:space="preserve">Is there a way to stop sponsored songs in radios? (The second song). The second song in every radio seems to be shoehorned into every playlist regardl</t>
  </si>
  <si>
    <t xml:space="preserve">https://www.reddit.com/comments/1dhv8gn</t>
  </si>
  <si>
    <t xml:space="preserve">News: “Daylist is coming to more countries and more languages soon” .</t>
  </si>
  <si>
    <t xml:space="preserve">https://www.reddit.com/comments/1dhzx1p</t>
  </si>
  <si>
    <t xml:space="preserve">All songs grayed out?. All of a sudden all of my songs and playlists were grayed out and nothing will play. From what i’ve looked up online i’ve tried</t>
  </si>
  <si>
    <t xml:space="preserve">https://www.reddit.com/comments/1dif2kb</t>
  </si>
  <si>
    <t xml:space="preserve">wtf autoplay? . Why is Spotify so shitty now? No matter what song I choose it just plays the same god damn songs after it every time? There’s nothing </t>
  </si>
  <si>
    <t xml:space="preserve">https://www.reddit.com/comments/1dif471</t>
  </si>
  <si>
    <t xml:space="preserve">“Not Like Us” Recommended Song. There has to be some sort of bug going on with Spotify right now. Every time I finish listening to an album (any genre</t>
  </si>
  <si>
    <t xml:space="preserve">https://www.reddit.com/comments/1dihmut</t>
  </si>
  <si>
    <t xml:space="preserve">Spotify always plays the exact same songs in the exact same order when "autoplay similar songs" is turned on with no way to shuffle it. When I click t</t>
  </si>
  <si>
    <t xml:space="preserve">https://www.reddit.com/comments/1dimnl3</t>
  </si>
  <si>
    <t xml:space="preserve">https://www.reddit.com/comments/1din1wa</t>
  </si>
  <si>
    <t xml:space="preserve">Suggested songs instead of playlist. I’ve never had problems with Spotify for months, I’ve been using Spotify free and all of a sudden it’s started to</t>
  </si>
  <si>
    <t xml:space="preserve">https://www.reddit.com/comments/1dj68oq</t>
  </si>
  <si>
    <t xml:space="preserve">Liquid dnb Any suggestions ?.</t>
  </si>
  <si>
    <t xml:space="preserve">https://www.reddit.com/comments/1djdijd</t>
  </si>
  <si>
    <t xml:space="preserve">It's mind blowing how bad the desktop app's homescreen is. This is the dedicated music tab and it's mostly empty and the suggestions are both sparse a</t>
  </si>
  <si>
    <t xml:space="preserve">https://www.reddit.com/comments/1djptz4</t>
  </si>
  <si>
    <t xml:space="preserve">Party Song Requests. All my life people have thought I’ve had good music taste so I’m always on aux. The only problem is that it’s hard to make a good</t>
  </si>
  <si>
    <t xml:space="preserve">https://www.reddit.com/comments/1djxm1u</t>
  </si>
  <si>
    <t xml:space="preserve">Where is AI DJ?. Shorthly, a live in Scotland but a don’t have acces to a.i dj thing, what am I doing wrong? A have premium and my app is up to date</t>
  </si>
  <si>
    <t xml:space="preserve">https://www.reddit.com/comments/1dl9b1c</t>
  </si>
  <si>
    <t xml:space="preserve">Ambient playlist recommendations .</t>
  </si>
  <si>
    <t xml:space="preserve">https://www.reddit.com/comments/1dm4uub</t>
  </si>
  <si>
    <t xml:space="preserve">How do I change Concert Recommendations location. When I login to my Spotfiy account on my desktop computer I can search for Live Events and it notes </t>
  </si>
  <si>
    <t xml:space="preserve">https://www.reddit.com/comments/1dn9v7x</t>
  </si>
  <si>
    <t xml:space="preserve">Made a playlist inspired by the Sci-Fi action movie Tenet (2020), let me know your thoughts and which songs I should add. (HipHop, Dark Trap, EDM). `&lt;</t>
  </si>
  <si>
    <t xml:space="preserve">https://www.reddit.com/comments/1dnj768</t>
  </si>
  <si>
    <t xml:space="preserve">Files won't import in spotify (Iphone 14 pro). I've downloaded a bunch of Playboi Carti mp3 files that I managed to put in my [PC's Spotify]( I sent t</t>
  </si>
  <si>
    <t xml:space="preserve">https://www.reddit.com/comments/1dnlrqq</t>
  </si>
  <si>
    <t xml:space="preserve">Why is the Barbie Radio in German?. The radio playlist for Barbie is only German dubs of kid's show songs. I'm curious if this is true for anyone else</t>
  </si>
  <si>
    <t xml:space="preserve">https://www.reddit.com/comments/1dopshl</t>
  </si>
  <si>
    <t xml:space="preserve">Explain +/-/Nothing for Algo to Improve recommendations. . I’m trying to improve my Discover Weekly. Obv I understand + is like and - is dislike, but </t>
  </si>
  <si>
    <t xml:space="preserve">https://www.reddit.com/comments/1dox894</t>
  </si>
  <si>
    <t xml:space="preserve">Research Participation Request: Exploring Algorithmic Value on Digital Platforms. [removed]</t>
  </si>
  <si>
    <t xml:space="preserve">https://www.reddit.com/comments/1dp4aff</t>
  </si>
  <si>
    <t xml:space="preserve">DJ X SUCKS. [removed]</t>
  </si>
  <si>
    <t xml:space="preserve">https://www.reddit.com/comments/1dp6mss</t>
  </si>
  <si>
    <t xml:space="preserve">Spotify putting music I've only listened to once in my "most played" songs. And I keep getting older music. Literally only three songs here I've playe</t>
  </si>
  <si>
    <t xml:space="preserve">https://www.reddit.com/comments/1dpklhm</t>
  </si>
  <si>
    <t xml:space="preserve">Rate my indie artist playlist 1 - 10. Please be nice . I've been collecting (newer) songs from indie artists of various genres I liked over the last m</t>
  </si>
  <si>
    <t xml:space="preserve">https://www.reddit.com/comments/1dq06v0</t>
  </si>
  <si>
    <t xml:space="preserve">Recommendations for songs to listen while going to work, pls,. Just found that the song I used to listen at college time couldn't ease my want-to-dest</t>
  </si>
  <si>
    <t xml:space="preserve">https://www.reddit.com/comments/1dq8rea</t>
  </si>
  <si>
    <t xml:space="preserve">Anyone getting terrible "collabs" constantly now?. My release radar has been FILLED with these rappers with 5-10k monthly listens and horrible product</t>
  </si>
  <si>
    <t xml:space="preserve">https://www.reddit.com/comments/1dqbfsx</t>
  </si>
  <si>
    <t xml:space="preserve">Afro House playlist dedicated to the sounds of Keinemusik, Rampa, andhim, Adriatique, Ninetoes, Disclosure, Black Coffee, WhoMadeWho, Pablo Fierro, &amp;M</t>
  </si>
  <si>
    <t xml:space="preserve">https://www.reddit.com/comments/1dqgenv</t>
  </si>
  <si>
    <t xml:space="preserve">Let's revive the idea of album collections on Spotify!. Greetings fellow Spotify users, A few years ago, user Walrusman suggested a fantastic idea on </t>
  </si>
  <si>
    <t xml:space="preserve">https://www.reddit.com/comments/1dqj55x</t>
  </si>
  <si>
    <t xml:space="preserve">On the latest episode of High Bias, a mixtape inspired by Jet Set Radio. Crank up the volume on your favorite pirate radio station and throw up some K</t>
  </si>
  <si>
    <t xml:space="preserve">https://www.reddit.com/comments/1dqteef</t>
  </si>
  <si>
    <t xml:space="preserve">Looking to make a 60's/70's Hippie Playlist. Hello Friends! Looking to make the ultimate hippie 60's/70's playlist. Have always been an old soul at he</t>
  </si>
  <si>
    <t xml:space="preserve">https://www.reddit.com/comments/1dqzl87</t>
  </si>
  <si>
    <t xml:space="preserve">SPOTIFY MIX FONT SUCKS!!. Yeah, that's just about it. I hate how it looks, I was used to Circular and it looked neater. If anybody knows how to revert</t>
  </si>
  <si>
    <t xml:space="preserve">https://www.reddit.com/comments/1dr4de1</t>
  </si>
  <si>
    <t xml:space="preserve">2024. What would you recommend based on the this playlist, I’m struggling to find new songs can be from the same artists already on the list I’m sure </t>
  </si>
  <si>
    <t xml:space="preserve">https://www.reddit.com/comments/1dr84g0</t>
  </si>
  <si>
    <t xml:space="preserve">improve my playlist. I feel like i need to expand what i usually listen to get me any recommendations :)</t>
  </si>
  <si>
    <t xml:space="preserve">https://www.reddit.com/comments/1drgsqo</t>
  </si>
  <si>
    <t xml:space="preserve">What are some suggestions based on my “shuffle playlist” I’ve missed?. Songs from artists already on the list or songs/artists similar genres looking </t>
  </si>
  <si>
    <t xml:space="preserve">https://www.reddit.com/comments/1drlx2v</t>
  </si>
  <si>
    <t xml:space="preserve">Does the Dj track what you listen to?. So almost every time I get on Spotify which is almost everyday I listen to the DJ. I’ve done this for maybe 3 m</t>
  </si>
  <si>
    <t xml:space="preserve">https://www.reddit.com/comments/1drm2m4</t>
  </si>
  <si>
    <t xml:space="preserve">Smart shuffle. Is there really no way to permanently turn off smart shuffle? If I wanted someone to recommend trash ass shit to me, I'd listen to the </t>
  </si>
  <si>
    <t xml:space="preserve">https://www.reddit.com/comments/1ds5wv2</t>
  </si>
  <si>
    <t xml:space="preserve">Local File - File Format?. I have about a 70% success rate when trying to download local files to my phone. Is there a specific file format (bitrate?)</t>
  </si>
  <si>
    <t xml:space="preserve">https://www.reddit.com/comments/1dsa93z</t>
  </si>
  <si>
    <t xml:space="preserve">How can I turn off song recommendations on Spotify?. [removed]</t>
  </si>
  <si>
    <t xml:space="preserve">https://www.reddit.com/comments/1dsjw5a</t>
  </si>
  <si>
    <t xml:space="preserve">Need some song or band recommendations based off some of my favorite albums.</t>
  </si>
  <si>
    <t xml:space="preserve">https://www.reddit.com/comments/1dso8fp</t>
  </si>
  <si>
    <t xml:space="preserve">Tell who I am based on my weird-ass playlist. [ I also need a better name. I'm open to suggestions :)</t>
  </si>
  <si>
    <t xml:space="preserve">https://www.reddit.com/comments/1dsohgk</t>
  </si>
  <si>
    <t xml:space="preserve">Need songs for my “hiphop radio like playlist”. [removed]</t>
  </si>
  <si>
    <t xml:space="preserve">https://www.reddit.com/comments/1dssrlc</t>
  </si>
  <si>
    <t xml:space="preserve">Recommendations. I'm looking for recommendations to broaden my taste a little, I'm open to just about anything, I'll try to listen to every song that'</t>
  </si>
  <si>
    <t xml:space="preserve">https://www.reddit.com/comments/1dt05ki</t>
  </si>
  <si>
    <t xml:space="preserve">Am I the only one having problems with Discover weekly?. [deleted]</t>
  </si>
  <si>
    <t xml:space="preserve">https://www.reddit.com/comments/1dt609w</t>
  </si>
  <si>
    <t xml:space="preserve">Need some song recs that are similar to "A Little Bit Off Today - FFDP". [removed]</t>
  </si>
  <si>
    <t xml:space="preserve">https://www.reddit.com/comments/1dtp8yy</t>
  </si>
  <si>
    <t xml:space="preserve">Song recommendations. Hi I am currently making a playlist called Loving someone is never a waste. I currently only have like five songs to it. I am in</t>
  </si>
  <si>
    <t xml:space="preserve">https://www.reddit.com/comments/1du8c0y</t>
  </si>
  <si>
    <t xml:space="preserve">Disguised Advertising . I’ve been using Spotify for a few years now. I’ve noticed several things recently: 1. Getting “announcements” from artists I h</t>
  </si>
  <si>
    <t xml:space="preserve">https://www.reddit.com/comments/1dudtbo</t>
  </si>
  <si>
    <t xml:space="preserve">i broke up with him and i never loved him but it hurts . im the kind of person who only has one(1) playlist with a lot of songs so i don't really know</t>
  </si>
  <si>
    <t xml:space="preserve">https://www.reddit.com/comments/1duq8rl</t>
  </si>
  <si>
    <t xml:space="preserve">Any way to train Spotify that I hate (nearly all) songs with any harmonica in them considering I love singer songwriters?. I feel like I'm stuck right</t>
  </si>
  <si>
    <t xml:space="preserve">https://www.reddit.com/comments/1duwrrx</t>
  </si>
  <si>
    <t xml:space="preserve">What is the top song on your on repeat playlist. Sabriba Carpenter- please please please</t>
  </si>
  <si>
    <t xml:space="preserve">https://www.reddit.com/comments/1dv2tkl</t>
  </si>
  <si>
    <t xml:space="preserve">Here is my playlist with 884 songs, I’ll accumulated this last for like the past 7 years and it’s the only playlist I listen to, my music taste is all</t>
  </si>
  <si>
    <t xml:space="preserve">https://www.reddit.com/comments/1dvj3jq</t>
  </si>
  <si>
    <t xml:space="preserve">Why does Spotify keep getting worse . Alright, so I've been noticing for probably the past year and half that Spotify just keep getting worse and wors</t>
  </si>
  <si>
    <t xml:space="preserve">https://www.reddit.com/comments/1dvkf1w</t>
  </si>
  <si>
    <t xml:space="preserve">I need Space Rock recommendations. Looking for songs to add to what's on this playlist so far.</t>
  </si>
  <si>
    <t xml:space="preserve">https://www.reddit.com/comments/1dvm2ji</t>
  </si>
  <si>
    <t xml:space="preserve">How to dislike content. I was searching podcasts on my iPhone Spotify app and listened to one of the results, is there a way to “dislike” the content?</t>
  </si>
  <si>
    <t xml:space="preserve">https://www.reddit.com/comments/1dw2t4n</t>
  </si>
  <si>
    <t xml:space="preserve">Recommended songs setting. When did Spotify start playing “recommended songs for you” instead of playing similar songs (I think they used to call it “</t>
  </si>
  <si>
    <t xml:space="preserve">https://www.reddit.com/comments/1dw541v</t>
  </si>
  <si>
    <t xml:space="preserve">Need recommendation . [removed]</t>
  </si>
  <si>
    <t xml:space="preserve">https://www.reddit.com/comments/1dwzeeq</t>
  </si>
  <si>
    <t xml:space="preserve">Ai DJ. I was wondering if AI DJ is available in Spain because my friend from Sweden has it on his Spotify and my friend from France has it on his Spot</t>
  </si>
  <si>
    <t xml:space="preserve">https://www.reddit.com/comments/1dxlh34</t>
  </si>
  <si>
    <t xml:space="preserve">1hr 30mins indie/alt rock playlist for daytime— Wolf Alice, Bombay Bicycle Club, Foals, The Strokes, and more. Recommend listening in order, I try to </t>
  </si>
  <si>
    <t xml:space="preserve">https://www.reddit.com/comments/1dy824r</t>
  </si>
  <si>
    <t xml:space="preserve">Need recommendations. [removed]</t>
  </si>
  <si>
    <t xml:space="preserve">https://www.reddit.com/comments/1dz39a4</t>
  </si>
  <si>
    <t xml:space="preserve">Question around sponsored content for premium users. I recently returned to Spotify after a hiatus, and to my surprise there seems to be a lot of spon</t>
  </si>
  <si>
    <t xml:space="preserve">https://www.reddit.com/comments/1dz9mrz</t>
  </si>
  <si>
    <t xml:space="preserve">Good songs that mix rock and acoustic?. Me and my dad are going on a road trip and I’m making a playlist for us. We have very different music tastes. </t>
  </si>
  <si>
    <t xml:space="preserve">https://www.reddit.com/comments/1dzq6w8</t>
  </si>
  <si>
    <t xml:space="preserve">Spotify adding new music to my playlists without smart shuffle?? . Was listening to one of my playlists earlier, as usual, and didn’t have smart shuff</t>
  </si>
  <si>
    <t xml:space="preserve">https://www.reddit.com/comments/1e027wh</t>
  </si>
  <si>
    <t xml:space="preserve">Weird Spotify priorities. What the hell are they doing with their app? It feels like each and every update they work on is completely not what the use</t>
  </si>
  <si>
    <t xml:space="preserve">https://www.reddit.com/comments/1e0mel8</t>
  </si>
  <si>
    <t xml:space="preserve">My EDM/House Playlist . Enjoy and make suggestions I can add please. [</t>
  </si>
  <si>
    <t xml:space="preserve">https://www.reddit.com/comments/1e11zal</t>
  </si>
  <si>
    <t xml:space="preserve">Spotify Pauses Song While Sending WhatsApp Messages. Hey Reddit, I'm facing an annoying issue and could really use some help. Whenever I send a messag</t>
  </si>
  <si>
    <t xml:space="preserve">https://www.reddit.com/comments/1e1dmxs</t>
  </si>
  <si>
    <t xml:space="preserve">Childish Gambino dropped a new single. I love his old stuff a lot, Because the Internet and Kauai being my favorite albums. To be honest everything af</t>
  </si>
  <si>
    <t xml:space="preserve">https://www.reddit.com/comments/1e1k915</t>
  </si>
  <si>
    <t xml:space="preserve">Murder Ballads. Besides Nick Cave (who I love, obviously). Any suggestions?</t>
  </si>
  <si>
    <t xml:space="preserve">https://www.reddit.com/comments/1e2kaun</t>
  </si>
  <si>
    <t xml:space="preserve">Why is a spotify blend playlist still in my home recommendations when I havent listened to it in weeks. [removed]</t>
  </si>
  <si>
    <t xml:space="preserve">https://www.reddit.com/comments/1e2nnis</t>
  </si>
  <si>
    <t xml:space="preserve">Spotify auto suggests song mid-playlist . I recently created a playlist long songs (all 8+ min long) and Spotify has started playing auto-suggested so</t>
  </si>
  <si>
    <t xml:space="preserve">https://www.reddit.com/comments/1e33lhl</t>
  </si>
  <si>
    <t xml:space="preserve">Omgffffff please I want to remove this smart shuffle its randomly turning on its so annoying . [removed]</t>
  </si>
  <si>
    <t xml:space="preserve">https://www.reddit.com/comments/1e37jhw</t>
  </si>
  <si>
    <t xml:space="preserve">Do songs only count towards my recommendations if they’re in my “liked songs” as opposed to just being in a playlist? . As in, should I be adding ever</t>
  </si>
  <si>
    <t xml:space="preserve">https://www.reddit.com/comments/1e3psme</t>
  </si>
  <si>
    <t xml:space="preserve">Artists like Clairo. A couple of months ago I discovered her album "Sling" which had me hooked, and "Charm" has fully converted me to a Clairo fan, so</t>
  </si>
  <si>
    <t xml:space="preserve">https://www.reddit.com/comments/1e3zylv</t>
  </si>
  <si>
    <t xml:space="preserve">Is there a website or AI program that gives you song recommendations that sound exactly like a certain song? . Like something where I could enter a so</t>
  </si>
  <si>
    <t xml:space="preserve">https://www.reddit.com/comments/1e41wcz</t>
  </si>
  <si>
    <t xml:space="preserve">Summer dance/pop playlist. Every year I make a Summer/Pride/Vacation playlist. It’s a collection of dance / pop stuff that I’ve liked from the past ye</t>
  </si>
  <si>
    <t xml:space="preserve">https://www.reddit.com/comments/1e49qu9</t>
  </si>
  <si>
    <t xml:space="preserve">Spotify (smart) Shuffle Algorithm. [removed]</t>
  </si>
  <si>
    <t xml:space="preserve">https://www.reddit.com/comments/1e5bwjg</t>
  </si>
  <si>
    <t xml:space="preserve">Metal/alternative suggestions. Been actually trying to expand my music taste as of lately &amp; find out what I actually like, Metal &amp; gothic music has al</t>
  </si>
  <si>
    <t xml:space="preserve">https://www.reddit.com/comments/1e5bzg2</t>
  </si>
  <si>
    <t xml:space="preserve">Rate my playlist . Don’t really have a favourite genre of music, just listen to stuff I like and enjoy, (Please recommend me any songs you think I wou</t>
  </si>
  <si>
    <t xml:space="preserve">https://www.reddit.com/comments/1e5to83</t>
  </si>
  <si>
    <t xml:space="preserve">Song Recommendations?. I’ve realized that I tend to listen to random things and I don’t pay that much attention to what everyone else is listening to.</t>
  </si>
  <si>
    <t xml:space="preserve">https://www.reddit.com/comments/1e60ooa</t>
  </si>
  <si>
    <t xml:space="preserve">Spotify Brings AI DJ to Spanish-Speaking Music Fans Around the World.</t>
  </si>
  <si>
    <t xml:space="preserve">https://www.reddit.com/comments/1e6e13c</t>
  </si>
  <si>
    <t xml:space="preserve">When I open the Spotify App on my phone, it takes me to an Album that I hadn't searched for. Recently, I've noticed that whenever I open the Spotify A</t>
  </si>
  <si>
    <t xml:space="preserve">https://www.reddit.com/comments/1e6gclm</t>
  </si>
  <si>
    <t xml:space="preserve">How to find new releases from your followed artists?. I loved the notifications tab, which used to show all releases from artists I follow. That featu</t>
  </si>
  <si>
    <t xml:space="preserve">https://www.reddit.com/comments/1e72bbd</t>
  </si>
  <si>
    <t xml:space="preserve">controversial buttt… any song recs on getting with your toxic ex’s best friend?. [removed]</t>
  </si>
  <si>
    <t xml:space="preserve">https://www.reddit.com/comments/1e72o8v</t>
  </si>
  <si>
    <t xml:space="preserve">Songs with animal sounds . Kind of a weird one but I’m looking for songs that contain animal calls! Preferably zoo animals, but I will take any recomm</t>
  </si>
  <si>
    <t xml:space="preserve">https://www.reddit.com/comments/1e74r93</t>
  </si>
  <si>
    <t xml:space="preserve">AI DJ train per playlist. Hey just found and tried the AI DJ to try to curate music. My problem is I have a huge variety of musical interest sometimes</t>
  </si>
  <si>
    <t xml:space="preserve">https://www.reddit.com/comments/1e801ke</t>
  </si>
  <si>
    <t xml:space="preserve">Introduction to Women in Metal. Hello everyone, I have spent several years delving into the vast world of female-fronted metal bands. I recently creat</t>
  </si>
  <si>
    <t xml:space="preserve">https://www.reddit.com/comments/1e87jth</t>
  </si>
  <si>
    <t xml:space="preserve">I like making playlist, so I made one for long drives in my state a little while ago, but I’m looking for more songs like these ones.. I made a playli</t>
  </si>
  <si>
    <t xml:space="preserve">https://www.reddit.com/comments/1e8arz1</t>
  </si>
  <si>
    <t xml:space="preserve">Interesting recommendations. [removed]</t>
  </si>
  <si>
    <t xml:space="preserve">https://www.reddit.com/comments/1e8cd7e</t>
  </si>
  <si>
    <t xml:space="preserve">smart shuffle automatically turning on when minimised. exactly as it says, how do i stop this?</t>
  </si>
  <si>
    <t xml:space="preserve">https://www.reddit.com/comments/1e8lpq5</t>
  </si>
  <si>
    <t xml:space="preserve">songs that you hate because spotify keeps playing/recommend it after listening to other song.. that one aeroplane song from neutral milk hotel and lov</t>
  </si>
  <si>
    <t xml:space="preserve">https://www.reddit.com/comments/1e8pmq6</t>
  </si>
  <si>
    <t xml:space="preserve">90s Kids Radio - a huge collection of nostalgic songs of all genres .</t>
  </si>
  <si>
    <t xml:space="preserve">https://www.reddit.com/comments/1e9nxca</t>
  </si>
  <si>
    <t xml:space="preserve">What are some songs like resonance by home. What genre is this and give me song recommendations that rack your brain like this song</t>
  </si>
  <si>
    <t xml:space="preserve">https://www.reddit.com/comments/1e9v03d</t>
  </si>
  <si>
    <t xml:space="preserve">Better check that algorithm.... [removed]</t>
  </si>
  <si>
    <t xml:space="preserve">https://www.reddit.com/comments/1ea0xb9</t>
  </si>
  <si>
    <t xml:space="preserve">Nostalgia | Playlist 2024. Any suggestions for my nostalgia playlist?</t>
  </si>
  <si>
    <t xml:space="preserve">https://www.reddit.com/comments/1ea155e</t>
  </si>
  <si>
    <t xml:space="preserve">Why is my discover weekly completely one genre, and I don't even listen to that much.. So I recently rediscovered the "Discover Weekly" playlist, as I</t>
  </si>
  <si>
    <t xml:space="preserve">https://www.reddit.com/comments/1ea8zge</t>
  </si>
  <si>
    <t xml:space="preserve">Spotify confirms a Deluxe plan with higher audio quality and enhanced controls.</t>
  </si>
  <si>
    <t xml:space="preserve">https://www.reddit.com/comments/1eat07z</t>
  </si>
  <si>
    <t xml:space="preserve">Recommendations cycling through liked songs?. So, as the title says, the recommended songs in my playlists is no longer showing songs based on the con</t>
  </si>
  <si>
    <t xml:space="preserve">https://www.reddit.com/comments/1eavkln</t>
  </si>
  <si>
    <t xml:space="preserve">Future AI DJ functionality. It has a ton of potential, of course atm the DJ's voice and random interludes are super annoying/distracting and its hardl</t>
  </si>
  <si>
    <t xml:space="preserve">https://www.reddit.com/comments/1eawm2f</t>
  </si>
  <si>
    <t xml:space="preserve">Band suggestions: modern heartfelt/inoffensive rock like Train/Goo Goo Dolls/Lifehouse. Per title, anyone out there still making rock music like this?</t>
  </si>
  <si>
    <t xml:space="preserve">https://www.reddit.com/comments/1ebdb5s</t>
  </si>
  <si>
    <t xml:space="preserve">Spotify free is better to find new music? . My premium was expired and i didn't immediately purchase again. The thing is, as i was playing my own favo</t>
  </si>
  <si>
    <t xml:space="preserve">https://www.reddit.com/comments/1ebsjlg</t>
  </si>
  <si>
    <t xml:space="preserve">What's up with these new search suggestions? It's awful.</t>
  </si>
  <si>
    <t xml:space="preserve">https://www.reddit.com/comments/1ecrj8g</t>
  </si>
  <si>
    <t xml:space="preserve">Any song recommendations?. [removed]</t>
  </si>
  <si>
    <t xml:space="preserve">https://www.reddit.com/comments/1ed8lxd</t>
  </si>
  <si>
    <t xml:space="preserve">Replying with songs. So this guy and I have been flirting with music. Im not sure what to send next, most recent tunes have been. HIM: Hands down dash</t>
  </si>
  <si>
    <t xml:space="preserve">https://www.reddit.com/comments/1ef65za</t>
  </si>
  <si>
    <t xml:space="preserve">Is there a reason why spotify keeps autoplaying Lump by PUSA. NO MATTER WHAT SONG I PLAY FIRST, IT CAN BE BEASTIE BOYS, THE STROKES, FOO FIGHTERS FUCK</t>
  </si>
  <si>
    <t xml:space="preserve">https://www.reddit.com/comments/1ef8u0m</t>
  </si>
  <si>
    <t xml:space="preserve">Songs to cry to. Someone on here wanted songs about family grief so I had to comb through my “songs to cry to playlist” and realized it’s a little out</t>
  </si>
  <si>
    <t xml:space="preserve">https://www.reddit.com/comments/1efkqu9</t>
  </si>
  <si>
    <t xml:space="preserve">dope shit my ai dj has recommended me. (Pretty self explanatory) been trying the ai dj and so far it has recommended me some interesting stuff</t>
  </si>
  <si>
    <t xml:space="preserve">https://www.reddit.com/comments/1efo4r8</t>
  </si>
  <si>
    <t xml:space="preserve">what's your guys' favorite non-english song?. looking for recommendations :) mine's "Το τανγκό της Μαρσό" (Marso's Tango), a greek song by a group cal</t>
  </si>
  <si>
    <t xml:space="preserve">https://www.reddit.com/comments/1efz3gk</t>
  </si>
  <si>
    <t xml:space="preserve">Weird skipping. Is anyone’s Spotify randomly skipping to the middle/end of a song if they have it on repeat? It keeps happening to me. (On iPhone 14)</t>
  </si>
  <si>
    <t xml:space="preserve">https://www.reddit.com/comments/1efz880</t>
  </si>
  <si>
    <t xml:space="preserve">I want a spotify anonymous tab. Is there an extension for an anonymous tab? sometimes I want to listen to some artists but I don't want these artists </t>
  </si>
  <si>
    <t xml:space="preserve">https://www.reddit.com/comments/1egc0sg</t>
  </si>
  <si>
    <t xml:space="preserve">Organic Playlist for musicians. (ESSENTIAL Discover Weekly). [removed]</t>
  </si>
  <si>
    <t xml:space="preserve">https://www.reddit.com/comments/1egodyk</t>
  </si>
  <si>
    <t xml:space="preserve">How to turn off 10+ second cross fade for Spotify DJ? . I’m sick of having the entire intro being removed from songs. I have cross fade set to zero in</t>
  </si>
  <si>
    <t xml:space="preserve">https://www.reddit.com/comments/1egtbf5</t>
  </si>
  <si>
    <t xml:space="preserve">Recommended songs based on what's in my playlist. [removed]</t>
  </si>
  <si>
    <t xml:space="preserve">https://www.reddit.com/comments/1eh1alg</t>
  </si>
  <si>
    <t xml:space="preserve">App’s EQ vs Car’s EQ. I think Spotify should consider on their next update to have the app select the car’s EQ whenever it is connected via bluetooth </t>
  </si>
  <si>
    <t xml:space="preserve">https://www.reddit.com/comments/1ehbucb</t>
  </si>
  <si>
    <t xml:space="preserve">What’s the best playback for rap?. These are my current settings I’ve noticed that the hip hop presaved thingy sounds way too flat for my liking. What</t>
  </si>
  <si>
    <t xml:space="preserve">https://www.reddit.com/comments/1ehgzt3</t>
  </si>
  <si>
    <t xml:space="preserve">Any solution to autoplay in car? . [removed]</t>
  </si>
  <si>
    <t xml:space="preserve">https://www.reddit.com/comments/1ehh1es</t>
  </si>
  <si>
    <t xml:space="preserve">I would like some suggestions for my summer soundtrack!.</t>
  </si>
  <si>
    <t xml:space="preserve">https://www.reddit.com/comments/1ei6nvk</t>
  </si>
  <si>
    <t xml:space="preserve">Vamos a la playa, a mi me gusta bailar!. Hello everyone! Yesterday I watched the livestream of Electric Callboy concert from Pol'and'Rock Festival (it</t>
  </si>
  <si>
    <t xml:space="preserve">https://www.reddit.com/comments/1eie101</t>
  </si>
  <si>
    <t xml:space="preserve">Spotify crashes when i try to open my queue or when i hit the next track. It started yesterday when i was listening on my laptop and had a bunch of so</t>
  </si>
  <si>
    <t xml:space="preserve">https://www.reddit.com/comments/1ejbm0f</t>
  </si>
  <si>
    <t xml:space="preserve">Why does Spotify keeps recommending music that has ABSOLUTELY NO LINKS YO MY PLAYLIST . Sorry if it’s a rant, but it drives me crazy. I have a playlis</t>
  </si>
  <si>
    <t xml:space="preserve">https://www.reddit.com/comments/1ejj23a</t>
  </si>
  <si>
    <t xml:space="preserve">I bought a new phone and for the past few weeks when using Spotify some songs that I put on repeat started at a random moment of the song, not at the </t>
  </si>
  <si>
    <t xml:space="preserve">https://www.reddit.com/comments/1ekfzx5</t>
  </si>
  <si>
    <t xml:space="preserve">Has Spotify taken away the pleasure of listening to any of your favorite songs rather than added to?. I made a huge playlist of favorites (a cut small</t>
  </si>
  <si>
    <t xml:space="preserve">https://www.reddit.com/comments/1ekq7vm</t>
  </si>
  <si>
    <t xml:space="preserve">Any recommendations for my largest playlist (New Indie Grooves)? I just rediscovered The National, and I’m looking for some new music. Thanks, any rec</t>
  </si>
  <si>
    <t xml:space="preserve">https://www.reddit.com/comments/1ekyv6t</t>
  </si>
  <si>
    <t xml:space="preserve">QUEST - ROOKIE OF THE YEAR. Hey guys I’m a small artist from Aus trying to make a name for myself. Let me know any feedback, suggestions or ideas Than</t>
  </si>
  <si>
    <t xml:space="preserve">https://www.reddit.com/comments/1el2hpd</t>
  </si>
  <si>
    <t xml:space="preserve">Release Radar shrunk. Anyone know why my Release Radar just shrunk from 200 songs to 30? This is fucked! I follow a lot of artists and 30 isn't going </t>
  </si>
  <si>
    <t xml:space="preserve">https://www.reddit.com/comments/1el84da</t>
  </si>
  <si>
    <t xml:space="preserve">Best instrumental metal albums/songs?. Hi everyone, I'm on the lookout for some **great instrumental metal**. Whether it's albums, individual songs, o</t>
  </si>
  <si>
    <t xml:space="preserve">https://www.reddit.com/comments/1elphpy</t>
  </si>
  <si>
    <t xml:space="preserve">Spotify DJ doesn't play on my iPhone.. Spotify DJ doesn't play on my iPhone, Why?</t>
  </si>
  <si>
    <t xml:space="preserve">https://www.reddit.com/comments/1elxzse</t>
  </si>
  <si>
    <t xml:space="preserve">Recommend me songs to add to my chill chillaxing jellyfish-themed LSAT playlist for me to listen to on the drive to the testing center ?. So I’m takin</t>
  </si>
  <si>
    <t xml:space="preserve">https://www.reddit.com/comments/1em1iou</t>
  </si>
  <si>
    <t xml:space="preserve">Random Songs Are Being Added To Spotify Playlists. Hi! I tried posting this on different Spotify related threads, but it either got deleted or it was </t>
  </si>
  <si>
    <t xml:space="preserve">https://www.reddit.com/comments/1em5xmc</t>
  </si>
  <si>
    <t xml:space="preserve">Anyone know how to disable smart shuffle? . Even without WiFi, Spotify is constantly trying to make me apply smart shuffle. Is there a setting that ca</t>
  </si>
  <si>
    <t xml:space="preserve">https://www.reddit.com/comments/1emhn8g</t>
  </si>
  <si>
    <t xml:space="preserve">Any idea why my Spotify mobile app keeps dropping off of Random when in the car? (Via. Bluetooth)?. In the car I'll just stick - via Bluetooth - my al</t>
  </si>
  <si>
    <t xml:space="preserve">https://www.reddit.com/comments/1empwta</t>
  </si>
  <si>
    <t xml:space="preserve">recommend smth similar wit IVOXYGEN. [removed]</t>
  </si>
  <si>
    <t xml:space="preserve">https://www.reddit.com/comments/1en2zif</t>
  </si>
  <si>
    <t xml:space="preserve">Looking for recommendations for songs that start normally but then spiral upward lifting you with them, so by the end you feel up and energised? .</t>
  </si>
  <si>
    <t xml:space="preserve">https://www.reddit.com/comments/1en47rp</t>
  </si>
  <si>
    <t xml:space="preserve">Who else has been personally victimised by their Spotify Daylist?. [removed]</t>
  </si>
  <si>
    <t xml:space="preserve">https://www.reddit.com/comments/1endo9t</t>
  </si>
  <si>
    <t xml:space="preserve">AI DJ isn't all that great.... So I've been toying with the AI DJ X for about a week or so. Have to say... not all that great. Bearing in mind that I'</t>
  </si>
  <si>
    <t xml:space="preserve">https://www.reddit.com/comments/1endp2r</t>
  </si>
  <si>
    <t xml:space="preserve">https://www.reddit.com/comments/1enffor</t>
  </si>
  <si>
    <t xml:space="preserve">Need more country music - RECOMMEND. [removed]</t>
  </si>
  <si>
    <t xml:space="preserve">https://www.reddit.com/comments/1engdnm</t>
  </si>
  <si>
    <t xml:space="preserve">Recs for songs that are so good you start levitating?🙏🙏. [removed]</t>
  </si>
  <si>
    <t xml:space="preserve">https://www.reddit.com/comments/1enmccm</t>
  </si>
  <si>
    <t xml:space="preserve">what is THE song that perfectly captures your sadness ?. I’ve got this trilogy esque playlist that im trying to add more songs to… and I’d love to hea</t>
  </si>
  <si>
    <t xml:space="preserve">https://www.reddit.com/comments/1enwux4</t>
  </si>
  <si>
    <t xml:space="preserve">Following Other Users’ Release Radars Not Possible Now?. I have been following multiple people's RRs for years. Just today, though, I click on the dif</t>
  </si>
  <si>
    <t xml:space="preserve">https://www.reddit.com/comments/1eny75n</t>
  </si>
  <si>
    <t xml:space="preserve">Indie/Alt/Rock Radio Waves.</t>
  </si>
  <si>
    <t xml:space="preserve">https://www.reddit.com/comments/1eo50nr</t>
  </si>
  <si>
    <t xml:space="preserve">I just noticed Release Radar changed to just 30 tracks and I don't like it. I check Release Radar every week Thursday night at 11 (central time) and I</t>
  </si>
  <si>
    <t xml:space="preserve">https://www.reddit.com/comments/1eof00k</t>
  </si>
  <si>
    <t xml:space="preserve">Radio Active (198?). This is a nostalgia playlist based on a mixed tape from the 80s. Initially it was sequential until I started riffing and expandin</t>
  </si>
  <si>
    <t xml:space="preserve">https://www.reddit.com/comments/1eooqnt</t>
  </si>
  <si>
    <t xml:space="preserve">Suggestions for this Playlist I'm making.. [ Also, I'm on the debate whether or not Muse's Black Holes and Revelations counts. Thanks!</t>
  </si>
  <si>
    <t xml:space="preserve">https://www.reddit.com/comments/1ep3g5t</t>
  </si>
  <si>
    <t xml:space="preserve">remote connect stopped working AGAIN . Ive already done all spotify recommended actions to troubleshoot. ive even went to an older version of spotify.</t>
  </si>
  <si>
    <t xml:space="preserve">https://www.reddit.com/comments/1epm5jz</t>
  </si>
  <si>
    <t xml:space="preserve">Looking for experimental electronic artists from Eastern Asia. Hello, I'm a curator of music at the cross-section of electronic &amp; 'world' music, &amp; enj</t>
  </si>
  <si>
    <t xml:space="preserve">https://www.reddit.com/comments/1eqaa7p</t>
  </si>
  <si>
    <t xml:space="preserve">Shuffle is actually laughably bad. When shuffling my liked songs playlist, which is about 2,500 songs, it’ll always play the same general songs, and e</t>
  </si>
  <si>
    <t xml:space="preserve">https://www.reddit.com/comments/1eqomjf</t>
  </si>
  <si>
    <t xml:space="preserve">Anyone else not a fan of Spotify Enhanced shuffle ?. [removed]</t>
  </si>
  <si>
    <t xml:space="preserve">https://www.reddit.com/comments/1eqyio5</t>
  </si>
  <si>
    <t xml:space="preserve">song recs that fit the vibe of my sleeping playlist? . 🫶</t>
  </si>
  <si>
    <t xml:space="preserve">https://www.reddit.com/comments/1erdh5v</t>
  </si>
  <si>
    <t xml:space="preserve">best underrated covers?. we all know Cash's Hurt, Hendrix's All Along The Watchtower, Whitney's I Will Always Love You. What are some **underrated** c</t>
  </si>
  <si>
    <t xml:space="preserve">https://www.reddit.com/comments/1ericwx</t>
  </si>
  <si>
    <t xml:space="preserve">Song/playlist recommendations. I need something with the following vibe: Bar at night, velvet, red, wine, smoke, cigarettes, chains, guitars, skulls, </t>
  </si>
  <si>
    <t xml:space="preserve">https://www.reddit.com/comments/1erit7k</t>
  </si>
  <si>
    <t xml:space="preserve">Anyone have recommendations?. [removed]</t>
  </si>
  <si>
    <t xml:space="preserve">https://www.reddit.com/comments/1ernrgo</t>
  </si>
  <si>
    <t xml:space="preserve">How do I reset recommendations?. Recently 3 playlists, "This Is Taylor Swift", "Christmas Hits", and "pumpkin spice" have appeared on my homepage desp</t>
  </si>
  <si>
    <t xml:space="preserve">https://www.reddit.com/comments/1erof22</t>
  </si>
  <si>
    <t xml:space="preserve">Issue with random podcasts on autoplay. My friend was listening to the Abroad in Japan travel podcast on Spotify, but when the episode finished Spotif</t>
  </si>
  <si>
    <t xml:space="preserve">https://www.reddit.com/comments/1erufh4</t>
  </si>
  <si>
    <t xml:space="preserve">in search of some artists. hello there! as the title says, i am in search of some artists. i really like english and hungarian songs but mostly listen</t>
  </si>
  <si>
    <t xml:space="preserve">https://www.reddit.com/comments/1es0x82</t>
  </si>
  <si>
    <t xml:space="preserve">Discover weekly. [removed]</t>
  </si>
  <si>
    <t xml:space="preserve">https://www.reddit.com/comments/1esep5n</t>
  </si>
  <si>
    <t xml:space="preserve">I dislike 98% of my recommendations/discovery weekly - Is there a way to let Spotify know what songs I do not like?. I want to discover new music, but</t>
  </si>
  <si>
    <t xml:space="preserve">https://www.reddit.com/comments/1espq0y</t>
  </si>
  <si>
    <t xml:space="preserve">Reduce smart shuffle?. Is there anyway to reduce smart shuffle? I enjoy using it but recently 9/10 songs have been new songs for me. I can hardly list</t>
  </si>
  <si>
    <t xml:space="preserve">https://www.reddit.com/comments/1esqrdf</t>
  </si>
  <si>
    <t xml:space="preserve">Removing Russian Trolls like Tucker Carlson. How do I remove Russian trolls like Tucker Carlson from my suggestions list on Spotify? Don't they have a</t>
  </si>
  <si>
    <t xml:space="preserve">https://www.reddit.com/comments/1eteesu</t>
  </si>
  <si>
    <t xml:space="preserve">Widget Alternatives - Really Nothing?. I was only able to find a post from 3 years ago, so: since Spotify doesn’t allow the colour-matching background</t>
  </si>
  <si>
    <t xml:space="preserve">https://www.reddit.com/comments/1etq861</t>
  </si>
  <si>
    <t xml:space="preserve">Release Radar does not show the new songs dropped by all the artists you follow.. Just some of them</t>
  </si>
  <si>
    <t xml:space="preserve">https://www.reddit.com/comments/1etz34e</t>
  </si>
  <si>
    <t xml:space="preserve">siren songs (comment recs below!).</t>
  </si>
  <si>
    <t xml:space="preserve">https://www.reddit.com/comments/1eu3lpb</t>
  </si>
  <si>
    <t xml:space="preserve">Dreamy Tropic Playlist Suggestions?. i’ve worked on this for a few weeks! put it on spotify the other day. Any suggestions??? Feedback is appreciated,</t>
  </si>
  <si>
    <t xml:space="preserve">https://www.reddit.com/comments/1eun0hb</t>
  </si>
  <si>
    <t xml:space="preserve">Release Radar . Has anyone else experienced their Release Radar missing songs? I thought maybe there just wasn't that much new music 2 weeks ago, but </t>
  </si>
  <si>
    <t xml:space="preserve">https://www.reddit.com/comments/1ev69bg</t>
  </si>
  <si>
    <t xml:space="preserve">[Xennial - Old Millenial] Radio (No Earmuffs) Hand-Picked Nostalgia . Hand picked pop, bops, rock, mainstream music from an Old Millenial. Clean, Non-</t>
  </si>
  <si>
    <t xml:space="preserve">https://www.reddit.com/comments/1ev8154</t>
  </si>
  <si>
    <t xml:space="preserve">Emails and suggestions got sent to the wrong account.. [removed]</t>
  </si>
  <si>
    <t xml:space="preserve">https://www.reddit.com/comments/1evdg9l</t>
  </si>
  <si>
    <t xml:space="preserve">How do I go back to my playlist?. I finally figured out how to turn off auto play, but now my Spotify is stuck playing songs that aren’t on my playlis</t>
  </si>
  <si>
    <t xml:space="preserve">https://www.reddit.com/comments/1evvi6x</t>
  </si>
  <si>
    <t xml:space="preserve">Release Radar limited to 30 songs. I started to notice in the last 2-3 weeks that release radar now only has 30 songs. I follow hundreds of artists an</t>
  </si>
  <si>
    <t xml:space="preserve">https://www.reddit.com/comments/1evyx75</t>
  </si>
  <si>
    <t xml:space="preserve">Help me complete this playlist . Please guys throw in some of ur favourite songs. The styles don't have to go with the current songs. Just recommend m</t>
  </si>
  <si>
    <t xml:space="preserve">https://www.reddit.com/comments/1ew52og</t>
  </si>
  <si>
    <t xml:space="preserve">Daylist is slowly improving . For a while my Daylist was only playing songs I had in my library and wasn’t getting adventurous With the genres it pick</t>
  </si>
  <si>
    <t xml:space="preserve">https://www.reddit.com/comments/1ewnhkn</t>
  </si>
  <si>
    <t xml:space="preserve">Phone and PS5 using different playlists for mixes like release radar and weekly discovery. Anyone use these on ps5 and have a solution? I am trying to</t>
  </si>
  <si>
    <t xml:space="preserve">https://www.reddit.com/comments/1ewumy6</t>
  </si>
  <si>
    <t xml:space="preserve">DJ stops playing and bugs out spotify. Any time i listen to the DJ on my work ipad it will play for about an hour and then stops entirely. If i try to</t>
  </si>
  <si>
    <t xml:space="preserve">https://www.reddit.com/comments/1ewvnp7</t>
  </si>
  <si>
    <t xml:space="preserve">Recommend songs that I personally like.</t>
  </si>
  <si>
    <t xml:space="preserve">https://www.reddit.com/comments/1ex2qau</t>
  </si>
  <si>
    <t xml:space="preserve">How do I stop the algorithm from sending me nothing but Eminem songs?. [removed]</t>
  </si>
  <si>
    <t xml:space="preserve">https://www.reddit.com/comments/1ex3zfu</t>
  </si>
  <si>
    <t xml:space="preserve">Does anyone actually USE smart shuffle?.</t>
  </si>
  <si>
    <t xml:space="preserve">https://www.reddit.com/comments/1exanhx</t>
  </si>
  <si>
    <t xml:space="preserve">Need help finding those missing "sections". Help please! Anybody know how to use Spotify API to retrieve these links? Because I don't. I'm tryna look </t>
  </si>
  <si>
    <t xml:space="preserve">https://www.reddit.com/comments/1ext6c1</t>
  </si>
  <si>
    <t xml:space="preserve">Into Deltron 3000, and I’d like some recommendations?. I just discovered Deltron 3000, more specifically his song “Positive Contact” which I’m OBSESSE</t>
  </si>
  <si>
    <t xml:space="preserve">https://www.reddit.com/comments/1ey04ta</t>
  </si>
  <si>
    <t xml:space="preserve">Recommended me an AI song.. [removed]</t>
  </si>
  <si>
    <t xml:space="preserve">https://www.reddit.com/comments/1eycak5</t>
  </si>
  <si>
    <t xml:space="preserve">how to stop autoplay of random playlist. y'all I'm at my wits end and need help :') every time I get in my car, for whatever reason Spotify decides to</t>
  </si>
  <si>
    <t xml:space="preserve">https://www.reddit.com/comments/1eypmsv</t>
  </si>
  <si>
    <t xml:space="preserve">Release Radar capped at 30 songs? - I've sort of found a work around... . The last few weeks my release radar on Spotify has been capped at 30 songs, </t>
  </si>
  <si>
    <t xml:space="preserve">https://www.reddit.com/comments/1eyygd8</t>
  </si>
  <si>
    <t xml:space="preserve">Daylist is identical every friday. Anyone else have a similar issue?. Hi folks, My Fridays at work are pretty chill so I tend to listen to music more </t>
  </si>
  <si>
    <t xml:space="preserve">https://www.reddit.com/comments/1ezfmjw</t>
  </si>
  <si>
    <t xml:space="preserve">Spotify doesn't play the correct songs on Release Radar. The past weeks I've had problems with the Spotify Release Radar list. So I started playing th</t>
  </si>
  <si>
    <t xml:space="preserve">https://www.reddit.com/comments/1ezi504</t>
  </si>
  <si>
    <t xml:space="preserve">The Chill Rap . Add my chill rap playlist &amp; recommend me songs xoxooo</t>
  </si>
  <si>
    <t xml:space="preserve">https://www.reddit.com/comments/1ezrdnd</t>
  </si>
  <si>
    <t xml:space="preserve">Spotify is going downhill... My daily playlists haven’t been updating daily for the last couple months. For example, for the last 3 days all the my ‘M</t>
  </si>
  <si>
    <t xml:space="preserve">https://www.reddit.com/comments/1f042t9</t>
  </si>
  <si>
    <t xml:space="preserve">Release Radar glitch?. [removed]</t>
  </si>
  <si>
    <t xml:space="preserve">https://www.reddit.com/comments/1f05y4e</t>
  </si>
  <si>
    <t xml:space="preserve">Release Radar glitch?? . Is anyone else’s release radar not “working”? The songs on the playlist aren’t totally random to me/my algorithm BUT the vide</t>
  </si>
  <si>
    <t xml:space="preserve">https://www.reddit.com/comments/1f05zao</t>
  </si>
  <si>
    <t xml:space="preserve">Turn off sponsored recommendations somehow. Obviously Spotify doesn’t want you to turn them off or that faux friendly last sentence would include a li</t>
  </si>
  <si>
    <t xml:space="preserve">https://www.reddit.com/comments/1f09nuo</t>
  </si>
  <si>
    <t xml:space="preserve">Any suggestions for this playlist? I made it for when I have guests who prefer more mainstream music..</t>
  </si>
  <si>
    <t xml:space="preserve">https://www.reddit.com/comments/1f0kc7z</t>
  </si>
  <si>
    <t xml:space="preserve">Smart shuffle keeps on suggesting same pop songs on hardcore techno playlist xD. I always knew that shuffle doesn't really work on spotify but now I g</t>
  </si>
  <si>
    <t xml:space="preserve">https://www.reddit.com/comments/1f0pwht</t>
  </si>
  <si>
    <t xml:space="preserve">Workout / Hype Playlist Help . I’m really looking for a pretty high energy list for lifting that can also translate over into cardio. Spotify as been </t>
  </si>
  <si>
    <t xml:space="preserve">https://www.reddit.com/comments/1f0tlgv</t>
  </si>
  <si>
    <t xml:space="preserve">International female singers pre 90s recommendations. I’m looking for songs from female artists (from like Chers generation) around the world in any l</t>
  </si>
  <si>
    <t xml:space="preserve">https://www.reddit.com/comments/1f1bzdy</t>
  </si>
  <si>
    <t xml:space="preserve">my release radar not updating each week anymore. . is anyone else currently having this problem? what are the fixes, if any. my app &amp; iphone are updat</t>
  </si>
  <si>
    <t xml:space="preserve">https://www.reddit.com/comments/1f1mfti</t>
  </si>
  <si>
    <t xml:space="preserve">Spotify on my desktop is running super slow for whatever reason. Help?. Hi all, I just set up my computer in my dorm and the first day the desktop app</t>
  </si>
  <si>
    <t xml:space="preserve">https://www.reddit.com/comments/1f27tx4</t>
  </si>
  <si>
    <t xml:space="preserve">Song recs similar to Dopamine (Split Brain Version)?. [removed]</t>
  </si>
  <si>
    <t xml:space="preserve">https://www.reddit.com/comments/1f2utti</t>
  </si>
  <si>
    <t xml:space="preserve">any recommendations ?. [removed]</t>
  </si>
  <si>
    <t xml:space="preserve">https://www.reddit.com/comments/1f30ajw</t>
  </si>
  <si>
    <t xml:space="preserve">The random claims are SO true. It's nothing new to anyone who's been around here a while, the reports about Spotify's random algorithm having a great </t>
  </si>
  <si>
    <t xml:space="preserve">https://www.reddit.com/comments/1f3iq2z</t>
  </si>
  <si>
    <t xml:space="preserve">Does anyone else's spotify magically wind up on "Smart Shuffle" often?. Sorry, Mark in the board or whoever needs it to look like the new features are</t>
  </si>
  <si>
    <t xml:space="preserve">https://www.reddit.com/comments/1f3j9z2</t>
  </si>
  <si>
    <t xml:space="preserve">HELP FINDING MORE SONGS. Not sure if I'm using the search bar correctly but when I look for an artist I would like for it to give me a random order of</t>
  </si>
  <si>
    <t xml:space="preserve">https://www.reddit.com/comments/1f3wf89</t>
  </si>
  <si>
    <t xml:space="preserve">Account Restoration Help. I’ve had Spotify and used it as my main music platform for years (probably around 2015) about 2 years ago in 2022 I had stop</t>
  </si>
  <si>
    <t xml:space="preserve">https://www.reddit.com/comments/1f3zbfl</t>
  </si>
  <si>
    <t xml:space="preserve">"Sparse Jazz" similar to BotW Field / TotK Sky Islands. I love the really sparse nature of the recent Zelda overworld music. It's like listening to in</t>
  </si>
  <si>
    <t xml:space="preserve">https://www.reddit.com/comments/1f448pv</t>
  </si>
  <si>
    <t xml:space="preserve">when are we going to get non algorithmic shuffle?. i'm so sick of having songs i've never heard and never will, in my 15 hour long playlist. i don't w</t>
  </si>
  <si>
    <t xml:space="preserve">https://www.reddit.com/comments/1f5192f</t>
  </si>
  <si>
    <t xml:space="preserve">Has anyone figured out how to remove JRE “recommendations” from their homepage yet? . I’m using iOS and I really don’t like him or his view of politic</t>
  </si>
  <si>
    <t xml:space="preserve">https://www.reddit.com/comments/1f53ccm</t>
  </si>
  <si>
    <t xml:space="preserve">Hi guys! What are some chill, summertime, West Coast, California-themed playlists you'd recommend? I just released a new single that's a laid back mel</t>
  </si>
  <si>
    <t xml:space="preserve">https://www.reddit.com/comments/1f5ne3o</t>
  </si>
  <si>
    <t xml:space="preserve">Are made for you’s public?.</t>
  </si>
  <si>
    <t xml:space="preserve">https://www.reddit.com/comments/1f5u855</t>
  </si>
  <si>
    <t xml:space="preserve">Are Made for you’s public?. I found a playlist that was made for me that had 3 thousand saves, is that people saving the playlist spotify generated fo</t>
  </si>
  <si>
    <t xml:space="preserve">https://www.reddit.com/comments/1f5u9ia</t>
  </si>
  <si>
    <t xml:space="preserve">Did Spotify remove being able to see other people's release radars?. Me and my girlfriend always listen to our release radars together, usually we'd m</t>
  </si>
  <si>
    <t xml:space="preserve">https://www.reddit.com/comments/1f5yn6h</t>
  </si>
  <si>
    <t xml:space="preserve">Help finding songs like this?. I've discovered I like songs with a strong, predominant beat and some other quality I don't know how to name. A couple </t>
  </si>
  <si>
    <t xml:space="preserve">https://www.reddit.com/comments/1f6tyc1</t>
  </si>
  <si>
    <t xml:space="preserve">Does anyone know how to go to song radio without personal recommendations?. When I press "go to song radio" to find similar songs, it says "made for [</t>
  </si>
  <si>
    <t xml:space="preserve">https://www.reddit.com/comments/1f6y64j</t>
  </si>
  <si>
    <t xml:space="preserve">Podcast/song restarts every time I get a phone call on car audio. As the title says, every time I get a phone call while listening to a podcast/song o</t>
  </si>
  <si>
    <t xml:space="preserve">https://www.reddit.com/comments/1f73s8m</t>
  </si>
  <si>
    <t xml:space="preserve">How do I stop recommendations from showing in in liked songs? . All my liked songs are tailored to my own taste. I recently started seeing songs I nev</t>
  </si>
  <si>
    <t xml:space="preserve">https://www.reddit.com/comments/1f7hdar</t>
  </si>
  <si>
    <t xml:space="preserve">Anyone got recommendations?. If anyone got recommendations for this playlist please share i desperately need new songs, out of these songs my top 2 ar</t>
  </si>
  <si>
    <t xml:space="preserve">https://www.reddit.com/comments/1f8f6i7</t>
  </si>
  <si>
    <t xml:space="preserve">clearing queue . so this is probably the third time i have to post about this, spotify will constantly clear my queue as a glitch when i click on rand</t>
  </si>
  <si>
    <t xml:space="preserve">https://www.reddit.com/comments/1f8ljim</t>
  </si>
  <si>
    <t xml:space="preserve">When adding to a playlist, is there a way to view ~only~ suggested songs from your library, rather than songs you haven’t saved?. [removed]</t>
  </si>
  <si>
    <t xml:space="preserve">https://www.reddit.com/comments/1f8lv9l</t>
  </si>
  <si>
    <t xml:space="preserve">Songs that are about something really dark if you properly listen to the lyrics?. I was just listening to 'Waking up to the big drill pad' by Flatsoun</t>
  </si>
  <si>
    <t xml:space="preserve">https://www.reddit.com/comments/1f8obqp</t>
  </si>
  <si>
    <t xml:space="preserve">Repeat plays not showing up on listening history?. Effectively i only played a few songs yesterday but most were all on repeat, my spotify listening h</t>
  </si>
  <si>
    <t xml:space="preserve">https://www.reddit.com/comments/1f9lstn</t>
  </si>
  <si>
    <t xml:space="preserve">how to actually stop artist from appearing. Ive already removed wilbur soot from my playlist months ago and blocked him on spotidy too. he still plays</t>
  </si>
  <si>
    <t xml:space="preserve">https://www.reddit.com/comments/1f9mwg4</t>
  </si>
  <si>
    <t xml:space="preserve">Is there a way to remove those from my top mixes? i got hacked and some Hindu ruined my recommendations and algorithm .</t>
  </si>
  <si>
    <t xml:space="preserve">https://www.reddit.com/comments/1f9mxa6</t>
  </si>
  <si>
    <t xml:space="preserve">Su!cide songs with a happy melody/beat?. Just like the title says, can you guys recommend songs about su!cide that has a happy beat? i.e. [The Smashin</t>
  </si>
  <si>
    <t xml:space="preserve">https://www.reddit.com/comments/1f9ryvh</t>
  </si>
  <si>
    <t xml:space="preserve">Out of interest - can you share folders?. I've just got into the mood where I have started to folder everything (best example - today I crated a folde</t>
  </si>
  <si>
    <t xml:space="preserve">https://www.reddit.com/comments/1f9sfo8</t>
  </si>
  <si>
    <t xml:space="preserve">Frustrated by Spotify's music discovery algorithm! Would anyone be open to this?. I know this is not a new problem but I am finding it increasingly an</t>
  </si>
  <si>
    <t xml:space="preserve">https://www.reddit.com/comments/1fahdxv</t>
  </si>
  <si>
    <t xml:space="preserve">The fucking Spotify DJ just rickrolled me .</t>
  </si>
  <si>
    <t xml:space="preserve">https://www.reddit.com/comments/1fb1678</t>
  </si>
  <si>
    <t xml:space="preserve">Is there a way to remove particular recommendations?. [removed]</t>
  </si>
  <si>
    <t xml:space="preserve">https://www.reddit.com/comments/1fb3bl8</t>
  </si>
  <si>
    <t xml:space="preserve">The Rock ‘n’ Roll Circus. I guess this is my ‘favourite songs’ playlist? but also not really… I’m more into albums tbh and I have a decently sized rec</t>
  </si>
  <si>
    <t xml:space="preserve">https://www.reddit.com/comments/1fb8stj</t>
  </si>
  <si>
    <t xml:space="preserve">wiped my spotify clean recommend me some songs .</t>
  </si>
  <si>
    <t xml:space="preserve">https://www.reddit.com/comments/1fc7ae0</t>
  </si>
  <si>
    <t xml:space="preserve">I like when Spotify starts playing random recommended songs. These picks are always better than daily mix. . [removed]</t>
  </si>
  <si>
    <t xml:space="preserve">https://www.reddit.com/comments/1fd2g5t</t>
  </si>
  <si>
    <t xml:space="preserve">Recommendations based on these songs? . 1. Backwards - Runner Boy &amp; Babebee 2. Bubbly - Jia Pet 3. Break It Off - PinkPantheress I’m not sure what gen</t>
  </si>
  <si>
    <t xml:space="preserve">https://www.reddit.com/comments/1fdevc6</t>
  </si>
  <si>
    <t xml:space="preserve">Spotify EU adding ads to paying Premium members. I’m not sure if anybody noticed, but Spotify EU is now allowing ads on premium members when listening</t>
  </si>
  <si>
    <t xml:space="preserve">https://www.reddit.com/comments/1fdplya</t>
  </si>
  <si>
    <t xml:space="preserve">Why the fuck is Spotify enforcing "Smart Shuffle recommendations"? . Just leave my fucking playlists alone.</t>
  </si>
  <si>
    <t xml:space="preserve">https://www.reddit.com/comments/1featav</t>
  </si>
  <si>
    <t xml:space="preserve">FIX THE DAMN SHUFFLE. This is getting so bad and annoying. I'm about to switch to Apple Music. Why the hell would I want an algorithm to select music </t>
  </si>
  <si>
    <t xml:space="preserve">https://www.reddit.com/comments/1femn65</t>
  </si>
  <si>
    <t xml:space="preserve">Who ever came up with the smart shuffle needs to get their shit rocked in hell. thats all</t>
  </si>
  <si>
    <t xml:space="preserve">https://www.reddit.com/comments/1fequ5n</t>
  </si>
  <si>
    <t xml:space="preserve">can i stop spotify playing recommended songs while i’m listening to my playlist on mobile??. [removed]</t>
  </si>
  <si>
    <t xml:space="preserve">https://www.reddit.com/comments/1ff0c68</t>
  </si>
  <si>
    <t xml:space="preserve">Recommend me. [removed]</t>
  </si>
  <si>
    <t xml:space="preserve">https://www.reddit.com/comments/1ff58zg</t>
  </si>
  <si>
    <t xml:space="preserve">Someone ruined me and a friends playlist.... Me and a childhood friend of mine live far apart but we have similar taste in music, so we made a playlis</t>
  </si>
  <si>
    <t xml:space="preserve">https://www.reddit.com/comments/1ffm9n5</t>
  </si>
  <si>
    <t xml:space="preserve">Anybody else on Premium seeing "podcasts" in prime homepage real estate that are actually ads?. Premium member for about 8 years now. I know from usin</t>
  </si>
  <si>
    <t xml:space="preserve">https://www.reddit.com/comments/1ffukah</t>
  </si>
  <si>
    <t xml:space="preserve">why is release radar inaccessible???. [deleted]</t>
  </si>
  <si>
    <t xml:space="preserve">https://www.reddit.com/comments/1fh3eov</t>
  </si>
  <si>
    <t xml:space="preserve">song dump. and any recs?</t>
  </si>
  <si>
    <t xml:space="preserve">https://www.reddit.com/comments/1fhw9ub</t>
  </si>
  <si>
    <t xml:space="preserve">Gangster songs to listen to while in the gym?. Same as title. Any good gangster hiphop albums to listen on repeat so that I can keep me awake while I </t>
  </si>
  <si>
    <t xml:space="preserve">https://www.reddit.com/comments/1fhzt9f</t>
  </si>
  <si>
    <t xml:space="preserve">Folk and acoustic mix lacking females in my playlist. I have been loving the folk and acoustic mix for when I'm working around the house. However, the</t>
  </si>
  <si>
    <t xml:space="preserve">https://www.reddit.com/comments/1fi4dy4</t>
  </si>
  <si>
    <t xml:space="preserve">Nu metal playlist. i’m open to suggestions! .</t>
  </si>
  <si>
    <t xml:space="preserve">https://www.reddit.com/comments/1fi6n5q</t>
  </si>
  <si>
    <t xml:space="preserve">I need song/artist recommendations for my playist. [removed]</t>
  </si>
  <si>
    <t xml:space="preserve">https://www.reddit.com/comments/1fiebq4</t>
  </si>
  <si>
    <t xml:space="preserve">Best equalizer setting? (to enhance bass and deep sound). [removed]</t>
  </si>
  <si>
    <t xml:space="preserve">https://www.reddit.com/comments/1fij3nm</t>
  </si>
  <si>
    <t xml:space="preserve">Am I missing something or their is really no way to get one daily mix of all those genre and not multiple daily mixes of each genre ?.</t>
  </si>
  <si>
    <t xml:space="preserve">https://www.reddit.com/comments/1fixydv</t>
  </si>
  <si>
    <t xml:space="preserve">Spoken word . Does anybody have any recommendations for spoken word over music? I’m thinking like Fred Again x Soak - just stand there or this</t>
  </si>
  <si>
    <t xml:space="preserve">https://www.reddit.com/comments/1fj8zqa</t>
  </si>
  <si>
    <t xml:space="preserve">i listen to mgk and juice wrld, any other artist recommendations? .</t>
  </si>
  <si>
    <t xml:space="preserve">https://www.reddit.com/comments/1fjmnwc</t>
  </si>
  <si>
    <t xml:space="preserve">Start play via bluetooth only plays =&amp;)/(%¤&amp;¤&amp;%) songs. Hi, I started testing spotify with a free account before subscribing. I like the web version a</t>
  </si>
  <si>
    <t xml:space="preserve">https://www.reddit.com/comments/1fks7by</t>
  </si>
  <si>
    <t xml:space="preserve">I would love suggestions for this playlist .</t>
  </si>
  <si>
    <t xml:space="preserve">https://www.reddit.com/comments/1fkw3mb</t>
  </si>
  <si>
    <t xml:space="preserve">SONGS OF THE AMERICAN DREAM. A playlist with songs about the "American Dream". Seeking to reach it or losing sight of it. The American experience in s</t>
  </si>
  <si>
    <t xml:space="preserve">https://www.reddit.com/comments/1flcy6o</t>
  </si>
  <si>
    <t xml:space="preserve">"Sexy" / "floating" comforting song recs??. [removed]</t>
  </si>
  <si>
    <t xml:space="preserve">https://www.reddit.com/comments/1fldqx1</t>
  </si>
  <si>
    <t xml:space="preserve">I was listening to a great daily mix, played a song outside that list only to come back to see the mix completely changed. I've been loyal for 10 year</t>
  </si>
  <si>
    <t xml:space="preserve">https://www.reddit.com/comments/1flkm1t</t>
  </si>
  <si>
    <t xml:space="preserve">How To Fix Your Artist Radio?. Hello. A few years ago, I utilized some fake streams on Spotify. I realize now that that was certainly not wise. At thi</t>
  </si>
  <si>
    <t xml:space="preserve">https://www.reddit.com/comments/1flmsce</t>
  </si>
  <si>
    <t xml:space="preserve">Is there anyway to turn off or reduce AI generated songs from ruining my playlist and recommendations? . Half my release radar was filled with obvious</t>
  </si>
  <si>
    <t xml:space="preserve">https://www.reddit.com/comments/1flnruf</t>
  </si>
  <si>
    <t xml:space="preserve">album recommendations!. i'll happily listen to anything as i'm hoping to try and expand my music! currently, my top genres (according to stats.fm) are</t>
  </si>
  <si>
    <t xml:space="preserve">https://www.reddit.com/comments/1floitx</t>
  </si>
  <si>
    <t xml:space="preserve">Why Spotify does not have album recommendations ?. I am a new spotify user and love to listen to albums, not specific songs. Even though I (for the mo</t>
  </si>
  <si>
    <t xml:space="preserve">https://www.reddit.com/comments/1fltbmq</t>
  </si>
  <si>
    <t xml:space="preserve">album recommendation. [removed]</t>
  </si>
  <si>
    <t xml:space="preserve">https://www.reddit.com/comments/1flu9wa</t>
  </si>
  <si>
    <t xml:space="preserve">Looking for Gen X who can recommendations latest music that meets the Gen X taste. Seriously, I am out of touch with the new generation of music. It’s</t>
  </si>
  <si>
    <t xml:space="preserve">https://www.reddit.com/comments/1fly8hh</t>
  </si>
  <si>
    <t xml:space="preserve">A rant . I stopped using Spotify in 2019 or 2020 after using it for a year or two. I recently came back to it hearing great things about finding new m</t>
  </si>
  <si>
    <t xml:space="preserve">https://www.reddit.com/comments/1fm542e</t>
  </si>
  <si>
    <t xml:space="preserve">im alone, always been. and i like to cry. Any recommendations 😃. [removed]</t>
  </si>
  <si>
    <t xml:space="preserve">https://www.reddit.com/comments/1fm5t32</t>
  </si>
  <si>
    <t xml:space="preserve">Aux Battles App Interest?. Not sure this is the right place to ask but I’m wondering if anyone would be interested in an app where you can have “aux b</t>
  </si>
  <si>
    <t xml:space="preserve">https://www.reddit.com/comments/1fm75i4</t>
  </si>
  <si>
    <t xml:space="preserve">Am I going insane? Why is every song exactly 1 minute long?. Been listening to this classical playlist for a while, but recently every song was update</t>
  </si>
  <si>
    <t xml:space="preserve">https://www.reddit.com/comments/1fmpoeg</t>
  </si>
  <si>
    <t xml:space="preserve">I need something soft, dreamy, and sounds like home. I recently into lullaby—songs with a lot of humming, simple instruments, and voices that reminds </t>
  </si>
  <si>
    <t xml:space="preserve">https://www.reddit.com/comments/1fn9u26</t>
  </si>
  <si>
    <t xml:space="preserve">[pop] Chill R&amp;B &amp; K Pop playlist. I just Created a Chill R&amp;B &amp; K Pop playlist, Do you know of an artist that perfect for that vibe? comment below, I’m</t>
  </si>
  <si>
    <t xml:space="preserve">https://www.reddit.com/comments/1fnn15c</t>
  </si>
  <si>
    <t xml:space="preserve">Looking for a very similar songs to Dimension, Sub Focus &amp; NGHTMRE - Angel (ft. Mougleta). [ I am really in love with the song but afraid to listen to</t>
  </si>
  <si>
    <t xml:space="preserve">https://www.reddit.com/comments/1forydx</t>
  </si>
  <si>
    <t xml:space="preserve">Spotify told me that they’re unable to update “THIS IS” playlists generated by algorithm but are working on it..</t>
  </si>
  <si>
    <t xml:space="preserve">https://www.reddit.com/comments/1fpm9dz</t>
  </si>
  <si>
    <t xml:space="preserve">help needed with "discover weekly". I listen to a lot of white noise stuff to help me sleep, and previously to this week my discover weekly was just a</t>
  </si>
  <si>
    <t xml:space="preserve">https://www.reddit.com/comments/1fpvuw8</t>
  </si>
  <si>
    <t xml:space="preserve">I go running in the evenings. Is there a playlist you can recommend?.</t>
  </si>
  <si>
    <t xml:space="preserve">https://www.reddit.com/comments/1fq0qbi</t>
  </si>
  <si>
    <t xml:space="preserve">Koran has infected my algorithm?. For initial context, I listen to, like, three Korn songs, none of which are Freak on a Leash. But when I checked sta</t>
  </si>
  <si>
    <t xml:space="preserve">https://www.reddit.com/comments/1fq8zfb</t>
  </si>
  <si>
    <t xml:space="preserve">Anyone have a list of weird official Spotify playlists?. No, I don’t mean all the made for you mixes out there, i mean stuff more akin to the song psy</t>
  </si>
  <si>
    <t xml:space="preserve">https://www.reddit.com/comments/1fqdv27</t>
  </si>
  <si>
    <t xml:space="preserve">Did I hurt DJ X in some way?. He said "this song gives me a 'you' kind of vibe" then started playing Freezing Moon by Mayhem...</t>
  </si>
  <si>
    <t xml:space="preserve">https://www.reddit.com/comments/1fqkooy</t>
  </si>
  <si>
    <t xml:space="preserve">Discorver weekly and Release radar playlists infested with AI crap. Hello, I'm kind of a Music boomer who jumped on the Spotify train very late. Once </t>
  </si>
  <si>
    <t xml:space="preserve">https://www.reddit.com/comments/1fqoxf5</t>
  </si>
  <si>
    <t xml:space="preserve">I've listened to 1000's of tracks, and have chosen the BEST unknown artists - so you don't have to! Choose your favourite genre and enjoy incredible m</t>
  </si>
  <si>
    <t xml:space="preserve">https://www.reddit.com/comments/1fs7o2e</t>
  </si>
  <si>
    <t xml:space="preserve">My On Repeat. Please Share your On Repeat too!. [removed]</t>
  </si>
  <si>
    <t xml:space="preserve">https://www.reddit.com/comments/1fsrk2a</t>
  </si>
  <si>
    <t xml:space="preserve">Rate my Spotify playlist!! . Basically what the title says, I don’t really have a favourite genre, just listen to stuff I like Any song recommendation</t>
  </si>
  <si>
    <t xml:space="preserve">https://www.reddit.com/comments/1fst284</t>
  </si>
  <si>
    <t xml:space="preserve">Discover Weekly. How do i reset my alghorytm? I keep getting phonk or motivational music no matter how much i try try ro change it. Is driving my craz</t>
  </si>
  <si>
    <t xml:space="preserve">https://www.reddit.com/comments/1fswccm</t>
  </si>
  <si>
    <t xml:space="preserve">Recommend me any song, including foreign music, I listen to almost anything and my music taste is all over the place, I have over 900 songs in my play</t>
  </si>
  <si>
    <t xml:space="preserve">https://www.reddit.com/comments/1fsz4m6</t>
  </si>
  <si>
    <t xml:space="preserve">Now Playing not showing on iOS. . Any suggestions? Have to go into the app to go to next song. Also airpods pro click won’t play, pause, or go to next</t>
  </si>
  <si>
    <t xml:space="preserve">https://www.reddit.com/comments/1fu52xc</t>
  </si>
  <si>
    <t xml:space="preserve">got any chill song recommendations?. pretty self explanatory. i want a playlist that i can just turn on late at night to chill to while scrolling myse</t>
  </si>
  <si>
    <t xml:space="preserve">https://www.reddit.com/comments/1fu9znq</t>
  </si>
  <si>
    <t xml:space="preserve">Can you guys recommend something alike wet by dazey and the scouts .</t>
  </si>
  <si>
    <t xml:space="preserve">https://www.reddit.com/comments/1fudl4j</t>
  </si>
  <si>
    <t xml:space="preserve">Playlist of songs that have paid to be promoted in the algorithm (AI). Using the new AI playlist generator on Spotify with the prompt “Songs where lab</t>
  </si>
  <si>
    <t xml:space="preserve">https://www.reddit.com/comments/1fulxd2</t>
  </si>
  <si>
    <t xml:space="preserve">The AI DJ is so bad, it makes me want to drown my iPhone. Thats pretty much it. Spotify has been an echo chamber fucused on driving more listeners to </t>
  </si>
  <si>
    <t xml:space="preserve">https://www.reddit.com/comments/1fuq27n</t>
  </si>
  <si>
    <t xml:space="preserve">I recently got into K-pop, does anyone have recommendations for a playlist?.</t>
  </si>
  <si>
    <t xml:space="preserve">https://www.reddit.com/comments/1fuqfyu</t>
  </si>
  <si>
    <t xml:space="preserve">I want my daylist from yesterday back!. I regularly hear the list "Discover weekly". Yesterday something new happened to me on Spotify. I stumbled upo</t>
  </si>
  <si>
    <t xml:space="preserve">https://www.reddit.com/comments/1fvtbzw</t>
  </si>
  <si>
    <t xml:space="preserve">Smart Shuffle. For the past week, any time I use the smart shuffle, it seems to think I ONLY want to hear songs that have been in a movie/television s</t>
  </si>
  <si>
    <t xml:space="preserve">https://www.reddit.com/comments/1fwv3l0</t>
  </si>
  <si>
    <t xml:space="preserve">Podcast suggestions . [removed]</t>
  </si>
  <si>
    <t xml:space="preserve">https://www.reddit.com/comments/1fx08vk</t>
  </si>
  <si>
    <t xml:space="preserve">What’s the title of your daylist? .</t>
  </si>
  <si>
    <t xml:space="preserve">https://www.reddit.com/comments/1fx5907</t>
  </si>
  <si>
    <t xml:space="preserve">just made an uk drill playlist any suggestions?. [removed]</t>
  </si>
  <si>
    <t xml:space="preserve">https://www.reddit.com/comments/1fxs899</t>
  </si>
  <si>
    <t xml:space="preserve">Any suggestions based on my top 5 from the on repeat playlist?.</t>
  </si>
  <si>
    <t xml:space="preserve">https://www.reddit.com/comments/1fylyu1</t>
  </si>
  <si>
    <t xml:space="preserve">Daylist - I choose the "Remove from My Taste Profile" option, yet those playlists keep showing up. Any way to make these playlists not show up anymore</t>
  </si>
  <si>
    <t xml:space="preserve">https://www.reddit.com/comments/1fyqdky</t>
  </si>
  <si>
    <t xml:space="preserve">Halloween vibe calm songs. Hi all, I have a Halloween themed party coming up. As I am in a country that does not actively celebrate Halloween I am kin</t>
  </si>
  <si>
    <t xml:space="preserve">https://www.reddit.com/comments/1fyvh7k</t>
  </si>
  <si>
    <t xml:space="preserve">What can I do to change my Discover Weekly genres?. My DW used to be dope. It had a mix of genres that I listen to and was well balanced. Nowadays it'</t>
  </si>
  <si>
    <t xml:space="preserve">https://www.reddit.com/comments/1fz72v0</t>
  </si>
  <si>
    <t xml:space="preserve">Playing songs based on … gone . When you search for a song and play it, after it finished it would have a load of songs similar to it in the auto que.</t>
  </si>
  <si>
    <t xml:space="preserve">https://www.reddit.com/comments/1fz9e1d</t>
  </si>
  <si>
    <t xml:space="preserve">I need song recommendations. I have a playlist called. Can you play a song with a fucking beat? And I need songs any ideas?</t>
  </si>
  <si>
    <t xml:space="preserve">https://www.reddit.com/comments/1fzellm</t>
  </si>
  <si>
    <t xml:space="preserve">Release Radar constantly changing. Every week I look forward to a new Release Radar playlist; I even have the app set to download it automatically so </t>
  </si>
  <si>
    <t xml:space="preserve">https://www.reddit.com/comments/1fzf1zt</t>
  </si>
  <si>
    <t xml:space="preserve">Could you recommend any songs about felling lonely and sad? (not love related).</t>
  </si>
  <si>
    <t xml:space="preserve">https://www.reddit.com/comments/1fzkj2n</t>
  </si>
  <si>
    <t xml:space="preserve">Discovery weekly fluctuations. I've been listening to this playlist on Mondays for years now. Every about 2 weeks, it's total crap. When it's not crap</t>
  </si>
  <si>
    <t xml:space="preserve">https://www.reddit.com/comments/1fzmzba</t>
  </si>
  <si>
    <t xml:space="preserve">AI playlist bug . For some reason I can’t create an AI playlist with the new feature. After entering a prompt, it will suggest some songs, but no opti</t>
  </si>
  <si>
    <t xml:space="preserve">https://www.reddit.com/comments/1fzneaz</t>
  </si>
  <si>
    <t xml:space="preserve">Maad updates. You should be able to go to liked songs and hit “Sort By” with the options that follow being: Most Played, Least Played, Listen Again, e</t>
  </si>
  <si>
    <t xml:space="preserve">https://www.reddit.com/comments/1fzqedr</t>
  </si>
  <si>
    <t xml:space="preserve">Songs recommendations for a playlist. Hey guys! This is quite the extensive playlist that has every genre under the sun, it’s likely I’ve missed a cou</t>
  </si>
  <si>
    <t xml:space="preserve">https://www.reddit.com/comments/1fzqt4b</t>
  </si>
  <si>
    <t xml:space="preserve">Spotify recommendations bugged. Hello guys, so this morning as usual, i opened my spotify to listen to my music, and I found all sorts of new songs in</t>
  </si>
  <si>
    <t xml:space="preserve">https://www.reddit.com/comments/1fztxdv</t>
  </si>
  <si>
    <t xml:space="preserve">Is there no way to get rid of recommended Podcasts?. I like to use the daily drive feature and I listen to a couple of news podcasts by bigger news ag</t>
  </si>
  <si>
    <t xml:space="preserve">https://www.reddit.com/comments/1g0bqx1</t>
  </si>
  <si>
    <t xml:space="preserve">What are some song recommendations with dark, metaphorical vibes similar to 'Take Me to Church' by Hozier and 'Don't Blame Me' by Taylor Swift?. Hi. I</t>
  </si>
  <si>
    <t xml:space="preserve">https://www.reddit.com/comments/1g0by8c</t>
  </si>
  <si>
    <t xml:space="preserve">Anyone else who‘s recommend concerts are totally random suddenly?. Just went to the section in the app where you can see recommended concerts near you</t>
  </si>
  <si>
    <t xml:space="preserve">https://www.reddit.com/comments/1g0nxwv</t>
  </si>
  <si>
    <t xml:space="preserve">song recs. [removed]</t>
  </si>
  <si>
    <t xml:space="preserve">https://www.reddit.com/comments/1g0uj9z</t>
  </si>
  <si>
    <t xml:space="preserve">Smart Playlists. Coming back to Spotify from Apple Music and most all things being the same the one thing I’m going to miss is Smart Playlists. The on</t>
  </si>
  <si>
    <t xml:space="preserve">https://www.reddit.com/comments/1g0upy4</t>
  </si>
  <si>
    <t xml:space="preserve">Suddenly can't delete or create new playlists on desktop (windows). so i was an early adopter of spotify, i have my original account creation email an</t>
  </si>
  <si>
    <t xml:space="preserve">https://www.reddit.com/comments/1g15d0i</t>
  </si>
  <si>
    <t xml:space="preserve">Pickap.art Radio Playlist. Generated by Spotify but really loving the selection, [Pickap.art]( doesn't have many songs yet but it's a great mix!</t>
  </si>
  <si>
    <t xml:space="preserve">https://www.reddit.com/comments/1g15oxu</t>
  </si>
  <si>
    <t xml:space="preserve">recommendations on songs that motivate you to study ✨️💪. [removed]</t>
  </si>
  <si>
    <t xml:space="preserve">https://www.reddit.com/comments/1g1gu7h</t>
  </si>
  <si>
    <t xml:space="preserve">Temp switching to Pandora. Please fix the shitty changes in the radio algorithm. Why do I see fortunate son in every fucking variation of a Metallica </t>
  </si>
  <si>
    <t xml:space="preserve">https://www.reddit.com/comments/1g1lyn5</t>
  </si>
  <si>
    <t xml:space="preserve">College survey about Spotify recommendations. [removed]</t>
  </si>
  <si>
    <t xml:space="preserve">https://www.reddit.com/comments/1g1oj2t</t>
  </si>
  <si>
    <t xml:space="preserve">Song recommendation . Does anybody know any songs with voicemails? It’s an itch that i’ve been trying to scratch but i cant seem to find more than two</t>
  </si>
  <si>
    <t xml:space="preserve">https://www.reddit.com/comments/1g1yof6</t>
  </si>
  <si>
    <t xml:space="preserve">The two sides of the line don't connect very well, any recommendations to transitioning between these two styles with music?.</t>
  </si>
  <si>
    <t xml:space="preserve">https://www.reddit.com/comments/1g23p60</t>
  </si>
  <si>
    <t xml:space="preserve">Mysterious Vacation: Song Suggestions.</t>
  </si>
  <si>
    <t xml:space="preserve">https://www.reddit.com/comments/1g2kz6i</t>
  </si>
  <si>
    <t xml:space="preserve">Error with top songs?. I’ve noticed a weird issue with spotify tracking songs, this happened last year too. Spotify seems to be glitching and insistin</t>
  </si>
  <si>
    <t xml:space="preserve">https://www.reddit.com/comments/1g2ohex</t>
  </si>
  <si>
    <t xml:space="preserve">Artist recommendations . I listen to royal blood, Metallica, muse, arctic monkeys, Melanie Martinez and Billie Eilish and I’m struggling to find other</t>
  </si>
  <si>
    <t xml:space="preserve">https://www.reddit.com/comments/1g2pyzf</t>
  </si>
  <si>
    <t xml:space="preserve">I don't actually know what Doof Doof is but this looks like it will be a keeper. Have no idea what doof doof is - but I clearly must have listened to </t>
  </si>
  <si>
    <t xml:space="preserve">https://www.reddit.com/comments/1g316qu</t>
  </si>
  <si>
    <t xml:space="preserve">Any artists that are like Danger Inc.. ive been listening to them since 2016 and im tryin to find new artists to listen to with the same genre as them</t>
  </si>
  <si>
    <t xml:space="preserve">https://www.reddit.com/comments/1g3gll1</t>
  </si>
  <si>
    <t xml:space="preserve">Looking for "underground" rock/indie song recommendations . Heyo! So I'm looking for artists/songs that are more underground or just smaller. As for t</t>
  </si>
  <si>
    <t xml:space="preserve">https://www.reddit.com/comments/1g3k8xt</t>
  </si>
  <si>
    <t xml:space="preserve">I found a way to get the real "Go to Song Radio" feature - excluding music taste profile. This resulted in completely different songs to explore, that</t>
  </si>
  <si>
    <t xml:space="preserve">https://www.reddit.com/comments/1g3z4rt</t>
  </si>
  <si>
    <t xml:space="preserve">Weird AI-generated(?) tracks in Release Radar every week. For a while now I've been getting these weird, almost identical tracks in my Release Radar t</t>
  </si>
  <si>
    <t xml:space="preserve">https://www.reddit.com/comments/1g43lio</t>
  </si>
  <si>
    <t xml:space="preserve">Vocaloid recommends. I want to get more into vocaloid. So far my favourite vocaloid songs are King and Identity by Kanaria. I want to find more songs </t>
  </si>
  <si>
    <t xml:space="preserve">https://www.reddit.com/comments/1g4q4yj</t>
  </si>
  <si>
    <t xml:space="preserve">any1 recommend me underrated hiphop artist.</t>
  </si>
  <si>
    <t xml:space="preserve">https://www.reddit.com/comments/1g4vlz0</t>
  </si>
  <si>
    <t xml:space="preserve">Give me some song recommendations for staring at the ceiling or for feeling worthless. I usually listen to artists like John Mayer, A7X, and bedroom p</t>
  </si>
  <si>
    <t xml:space="preserve">https://www.reddit.com/comments/1g4vxcc</t>
  </si>
  <si>
    <t xml:space="preserve">You &amp; Me?. A metamour introduced my sweety to a Spotify playlist called "You &amp; Me" that says it's made specifically for the user, and yet other people</t>
  </si>
  <si>
    <t xml:space="preserve">https://www.reddit.com/comments/1g56430</t>
  </si>
  <si>
    <t xml:space="preserve">Suggested playlists notification . On a few occasions when I connect my earbuds I've instantly gotten a pop up on my phone with my playlists to quickl</t>
  </si>
  <si>
    <t xml:space="preserve">https://www.reddit.com/comments/1g5ow8a</t>
  </si>
  <si>
    <t xml:space="preserve">Headbang 2000 - 2024 Alternative Rock/Metal/Emo/Indie. Over 20 years of memorable bands &amp; songs. Explore new &amp; old hits 🤘 Large playlist, growing dail</t>
  </si>
  <si>
    <t xml:space="preserve">https://www.reddit.com/comments/1g5y2fs</t>
  </si>
  <si>
    <t xml:space="preserve">Can't edit any playlists?. I'm on premium, and suddenly about a week or two ago I stopped being able edit playlists. Specifically, the problem is I ad</t>
  </si>
  <si>
    <t xml:space="preserve">https://www.reddit.com/comments/1g66051</t>
  </si>
  <si>
    <t xml:space="preserve">I’m so glad I made a new playlist to hear the same 12 songs. . Does anyone else have this problem? I make a new playlist-pretty different genres by ar</t>
  </si>
  <si>
    <t xml:space="preserve">https://www.reddit.com/comments/1g7296s</t>
  </si>
  <si>
    <t xml:space="preserve">I made a playlist for Halloween. Genres are rock/punk rock kinda n also there's some movie songs. Songs are mostly about halloween n spooky/creepy thi</t>
  </si>
  <si>
    <t xml:space="preserve">https://www.reddit.com/comments/1g7gfgo</t>
  </si>
  <si>
    <t xml:space="preserve">Playlist recommendations? (that joy like kind of sad) .</t>
  </si>
  <si>
    <t xml:space="preserve">https://www.reddit.com/comments/1g7ld0g</t>
  </si>
  <si>
    <t xml:space="preserve">Songs automatically repeat when I clearly have autoplay triggered. Help?.</t>
  </si>
  <si>
    <t xml:space="preserve">https://www.reddit.com/comments/1g93u4r</t>
  </si>
  <si>
    <t xml:space="preserve">Spotify DJ: "Up next I've put together a list of happy songs to keep the upbeat vibes going. Outkast on first." . *plays Hey Ya!*</t>
  </si>
  <si>
    <t xml:space="preserve">https://www.reddit.com/comments/1g942ux</t>
  </si>
  <si>
    <t xml:space="preserve">Looking for Jazz/Funk/Fusion with lyrics! Think Cory Wong when he collabs, Fulton Lee, and Dirty Loops. I know all of those. Really funky and upbeat s</t>
  </si>
  <si>
    <t xml:space="preserve">https://www.reddit.com/comments/1g97a1r</t>
  </si>
  <si>
    <t xml:space="preserve">Lyrics translation / romanization feature - feedback?. Since Spotify hasn't added translation/romanization feature for a long time, and won't allow mo</t>
  </si>
  <si>
    <t xml:space="preserve">https://www.reddit.com/comments/1g9fx2x</t>
  </si>
  <si>
    <t xml:space="preserve">Switches to "Recommended Songs For You" mid playlist.. I have a sleepy time playlist that I play on my Nest Mini from my Android phone every night and</t>
  </si>
  <si>
    <t xml:space="preserve">https://www.reddit.com/comments/1g9lsr6</t>
  </si>
  <si>
    <t xml:space="preserve">drop your best autumn/ fall songs suggestions.. looking for girl in red, clairo, mitski, men i trust kinda vibe</t>
  </si>
  <si>
    <t xml:space="preserve">https://www.reddit.com/comments/1ga66fw</t>
  </si>
  <si>
    <t xml:space="preserve">Did Spotify remove the playlist radio feature?. I always liked adding 10-20 songs to a playlist and then playing the radio for that playlist to find s</t>
  </si>
  <si>
    <t xml:space="preserve">https://www.reddit.com/comments/1gaddy2</t>
  </si>
  <si>
    <t xml:space="preserve">NEED NEW SONG RECS PLS . Join the Blend y’all sENtiEnT_p0tat0 has invited you to join a Blend on Spotify. Join on the Spotify mobile app.</t>
  </si>
  <si>
    <t xml:space="preserve">https://www.reddit.com/comments/1gagzdo</t>
  </si>
  <si>
    <t xml:space="preserve">why do all my playlists recommend me only smashing pumpkins.</t>
  </si>
  <si>
    <t xml:space="preserve">https://www.reddit.com/comments/1gaxdq2</t>
  </si>
  <si>
    <t xml:space="preserve">Discover Weekly Study. [removed]</t>
  </si>
  <si>
    <t xml:space="preserve">https://www.reddit.com/comments/1gbr6s6</t>
  </si>
  <si>
    <t xml:space="preserve">How do I get Spotify to stop switching to "suggested songs" when I turn it on?. Someone told me when the playlist I'm on ends, it'll go to the "next" </t>
  </si>
  <si>
    <t xml:space="preserve">https://www.reddit.com/comments/1gc5v7n</t>
  </si>
  <si>
    <t xml:space="preserve">Why would Spotify ruin its perfectly good ‘Recently Played’ row? I think I’m finished with this app. . This is a little tedious to explain, but I’m ho</t>
  </si>
  <si>
    <t xml:space="preserve">https://www.reddit.com/comments/1gd8wgb</t>
  </si>
  <si>
    <t xml:space="preserve">i am now reading the idiot by dostoyevsky and here is the dreamers playlist from white nights (alt/prog metal). i gotta compare both of them by the en</t>
  </si>
  <si>
    <t xml:space="preserve">https://www.reddit.com/comments/1gdhz0q</t>
  </si>
  <si>
    <t xml:space="preserve">Need a playlist/songs to kick my legs in the air and giggle to as I text my crush. Any suggestions? Raveena always hits for me, but I'm looking to exp</t>
  </si>
  <si>
    <t xml:space="preserve">https://www.reddit.com/comments/1gdukjc</t>
  </si>
  <si>
    <t xml:space="preserve">hacker ruined listening history. recently someone hacked my spotify, and they played a bunch of random stuff on my account i dont want. am i able to c</t>
  </si>
  <si>
    <t xml:space="preserve">https://www.reddit.com/comments/1gdusrr</t>
  </si>
  <si>
    <t xml:space="preserve">Spotify recommends popular albums but the artist name and the album title are in Japanese? The music is still in English..</t>
  </si>
  <si>
    <t xml:space="preserve">https://www.reddit.com/comments/1gdx4f3</t>
  </si>
  <si>
    <t xml:space="preserve">Cover Song Plague?. Not sure if this is an issue just for me, but for the past month-ish my weekly discovery and recommended songs have been over 50% </t>
  </si>
  <si>
    <t xml:space="preserve">https://www.reddit.com/comments/1gemced</t>
  </si>
  <si>
    <t xml:space="preserve">Help with a Survey on Music Recommendation Systems (Spotify) for My Internship Project . [removed]</t>
  </si>
  <si>
    <t xml:space="preserve">https://www.reddit.com/comments/1gep7u3</t>
  </si>
  <si>
    <t xml:space="preserve">Started to make a Britpop playlist, any suggestions to add?.</t>
  </si>
  <si>
    <t xml:space="preserve">https://www.reddit.com/comments/1ger8s8</t>
  </si>
  <si>
    <t xml:space="preserve">Are Daylists now just random verb + noun? . [removed]</t>
  </si>
  <si>
    <t xml:space="preserve">https://www.reddit.com/comments/1gf0iue</t>
  </si>
  <si>
    <t xml:space="preserve">Solid Shuffling. Fading from VNV Nation; Nova to Helalyn Flowers; Burn is some prime DJ Algorithm!</t>
  </si>
  <si>
    <t xml:space="preserve">https://www.reddit.com/comments/1gf8cr1</t>
  </si>
  <si>
    <t xml:space="preserve">Songs I’ve never heard in my On Repeat/Rewind. A handful of songs by The Weeknd and Lil Tecca that I've never heard before are showing up in my On Rep</t>
  </si>
  <si>
    <t xml:space="preserve">https://www.reddit.com/comments/1gfd4f2</t>
  </si>
  <si>
    <t xml:space="preserve">Spotify DJ Lowkey Has Been Sucky. I was just wondering if anyone would know why the Spotify DJ feature has been so shitty lately. I mainly listen to b</t>
  </si>
  <si>
    <t xml:space="preserve">https://www.reddit.com/comments/1gg55zm</t>
  </si>
  <si>
    <t xml:space="preserve">Rate my playlist. Just started listening to songs besides the radio.</t>
  </si>
  <si>
    <t xml:space="preserve">https://www.reddit.com/comments/1gg5pc6</t>
  </si>
  <si>
    <t xml:space="preserve">Trying to get into metal please recommend songs/playlists, preferably not too much screaming xD.</t>
  </si>
  <si>
    <t xml:space="preserve">https://www.reddit.com/comments/1ggbt47</t>
  </si>
  <si>
    <t xml:space="preserve">Anyone can help me understand why I have been getting this kind of suggestions when my taste is basically metal?. [removed]</t>
  </si>
  <si>
    <t xml:space="preserve">https://www.reddit.com/comments/1ggf6nn</t>
  </si>
  <si>
    <t xml:space="preserve">Anyone know why I have been getting this kind of suggestions when my taste is basically metal?. Just confused why the hell my front-page is polluted l</t>
  </si>
  <si>
    <t xml:space="preserve">https://www.reddit.com/comments/1ggfahn</t>
  </si>
  <si>
    <t xml:space="preserve">How do I remove podcasts from recommendations?. Long story short a friend recommended a podcast and I listed to several episodes but now I'm not inter</t>
  </si>
  <si>
    <t xml:space="preserve">https://www.reddit.com/comments/1ghvs4v</t>
  </si>
  <si>
    <t xml:space="preserve">(Not about shuffle, but about autoplay) HOW DO I FIX THIS!?. (I can't find complaint flair, so I had to chose the shuffle complaint, sorry) WHY IS MY </t>
  </si>
  <si>
    <t xml:space="preserve">https://www.reddit.com/comments/1gilgts</t>
  </si>
  <si>
    <t xml:space="preserve">How to shuffle a created playlist for other people?. I am trying to shuffle a playlist i made with over 300 songs, not for my listening but for others</t>
  </si>
  <si>
    <t xml:space="preserve">https://www.reddit.com/comments/1gj18t7</t>
  </si>
  <si>
    <t xml:space="preserve">This is my largest playlist (New Indie Grooves) any suggestions of music to add? .</t>
  </si>
  <si>
    <t xml:space="preserve">https://www.reddit.com/comments/1gj7l5v</t>
  </si>
  <si>
    <t xml:space="preserve">Song suggestions. Please recommend any songs which you think have a similar vibe to "Capricorn" by Vampire Weekend! Thank you in advance everybody!</t>
  </si>
  <si>
    <t xml:space="preserve">https://www.reddit.com/comments/1gja7i4</t>
  </si>
  <si>
    <t xml:space="preserve">Spotify DJ not working. [removed]</t>
  </si>
  <si>
    <t xml:space="preserve">https://www.reddit.com/comments/1gjf5b1</t>
  </si>
  <si>
    <t xml:space="preserve">Spotify AI DJ - Lost the Intelligence?. I typically use the AI DJ everyday. Last night it was like it completely lost all record of what I listen to. </t>
  </si>
  <si>
    <t xml:space="preserve">https://www.reddit.com/comments/1gjtzaz</t>
  </si>
  <si>
    <t xml:space="preserve">shuffle button glitch . i recently switched to spotify, and when i hit the normal shuffle button on a playlist, it stays gray instead of going green. </t>
  </si>
  <si>
    <t xml:space="preserve">https://www.reddit.com/comments/1gjx1em</t>
  </si>
  <si>
    <t xml:space="preserve">Praying for my Spotify wrapped 2024. Today when I saw my favorite artists list on Spotify I begin to worry because the list is very inaccurate. There </t>
  </si>
  <si>
    <t xml:space="preserve">https://www.reddit.com/comments/1gk2gk3</t>
  </si>
  <si>
    <t xml:space="preserve">Liked Songs Problem. I have spotify premium and idk if it's just me or if other people have noticed but I can't listen in order anymore it always shuf</t>
  </si>
  <si>
    <t xml:space="preserve">https://www.reddit.com/comments/1gk8f7f</t>
  </si>
  <si>
    <t xml:space="preserve">Shuffle button, not working. I keep pressing the Shuffle button and it won’t go to shuffle and sometimes if I press it like 2 times it goes only to sm</t>
  </si>
  <si>
    <t xml:space="preserve">https://www.reddit.com/comments/1gk8wvr</t>
  </si>
  <si>
    <t xml:space="preserve">You guys got any songs two recommend like this two?.</t>
  </si>
  <si>
    <t xml:space="preserve">https://www.reddit.com/comments/1gkbzfv</t>
  </si>
  <si>
    <t xml:space="preserve">Random Device that I can connect to ?. Hey, when I started Spotify today and was going to play a song it asked me if I wanted to listen on this device</t>
  </si>
  <si>
    <t xml:space="preserve">https://www.reddit.com/comments/1gkeoyq</t>
  </si>
  <si>
    <t xml:space="preserve">Unknown Devices showing up.. Hey, when I started Spotify today and was going to play a song it asked me if I wanted to listen on this device (Desktop </t>
  </si>
  <si>
    <t xml:space="preserve">https://www.reddit.com/comments/1gkf6tq</t>
  </si>
  <si>
    <t xml:space="preserve">songs with lackadaisical vocal delivery?. I've recently been enjoying, weirdly specifically, just some songs with sleazy casual vocal delivery, especi</t>
  </si>
  <si>
    <t xml:space="preserve">https://www.reddit.com/comments/1gkgmlw</t>
  </si>
  <si>
    <t xml:space="preserve">Opinions on playlist?. I honestly don't know what type of music I listen to anymore lol This playlist is just full of my favorite songs that I love to</t>
  </si>
  <si>
    <t xml:space="preserve">https://www.reddit.com/comments/1gkmwas</t>
  </si>
  <si>
    <t xml:space="preserve">Any Suggestions for the ultimate playlist?. [removed]</t>
  </si>
  <si>
    <t xml:space="preserve">https://www.reddit.com/comments/1gksgde</t>
  </si>
  <si>
    <t xml:space="preserve">Songs on repeat . Does anyone else have the same issue where Spotify plays the same songs? I have over 900+ or so songs on my favorite list and it pla</t>
  </si>
  <si>
    <t xml:space="preserve">https://www.reddit.com/comments/1gln9cs</t>
  </si>
  <si>
    <t xml:space="preserve">Release Radar. I used to reliably be able to get a solid playlist of new releases from artists I actually listen to through this playlist. But in the </t>
  </si>
  <si>
    <t xml:space="preserve">https://www.reddit.com/comments/1glqa73</t>
  </si>
  <si>
    <t xml:space="preserve">Discover Weekly updates once a month. Title. Is there a reason for this? I have Spotify premium (I think that's what it's called, no ads) but the play</t>
  </si>
  <si>
    <t xml:space="preserve">https://www.reddit.com/comments/1glsv41</t>
  </si>
  <si>
    <t xml:space="preserve">$20.99 starting December. Stay with Spotify or Switch? . I currently have a premium family membership. Located in Canada, my rate will be going up to </t>
  </si>
  <si>
    <t xml:space="preserve">https://www.reddit.com/comments/1gm0exh</t>
  </si>
  <si>
    <t xml:space="preserve">Car Thing Conspiracy. My conspiracy is that Spotify is retiring Car Thing as it can't do smart shuffle (on its own). Smart shuffle exists primarily to</t>
  </si>
  <si>
    <t xml:space="preserve">https://www.reddit.com/comments/1gm2dj1</t>
  </si>
  <si>
    <t xml:space="preserve">Recommendations without smart shuffle. [removed]</t>
  </si>
  <si>
    <t xml:space="preserve">https://www.reddit.com/comments/1gmf5vp</t>
  </si>
  <si>
    <t xml:space="preserve">New daily mix cover? I've never seen this before..</t>
  </si>
  <si>
    <t xml:space="preserve">https://www.reddit.com/comments/1gmpoql</t>
  </si>
  <si>
    <t xml:space="preserve">my personal kpop recs.</t>
  </si>
  <si>
    <t xml:space="preserve">https://www.reddit.com/comments/1gmrnu1</t>
  </si>
  <si>
    <t xml:space="preserve">duality of man (slowed and sped up in same daylist???).</t>
  </si>
  <si>
    <t xml:space="preserve">https://www.reddit.com/comments/1gn2ldz</t>
  </si>
  <si>
    <t xml:space="preserve">Daily Mixes changed style?.</t>
  </si>
  <si>
    <t xml:space="preserve">https://www.reddit.com/comments/1gn9c3a</t>
  </si>
  <si>
    <t xml:space="preserve">Spotify playlist queue keeps resetting to songs that have already played. For the last few weeks, I've noticed that Spotify will constantly reset my q</t>
  </si>
  <si>
    <t xml:space="preserve">https://www.reddit.com/comments/1gnui3q</t>
  </si>
  <si>
    <t xml:space="preserve">How do I stop this from being recommended ???. [removed]</t>
  </si>
  <si>
    <t xml:space="preserve">https://www.reddit.com/comments/1goew72</t>
  </si>
  <si>
    <t xml:space="preserve">Do y'all remember when Spotify worked perfectly without buffering when offline and didn't have that smart shuffle thing no one uses?. Just ranting</t>
  </si>
  <si>
    <t xml:space="preserve">https://www.reddit.com/comments/1gogglb</t>
  </si>
  <si>
    <t xml:space="preserve">Why, honestly why is there no option to stop a song from being recommended or to like dislike a song or something. Just like.. let us make those annoy</t>
  </si>
  <si>
    <t xml:space="preserve">https://www.reddit.com/comments/1gohrb2</t>
  </si>
  <si>
    <t xml:space="preserve">Spotify needs to let us hide songs we're tired of hearing. Like seriously, I've heard these same 5 songs in my recommendations about 500 times now. No</t>
  </si>
  <si>
    <t xml:space="preserve">https://www.reddit.com/comments/1goqlhe</t>
  </si>
  <si>
    <t xml:space="preserve">Focus music playlists that are AI free?. I'm mostly tone deaf, so I personally can't tell the difference between AI instrumental music and that made b</t>
  </si>
  <si>
    <t xml:space="preserve">https://www.reddit.com/comments/1goslvc</t>
  </si>
  <si>
    <t xml:space="preserve">How am I supposed to use Spotify? . I am an album listener mostly but I feel like the Spotify interface is often pretty lackluster for organizing albu</t>
  </si>
  <si>
    <t xml:space="preserve">https://www.reddit.com/comments/1gp58mp</t>
  </si>
  <si>
    <t xml:space="preserve">Top 3 of discover weekly are AI slop. also, to (kinda) nitpick, metalhead discover weekly is ALWAYS stuff we don’t like.</t>
  </si>
  <si>
    <t xml:space="preserve">https://www.reddit.com/comments/1gp7wd3</t>
  </si>
  <si>
    <t xml:space="preserve">2025 Dinner Auction Music: Camelot. My Alma Mater is having their 65th annual Dinner Auction Benefit in April and I have been tasked with putting toge</t>
  </si>
  <si>
    <t xml:space="preserve">https://www.reddit.com/comments/1gq089l</t>
  </si>
  <si>
    <t xml:space="preserve">Fix the algorithm ❌ Change the text background ✅.</t>
  </si>
  <si>
    <t xml:space="preserve">https://www.reddit.com/comments/1gq8dqd</t>
  </si>
  <si>
    <t xml:space="preserve">Songs like Dancing In The Flames by The Weeknd. Doing a Playlist based in his upcoming album. Some songs I founds similar or have the same vibes, or j</t>
  </si>
  <si>
    <t xml:space="preserve">https://www.reddit.com/comments/1gqvirf</t>
  </si>
  <si>
    <t xml:space="preserve">Does Spotify Premium still show Pop-up Ads?. Last Year I got tired of opening Spotify on my phone and getting pop-up adve- sorry I mean "[Sponsored Re</t>
  </si>
  <si>
    <t xml:space="preserve">https://www.reddit.com/comments/1grhtgb</t>
  </si>
  <si>
    <t xml:space="preserve">Deleting cache will affect my music recommendation?. I have like 14Gb stored on Spotify:/ thats why I was thinking deleting the cache but I’m not sure</t>
  </si>
  <si>
    <t xml:space="preserve">https://www.reddit.com/comments/1gs8mni</t>
  </si>
  <si>
    <t xml:space="preserve">Why did DJ X play this? is he stupid?. and yes, I listened to all 11 minutes of this</t>
  </si>
  <si>
    <t xml:space="preserve">https://www.reddit.com/comments/1gs9kbq</t>
  </si>
  <si>
    <t xml:space="preserve">"Autoplay similar content". [removed]</t>
  </si>
  <si>
    <t xml:space="preserve">https://www.reddit.com/comments/1gsju6r</t>
  </si>
  <si>
    <t xml:space="preserve">Give me recommendations 🙏. [removed]</t>
  </si>
  <si>
    <t xml:space="preserve">https://www.reddit.com/comments/1gt25b3</t>
  </si>
  <si>
    <t xml:space="preserve">So what exactly is Maximalism?. Saw it turned up as a thing on one of my Daylists I'd listened to apparently and didn't recognise it as a genre so tho</t>
  </si>
  <si>
    <t xml:space="preserve">https://www.reddit.com/comments/1gtivde</t>
  </si>
  <si>
    <t xml:space="preserve">Therapeutic/sad songs that helped you get through your lowest?. Any suggestions would be greatly appreciated</t>
  </si>
  <si>
    <t xml:space="preserve">https://www.reddit.com/comments/1gtvtzc</t>
  </si>
  <si>
    <t xml:space="preserve">autoplay. does anyone know why autoplay doesn’t work even while its enabled? anytime i look up a song and click it, no suggested songs play afterwards</t>
  </si>
  <si>
    <t xml:space="preserve">https://www.reddit.com/comments/1gtysdb</t>
  </si>
  <si>
    <t xml:space="preserve">i just opened my discover weekly and it’s the exact same as last weeks 🤕 the order just flipped around . [removed]</t>
  </si>
  <si>
    <t xml:space="preserve">https://www.reddit.com/comments/1gtz55q</t>
  </si>
  <si>
    <t xml:space="preserve">How do you train your algorithm?. Title. I'm not getting very good recommendations with any Spotify created playlist (Discover Weekly, Daylist, etc). </t>
  </si>
  <si>
    <t xml:space="preserve">https://www.reddit.com/comments/1gu6dir</t>
  </si>
  <si>
    <t xml:space="preserve">I keep getting this message after trying to create an AI playlist. Any suggestions? I have cleared my cache, forced stopped Spotify, uninstalled and r</t>
  </si>
  <si>
    <t xml:space="preserve">https://www.reddit.com/comments/1gu6z87</t>
  </si>
  <si>
    <t xml:space="preserve">Spotify suggestions are making me consider swapping to apple music.. I got new headphones from apple earlier this year and had access to apple music f</t>
  </si>
  <si>
    <t xml:space="preserve">https://www.reddit.com/comments/1gugrl0</t>
  </si>
  <si>
    <t xml:space="preserve">Did daylist disappear from your library?. I love my daylist playlist and use it all day everyday. It’s now gone for me. Is it the same for you?</t>
  </si>
  <si>
    <t xml:space="preserve">https://www.reddit.com/comments/1gupf7z</t>
  </si>
  <si>
    <t xml:space="preserve">Spotify - Stop with your paid + promoted music recommendations. . [removed]</t>
  </si>
  <si>
    <t xml:space="preserve">https://www.reddit.com/comments/1gupjze</t>
  </si>
  <si>
    <t xml:space="preserve">disable autoplay of albums. [removed]</t>
  </si>
  <si>
    <t xml:space="preserve">https://www.reddit.com/comments/1guy3az</t>
  </si>
  <si>
    <t xml:space="preserve">Someone hacked my account and messed up my algorithm, is there a way to fix this?.</t>
  </si>
  <si>
    <t xml:space="preserve">https://www.reddit.com/comments/1guy6hn</t>
  </si>
  <si>
    <t xml:space="preserve">Are artist radio stations different for users ?. Just noticing a lot of the artist radio stations I have tend to play the same kind of bands that I al</t>
  </si>
  <si>
    <t xml:space="preserve">https://www.reddit.com/comments/1gvm7ep</t>
  </si>
  <si>
    <t xml:space="preserve">Spotify Rock/Metal Playlist - Submit Songs. Hey everyone, I want to re-make this whole playlist into a playlist with new bands we meet here. We are lo</t>
  </si>
  <si>
    <t xml:space="preserve">https://www.reddit.com/comments/1gwdvov</t>
  </si>
  <si>
    <t xml:space="preserve">rate/recommend songs to my sexy indie playlist!! . [removed]</t>
  </si>
  <si>
    <t xml:space="preserve">https://www.reddit.com/comments/1gwij0x</t>
  </si>
  <si>
    <t xml:space="preserve">Archived Game of Thrones Character Playlists. Hi everyone, I'm trying to track down the songs that were featured on some GOT characters official Spoti</t>
  </si>
  <si>
    <t xml:space="preserve">https://www.reddit.com/comments/1gwkh8i</t>
  </si>
  <si>
    <t xml:space="preserve">Guitar-Blues songs. Seeking guitar blues playlist additions, any recommendations?</t>
  </si>
  <si>
    <t xml:space="preserve">https://www.reddit.com/comments/1gwpz7i</t>
  </si>
  <si>
    <t xml:space="preserve">I have some suggestions. Suggestion 1: the ability to see how long the music in your liked songs is (like how you can see in playlists) Suggestion 2: </t>
  </si>
  <si>
    <t xml:space="preserve">https://www.reddit.com/comments/1gwsuf5</t>
  </si>
  <si>
    <t xml:space="preserve">Would anyone like to join my Spotify blend?. My blend with friends and family has gone stale. It has been pretty much the same music recommendation fo</t>
  </si>
  <si>
    <t xml:space="preserve">https://www.reddit.com/comments/1gxaa9x</t>
  </si>
  <si>
    <t xml:space="preserve">Problem with spotify lmao. I'm obsessed with a song since 2 months ago and I listen it on repeat because makes me so calm and gets me inspired. But ev</t>
  </si>
  <si>
    <t xml:space="preserve">https://www.reddit.com/comments/1gya5nc</t>
  </si>
  <si>
    <t xml:space="preserve">Problem on spotify desktop. when i try to listen to my liked songs (or any playlist i created for that matter) every time the first song ends, i get a</t>
  </si>
  <si>
    <t xml:space="preserve">https://www.reddit.com/comments/1gyilrv</t>
  </si>
  <si>
    <t xml:space="preserve">Do you remember the songs that you listened in your double deck radio cassette? In this playlist you have many of those songs (442). Ideal for a Great</t>
  </si>
  <si>
    <t xml:space="preserve">https://www.reddit.com/comments/1gyq2qz</t>
  </si>
  <si>
    <t xml:space="preserve">What does this button do? Does it just remove the song from the current playlist, or does it remove the song from all suggestions? (Android).</t>
  </si>
  <si>
    <t xml:space="preserve">https://www.reddit.com/comments/1gywfps</t>
  </si>
  <si>
    <t xml:space="preserve">Spotify algorithm payola?. I have like 30 Tyler the Creator songs liked. Prior to the release of his album, I’d hear one of his songs maybe every 2 da</t>
  </si>
  <si>
    <t xml:space="preserve">https://www.reddit.com/comments/1gz30nt</t>
  </si>
  <si>
    <t xml:space="preserve">Song recs - peep the playlist. [removed]</t>
  </si>
  <si>
    <t xml:space="preserve">https://www.reddit.com/comments/1gzcta5</t>
  </si>
  <si>
    <t xml:space="preserve">How to stop getting recommendations? . Whenever I'm listening to my playlist, sometimes it will randomly play a song that's not on the playlist, a rec</t>
  </si>
  <si>
    <t xml:space="preserve">https://www.reddit.com/comments/1gzdfja</t>
  </si>
  <si>
    <t xml:space="preserve">drops worth waiting for?. Songs with an incredible build up to a drop (any genre) Looking for more songs for this playlist I created. Doesn’t matter w</t>
  </si>
  <si>
    <t xml:space="preserve">https://www.reddit.com/comments/1h056tf</t>
  </si>
  <si>
    <t xml:space="preserve">Editing made for you playlists. Is it possible to edit a playlist made for you by Spotify? They made me this really cool funk and dance playlist but I</t>
  </si>
  <si>
    <t xml:space="preserve">https://www.reddit.com/comments/1h16c6p</t>
  </si>
  <si>
    <t xml:space="preserve">Looking for groovy / funky industrial songs to add to this playlist. Im new to the industrial genre. Im looking for some industrial songs to add to th</t>
  </si>
  <si>
    <t xml:space="preserve">https://www.reddit.com/comments/1h16fec</t>
  </si>
  <si>
    <t xml:space="preserve">How can you tell which songs in a Spotify blend are recent, and which are old? Which are recommended, and which are actually listened to? . For exampl</t>
  </si>
  <si>
    <t xml:space="preserve">https://www.reddit.com/comments/1h1ae86</t>
  </si>
  <si>
    <t xml:space="preserve">Dj X is my bro. I know he’s not for everyone but he is awesome for me..</t>
  </si>
  <si>
    <t xml:space="preserve">https://www.reddit.com/comments/1h1l2gt</t>
  </si>
  <si>
    <t xml:space="preserve">I need more songs for my playlist - Night DRIVE - Phonk - Witch House. [ I am Loving my playlist so far. Could someone with similar taste recommend me</t>
  </si>
  <si>
    <t xml:space="preserve">https://www.reddit.com/comments/1h2y589</t>
  </si>
  <si>
    <t xml:space="preserve">smart shuffle on web?. hello, I like spotify web for reasons (mainly I got that browser lifestyle), why does smart shuffle not show for me? it works f</t>
  </si>
  <si>
    <t xml:space="preserve">https://www.reddit.com/comments/1h43nzj</t>
  </si>
  <si>
    <t xml:space="preserve">Anyone know some extension or satellite app that will make a radio from Spotify playlists?. So silly they ditched that feature, that's how I found lik</t>
  </si>
  <si>
    <t xml:space="preserve">https://www.reddit.com/comments/1h45kn4</t>
  </si>
  <si>
    <t xml:space="preserve">I need a Classic Christmas Song of the 20th Century.. I’ve recently made a Christmas Playlist and I need suggestions for a Christmas song of the 20th </t>
  </si>
  <si>
    <t xml:space="preserve">https://www.reddit.com/comments/1h46p46</t>
  </si>
  <si>
    <t xml:space="preserve">Soul hip hop. MF DOOM, Westside Gunn, Vince Staples, Earl Sweatshirt, Lupe Fiasco, Denzel Curry, Joey Badass, Mach Hommy, Freddie Gibbs Give it a list</t>
  </si>
  <si>
    <t xml:space="preserve">https://www.reddit.com/comments/1h48lq0</t>
  </si>
  <si>
    <t xml:space="preserve">Umm wtf is this daylist name lmao. [removed]</t>
  </si>
  <si>
    <t xml:space="preserve">https://www.reddit.com/comments/1h4bwdf</t>
  </si>
  <si>
    <t xml:space="preserve">Wtf Spotify? Lmao this was my daylist recently . Creamy? Venerable? Um what!</t>
  </si>
  <si>
    <t xml:space="preserve">https://www.reddit.com/comments/1h4ekd1</t>
  </si>
  <si>
    <t xml:space="preserve">music recommendations !. [removed]</t>
  </si>
  <si>
    <t xml:space="preserve">https://www.reddit.com/comments/1h4g1yb</t>
  </si>
  <si>
    <t xml:space="preserve">spotify local files in playlists. i'm using free spotify and with local files, i add them to playlists but the recommend songs which usually go from 1</t>
  </si>
  <si>
    <t xml:space="preserve">https://www.reddit.com/comments/1h4le0q</t>
  </si>
  <si>
    <t xml:space="preserve">Give me recommendations based on my top 10 albums. The Black Parade American Idiot Ziggy Stardust Channel Orange Good kid maad city Punisher Rumours Y</t>
  </si>
  <si>
    <t xml:space="preserve">https://www.reddit.com/comments/1h4tn1a</t>
  </si>
  <si>
    <t xml:space="preserve">Rare music . Hello! I would like to listen to rare or little-known music that you recommend? Thank you very much.</t>
  </si>
  <si>
    <t xml:space="preserve">https://www.reddit.com/comments/1h5j96g</t>
  </si>
  <si>
    <t xml:space="preserve">A list of all "made for you" playlists, but not just the mechanical Whatever Mixes . [removed]</t>
  </si>
  <si>
    <t xml:space="preserve">https://www.reddit.com/comments/1h5t0kn</t>
  </si>
  <si>
    <t xml:space="preserve">Lofi. The best 100 anthems Lofi tell what u think about it any recommendations I’m all ears</t>
  </si>
  <si>
    <t xml:space="preserve">https://www.reddit.com/comments/1h5x0ti</t>
  </si>
  <si>
    <t xml:space="preserve">Can Spotify read what you're doing on other apps? . A Reddit friend of mine mentioned Edinburgh in a Reddit chat and about 10 minutes later my Spotify</t>
  </si>
  <si>
    <t xml:space="preserve">https://www.reddit.com/comments/1h627j1</t>
  </si>
  <si>
    <t xml:space="preserve">Favorite artists…what’s on their 2024 Wrapped???. As we wait for 2024 Wrapped…. I can’t help but wonder what my favorite artists 2024 Wrapped with loo</t>
  </si>
  <si>
    <t xml:space="preserve">https://www.reddit.com/comments/1h65anb</t>
  </si>
  <si>
    <t xml:space="preserve">My Spotify got hacked back in September. I got my account back but whoever hacked it completely ruined my algorithm and playlists. . Any way to like d</t>
  </si>
  <si>
    <t xml:space="preserve">https://www.reddit.com/comments/1h67qdk</t>
  </si>
  <si>
    <t xml:space="preserve">Songs suggestions plz! . [removed]</t>
  </si>
  <si>
    <t xml:space="preserve">https://www.reddit.com/comments/1h68k9b</t>
  </si>
  <si>
    <t xml:space="preserve">Best 2am stroll playlist?. Ive been consistently going on late night walks while listening to music and Im searching for chill songs/artists to listen</t>
  </si>
  <si>
    <t xml:space="preserve">https://www.reddit.com/comments/1h6ee5g</t>
  </si>
  <si>
    <t xml:space="preserve">Why not a normal wrapped this year. Why do I have to be tormented by an ai dj to be able to know how random is my listening taste is why can we have a</t>
  </si>
  <si>
    <t xml:space="preserve">https://www.reddit.com/comments/1h6f3jh</t>
  </si>
  <si>
    <t xml:space="preserve">DJ X and Wrapped.... *DJ X: You've spent over 5,500 hours with me this year and I appreciate it. Let's get started with some of your go to stuff.* *Me</t>
  </si>
  <si>
    <t xml:space="preserve">https://www.reddit.com/comments/1h6g2n8</t>
  </si>
  <si>
    <t xml:space="preserve">I didn’t listen to enough music to make up for my ex best friend using my Spotify in January. :(. I got really into a few podcasts this year, which ha</t>
  </si>
  <si>
    <t xml:space="preserve">https://www.reddit.com/comments/1h6o3wf</t>
  </si>
  <si>
    <t xml:space="preserve">Hey! RnB , hiphop , rap - Any recommendations? .</t>
  </si>
  <si>
    <t xml:space="preserve">https://www.reddit.com/comments/1h6okky</t>
  </si>
  <si>
    <t xml:space="preserve">I switched to Apple Music and it was the best decision I have ever made. I used Spotify for a while, mainly because I one day randomly created an acco</t>
  </si>
  <si>
    <t xml:space="preserve">https://www.reddit.com/comments/1h6svbl</t>
  </si>
  <si>
    <t xml:space="preserve">Im so disappointed with wrapped this year. It said my #1 artist this year was shiloh dynasty. I LISTENED TO LIKE 2 OF HER SONGS ON REPEAT FOR LIKE 2 D</t>
  </si>
  <si>
    <t xml:space="preserve">https://www.reddit.com/comments/1h6zape</t>
  </si>
  <si>
    <t xml:space="preserve">The maker of the site Everynoise and many Spotify algorithms, who was fired during mass layoffs in 2023, made a post about wrapped..</t>
  </si>
  <si>
    <t xml:space="preserve">https://www.reddit.com/comments/1h79dvi</t>
  </si>
  <si>
    <t xml:space="preserve">Spotify VS Apple Music. Overall I believe Spotify is made for the people that seek out new artists and songs and don’t wait for things to get popular.</t>
  </si>
  <si>
    <t xml:space="preserve">https://www.reddit.com/comments/1h7nxev</t>
  </si>
  <si>
    <t xml:space="preserve">Hey can I get some diverse music suggestions.</t>
  </si>
  <si>
    <t xml:space="preserve">https://www.reddit.com/comments/1h7rwrr</t>
  </si>
  <si>
    <t xml:space="preserve">an app that makes a clean version of any spotify playlist!. Hey guys! I wanted share a web app that I made called Cleanify. No downloads or anything, </t>
  </si>
  <si>
    <t xml:space="preserve">https://www.reddit.com/comments/1h7ukuy</t>
  </si>
  <si>
    <t xml:space="preserve">Perma-blocking songs. Yo, is there a way to perma-block songs so they never play and never get recommended when I auto-play after listening to a song?</t>
  </si>
  <si>
    <t xml:space="preserve">https://www.reddit.com/comments/1h84ymq</t>
  </si>
  <si>
    <t xml:space="preserve">https://www.reddit.com/comments/1h8ab9w</t>
  </si>
  <si>
    <t xml:space="preserve">Spotify suddenly active weird. So recently my Spotify has been slowing down a lot like taking 5 to register that I clicked a song. And whenever I choo</t>
  </si>
  <si>
    <t xml:space="preserve">https://www.reddit.com/comments/1h8dv9b</t>
  </si>
  <si>
    <t xml:space="preserve">How do i turn on most played/recommendations?. I used to love this function with weekly recommendations by Spotify, found a lot of good artists. All i</t>
  </si>
  <si>
    <t xml:space="preserve">https://www.reddit.com/comments/1h8qm37</t>
  </si>
  <si>
    <t xml:space="preserve">nu metal music for gym any suggestions?.</t>
  </si>
  <si>
    <t xml:space="preserve">https://www.reddit.com/comments/1h8wksz</t>
  </si>
  <si>
    <t xml:space="preserve">Good scenecore/similar songs or artist recommendations?. I need more recommendations for this genre cause i love it sm. Right now i listen to vyzer, s</t>
  </si>
  <si>
    <t xml:space="preserve">https://www.reddit.com/comments/1h8z7y6</t>
  </si>
  <si>
    <t xml:space="preserve">I’m making an AI playlist generator and I need your help! . **TL;DR - Building a playlist generator for Spotify. 1000s of songs need to be tagged befo</t>
  </si>
  <si>
    <t xml:space="preserve">https://www.reddit.com/comments/1h9bq2x</t>
  </si>
  <si>
    <t xml:space="preserve">Best of Bring Me The Horizon . Made for no skips, radio style. ☔️ I’ve linked up each song so they flow into eachother nicely🤘 enjoy</t>
  </si>
  <si>
    <t xml:space="preserve">https://www.reddit.com/comments/1hady7f</t>
  </si>
  <si>
    <t xml:space="preserve">I want to study but i am sick of my music give me some recommendations . My favorite genre is alternative rock and alternative pop I love clairo , alv</t>
  </si>
  <si>
    <t xml:space="preserve">https://www.reddit.com/comments/1haf81w</t>
  </si>
  <si>
    <t xml:space="preserve">Spotify is so confusing recently . Spotify has been adding random songs to what I'm listening to with out me enabling smart shuffle and I looked at a </t>
  </si>
  <si>
    <t xml:space="preserve">https://www.reddit.com/comments/1hav64b</t>
  </si>
  <si>
    <t xml:space="preserve">Celebrate the end of 2024 with the best songs from the best year in alternative, indie, and underground music from 1994! Huge playlist, best with shuf</t>
  </si>
  <si>
    <t xml:space="preserve">https://www.reddit.com/comments/1hbu0ps</t>
  </si>
  <si>
    <t xml:space="preserve">Celebrate the end of 2024 with the best songs from the best year in alternative, indie, and underground music, 1994! Huge playlist, best with shuffle </t>
  </si>
  <si>
    <t xml:space="preserve">https://www.reddit.com/comments/1hbu269</t>
  </si>
  <si>
    <t xml:space="preserve">If I type in a genre or a few words for the song vibes I'm looking for more of, the Spotify generated playlists seems to contain all the songs I've al</t>
  </si>
  <si>
    <t xml:space="preserve">https://www.reddit.com/comments/1hby3pr</t>
  </si>
  <si>
    <t xml:space="preserve">Portable Spotify Player. Hi, I’m looking for a portable Spotify player that I can give to my niece and nephew, ideally with a screen and ideally not t</t>
  </si>
  <si>
    <t xml:space="preserve">https://www.reddit.com/comments/1hc3qk8</t>
  </si>
  <si>
    <t xml:space="preserve">Can someone please help me to understand what Spotify gave me to my daylist (green underlined words and title).</t>
  </si>
  <si>
    <t xml:space="preserve">https://www.reddit.com/comments/1hchhyp</t>
  </si>
  <si>
    <t xml:space="preserve">Women in my algorithm . I listen to primary female singer and yet every single time a playlist or album runs out, male singers are queued. Whyyyyyyyyy</t>
  </si>
  <si>
    <t xml:space="preserve">https://www.reddit.com/comments/1hcwhf3</t>
  </si>
  <si>
    <t xml:space="preserve">How do I block Audiobook Recommendations? . So, I was recommended a very NSFW audiobook (first in the image), even though I don’t listen to audiobooks</t>
  </si>
  <si>
    <t xml:space="preserve">https://www.reddit.com/comments/1hd144u</t>
  </si>
  <si>
    <t xml:space="preserve">Christmas vibes. Any suggestions of your favorite Christmas songs that ARE NOT the yearly top Christmas songs you’d hear year after year on radio. Tha</t>
  </si>
  <si>
    <t xml:space="preserve">https://www.reddit.com/comments/1hd5pyo</t>
  </si>
  <si>
    <t xml:space="preserve">Is the DJ high? . So far I've had the most random selection of music from the DJ, nothing I would EVER listen to. Rap, Rap and more rap Wondershare Ra</t>
  </si>
  <si>
    <t xml:space="preserve">https://www.reddit.com/comments/1hd7sch</t>
  </si>
  <si>
    <t xml:space="preserve">What is this genre? Give me more.. So I have this playlist. I realize it's not *only*one genre, but there's definitely a thread that tied these songs </t>
  </si>
  <si>
    <t xml:space="preserve">https://www.reddit.com/comments/1hdevux</t>
  </si>
  <si>
    <t xml:space="preserve">Created a 90s R&amp;B Themed Xmas Playlist. I put a lot of work into these songs as it’s more of a vibe by ear. Am I missing anything to enhance it or sim</t>
  </si>
  <si>
    <t xml:space="preserve">https://www.reddit.com/comments/1hdo3r4</t>
  </si>
  <si>
    <t xml:space="preserve">Question about sharing our Spotify music here on Reddit. So are we allowed to post our music via [Link like thiS]( or is there another way to link it </t>
  </si>
  <si>
    <t xml:space="preserve">https://www.reddit.com/comments/1hdswey</t>
  </si>
  <si>
    <t xml:space="preserve">I opened spotify and it showed a song I haven’t listened to it was a christmas song said suggested for you where it shows what you searched or what pl</t>
  </si>
  <si>
    <t xml:space="preserve">https://www.reddit.com/comments/1he8qwp</t>
  </si>
  <si>
    <t xml:space="preserve">Claiming my Spotify for artists profile. So a label uploaded a few of my songs onto Spotify and I am now trying to gain access to my Spotify for artis</t>
  </si>
  <si>
    <t xml:space="preserve">https://www.reddit.com/comments/1hewswj</t>
  </si>
  <si>
    <t xml:space="preserve">Looking for songs like a thousand years, dandelions and September. Looking for a playlist or songs suggestions like mentioned above....I also like 'ki</t>
  </si>
  <si>
    <t xml:space="preserve">https://www.reddit.com/comments/1hfjolo</t>
  </si>
  <si>
    <t xml:space="preserve">Looking for underrated hindi songs. So I love discovering new songs and getting to know about different people’s tastes. I usually listen to very slow</t>
  </si>
  <si>
    <t xml:space="preserve">https://www.reddit.com/comments/1hgf2vu</t>
  </si>
  <si>
    <t xml:space="preserve">Could y'all recommend some phnok songs. . I believe I've heard every single one so if you guys know any hidden gems, please suggest me some. I need ne</t>
  </si>
  <si>
    <t xml:space="preserve">https://www.reddit.com/comments/1hgx6xj</t>
  </si>
  <si>
    <t xml:space="preserve">Any songs you think I could add to my playlist?. This is my playlist so far. I'd appreciate it if you could recommend some songs or save it lol :P [</t>
  </si>
  <si>
    <t xml:space="preserve">https://www.reddit.com/comments/1hh28kz</t>
  </si>
  <si>
    <t xml:space="preserve">Best &amp; Greatest Electronic, Dance, Trance, Dubstep &amp; D&amp;B Songs of All Time: The Chronologic Evolution of EDM **OVER 1000 Top Notch Curated Tracks from</t>
  </si>
  <si>
    <t xml:space="preserve">https://www.reddit.com/comments/1hh2lec</t>
  </si>
  <si>
    <t xml:space="preserve">How do discover new playlists you ACTUALLY like??. Genuine question. The feeling of finding a good playlist honestly feels better than finding a good </t>
  </si>
  <si>
    <t xml:space="preserve">https://www.reddit.com/comments/1hh83pm</t>
  </si>
  <si>
    <t xml:space="preserve">Give me song recommendations based off of this one!. PRETTY PRETTY PRETTTYYYYYY PLEAASSSEEEE give me songs that are of similar taste to Move by Sol Se</t>
  </si>
  <si>
    <t xml:space="preserve">https://www.reddit.com/comments/1hhkx89</t>
  </si>
  <si>
    <t xml:space="preserve">How do you actually save daylists?. Hi! I discovered the daylist function a few days ago, and I've really enjoyed it! After I realized they disappear </t>
  </si>
  <si>
    <t xml:space="preserve">https://www.reddit.com/comments/1hhsseg</t>
  </si>
  <si>
    <t xml:space="preserve">I genuinely think Daylist is starting to get me now as it pulls up another keeper.</t>
  </si>
  <si>
    <t xml:space="preserve">https://www.reddit.com/comments/1hhv9mt</t>
  </si>
  <si>
    <t xml:space="preserve">Confused about DJ suggestions. Hey all - posted this to r/spotify but a mod removed and told me to post here. Been using spotify thanks to my daughter</t>
  </si>
  <si>
    <t xml:space="preserve">https://www.reddit.com/comments/1hhvh09</t>
  </si>
  <si>
    <t xml:space="preserve">How to remove a playlist from the suggestions ?. I used to follow my ex girlfriend playlist so I can know what songs she liked for the moment but sinc</t>
  </si>
  <si>
    <t xml:space="preserve">https://www.reddit.com/comments/1hi0wae</t>
  </si>
  <si>
    <t xml:space="preserve">Had the Last straw with spotify after 8 years of being a customer. Any songshift alternatives?. I will be canceling my spotify description too. The aw</t>
  </si>
  <si>
    <t xml:space="preserve">https://www.reddit.com/comments/1hi38u0</t>
  </si>
  <si>
    <t xml:space="preserve">Just why? How do I disable this. Really don’t need autoplaying videos on my homepage using up data. .</t>
  </si>
  <si>
    <t xml:space="preserve">https://www.reddit.com/comments/1hi6bfc</t>
  </si>
  <si>
    <t xml:space="preserve">Please recommend a song so catchy it makes your nerves tingle. .</t>
  </si>
  <si>
    <t xml:space="preserve">https://www.reddit.com/comments/1hibh55</t>
  </si>
  <si>
    <t xml:space="preserve">Recommend me songs similar.... [removed]</t>
  </si>
  <si>
    <t xml:space="preserve">https://www.reddit.com/comments/1hilnde</t>
  </si>
  <si>
    <t xml:space="preserve">Disable smart shuffle?. Have they added the ability to get rid of this feature yet? I absolutely hate it and how slow it makes my app while it’s fetch</t>
  </si>
  <si>
    <t xml:space="preserve">https://www.reddit.com/comments/1hipsvp</t>
  </si>
  <si>
    <t xml:space="preserve">Playing recommended songs for you Option . Is there any way to create a button or album for recommended songs for you rather than having to wait for a</t>
  </si>
  <si>
    <t xml:space="preserve">https://www.reddit.com/comments/1hitnl8</t>
  </si>
  <si>
    <t xml:space="preserve">My feeling reaction DJ X tells me they have some new songs for me that I havent heard before . [removed]</t>
  </si>
  <si>
    <t xml:space="preserve">https://www.reddit.com/comments/1hj3lgq</t>
  </si>
  <si>
    <t xml:space="preserve">discover category taken over but no weird listening history. might be a reach but i recently started getting some mega weird recommendations in my dis</t>
  </si>
  <si>
    <t xml:space="preserve">https://www.reddit.com/comments/1hj7te3</t>
  </si>
  <si>
    <t xml:space="preserve">Looking for some similar songs to add to my playlist if anyone has any suggestions?.</t>
  </si>
  <si>
    <t xml:space="preserve">https://www.reddit.com/comments/1hjc31v</t>
  </si>
  <si>
    <t xml:space="preserve">Spotify DJ hijacked. My Spotify DJ appears to have been hijacked. He no longer plays anything I listen to. Nothing. All my other mixes are still the s</t>
  </si>
  <si>
    <t xml:space="preserve">https://www.reddit.com/comments/1hjjsqg</t>
  </si>
  <si>
    <t xml:space="preserve">Why does it add songs?. I have smart shuffle turned off, I had to open the app on my laptop then play my liked songs to avoid this. The phone app forc</t>
  </si>
  <si>
    <t xml:space="preserve">https://www.reddit.com/comments/1hjk6rw</t>
  </si>
  <si>
    <t xml:space="preserve">On Repeat. It’s time to update my song obsession playlist. These are songs I have on repeat. Listening to them gives me the dopamine hit my ADHD needs</t>
  </si>
  <si>
    <t xml:space="preserve">https://www.reddit.com/comments/1hjypze</t>
  </si>
  <si>
    <t xml:space="preserve">Question about disabling Spotify account data for a third-party stats app. I recently downloaded an app called Musicat.fm because I felt like Stats fo</t>
  </si>
  <si>
    <t xml:space="preserve">https://www.reddit.com/comments/1hkb5do</t>
  </si>
  <si>
    <t xml:space="preserve">why is spotify spamming me with the same songs over and over. i'm a heavy user of spotify and usually have it playing in the background all the time. </t>
  </si>
  <si>
    <t xml:space="preserve">https://www.reddit.com/comments/1hkm765</t>
  </si>
  <si>
    <t xml:space="preserve">why is shuffle turning itself on?. premium on ios. whenever i play a song i have to double click shuffle to turn it off and get through the useless ai</t>
  </si>
  <si>
    <t xml:space="preserve">https://www.reddit.com/comments/1hkvgev</t>
  </si>
  <si>
    <t xml:space="preserve">Anyone else having issues with what Spotify thinks it's playing?. 👋 new to the forum, ages old Spotify user. I'm just wondering if this is something o</t>
  </si>
  <si>
    <t xml:space="preserve">https://www.reddit.com/comments/1hl9qfe</t>
  </si>
  <si>
    <t xml:space="preserve">Verbatim search results (IOS, USA). 4th photo is what I was looking for. A while ago, spotify worsened search by including “suggested” (i.e. sponsored</t>
  </si>
  <si>
    <t xml:space="preserve">https://www.reddit.com/comments/1hlpm98</t>
  </si>
  <si>
    <t xml:space="preserve">I'm looking for a japanese podcast that i remember listening to. I remember listening to a podcast with radio in its name and a yellow background. I w</t>
  </si>
  <si>
    <t xml:space="preserve">https://www.reddit.com/comments/1hlqye6</t>
  </si>
  <si>
    <t xml:space="preserve">Spotify stopped autoplaying?. [removed]</t>
  </si>
  <si>
    <t xml:space="preserve">https://www.reddit.com/comments/1hm762s</t>
  </si>
  <si>
    <t xml:space="preserve">What's the difference between shuffle and smart shuffle?.</t>
  </si>
  <si>
    <t xml:space="preserve">https://www.reddit.com/comments/1hnmw73</t>
  </si>
  <si>
    <t xml:space="preserve">is apple music the move because of spotify’s horrible AI integration. i really only preferred spotify because of their recommendations/discover featur</t>
  </si>
  <si>
    <t xml:space="preserve">https://www.reddit.com/comments/1hnqqsn</t>
  </si>
  <si>
    <t xml:space="preserve">Xmas eve, Spotify for some reason decided to log me out of my account after 3 or 4 years+... just before two double shifts of 11 and 13 hours. After 3</t>
  </si>
  <si>
    <t xml:space="preserve">https://www.reddit.com/comments/1hnuw72</t>
  </si>
  <si>
    <t xml:space="preserve">Need new music to listen to based on my playlist. My music tastes are all over the place but these are the songs I like rn.. (pls don't judge lmao).. </t>
  </si>
  <si>
    <t xml:space="preserve">https://www.reddit.com/comments/1hnzeio</t>
  </si>
  <si>
    <t xml:space="preserve">Daylist gives me another banger and this is my saved copy. So it finally realised I do listen to other things apart from House lately and just blessed</t>
  </si>
  <si>
    <t xml:space="preserve">https://www.reddit.com/comments/1hogz01</t>
  </si>
  <si>
    <t xml:space="preserve">LETS MAKE THEM CHANGE! We all hate the made for you algorithm that plays all the same songs. If we ALL send in a complaint, they will change!. It’s ea</t>
  </si>
  <si>
    <t xml:space="preserve">https://www.reddit.com/comments/1hogz19</t>
  </si>
  <si>
    <t xml:space="preserve">How can I fix my Spotify web player glitching?. My Spotify web player is glitching. I can pick a song to play and it will load but it won't play. I've</t>
  </si>
  <si>
    <t xml:space="preserve">https://www.reddit.com/comments/1hokk9r</t>
  </si>
  <si>
    <t xml:space="preserve">How to turn off "auto-play" function when Bluetooth connects to car stereo?. For YEARS I have this issue, across 4 different phones (all Android, thre</t>
  </si>
  <si>
    <t xml:space="preserve">https://www.reddit.com/comments/1hp69q4</t>
  </si>
  <si>
    <t xml:space="preserve">Fuck smart shuffle. That’s all.</t>
  </si>
  <si>
    <t xml:space="preserve">https://www.reddit.com/comments/1hpgcop</t>
  </si>
  <si>
    <t xml:space="preserve">Discover weekly give me song I’ve already listen .</t>
  </si>
  <si>
    <t xml:space="preserve">https://www.reddit.com/comments/1hpo65c</t>
  </si>
  <si>
    <t xml:space="preserve">this is unusable without premium. OKAY LETS GO PROBLEMS I HAVE WITH SPOTIFY 1. ads after every two songs (fight me i've never been able to listen to 3</t>
  </si>
  <si>
    <t xml:space="preserve">https://www.reddit.com/comments/1hpxfyu</t>
  </si>
  <si>
    <t xml:space="preserve">Suggest indie rock playlist . Playlist suggestions? Found this random playlist of indie rock on YouTube and I loved it! Would anyone care to share a s</t>
  </si>
  <si>
    <t xml:space="preserve">https://www.reddit.com/comments/1hpyq1y</t>
  </si>
  <si>
    <t xml:space="preserve">I want more of this. I'm specifically looking for heavy electronic or metalcore with hella vocals/rap. I'm especially hoping for heavy electronic rap,</t>
  </si>
  <si>
    <t xml:space="preserve">https://www.reddit.com/comments/1hqao28</t>
  </si>
  <si>
    <t xml:space="preserve">Spotify DJ doesn't understand music. Not only has Spotify DJ got gradually worse over the years - going from giving me lots of interesting new suggest</t>
  </si>
  <si>
    <t xml:space="preserve">https://www.reddit.com/comments/1hqd4x6</t>
  </si>
  <si>
    <t xml:space="preserve">What does smart shuffle do, and how does it work?. Whenever i enable it, it plays only classical music. Classical is about 20% of my full library. No </t>
  </si>
  <si>
    <t xml:space="preserve">https://www.reddit.com/comments/1hqimq3</t>
  </si>
  <si>
    <t xml:space="preserve">song suggestions to add to this playlist !!!. gotta build this concept up pls lmk :D [</t>
  </si>
  <si>
    <t xml:space="preserve">https://www.reddit.com/comments/1hqx4gw</t>
  </si>
  <si>
    <t xml:space="preserve">I am listening to the German Band ‘Rammstein’. I liked it. How many of the members have listened to such non English speaking Rock bands? Which ones o</t>
  </si>
  <si>
    <t xml:space="preserve">https://www.reddit.com/comments/1hqzz5i</t>
  </si>
  <si>
    <t xml:space="preserve">2025 playlist title suggestions . Every year a I do a playlist throughout the year, it’s so fun to go through all the different playlist and be taken </t>
  </si>
  <si>
    <t xml:space="preserve">https://www.reddit.com/comments/1hrg9yc</t>
  </si>
  <si>
    <t xml:space="preserve">DJ "not available on your country" . I just got the Duo plan for my partner and I and now the DJ feature will not work. It says "DJ not available on y</t>
  </si>
  <si>
    <t xml:space="preserve">https://www.reddit.com/comments/1hrhyvd</t>
  </si>
  <si>
    <t xml:space="preserve">Made for you playlists are updated?. Basically the title, are the automatic playlists like for a specific genre are updated or those songs are the onl</t>
  </si>
  <si>
    <t xml:space="preserve">https://www.reddit.com/comments/1hrza9w</t>
  </si>
  <si>
    <t xml:space="preserve">Recommend me songs that make you feel euphoric. [removed]</t>
  </si>
  <si>
    <t xml:space="preserve">https://www.reddit.com/comments/1hs45vn</t>
  </si>
  <si>
    <t xml:space="preserve">Need Help Updating the “SH SLAPP Hip Hop Playlist” IYKYK | Send Suggestions | Local Artists Welcome.</t>
  </si>
  <si>
    <t xml:space="preserve">https://www.reddit.com/comments/1hs8al4</t>
  </si>
  <si>
    <t xml:space="preserve">Looking for songs like Unfinished Business by Nia Archives . I can't stop listening to this song, I've tried listening to the radio based off it on Sp</t>
  </si>
  <si>
    <t xml:space="preserve">https://www.reddit.com/comments/1hshjdv</t>
  </si>
  <si>
    <t xml:space="preserve">Is there a way to disable the videos that autoplay on spotify all the time? . [removed]</t>
  </si>
  <si>
    <t xml:space="preserve">https://www.reddit.com/comments/1hsmflp</t>
  </si>
  <si>
    <t xml:space="preserve">Please Spotify fix your shuffle algorithm .</t>
  </si>
  <si>
    <t xml:space="preserve">https://www.reddit.com/comments/1hsun6c</t>
  </si>
  <si>
    <t xml:space="preserve">What the heck Spotify?? Why am I getting Bollywood country recommended. I don’t listen to neither of those genres..</t>
  </si>
  <si>
    <t xml:space="preserve">https://www.reddit.com/comments/1ht24sk</t>
  </si>
  <si>
    <t xml:space="preserve">Why do you stay on spotify and not another platform?. What keeps you on spotify? (Besides holding your collection of music) Here's why I ask: I've bee</t>
  </si>
  <si>
    <t xml:space="preserve">https://www.reddit.com/comments/1ht2ir0</t>
  </si>
  <si>
    <t xml:space="preserve">kpop. just sharing my kpop [playlist]( you can recommend me some tracks too!</t>
  </si>
  <si>
    <t xml:space="preserve">https://www.reddit.com/comments/1htihpw</t>
  </si>
  <si>
    <t xml:space="preserve">MP3 Playing on Spotify? - Need Opinions!. Hello everyone, as I'm sure most of you will agree Tiny Desk performances are pretty special. *However* as t</t>
  </si>
  <si>
    <t xml:space="preserve">https://www.reddit.com/comments/1htjelo</t>
  </si>
  <si>
    <t xml:space="preserve">Anyone else only get recommended kpop despite adding other genres to a playlist?. I made a playlist of 15 songs I like. 7 songs are old kpop, 6 are in</t>
  </si>
  <si>
    <t xml:space="preserve">https://www.reddit.com/comments/1htp15e</t>
  </si>
  <si>
    <t xml:space="preserve">This algorithm felt too surreal for my comfort. I'm not sure where else to post it but I guess I'll write here since it's related to the app. So back </t>
  </si>
  <si>
    <t xml:space="preserve">https://www.reddit.com/comments/1htpvw2</t>
  </si>
  <si>
    <t xml:space="preserve">Mp3 on Spotify?. Hello everyone, as I'm sure most of you will agree Tiny Desk performances are pretty special. *However* as they are only on Youtube, </t>
  </si>
  <si>
    <t xml:space="preserve">https://www.reddit.com/comments/1htrcqz</t>
  </si>
  <si>
    <t xml:space="preserve">This is how much I've made through streaming in nearly 3 years. I saw the other guys post and thought I'd show how well things can get in the space of</t>
  </si>
  <si>
    <t xml:space="preserve">https://www.reddit.com/comments/1hu3f71</t>
  </si>
  <si>
    <t xml:space="preserve">Whats your favourite album that no-one seems to know?. I'll go first. My favourite album ever is probably "Omoiyari" by Kishi Bashi. I would definitel</t>
  </si>
  <si>
    <t xml:space="preserve">https://www.reddit.com/comments/1huj78k</t>
  </si>
  <si>
    <t xml:space="preserve">“Recommended Episodes” should die a fast death. Has anyone worked out how to disable the enforced Recommended Episode podcast video splash on the Spot</t>
  </si>
  <si>
    <t xml:space="preserve">https://www.reddit.com/comments/1hujd0t</t>
  </si>
  <si>
    <t xml:space="preserve">give song suggestions based off my spotify playlist. [removed]</t>
  </si>
  <si>
    <t xml:space="preserve">https://www.reddit.com/comments/1hujkk4</t>
  </si>
  <si>
    <t xml:space="preserve">What are the most devastatingly sad songs?. I'm talking just heartwrenching songs, the absolute saddest. Any recommendations would be good. I think th</t>
  </si>
  <si>
    <t xml:space="preserve">https://www.reddit.com/comments/1hvc18k</t>
  </si>
  <si>
    <t xml:space="preserve">French song suggestions?. Started learning French and want to listen to some music to better my understanding</t>
  </si>
  <si>
    <t xml:space="preserve">https://www.reddit.com/comments/1hvgz4q</t>
  </si>
  <si>
    <t xml:space="preserve">I keep getting these obscure artists with bad album art and few listeners recommended to me. Is it AI?. [removed]</t>
  </si>
  <si>
    <t xml:space="preserve">https://www.reddit.com/comments/1hvj95m</t>
  </si>
  <si>
    <t xml:space="preserve">Rate my playlist, don't mind the name its what I was thinking of when I created it. Send yours below I'll also rate, recommend some song you think I'l</t>
  </si>
  <si>
    <t xml:space="preserve">https://www.reddit.com/comments/1hvnmv0</t>
  </si>
  <si>
    <t xml:space="preserve">Recommend a singer. [removed]</t>
  </si>
  <si>
    <t xml:space="preserve">https://www.reddit.com/comments/1hvq2hm</t>
  </si>
  <si>
    <t xml:space="preserve">Spotify stops after one song. For the last two days, I have been facing this weird issue, where every time I play a playlist or a song on loop it only</t>
  </si>
  <si>
    <t xml:space="preserve">https://www.reddit.com/comments/1hvu9vj</t>
  </si>
  <si>
    <t xml:space="preserve">Finally a good shuffle . Spotify has recently blessed me with an impeccable shuffle giving me new bangers I’ve never actually heard before, nice chang</t>
  </si>
  <si>
    <t xml:space="preserve">https://www.reddit.com/comments/1hw852u</t>
  </si>
  <si>
    <t xml:space="preserve">1980 playlist. # [\^\_1980]( The Pretenders were most well-known for *Brass in Pocket* from their self-titled debut in 1980. It got a lot of radio pla</t>
  </si>
  <si>
    <t xml:space="preserve">https://www.reddit.com/comments/1hwipvn</t>
  </si>
  <si>
    <t xml:space="preserve">For the love of all that is holy please stop trying to show me videos Spotify. . Please don’t recommend less of it. I don’t want to see it. I am on an</t>
  </si>
  <si>
    <t xml:space="preserve">https://www.reddit.com/comments/1hwlux0</t>
  </si>
  <si>
    <t xml:space="preserve">Is it just me or when I make a radio I do not want 70% of it to be songs I already know?. I seriously use Apple Music just for radios because it’s got</t>
  </si>
  <si>
    <t xml:space="preserve">https://www.reddit.com/comments/1hwn9nb</t>
  </si>
  <si>
    <t xml:space="preserve">What would you recommend to add to this Playlist? (Deathcore). [removed]</t>
  </si>
  <si>
    <t xml:space="preserve">https://www.reddit.com/comments/1hwr443</t>
  </si>
  <si>
    <t xml:space="preserve">Emiru Radio - Discovery Playlist .</t>
  </si>
  <si>
    <t xml:space="preserve">https://www.reddit.com/comments/1hx33v6</t>
  </si>
  <si>
    <t xml:space="preserve">Songs That Inspire Confidence In a Cunty Way?. I have pretty bad social anxiety. I'm looking for songs to walk down the street like a model to so I'm </t>
  </si>
  <si>
    <t xml:space="preserve">https://www.reddit.com/comments/1hxc96z</t>
  </si>
  <si>
    <t xml:space="preserve">Playlist for friend battling cancer. A friend was just diagnosed with cancer and has to start chemo immediately. I want to make her a playlist of posi</t>
  </si>
  <si>
    <t xml:space="preserve">https://www.reddit.com/comments/1hxiedj</t>
  </si>
  <si>
    <t xml:space="preserve">Need songs about the ocean/sea creatures/ alien vibes.. Since you all made my Geology lab playlist impeccable, I figured I could ask for y’all’s help </t>
  </si>
  <si>
    <t xml:space="preserve">https://www.reddit.com/comments/1hy5jh6</t>
  </si>
  <si>
    <t xml:space="preserve">Any song suggestions for this playlist?. [removed]</t>
  </si>
  <si>
    <t xml:space="preserve">https://www.reddit.com/comments/1hyb78x</t>
  </si>
  <si>
    <t xml:space="preserve">Spotify DJ . “Up next are fun songs! Like a dog with a frisbee!” Next song: bullet, Hollywood undead</t>
  </si>
  <si>
    <t xml:space="preserve">https://www.reddit.com/comments/1hykde4</t>
  </si>
  <si>
    <t xml:space="preserve">Recommend me songs like this. [removed]</t>
  </si>
  <si>
    <t xml:space="preserve">https://www.reddit.com/comments/1hz2ocu</t>
  </si>
  <si>
    <t xml:space="preserve">issues with playing music?. ever since Wednesday my spotify will not play music on my phone, it works on a laptop but not on my phone, i’ve tried logg</t>
  </si>
  <si>
    <t xml:space="preserve">https://www.reddit.com/comments/1hz5uxm</t>
  </si>
  <si>
    <t xml:space="preserve">how to stop getting asked to join my neighbors jam??????. idk how but me and my neighbors spotifys are connected somehow. i always get asked to join h</t>
  </si>
  <si>
    <t xml:space="preserve">https://www.reddit.com/comments/1hzbraf</t>
  </si>
  <si>
    <t xml:space="preserve">New Year Podcast Suggestions. [removed]</t>
  </si>
  <si>
    <t xml:space="preserve">https://www.reddit.com/comments/1hzj9qv</t>
  </si>
  <si>
    <t xml:space="preserve">1984 playlist. # [\^\_1984]( *The Wonderful And Frightening World Of…* is my favorite album by my all time favorite band, The Fall, but I wasn’t even </t>
  </si>
  <si>
    <t xml:space="preserve">https://www.reddit.com/comments/1hzjsib</t>
  </si>
  <si>
    <t xml:space="preserve">Fav feature gone - Seeing user playlists artists are featured on. :( :( On the artist page you used to be able to go to the Featured On section and se</t>
  </si>
  <si>
    <t xml:space="preserve">https://www.reddit.com/comments/1hzlq9e</t>
  </si>
  <si>
    <t xml:space="preserve">Video podcast as backdoor TicTok and YouTube shorts. I got a family plan and gave my son an account so he has freedom to listen to music he likes. Now</t>
  </si>
  <si>
    <t xml:space="preserve">https://www.reddit.com/comments/1hzraqe</t>
  </si>
  <si>
    <t xml:space="preserve">Recommend me country songs like these. [removed]</t>
  </si>
  <si>
    <t xml:space="preserve">https://www.reddit.com/comments/1hzxbbo</t>
  </si>
  <si>
    <t xml:space="preserve">throwbacks!!. give it a like!! give me some suggestions as well!!</t>
  </si>
  <si>
    <t xml:space="preserve">https://www.reddit.com/comments/1i01x2n</t>
  </si>
  <si>
    <t xml:space="preserve">WHAT is up with On Repeat playlist? 😄. [removed]</t>
  </si>
  <si>
    <t xml:space="preserve">https://www.reddit.com/comments/1i08et9</t>
  </si>
  <si>
    <t xml:space="preserve">WHAT is up with the On Repeat playlist?. Every time I open it, my reaction is "ok, lies??" 😄 Yes, I’ve listened to the songs in there, but I know that</t>
  </si>
  <si>
    <t xml:space="preserve">https://www.reddit.com/comments/1i08fxq</t>
  </si>
  <si>
    <t xml:space="preserve">Weekly Discovery Reset. Since January, my Weekly Discovery has gone from being a goldmine to complete garbage. I was happy with my "training" for year</t>
  </si>
  <si>
    <t xml:space="preserve">https://www.reddit.com/comments/1i0jh71</t>
  </si>
  <si>
    <t xml:space="preserve">Did anyone else try a hidden Spotify feature that made playlists from weird prompts?. Hey everyone, I'm trying to figure out if I'm misremembering a S</t>
  </si>
  <si>
    <t xml:space="preserve">https://www.reddit.com/comments/1i0zkjg</t>
  </si>
  <si>
    <t xml:space="preserve">How the heck to I prevent spotifty from adding new music to the end of my queue when playing an album?. If I play an album as the tracks of the album </t>
  </si>
  <si>
    <t xml:space="preserve">https://www.reddit.com/comments/1i0zply</t>
  </si>
  <si>
    <t xml:space="preserve">Song recommendations that give witch of the woods vibes?. [removed]</t>
  </si>
  <si>
    <t xml:space="preserve">https://www.reddit.com/comments/1i11s8e</t>
  </si>
  <si>
    <t xml:space="preserve">Album Art Not Loading on CarPlay?. Anyone else experiencing this? The only way i’ve noticed that it will load is if i pause the song and replay it. I’</t>
  </si>
  <si>
    <t xml:space="preserve">https://www.reddit.com/comments/1i1ldd7</t>
  </si>
  <si>
    <t xml:space="preserve">PG Music by Black Artists. Hey y’all! I’m an adoptive parent to a 6 and 7 year old, and I’m trying to be intentional about playing a plethora of music</t>
  </si>
  <si>
    <t xml:space="preserve">https://www.reddit.com/comments/1i22czg</t>
  </si>
  <si>
    <t xml:space="preserve">My discover weekly is opposite of anything I enjoy. Is anyone else’s Discover weekly completely different than anyone they actually enjoy. I don’t lis</t>
  </si>
  <si>
    <t xml:space="preserve">https://www.reddit.com/comments/1i27gz9</t>
  </si>
  <si>
    <t xml:space="preserve">Music recommendations for songs similar to Tyler’s Cherry Bomb (the song, not album).. I love this song and am hoping to find artists or albums that p</t>
  </si>
  <si>
    <t xml:space="preserve">https://www.reddit.com/comments/1i29wmz</t>
  </si>
  <si>
    <t xml:space="preserve">Spotify not showing the Artwork. Hello everyone here! Just as the title say, lately Spotify have stopped showing the artwork for the songs on my iPhon</t>
  </si>
  <si>
    <t xml:space="preserve">https://www.reddit.com/comments/1i2exrc</t>
  </si>
  <si>
    <t xml:space="preserve">Question about banning artists. So you can go to an artist page and choose to force spotify not to play their music anywhere anymore. Was stoked to di</t>
  </si>
  <si>
    <t xml:space="preserve">https://www.reddit.com/comments/1i2hqyo</t>
  </si>
  <si>
    <t xml:space="preserve">Daily mixes becoming useless in this case. Honestly, what’s the point of daily mixes if the mix was literally 99% from my added library?! Has anyone t</t>
  </si>
  <si>
    <t xml:space="preserve">https://www.reddit.com/comments/1i2idrn</t>
  </si>
  <si>
    <t xml:space="preserve">HELP!!!. Hi!!!! So spotify is basically making me have a meltdown!!! I never needed to like or make playlists on spotify because it just knew me so fr</t>
  </si>
  <si>
    <t xml:space="preserve">https://www.reddit.com/comments/1i316d3</t>
  </si>
  <si>
    <t xml:space="preserve">Spotify radio. I know there are a lot of users with the same issue: The radio function doens't work for me anymore to find new music. A few years ago </t>
  </si>
  <si>
    <t xml:space="preserve">https://www.reddit.com/comments/1i3dhft</t>
  </si>
  <si>
    <t xml:space="preserve">Rap Workout Playlist. give me any suggestions</t>
  </si>
  <si>
    <t xml:space="preserve">https://www.reddit.com/comments/1i3dtzt</t>
  </si>
  <si>
    <t xml:space="preserve">Seemingly hacked but received no Login notification. I did not open Spotify earlier this month due to being on vacation so this strange listening acti</t>
  </si>
  <si>
    <t xml:space="preserve">https://www.reddit.com/comments/1i3gkju</t>
  </si>
  <si>
    <t xml:space="preserve">Did I miss some update?. Was listening to a podcast while walking the dog just now and wanted to switch to some music instead, went to the Liked Playl</t>
  </si>
  <si>
    <t xml:space="preserve">https://www.reddit.com/comments/1i3ingc</t>
  </si>
  <si>
    <t xml:space="preserve">Change like genre recommendations . [removed]</t>
  </si>
  <si>
    <t xml:space="preserve">https://www.reddit.com/comments/1i3swwe</t>
  </si>
  <si>
    <t xml:space="preserve">Spotify DJ. [removed]</t>
  </si>
  <si>
    <t xml:space="preserve">https://www.reddit.com/comments/1i4h41v</t>
  </si>
  <si>
    <t xml:space="preserve">Chill song suggestions?. [removed]</t>
  </si>
  <si>
    <t xml:space="preserve">https://www.reddit.com/comments/1i4k0uw</t>
  </si>
  <si>
    <t xml:space="preserve">1992 playlist. [\^\_1992]( 47 songs Only 47 songs and nearly 1/5^(th) of them are from one group. It’s obvious looking at my top ten tracks from 1992 </t>
  </si>
  <si>
    <t xml:space="preserve">https://www.reddit.com/comments/1i4va7t</t>
  </si>
  <si>
    <t xml:space="preserve">Many liked songs recently dropped from "liked songs" Playlist . Recently almost half of my liked songs no longer show up in my "liked songs" playlist.</t>
  </si>
  <si>
    <t xml:space="preserve">https://www.reddit.com/comments/1i5715a</t>
  </si>
  <si>
    <t xml:space="preserve">Why on Spotify I can’t turn the smart shuffle button off without premium. [removed]</t>
  </si>
  <si>
    <t xml:space="preserve">https://www.reddit.com/comments/1i59iji</t>
  </si>
  <si>
    <t xml:space="preserve">Divorced Dad rock. I was on Spotify on my phone trying to look for music to listen to when this showed up on my discover something new. I'm easily amu</t>
  </si>
  <si>
    <t xml:space="preserve">https://www.reddit.com/comments/1i59mjh</t>
  </si>
  <si>
    <t xml:space="preserve">Did anyone else’s suggested radio songs get better today?. It always suggests me songs I already have in my playlist but randomly tonight it seems lik</t>
  </si>
  <si>
    <t xml:space="preserve">https://www.reddit.com/comments/1i5ow45</t>
  </si>
  <si>
    <t xml:space="preserve">Hip + Musicians . I love the trend of Bands collaborating with rappers on albums. BADBADNOTGOOD with Ghostface, Danger Mouse with MF Doom, Busty and t</t>
  </si>
  <si>
    <t xml:space="preserve">https://www.reddit.com/comments/1i5tj53</t>
  </si>
  <si>
    <t xml:space="preserve">Curated Playlists. As a jazz musician, I’ve recently put together several carefully curated playlists. I recommend checking them out if you’re looking</t>
  </si>
  <si>
    <t xml:space="preserve">https://www.reddit.com/comments/1i5u0iz</t>
  </si>
  <si>
    <t xml:space="preserve">Is there a way to prevent music (specifically playlists to fall asleep to) from impacting your Spotify Wrapped?. I was going to start listening to whi</t>
  </si>
  <si>
    <t xml:space="preserve">https://www.reddit.com/comments/1i62bai</t>
  </si>
  <si>
    <t xml:space="preserve">classical music recommendations . i love classical music, but my playlist needs new pieces. i've mainly listened to bach, mozart and beethoven and tha</t>
  </si>
  <si>
    <t xml:space="preserve">https://www.reddit.com/comments/1i66ysq</t>
  </si>
  <si>
    <t xml:space="preserve">Over the Garden Wall: A tribute playlist. Hello friends! This is a work in progress, but I made an Over the Garden Wall inspired playlist! It has walt</t>
  </si>
  <si>
    <t xml:space="preserve">https://www.reddit.com/comments/1i6tq8v</t>
  </si>
  <si>
    <t xml:space="preserve">looking for new music, something like Mac DeMarco, Djo, Tame Impala... Any suggestions?.</t>
  </si>
  <si>
    <t xml:space="preserve">https://www.reddit.com/comments/1i6wvai</t>
  </si>
  <si>
    <t xml:space="preserve">My coworker was looking for a Guitar centered playlist with no vocals, but they didn't want covers. Anyone got recommendations I could share with them</t>
  </si>
  <si>
    <t xml:space="preserve">https://www.reddit.com/comments/1i70rn0</t>
  </si>
  <si>
    <t xml:space="preserve">Playlist for a long day at work. Songs recommended to me throughout the years</t>
  </si>
  <si>
    <t xml:space="preserve">https://www.reddit.com/comments/1i74nhs</t>
  </si>
  <si>
    <t xml:space="preserve">Spotify will no longer support last Android version capable of playing Folders - Now what?. This is a long going battle, but it seems like everyone th</t>
  </si>
  <si>
    <t xml:space="preserve">https://www.reddit.com/comments/1i7b6go</t>
  </si>
  <si>
    <t xml:space="preserve">Can anyone recommend me music similar to christian kuria??.</t>
  </si>
  <si>
    <t xml:space="preserve">https://www.reddit.com/comments/1i7bpqj</t>
  </si>
  <si>
    <t xml:space="preserve">thoughts (rap/hiphop). also idk if anyone gets my style but if u do i would love song recommendations [</t>
  </si>
  <si>
    <t xml:space="preserve">https://www.reddit.com/comments/1i7em1g</t>
  </si>
  <si>
    <t xml:space="preserve">What would you recommend based on my playlist?. [</t>
  </si>
  <si>
    <t xml:space="preserve">https://www.reddit.com/comments/1i7q4i6</t>
  </si>
  <si>
    <t xml:space="preserve">Android auto display button question. Spotify used to show + sign( to add to my liked songs) on the bottom bar previously. I can't seem to reproduce t</t>
  </si>
  <si>
    <t xml:space="preserve">https://www.reddit.com/comments/1i7qhnt</t>
  </si>
  <si>
    <t xml:space="preserve">Can I Extend Spotify’s Suggested Song Preview Duration?. [removed]</t>
  </si>
  <si>
    <t xml:space="preserve">https://www.reddit.com/comments/1i80a5a</t>
  </si>
  <si>
    <t xml:space="preserve">Rock recommendation in Spanish. What is your best rock song, I promise to listen to it and rate it</t>
  </si>
  <si>
    <t xml:space="preserve">https://www.reddit.com/comments/1i8g8xu</t>
  </si>
  <si>
    <t xml:space="preserve">recommendations?? (50s-80s). requesting some recommendations for music to listen to across the decades. i’m not very picky with my music- i especially</t>
  </si>
  <si>
    <t xml:space="preserve">https://www.reddit.com/comments/1i8p4rs</t>
  </si>
  <si>
    <t xml:space="preserve">Spotify for Artists now categorising Smart Shuffle plays as an algorithmic playlist.</t>
  </si>
  <si>
    <t xml:space="preserve">https://www.reddit.com/comments/1i92r4h</t>
  </si>
  <si>
    <t xml:space="preserve">This "reggae" Made for You playlist made me laugh. Spotify made me laugh with this generated "reggae" Playlist, with Reverend Glasseye, Heilung and Th</t>
  </si>
  <si>
    <t xml:space="preserve">https://www.reddit.com/comments/1i96n89</t>
  </si>
  <si>
    <t xml:space="preserve">Track not available on device. I am an avid listener of audio books, and I like listening to my own files, trough the Spotify app. (The sleep timer, e</t>
  </si>
  <si>
    <t xml:space="preserve">https://www.reddit.com/comments/1i9coft</t>
  </si>
  <si>
    <t xml:space="preserve">Jazz playlist. So I like jazz music and I have a playlist that is mostly jazz but I’m trying to find more good jazz music similar to the ones in my pl</t>
  </si>
  <si>
    <t xml:space="preserve">https://www.reddit.com/comments/1i9ny7x</t>
  </si>
  <si>
    <t xml:space="preserve">Discover Weekly changing midweek. This week my discovery weekly has updated several times. Is it happening to others?</t>
  </si>
  <si>
    <t xml:space="preserve">https://www.reddit.com/comments/1i9q3qo</t>
  </si>
  <si>
    <t xml:space="preserve">"Spotify can´t play this right now." Error-Message. Solution without new account.. Anyone has a fix for the "Spotify can´t play this right now. If you</t>
  </si>
  <si>
    <t xml:space="preserve">https://www.reddit.com/comments/1i9tg62</t>
  </si>
  <si>
    <t xml:space="preserve">Can anyone recommend me songs like outer temple or inner temple by gong. I imagine it as warped music. i believe it’s called psychedelic, but that enc</t>
  </si>
  <si>
    <t xml:space="preserve">https://www.reddit.com/comments/1iaezbf</t>
  </si>
  <si>
    <t xml:space="preserve">Jane Birkin is the muse for my new playlist- check it out and help me refine the aesthetic with your recs!!.</t>
  </si>
  <si>
    <t xml:space="preserve">https://www.reddit.com/comments/1ianzzj</t>
  </si>
  <si>
    <t xml:space="preserve">I'm convinced Spotify is just making up words for the Daylists at this point. [removed]</t>
  </si>
  <si>
    <t xml:space="preserve">https://www.reddit.com/comments/1iay1u1</t>
  </si>
  <si>
    <t xml:space="preserve">Does anyone have any princessy song recommendations?. [removed]</t>
  </si>
  <si>
    <t xml:space="preserve">https://www.reddit.com/comments/1iaygt2</t>
  </si>
  <si>
    <t xml:space="preserve">Can you recommend some good French artistes (past and present) I should be checking out on Spotify?. Hi everyone I have been listening to a few French</t>
  </si>
  <si>
    <t xml:space="preserve">https://www.reddit.com/comments/1ib2pjv</t>
  </si>
  <si>
    <t xml:space="preserve">Missing feature: Avoid song. This is aimed towards the folk at Spotify capable of making changes: Please, pretty please do add a feature to completely</t>
  </si>
  <si>
    <t xml:space="preserve">https://www.reddit.com/comments/1ibhpir</t>
  </si>
  <si>
    <t xml:space="preserve">Problem with liked songs. Everytime I try to listen to my liked songs for the last few days all it’s done is give me songs that are recommendations. I</t>
  </si>
  <si>
    <t xml:space="preserve">https://www.reddit.com/comments/1ibt7d4</t>
  </si>
  <si>
    <t xml:space="preserve">marking a podcast as played. hi! i’ve never posted here so i hope this is the right place to ask. so my question is: i accidentally clicked on a podca</t>
  </si>
  <si>
    <t xml:space="preserve">https://www.reddit.com/comments/1ibu2io</t>
  </si>
  <si>
    <t xml:space="preserve">2000 playlist. # [\^\_2000]( 37 songs. Wow. Some how I scraped together 37 songs for the year 2000. Keeping in mind my goal is at least 50. Interestin</t>
  </si>
  <si>
    <t xml:space="preserve">https://www.reddit.com/comments/1ibxspc</t>
  </si>
  <si>
    <t xml:space="preserve">Spotify recommended me this AI artist on my homepage. And all the artists 'fans also like' are clearly AI as well; the first one even uses the same pi</t>
  </si>
  <si>
    <t xml:space="preserve">https://www.reddit.com/comments/1ic2chk</t>
  </si>
  <si>
    <t xml:space="preserve">i already get that shuffle sucks, which is fine, I've delt with my grievances. but the smart shuffle omg.. it'll literally only play songs I've alread</t>
  </si>
  <si>
    <t xml:space="preserve">https://www.reddit.com/comments/1ic5qwv</t>
  </si>
  <si>
    <t xml:space="preserve">Spotify iOS not playing radio or album - moves to random songs. New behavior for me, starting today. I play a radio (e.g. Yo La Tengo Radio) or an alb</t>
  </si>
  <si>
    <t xml:space="preserve">https://www.reddit.com/comments/1iccepq</t>
  </si>
  <si>
    <t xml:space="preserve">Pop songs with guitar solos?. I need to listen to more pop songs with guitar solos in them!! Anyone have any recommendations?</t>
  </si>
  <si>
    <t xml:space="preserve">https://www.reddit.com/comments/1icpeb1</t>
  </si>
  <si>
    <t xml:space="preserve">Daylist contains commercials tracks?. I'm pretty sure there's a lot of commercial tracks on daily mixes, and they put label about that on "about recom</t>
  </si>
  <si>
    <t xml:space="preserve">https://www.reddit.com/comments/1icyj19</t>
  </si>
  <si>
    <t xml:space="preserve">Songs That Use The Same Sample! Please leave suggestions to add! (Preferably Rap/Pop but open to all genres!).</t>
  </si>
  <si>
    <t xml:space="preserve">https://www.reddit.com/comments/1id2iyo</t>
  </si>
  <si>
    <t xml:space="preserve">The Spotify DJ is great when it works and sucks when it doesn’t.. Some car rides I’ll add a couple songs to liked because it plays fresh and interesti</t>
  </si>
  <si>
    <t xml:space="preserve">https://www.reddit.com/comments/1id92lr</t>
  </si>
  <si>
    <t xml:space="preserve">How come when I turn on smart shuffle of my liked songs it only plays country??. Question as stated above. I have a mix of various genres in my liked </t>
  </si>
  <si>
    <t xml:space="preserve">https://www.reddit.com/comments/1idq9oj</t>
  </si>
  <si>
    <t xml:space="preserve">Where did discover weekly go??.</t>
  </si>
  <si>
    <t xml:space="preserve">https://www.reddit.com/comments/1idup8h</t>
  </si>
  <si>
    <t xml:space="preserve">Autoplay similar content question. I was listening to an album from years back and similar music came on after the album finished from around that era</t>
  </si>
  <si>
    <t xml:space="preserve">https://www.reddit.com/comments/1ie22lz</t>
  </si>
  <si>
    <t xml:space="preserve">Songs I like taken off my algorithm?. [removed]</t>
  </si>
  <si>
    <t xml:space="preserve">https://www.reddit.com/comments/1ie2nuh</t>
  </si>
  <si>
    <t xml:space="preserve">Discover weekly removed 'dont recommend' feature?. Why???.. I'm so sick of hearing the same artists despite it being called "discover".</t>
  </si>
  <si>
    <t xml:space="preserve">https://www.reddit.com/comments/1ie75gx</t>
  </si>
  <si>
    <t xml:space="preserve">Why can my friend see my On Repeat?. [removed]</t>
  </si>
  <si>
    <t xml:space="preserve">https://www.reddit.com/comments/1iefsjt</t>
  </si>
  <si>
    <t xml:space="preserve">Could spotify add a block option for artists we don't want to hear?. For example while I'm working out and a convicted rapist music gets suggested to </t>
  </si>
  <si>
    <t xml:space="preserve">https://www.reddit.com/comments/1iegqh1</t>
  </si>
  <si>
    <t xml:space="preserve">Looking for Alt/Indie Latin Music. sorry is this is the wrong place but i'm looking for song suggestions 😭 I'm looking for music in Spanish that are i</t>
  </si>
  <si>
    <t xml:space="preserve">https://www.reddit.com/comments/1ieicb0</t>
  </si>
  <si>
    <t xml:space="preserve">What on earth is mydaylist.</t>
  </si>
  <si>
    <t xml:space="preserve">https://www.reddit.com/comments/1iflcj0</t>
  </si>
  <si>
    <t xml:space="preserve">looking for mutuals/playlist. hi everyone im looking for more mutuals/playlist to listen and learn more about new genre ^_^ u can also drop ur usernam</t>
  </si>
  <si>
    <t xml:space="preserve">https://www.reddit.com/comments/1ifukym</t>
  </si>
  <si>
    <t xml:space="preserve">If you’re just roaming and bored, I’d love some playlist recommendations! 🙏🏽. [removed]</t>
  </si>
  <si>
    <t xml:space="preserve">https://www.reddit.com/comments/1ifx5u7</t>
  </si>
  <si>
    <t xml:space="preserve">Spotify autoplay on podcasts has been made worse on purpose. I have listened to podcasts regularly for the past 3-4 years. There are specifically abou</t>
  </si>
  <si>
    <t xml:space="preserve">https://www.reddit.com/comments/1ig06m5</t>
  </si>
  <si>
    <t xml:space="preserve">Can't get spotify to open on windows 11 anymore for my life. I've had this laptop for just over a month and the Spotify app (not the one from the wind</t>
  </si>
  <si>
    <t xml:space="preserve">https://www.reddit.com/comments/1ig58n6</t>
  </si>
  <si>
    <t xml:space="preserve">Can someone recommend me songs to add (based on my main playlist)?. [removed]</t>
  </si>
  <si>
    <t xml:space="preserve">https://www.reddit.com/comments/1igdky7</t>
  </si>
  <si>
    <t xml:space="preserve">Been hacked?. I've been logged out of my account on all devices and can't log back in. Password reset says that username doesn't exist, email doesn't </t>
  </si>
  <si>
    <t xml:space="preserve">https://www.reddit.com/comments/1igdvfs</t>
  </si>
  <si>
    <t xml:space="preserve">Remove streamed song from history. According to stats.fm I fell asleep listening to a song I’m honestly not even a fan of on repeat. I was wondering i</t>
  </si>
  <si>
    <t xml:space="preserve">https://www.reddit.com/comments/1igeu5k</t>
  </si>
  <si>
    <t xml:space="preserve">Would like some suggestions for my playlist. Going for a floating through space vibe, let me know if you have any song recs!</t>
  </si>
  <si>
    <t xml:space="preserve">https://www.reddit.com/comments/1iggy40</t>
  </si>
  <si>
    <t xml:space="preserve">made a new playlist, check it out! also need more song recs for it!. let me know what you guys think and if you guys have any recs!</t>
  </si>
  <si>
    <t xml:space="preserve">https://www.reddit.com/comments/1igh427</t>
  </si>
  <si>
    <t xml:space="preserve">Looking for suggestions based off my playlist. [removed]</t>
  </si>
  <si>
    <t xml:space="preserve">https://www.reddit.com/comments/1igji2i</t>
  </si>
  <si>
    <t xml:space="preserve">Any suggestions?. [removed]</t>
  </si>
  <si>
    <t xml:space="preserve">https://www.reddit.com/comments/1igt8z1</t>
  </si>
  <si>
    <t xml:space="preserve">Any suggestions?. Self explanatory</t>
  </si>
  <si>
    <t xml:space="preserve">https://www.reddit.com/comments/1igta7y</t>
  </si>
  <si>
    <t xml:space="preserve">Is there a way to remove recommended song due to my taste on Spotify playlist?. Hello, is there a way to remove recommended music on the Spotify playl</t>
  </si>
  <si>
    <t xml:space="preserve">https://www.reddit.com/comments/1ihdomq</t>
  </si>
  <si>
    <t xml:space="preserve">Senior Celebration Songs. I’m a Varsity coach who’s team is celebrating senior night tonight! I’d like to play a few songs while we do their celebrati</t>
  </si>
  <si>
    <t xml:space="preserve">https://www.reddit.com/comments/1ihijsl</t>
  </si>
  <si>
    <t xml:space="preserve">Playlists. I make a playlist because I want to listen to the tracks on that playlist. There are a hundred different ways I can branch out and discover</t>
  </si>
  <si>
    <t xml:space="preserve">https://www.reddit.com/comments/1ihjdj7</t>
  </si>
  <si>
    <t xml:space="preserve">I hit 100k monthly listeners on Spotify in under 3 years as a fully independent artist! AMA. No label, money, or special connections in the industry. </t>
  </si>
  <si>
    <t xml:space="preserve">https://www.reddit.com/comments/1ihlgn9</t>
  </si>
  <si>
    <t xml:space="preserve">Around the World by ATC Missing from Spotify. So I noticed the original full length song was missing from Spotify (couldnt find it on youtube either :</t>
  </si>
  <si>
    <t xml:space="preserve">https://www.reddit.com/comments/1ihux3w</t>
  </si>
  <si>
    <t xml:space="preserve">Favorite live albums on Spotify. I've recently been on a live albums only kick and wanted some additional suggestions for somewhat recent great live a</t>
  </si>
  <si>
    <t xml:space="preserve">https://www.reddit.com/comments/1ihvinz</t>
  </si>
  <si>
    <t xml:space="preserve">Do better Spotify.. For some background, I am a small artist averaging around 10-50 streams a month on Spotify mostly originating from close friends a</t>
  </si>
  <si>
    <t xml:space="preserve">https://www.reddit.com/comments/1ihvyen</t>
  </si>
  <si>
    <t xml:space="preserve">“Can’t play this right now.” message pops up for every song.. Spotify Community wouldn’t let me post a topic at all so this is the only other place I’</t>
  </si>
  <si>
    <t xml:space="preserve">https://www.reddit.com/comments/1ihx93h</t>
  </si>
  <si>
    <t xml:space="preserve">2008 playlist - featuring Glasvegas, Clinic, El Perro del Mar, …. # [\^\_2008]( 66 songs. Glasvegas easily takes the top spot for favorite album of 20</t>
  </si>
  <si>
    <t xml:space="preserve">https://www.reddit.com/comments/1ii6ovh</t>
  </si>
  <si>
    <t xml:space="preserve">https://www.reddit.com/comments/1ii6ovo</t>
  </si>
  <si>
    <t xml:space="preserve">HELP! Indecisive bride needs your suggestions.</t>
  </si>
  <si>
    <t xml:space="preserve">https://www.reddit.com/comments/1ii8lh9</t>
  </si>
  <si>
    <t xml:space="preserve">Radio from playlist feature- any websites that do this?. [removed]</t>
  </si>
  <si>
    <t xml:space="preserve">https://www.reddit.com/comments/1iib0i1</t>
  </si>
  <si>
    <t xml:space="preserve">I made a playlist of acoustic songs by indie artists. Open to suggestions.</t>
  </si>
  <si>
    <t xml:space="preserve">https://www.reddit.com/comments/1iiocs3</t>
  </si>
  <si>
    <t xml:space="preserve">Want more info on recommended songs—Spotify only plays songs I’ve heard a *lot*. So I’m newer to Spotify (previously Apple Music, switched in October)</t>
  </si>
  <si>
    <t xml:space="preserve">https://www.reddit.com/comments/1iiv47h</t>
  </si>
  <si>
    <t xml:space="preserve">how do blends work?. I was trying to find an answer but most of the posts I could find were from 2-3 years ago and I’m not sure if Spotify updated the</t>
  </si>
  <si>
    <t xml:space="preserve">https://www.reddit.com/comments/1ijdvj6</t>
  </si>
  <si>
    <t xml:space="preserve">Song recos. Can you guys recommend songs that has similar vibes to real men by Mitski?</t>
  </si>
  <si>
    <t xml:space="preserve">https://www.reddit.com/comments/1ijynge</t>
  </si>
  <si>
    <t xml:space="preserve">Looking for some modern psych recommendations, from 2010 to now :).</t>
  </si>
  <si>
    <t xml:space="preserve">https://www.reddit.com/comments/1ikdkch</t>
  </si>
  <si>
    <t xml:space="preserve">cant get a song off of "on repeat". (using iphone app) a song has been stuck on my "on repeat" playlist for about a week now, without having played it</t>
  </si>
  <si>
    <t xml:space="preserve">https://www.reddit.com/comments/1ikeq5q</t>
  </si>
  <si>
    <t xml:space="preserve">How do you discover new music on the app?. Hello everyone! I’m wondering what your strategy of finding new music on Spotify. I love listening to disco</t>
  </si>
  <si>
    <t xml:space="preserve">https://www.reddit.com/comments/1ikgsjl</t>
  </si>
  <si>
    <t xml:space="preserve">Djent for non djent fans. I'm putting together a playlist of easier listening djent songs for those who don't normally listen to heavy music to help e</t>
  </si>
  <si>
    <t xml:space="preserve">https://www.reddit.com/comments/1ikjlxo</t>
  </si>
  <si>
    <t xml:space="preserve">2010 playlist – featuring Cotton Jones, Clinic, The Besnard Lakes, …. # [\^\_2010]( 70 songs. The Mods took down my last post of this playlist for usi</t>
  </si>
  <si>
    <t xml:space="preserve">https://www.reddit.com/comments/1ikk7gj</t>
  </si>
  <si>
    <t xml:space="preserve">Can’t delete a playlist. I’ve tried deleting this but it just keeps on getting recommended to me on my Spotify for some reason.</t>
  </si>
  <si>
    <t xml:space="preserve">https://www.reddit.com/comments/1ilkw6m</t>
  </si>
  <si>
    <t xml:space="preserve">Discover Weekly playlist shrunk.. [removed]</t>
  </si>
  <si>
    <t xml:space="preserve">https://www.reddit.com/comments/1ill0ey</t>
  </si>
  <si>
    <t xml:space="preserve">I made a better AI DJ than Spotify - looking for testers!.</t>
  </si>
  <si>
    <t xml:space="preserve">https://www.reddit.com/comments/1ilwumc</t>
  </si>
  <si>
    <t xml:space="preserve">3 songs in Discover Weekly. This is the 1st time this happend to me. I didn’t know it was possible to have only 3 songs in DW. Is it normal or whaaaat</t>
  </si>
  <si>
    <t xml:space="preserve">https://www.reddit.com/comments/1im3y4v</t>
  </si>
  <si>
    <t xml:space="preserve">I'm creating a playlist with psychedelic rock to unwind and chill in the evening. Does anybody have suggestions? I'm looking for no vocals and no or m</t>
  </si>
  <si>
    <t xml:space="preserve">https://www.reddit.com/comments/1ima7z8</t>
  </si>
  <si>
    <t xml:space="preserve">literally NOTHING new in the daily mix + no new artists recommended. i used to get a couple of new songs and artists for some time when I just started</t>
  </si>
  <si>
    <t xml:space="preserve">https://www.reddit.com/comments/1imi2hr</t>
  </si>
  <si>
    <t xml:space="preserve">Te Mando Los Vibes / Sending you Vibes. &lt;iframe style="border-radius:12px" src=" width="100%" height="352" frameBorder="0" allowfullscreen="" allow="a</t>
  </si>
  <si>
    <t xml:space="preserve">https://www.reddit.com/comments/1iml7l7</t>
  </si>
  <si>
    <t xml:space="preserve">how do I nuke smart shuffle from existence. this is genuinely the most infuriating "feature" ever added to Spotify right beside getting rid of the lik</t>
  </si>
  <si>
    <t xml:space="preserve">https://www.reddit.com/comments/1imne3v</t>
  </si>
  <si>
    <t xml:space="preserve">tech help! randomly last week, my spotify stopped being able to work. I have an iPhone and my data for spotify is turned ON, but for some reason all m</t>
  </si>
  <si>
    <t xml:space="preserve">https://www.reddit.com/comments/1imwkwx</t>
  </si>
  <si>
    <t xml:space="preserve">The Chronological Evolution of Rock: Best &amp; Greatest Rock N Roll, Metal, Indie, and Psychedelic Rock Songs of All Time. 4200 songs and 335 hours of th</t>
  </si>
  <si>
    <t xml:space="preserve">https://www.reddit.com/comments/1imzm0g</t>
  </si>
  <si>
    <t xml:space="preserve">need music recs for my soft playlist.</t>
  </si>
  <si>
    <t xml:space="preserve">https://www.reddit.com/comments/1in7v4o</t>
  </si>
  <si>
    <t xml:space="preserve">need recs for making a "post-country" playlist, is that a thing?. I'd really like to make a list around songs with a country edge but more introspecti</t>
  </si>
  <si>
    <t xml:space="preserve">https://www.reddit.com/comments/1incag3</t>
  </si>
  <si>
    <t xml:space="preserve">My daylist is all in a foreign language. [removed]</t>
  </si>
  <si>
    <t xml:space="preserve">https://www.reddit.com/comments/1io1406</t>
  </si>
  <si>
    <t xml:space="preserve">I'm getting bored of songs need suggestions.. So I'm into Palaye Royale, Maneskin, The Neighborhood, Billie Eilish, d4vid and boywithuke. If you know </t>
  </si>
  <si>
    <t xml:space="preserve">https://www.reddit.com/comments/1io16zf</t>
  </si>
  <si>
    <t xml:space="preserve">need similar songs. Please give me songs recommendations that sound like Slayin by Tion Phipps 🙏</t>
  </si>
  <si>
    <t xml:space="preserve">https://www.reddit.com/comments/1ioajni</t>
  </si>
  <si>
    <t xml:space="preserve">comment ur favorite unreleased pop/rnb/rap song recs !. I'm good with any artist suggestions possible but I would love if it's along the lines of thos</t>
  </si>
  <si>
    <t xml:space="preserve">https://www.reddit.com/comments/1iocx6e</t>
  </si>
  <si>
    <t xml:space="preserve">How do I get rid of the ‘jump back in’ suggested playlists?. A while back a friend and I were messing around listening to nsfw asmr sounds, super crin</t>
  </si>
  <si>
    <t xml:space="preserve">https://www.reddit.com/comments/1iocyhp</t>
  </si>
  <si>
    <t xml:space="preserve">piano music. what is your favorite piano/solely instrumental song? I like dark/haunting/melodic tunes. but also enjoy some uplifting ones as well (mer</t>
  </si>
  <si>
    <t xml:space="preserve">https://www.reddit.com/comments/1iojs4z</t>
  </si>
  <si>
    <t xml:space="preserve">How do I tell Spotify that I HATE a song that it keeps adding to EVERY mix I listen to?. I often listen to my daily mixes and artist-related mixes. Th</t>
  </si>
  <si>
    <t xml:space="preserve">https://www.reddit.com/comments/1ipcxk0</t>
  </si>
  <si>
    <t xml:space="preserve">Why can't I preview my playlists on Spotify, instead I get only recommended songs for my playlists in the preview?. Can I change this?</t>
  </si>
  <si>
    <t xml:space="preserve">https://www.reddit.com/comments/1iqbmyt</t>
  </si>
  <si>
    <t xml:space="preserve">Popular Playlist plays just from tapping on a song. I use Spotify on mobile, Android specifically, and they recently made an update. Now, instead of b</t>
  </si>
  <si>
    <t xml:space="preserve">https://www.reddit.com/comments/1iqcczv</t>
  </si>
  <si>
    <t xml:space="preserve">I'm making a playlist with japanese "tropical" songs for studying ps: any suggestions?.</t>
  </si>
  <si>
    <t xml:space="preserve">https://www.reddit.com/comments/1iqkihd</t>
  </si>
  <si>
    <t xml:space="preserve">Can y'all recommend me some good poetry podcasts. I've been into songwriting for the past few months, but lately, I’ve been feeling a bit stuck. So, I</t>
  </si>
  <si>
    <t xml:space="preserve">https://www.reddit.com/comments/1iqnt83</t>
  </si>
  <si>
    <t xml:space="preserve">why does it play random stuff ??. i play the same playlist for hours a day , but after a few hours , it just plays whatever it pleases , artists i hav</t>
  </si>
  <si>
    <t xml:space="preserve">https://www.reddit.com/comments/1irb9v6</t>
  </si>
  <si>
    <t xml:space="preserve">2020 playlist – featuring The Cool Greenhouse, Ruby Haunt, Nova Twins, …. # [\^\_2020]( 71 songs. My favorite album from 2020 is the self titled debut</t>
  </si>
  <si>
    <t xml:space="preserve">https://www.reddit.com/comments/1irhxws</t>
  </si>
  <si>
    <t xml:space="preserve">did spotify change the dj?. recently clicked onto it and where it used to serve me up stuff id actually listen to, nowadays it seems to just give me r</t>
  </si>
  <si>
    <t xml:space="preserve">https://www.reddit.com/comments/1irilir</t>
  </si>
  <si>
    <t xml:space="preserve">Did the Spotify algorithm change again? “You might also like”section is very different. I’m an independent artist who has been using Spotify for years</t>
  </si>
  <si>
    <t xml:space="preserve">https://www.reddit.com/comments/1irmg3b</t>
  </si>
  <si>
    <t xml:space="preserve">on repeat playlist. is it just me or they’ve stopped updating this lol</t>
  </si>
  <si>
    <t xml:space="preserve">https://www.reddit.com/comments/1isj2ka</t>
  </si>
  <si>
    <t xml:space="preserve">Who is Lil P100808?. I first became aware of this account when doing that Receiptify thing a few years ago where it gives you a list of your top songs</t>
  </si>
  <si>
    <t xml:space="preserve">https://www.reddit.com/comments/1isnhsf</t>
  </si>
  <si>
    <t xml:space="preserve">Looking for artists similar to Feed Me or Koan Sound in terms of production quality and loudness. I'm not necessarily looking for artists in the same </t>
  </si>
  <si>
    <t xml:space="preserve">https://www.reddit.com/comments/1isp1vx</t>
  </si>
  <si>
    <t xml:space="preserve">House music? Any recommendations or small artists you know?.</t>
  </si>
  <si>
    <t xml:space="preserve">https://www.reddit.com/comments/1ispmwu</t>
  </si>
  <si>
    <t xml:space="preserve">looking for spotify profile ideas (more context in the post). I was just wondering how everyone sorts their playlists out? I currently have 275+ playl</t>
  </si>
  <si>
    <t xml:space="preserve">https://www.reddit.com/comments/1isuhn3</t>
  </si>
  <si>
    <t xml:space="preserve">Tip: Delete cache to refresh the DJ if it gets repetitive.. My ai dj played the same 50 or so songs over and over so I deleted my local cache (spotify</t>
  </si>
  <si>
    <t xml:space="preserve">https://www.reddit.com/comments/1isyncr</t>
  </si>
  <si>
    <t xml:space="preserve">Daylist bugged, is playing the song associated with the album cover instead of the name. Lyrics don’t match either.. When looking at the playlist itse</t>
  </si>
  <si>
    <t xml:space="preserve">https://www.reddit.com/comments/1ith94v</t>
  </si>
  <si>
    <t xml:space="preserve">Song recs pleasseee. I would like some songs/playlists for working out but also for chilling anything really. I've mostly explored rock(including sub </t>
  </si>
  <si>
    <t xml:space="preserve">https://www.reddit.com/comments/1itimvi</t>
  </si>
  <si>
    <t xml:space="preserve">Are anyone else's Weekly Mix and suggestions just Very Bad?. My music taste is all over the place and I'm not sure the algorithms wants to accept it? </t>
  </si>
  <si>
    <t xml:space="preserve">https://www.reddit.com/comments/1iu9clo</t>
  </si>
  <si>
    <t xml:space="preserve">I need elevator music!. I want to play hype music in the elevator when I come into work every day. I want something that says I’m coming to get the jo</t>
  </si>
  <si>
    <t xml:space="preserve">https://www.reddit.com/comments/1iv7mmg</t>
  </si>
  <si>
    <t xml:space="preserve">Looking for some more cool psych-pop song suggestions!. Hey! I'm putting together a playlist of psych-pop / neo-psych songs and am looking for recomme</t>
  </si>
  <si>
    <t xml:space="preserve">https://www.reddit.com/comments/1iv8cpm</t>
  </si>
  <si>
    <t xml:space="preserve">2023 playlist – featuring Geese, Glume, Ruby Haunt, …. # [\^\_2023]( When I first made this playlist, I had Glume’s (aka Viola Odette Harlow) *Main Ch</t>
  </si>
  <si>
    <t xml:space="preserve">https://www.reddit.com/comments/1ivfohb</t>
  </si>
  <si>
    <t xml:space="preserve">I've had enough of Apple Music and I'm switching over to Spotify. What completely free services can I use to transfer my music libraries?. The desktop</t>
  </si>
  <si>
    <t xml:space="preserve">https://www.reddit.com/comments/1ivfp2e</t>
  </si>
  <si>
    <t xml:space="preserve">spotify alternative. im underage, and my parents won’t pay for “stupid, useless stuff” so here i am asking for an alternative features im looking for:</t>
  </si>
  <si>
    <t xml:space="preserve">https://www.reddit.com/comments/1ivu1e9</t>
  </si>
  <si>
    <t xml:space="preserve">Looking for great Old School playlist consisting of bands and artists like Bob Dylan, Led Zeppelin, Alice In Chains, Nirvana, The Doors, Radio Head, T</t>
  </si>
  <si>
    <t xml:space="preserve">https://www.reddit.com/comments/1ivvhxu</t>
  </si>
  <si>
    <t xml:space="preserve">Any artists/songs you guys recommend.... I'm into almost all types of song genres but i shuffle them depending upon how i'm feelin feel free to listen</t>
  </si>
  <si>
    <t xml:space="preserve">https://www.reddit.com/comments/1iwg1md</t>
  </si>
  <si>
    <t xml:space="preserve">Can anyone recommend more rock/ metal songs for my "fuck people + depression" playlist?. Just been going through a hard time lately. Here are the arti</t>
  </si>
  <si>
    <t xml:space="preserve">https://www.reddit.com/comments/1iwmvwc</t>
  </si>
  <si>
    <t xml:space="preserve">Please go upvote this pure shuffle request!!!. [ Please please please please please please please please We give them our money, they shouldn't get aw</t>
  </si>
  <si>
    <t xml:space="preserve">https://www.reddit.com/comments/1iwwghy</t>
  </si>
  <si>
    <t xml:space="preserve">Recommended songs when playing playlist. Why do I get recommended songs in spotify when playing my Playlist . I used to get this when I finished the P</t>
  </si>
  <si>
    <t xml:space="preserve">https://www.reddit.com/comments/1ix0dux</t>
  </si>
  <si>
    <t xml:space="preserve">Hozier and Tyler Childers. I'd love to get and listen more into these two artists besides just listening their popular songs. Though I'm overwhelmed o</t>
  </si>
  <si>
    <t xml:space="preserve">https://www.reddit.com/comments/1ix219u</t>
  </si>
  <si>
    <t xml:space="preserve">What’s Your Current Go-To Song? Drop Your Best Recommendations!. Hey everyone, I’m on the hunt for fresh tracks and hidden gems to level up my playlis</t>
  </si>
  <si>
    <t xml:space="preserve">https://www.reddit.com/comments/1ixpd6e</t>
  </si>
  <si>
    <t xml:space="preserve">If your looking for a distributor and choose Soundrop, dont do it. I wasn’t able to rant about this since the Soundrop Reddit was “locked” and I can’t</t>
  </si>
  <si>
    <t xml:space="preserve">https://www.reddit.com/comments/1iyc3vb</t>
  </si>
  <si>
    <t xml:space="preserve">music recommendation account i started :&gt;.</t>
  </si>
  <si>
    <t xml:space="preserve">https://www.reddit.com/comments/1iyifq8</t>
  </si>
  <si>
    <t xml:space="preserve">Recommend me songs for this like tropical European beach carefree feel playlist. Could especially use some chill electro</t>
  </si>
  <si>
    <t xml:space="preserve">https://www.reddit.com/comments/1izil1z</t>
  </si>
  <si>
    <t xml:space="preserve">The queue update is so stupid. Why did they decide to update the queues and make it impossible to effectively edit them?? I used to edit my queues pra</t>
  </si>
  <si>
    <t xml:space="preserve">https://www.reddit.com/comments/1izvfpu</t>
  </si>
  <si>
    <t xml:space="preserve">trying to make the best party aux playlist need suggestions!!!.</t>
  </si>
  <si>
    <t xml:space="preserve">https://www.reddit.com/comments/1j0t76y</t>
  </si>
  <si>
    <t xml:space="preserve">indie playlist recs pls. ive linked a playlist for context but im open to any kind of recs based on this !!</t>
  </si>
  <si>
    <t xml:space="preserve">https://www.reddit.com/comments/1j0thf6</t>
  </si>
  <si>
    <t xml:space="preserve">40 year old dad perfect playlist. I have been searching for a huge playlist for years I can play all day all night, working, cooking, having beers etc</t>
  </si>
  <si>
    <t xml:space="preserve">https://www.reddit.com/comments/1j112kj</t>
  </si>
  <si>
    <t xml:space="preserve">100 New Songs - Changed Every Weekend. Every week, I put a lot of effort into compiling the coolest 100 new music releases. I refresh the playlist eve</t>
  </si>
  <si>
    <t xml:space="preserve">https://www.reddit.com/comments/1j14esx</t>
  </si>
  <si>
    <t xml:space="preserve">Romantic Love Songs. Hi! I’m looking for actually romantic love songs. My favorite love song is All Your’n by Tyler Childers, but any suggestions are </t>
  </si>
  <si>
    <t xml:space="preserve">https://www.reddit.com/comments/1j1jn6b</t>
  </si>
  <si>
    <t xml:space="preserve">every kiss begins with kaytranada. playlist of songs by kaytranada/remixes &amp; others of the like. work in progress so other suggestions welcome, hope y</t>
  </si>
  <si>
    <t xml:space="preserve">https://www.reddit.com/comments/1j1r04w</t>
  </si>
  <si>
    <t xml:space="preserve">Upset with playlist and auto gen. More of a rant. But maybe you can help. I start a radio playlist off of a song. Then its great playlist after listen</t>
  </si>
  <si>
    <t xml:space="preserve">https://www.reddit.com/comments/1j23p0i</t>
  </si>
  <si>
    <t xml:space="preserve">Album cover moderation?. Is there any form of moderation for album covers bands are posting to Spotify? I mainly listen to metal, not even anything pa</t>
  </si>
  <si>
    <t xml:space="preserve">https://www.reddit.com/comments/1j275t8</t>
  </si>
  <si>
    <t xml:space="preserve">Song/Artist Suggestions. So I’m the type of person to hyper-fixate on songs and artists that I like but because of that, I periodically need to change</t>
  </si>
  <si>
    <t xml:space="preserve">https://www.reddit.com/comments/1j2841p</t>
  </si>
  <si>
    <t xml:space="preserve">Sad but in a good way type playlist. I made a playlist of songs that are sad/nostalgic/reminiscent but in a good way rather than a depressing way if y</t>
  </si>
  <si>
    <t xml:space="preserve">https://www.reddit.com/comments/1j28agg</t>
  </si>
  <si>
    <t xml:space="preserve">Can someone recommend some songs?.</t>
  </si>
  <si>
    <t xml:space="preserve">https://www.reddit.com/comments/1j2h2eg</t>
  </si>
  <si>
    <t xml:space="preserve">Any song recommendations for the following playlist?. Just adding songs me and my friend think go hard/are just generally nice Any suggestions?</t>
  </si>
  <si>
    <t xml:space="preserve">https://www.reddit.com/comments/1j2s222</t>
  </si>
  <si>
    <t xml:space="preserve">[Release] StopSpoti – Automatically Pause &amp; Resume Spotify Based on System Audio. Are you tired of manually pausing Spotify every time you start a You</t>
  </si>
  <si>
    <t xml:space="preserve">https://www.reddit.com/comments/1j36lnn</t>
  </si>
  <si>
    <t xml:space="preserve">Moves Like Jagger 🍸🪩 - Dance Hits from the past decades – Drop Your Suggestions!.</t>
  </si>
  <si>
    <t xml:space="preserve">https://www.reddit.com/comments/1j38bun</t>
  </si>
  <si>
    <t xml:space="preserve">what is THE song that screams pure shoegaze ?. i’ve got this shoegaze playlist that im trying to add more songs to….and I’d love to hear all of your s</t>
  </si>
  <si>
    <t xml:space="preserve">https://www.reddit.com/comments/1j3rerl</t>
  </si>
  <si>
    <t xml:space="preserve">Discover weekly really messed up this week. Wondering if anyone else has had this issue this week? Discovery weekly is suddenly very "off" in terms of</t>
  </si>
  <si>
    <t xml:space="preserve">https://www.reddit.com/comments/1j40nfe</t>
  </si>
  <si>
    <t xml:space="preserve">Songs similar to "A Cut That Always Bleeds" by Conan Gray. Can any of you suggest me songs that have that similar feel to ACTAB? the vocals in this so</t>
  </si>
  <si>
    <t xml:space="preserve">https://www.reddit.com/comments/1j441el</t>
  </si>
  <si>
    <t xml:space="preserve">When did radio get this bad?. Has anyone else noticed how terrible Spotify Radio has become? I pick a song I really enjoy, expecting similar music, bu</t>
  </si>
  <si>
    <t xml:space="preserve">https://www.reddit.com/comments/1j4j8cd</t>
  </si>
  <si>
    <t xml:space="preserve">Anyone wanna jam together?. 27 f ! Do you wanna have a jam session on Spotify? I like everything but country really. Some of my favs are $b, weezer, r</t>
  </si>
  <si>
    <t xml:space="preserve">https://www.reddit.com/comments/1j4prpj</t>
  </si>
  <si>
    <t xml:space="preserve">Why do songs in my queue keep getting added to random playlists?. I've been having this recurring issue on mobile (Android) where songs that I interac</t>
  </si>
  <si>
    <t xml:space="preserve">https://www.reddit.com/comments/1j4yyee</t>
  </si>
  <si>
    <t xml:space="preserve">Black Aesthetic Playlist. My girl drew a nice drawing that I instantly thought to add a playlist to, as a little thank you to her. I thought to share </t>
  </si>
  <si>
    <t xml:space="preserve">https://www.reddit.com/comments/1j5bkos</t>
  </si>
  <si>
    <t xml:space="preserve">Discover weekly issue. I primarily listen to rap/hip-hop, my discover weekly usually has a bunch of songs in those genres, but recently my discover we</t>
  </si>
  <si>
    <t xml:space="preserve">https://www.reddit.com/comments/1j5fqgi</t>
  </si>
  <si>
    <t xml:space="preserve">Spotify AI DJ. This AI DJ is one of the few AI driven features I've been seeing around that actually kicks butt. I have been enjoying it immensely and</t>
  </si>
  <si>
    <t xml:space="preserve">https://www.reddit.com/comments/1j5rj0t</t>
  </si>
  <si>
    <t xml:space="preserve">My daylist is updating more often than it claims. Why? I know it updates several times a day because I always check it and frequently listen to it. Bu</t>
  </si>
  <si>
    <t xml:space="preserve">https://www.reddit.com/comments/1j5t4l6</t>
  </si>
  <si>
    <t xml:space="preserve">Offline back up not working any suggestions?.</t>
  </si>
  <si>
    <t xml:space="preserve">https://www.reddit.com/comments/1j6553m</t>
  </si>
  <si>
    <t xml:space="preserve">Need song recommendations. Lost my Spotify account and just made another I saved all my public playlists but my best ones were private so I need song </t>
  </si>
  <si>
    <t xml:space="preserve">https://www.reddit.com/comments/1j6jj54</t>
  </si>
  <si>
    <t xml:space="preserve">need song recs. yo i was wonderin if yall can suggest me some bands or artists. i generally listen to bands like led zeppelin,lynrd skynrd,black sabba</t>
  </si>
  <si>
    <t xml:space="preserve">https://www.reddit.com/comments/1j6nycc</t>
  </si>
  <si>
    <t xml:space="preserve">Spotify recommending unpopular versions of albums?. Hi folks, I’ve a huge library and I only use Dailylist to discover new music. but every time I add</t>
  </si>
  <si>
    <t xml:space="preserve">https://www.reddit.com/comments/1j6qr4m</t>
  </si>
  <si>
    <t xml:space="preserve">Any one got any recs?. I have been working on my current music app playlist for awhile, and I'm missing a few songs. For clarification, I mainly liste</t>
  </si>
  <si>
    <t xml:space="preserve">https://www.reddit.com/comments/1j6y39e</t>
  </si>
  <si>
    <t xml:space="preserve">New music recommendations. If anyone is looking for any new music, look no further I curated a playlist of my favorite songs it’s over 200 songs long </t>
  </si>
  <si>
    <t xml:space="preserve">https://www.reddit.com/comments/1j6z5oq</t>
  </si>
  <si>
    <t xml:space="preserve">Daily Music Discovery Time!. Hey everyone! It’s that time again, your chance to dive into my playlists and discover new music while helping me expand </t>
  </si>
  <si>
    <t xml:space="preserve">https://www.reddit.com/comments/1j751c5</t>
  </si>
  <si>
    <t xml:space="preserve">Who is the “Queen of Pop”?. Hi everyone, I'm curious to know who you consider the "Queen of Pop." Personally, I love pop music and would love to hear </t>
  </si>
  <si>
    <t xml:space="preserve">https://www.reddit.com/comments/1j76s78</t>
  </si>
  <si>
    <t xml:space="preserve">My On Repeat playlist is infected with my work music. [removed]</t>
  </si>
  <si>
    <t xml:space="preserve">https://www.reddit.com/comments/1j7cq80</t>
  </si>
  <si>
    <t xml:space="preserve">Need recommendations. I've been listening to a lot of the laufeys music. So can someone recommend me some nice jazz albums or jazz artists? Thanks you</t>
  </si>
  <si>
    <t xml:space="preserve">https://www.reddit.com/comments/1j7mal4</t>
  </si>
  <si>
    <t xml:space="preserve">Trying to find songs that have a Rollicking intro. Evaluate this playlist? How did I do?. I was admiring Lindsey Buckingham's, quick rollicking intro </t>
  </si>
  <si>
    <t xml:space="preserve">https://www.reddit.com/comments/1j7o2uj</t>
  </si>
  <si>
    <t xml:space="preserve">Fresh Reggaeton. Hello. For those who like reggaeton, find here a short playlist of the most fresh artist in the last two years. You can listen to it </t>
  </si>
  <si>
    <t xml:space="preserve">https://www.reddit.com/comments/1j81q9p</t>
  </si>
  <si>
    <t xml:space="preserve">Why is DJ X trying to make me skate board lately?. Has he been infiltrated by big skateboard? Is this some sort of collab with the the new Tony Hawk g</t>
  </si>
  <si>
    <t xml:space="preserve">https://www.reddit.com/comments/1j88ecx</t>
  </si>
  <si>
    <t xml:space="preserve">Suggestions. This past year I went from not really caring about music to not being able to live without it. I listen to rap, rock, pop pretty much any</t>
  </si>
  <si>
    <t xml:space="preserve">https://www.reddit.com/comments/1j8scw8</t>
  </si>
  <si>
    <t xml:space="preserve">Help. All the songs from my local files disappeared from my playlists. I've tried uninstalling and reinstalling the app, but then the songs disappeare</t>
  </si>
  <si>
    <t xml:space="preserve">https://www.reddit.com/comments/1j95scm</t>
  </si>
  <si>
    <t xml:space="preserve">Share your best K-pop, K-rock songs!. I'm looking to add some Korean Pop or Rock or just Korean music in general to my playlist. Any suggestions? :)</t>
  </si>
  <si>
    <t xml:space="preserve">https://www.reddit.com/comments/1j968v9</t>
  </si>
  <si>
    <t xml:space="preserve">EDM / trap / dubstep. Does anybody have recommendations or a playlist of their own that's in this style/vibe? I need some new tracks and the Spotify r</t>
  </si>
  <si>
    <t xml:space="preserve">https://www.reddit.com/comments/1j9g8b4</t>
  </si>
  <si>
    <t xml:space="preserve">Where are the daily mixes?. Only thing I can find in the made for you section is the release radar, beta radio DJ and that's it. No discovery playlist</t>
  </si>
  <si>
    <t xml:space="preserve">https://www.reddit.com/comments/1j9j2m1</t>
  </si>
  <si>
    <t xml:space="preserve">My A to Z Playlist. Not quite satisfied with it. I’ve gone down a rabbit hole of picking my favorite songs starting with each letter of the alphabet. </t>
  </si>
  <si>
    <t xml:space="preserve">https://www.reddit.com/comments/1j9tpof</t>
  </si>
  <si>
    <t xml:space="preserve">I want a playlist of good new indie rock. I don’t want throwbacks or stuff that I already listen to. Any suggestions?.</t>
  </si>
  <si>
    <t xml:space="preserve">https://www.reddit.com/comments/1j9wimr</t>
  </si>
  <si>
    <t xml:space="preserve">I'm gonna say it, the algorithm has gone to shit. Why are the song radios literally the same 20 songs for that genre, even if you go to the radios fro</t>
  </si>
  <si>
    <t xml:space="preserve">https://www.reddit.com/comments/1ja44zt</t>
  </si>
  <si>
    <t xml:space="preserve">Tf is this new update, now they give you recommendation during editing playlists.</t>
  </si>
  <si>
    <t xml:space="preserve">https://www.reddit.com/comments/1jad1wg</t>
  </si>
  <si>
    <t xml:space="preserve">Free Spotify Daily Mix. I just realised that on my Free Spotify account I can choose the song i want to listen to on Daily Mix(es) and (insert genre) </t>
  </si>
  <si>
    <t xml:space="preserve">https://www.reddit.com/comments/1jadndg</t>
  </si>
  <si>
    <t xml:space="preserve">Spotify discovery mode worth it?. Basically the title. I’m in an indie rock band and we just uploaded our first single and were wondering if we should</t>
  </si>
  <si>
    <t xml:space="preserve">https://www.reddit.com/comments/1jae32o</t>
  </si>
  <si>
    <t xml:space="preserve">How does Spotify choose your discover weekly?. Hello everyone, Idk if this has been posted before or not. But I have this question. Cause in none of m</t>
  </si>
  <si>
    <t xml:space="preserve">https://www.reddit.com/comments/1jaf99m</t>
  </si>
  <si>
    <t xml:space="preserve">Why is my Smart shuffle going nuts. Im having the problem I’ve never had before with smart shuffle playing songs I recently added in a normal order th</t>
  </si>
  <si>
    <t xml:space="preserve">https://www.reddit.com/comments/1jafcb9</t>
  </si>
  <si>
    <t xml:space="preserve">Anyone know why this is happening? [Android] I have autoplay off.</t>
  </si>
  <si>
    <t xml:space="preserve">https://www.reddit.com/comments/1jaicae</t>
  </si>
  <si>
    <t xml:space="preserve">Been working on this playlist the last few days, and thought I'd share! It's a mix of noise rock/postpunk/industrial, definitely a particular vibe :D </t>
  </si>
  <si>
    <t xml:space="preserve">https://www.reddit.com/comments/1jbu4wd</t>
  </si>
  <si>
    <t xml:space="preserve">Music videos. Since 2 days ago whenever i search a song, the songs that spotify recommends me after are ALWAYS only music videos. It’s just so strange</t>
  </si>
  <si>
    <t xml:space="preserve">https://www.reddit.com/comments/1jbwdcr</t>
  </si>
  <si>
    <t xml:space="preserve">How to stop the ‘we added’ section in playlists. How do I stop Spotify from having the ‘we added’ section of my playlists just because they insist the</t>
  </si>
  <si>
    <t xml:space="preserve">https://www.reddit.com/comments/1jc5f12</t>
  </si>
  <si>
    <t xml:space="preserve">My liked songs shuffle is acting up. Keeps playing non liked songs. How to fix?. I don’t have smart shuffle on. I have the normal one on. I keep getti</t>
  </si>
  <si>
    <t xml:space="preserve">https://www.reddit.com/comments/1jc8ub5</t>
  </si>
  <si>
    <t xml:space="preserve">What song/artist is Any idea who the artist is, or the specific song? Link: ID: 02aetK9orH28jZNsqpg1yQ It shows up as an unplayable and unnamed song b</t>
  </si>
  <si>
    <t xml:space="preserve">https://www.reddit.com/comments/1jcj6io</t>
  </si>
  <si>
    <t xml:space="preserve">How do I stop Spotify from preferring videos on mobile?. Spotify keeps playing music videos instead of just the audio files - even when it makes absol</t>
  </si>
  <si>
    <t xml:space="preserve">https://www.reddit.com/comments/1jd7og6</t>
  </si>
  <si>
    <t xml:space="preserve">Smart Shuffle Temperature. I am constantly listening to music, while working, training, chilling. However, I am running out on new stuff. I love the S</t>
  </si>
  <si>
    <t xml:space="preserve">https://www.reddit.com/comments/1jd965y</t>
  </si>
  <si>
    <t xml:space="preserve">Even more weird question. Okay, so I opened my Discover Weekly playlist today and got all Spanish songs which is really weird based on my history. It'</t>
  </si>
  <si>
    <t xml:space="preserve">https://www.reddit.com/comments/1jddkvm</t>
  </si>
  <si>
    <t xml:space="preserve">Spotify 3 month trial. I wanted to try the 3 month trial but I only see the month trial option. Even My friend also got the 3 month trial (around Dece</t>
  </si>
  <si>
    <t xml:space="preserve">https://www.reddit.com/comments/1jddpj8</t>
  </si>
  <si>
    <t xml:space="preserve">Spotify auto-playing Drake. Context: I witnessed this happen. I didn't just notice it in my recents. You can also rule out opening a link to the track</t>
  </si>
  <si>
    <t xml:space="preserve">https://www.reddit.com/comments/1jdlkop</t>
  </si>
  <si>
    <t xml:space="preserve">Recommend me your best alternative/indie albums. I almost entirely listen to alternative/indie music, it is by far my favorite genre of all time. I’m </t>
  </si>
  <si>
    <t xml:space="preserve">https://www.reddit.com/comments/1jdpjx1</t>
  </si>
  <si>
    <t xml:space="preserve">Need soft acoustic Indie rock/folk/pop recs. Looking for songs or artists that sound like this:</t>
  </si>
  <si>
    <t xml:space="preserve">https://www.reddit.com/comments/1jds1qo</t>
  </si>
  <si>
    <t xml:space="preserve">Spotify TV Needs Animated Visualizers. I recently graduated grad school, and throughout my time there, I loved hosting themed parties at my house. To </t>
  </si>
  <si>
    <t xml:space="preserve">https://www.reddit.com/comments/1je3fwp</t>
  </si>
  <si>
    <t xml:space="preserve">Need new music. I need some new music recommendations. I listen to everything. And I'm not lying, I listen to pop, rap, r&amp;b, opium, bangra, reggae, af</t>
  </si>
  <si>
    <t xml:space="preserve">https://www.reddit.com/comments/1jeeksr</t>
  </si>
  <si>
    <t xml:space="preserve">Broken Smart Shuffle?. For the past 2 months when I try and use smart shuffle from my liked songs, the recommended songs are always country. Even if I</t>
  </si>
  <si>
    <t xml:space="preserve">https://www.reddit.com/comments/1jeyi9b</t>
  </si>
  <si>
    <t xml:space="preserve">The most beautiful songs I ever heard. Let me know any suggestions you have below</t>
  </si>
  <si>
    <t xml:space="preserve">https://www.reddit.com/comments/1jfa3pl</t>
  </si>
  <si>
    <t xml:space="preserve">NEED MODERN EXPERIMENTAL / ART POP RECOMMENDATIONS !. More specifically, songs/artists/playlists that may fit this playlist! Thanks!</t>
  </si>
  <si>
    <t xml:space="preserve">https://www.reddit.com/comments/1jfenul</t>
  </si>
  <si>
    <t xml:space="preserve">Why is Spotify skipping tracks?. I've been using Spotify premium for several years and have never had an issue. However, for the past few days, I've n</t>
  </si>
  <si>
    <t xml:space="preserve">https://www.reddit.com/comments/1jfj9d3</t>
  </si>
  <si>
    <t xml:space="preserve">Can you combine "liked" and "liked from radio" playlist?. So I'm assuming "liked from radio" is from an old version of spotify because any songs i lik</t>
  </si>
  <si>
    <t xml:space="preserve">https://www.reddit.com/comments/1jg65lg</t>
  </si>
  <si>
    <t xml:space="preserve">I need more songs with Pyramid by Frank Ocean’s vibes. I need recommendations to add songs that have the same vibe or tone as the title song please🧡🧡🧡</t>
  </si>
  <si>
    <t xml:space="preserve">https://www.reddit.com/comments/1jgd36m</t>
  </si>
  <si>
    <t xml:space="preserve">Is there a solution for artwork on local files not showing up?. So I have mp3s on my computer and I add artwork using the Apple Music desktop app, and</t>
  </si>
  <si>
    <t xml:space="preserve">https://www.reddit.com/comments/1jgosgm</t>
  </si>
  <si>
    <t xml:space="preserve">Suddenly autoplaying on open? How to turn off?. Hey all, This has only recently started happening but when i open spotify from a widget on my homepage</t>
  </si>
  <si>
    <t xml:space="preserve">https://www.reddit.com/comments/1jh69jq</t>
  </si>
  <si>
    <t xml:space="preserve">I wish the AI DJ was a bit more customisable. I’m just wondering what everybody else’s thoughts are on this, or if there’s even any suggestions out th</t>
  </si>
  <si>
    <t xml:space="preserve">https://www.reddit.com/comments/1jhzbz5</t>
  </si>
  <si>
    <t xml:space="preserve">Doubts when releasing remastered versions of a song to spotify and distributors. I want to release some songs that have been on bandcamp and youtube b</t>
  </si>
  <si>
    <t xml:space="preserve">https://www.reddit.com/comments/1ji35t2</t>
  </si>
  <si>
    <t xml:space="preserve">Everynoise.com playlists. Do the playlists still get updated? I want to use the playlists for music discovery since Spotify doesn’t suggest new genres</t>
  </si>
  <si>
    <t xml:space="preserve">https://www.reddit.com/comments/1ji8h1l</t>
  </si>
  <si>
    <t xml:space="preserve">Spotify leaning hard into “made for you” for every single playlist, radio, etc ruined it. This has totally broken the app from music discovery to a re</t>
  </si>
  <si>
    <t xml:space="preserve">https://www.reddit.com/comments/1jibpdh</t>
  </si>
  <si>
    <t xml:space="preserve">Discover Weekly turned Thai - I only speak English. I opened my Discover Weekly so I can listen to music while working out, and my whole playlist is j</t>
  </si>
  <si>
    <t xml:space="preserve">https://www.reddit.com/comments/1jj41sx</t>
  </si>
  <si>
    <t xml:space="preserve">Additions for favourite songs by artists that don’t have a Wikipedia page?. I’ve been working on a playlist of best songs by artists that don’t have a</t>
  </si>
  <si>
    <t xml:space="preserve">https://www.reddit.com/comments/1jj4vn0</t>
  </si>
  <si>
    <t xml:space="preserve">Question about removing old interested podcasts. Hello. I listen to a few podcasts using spotify, and one of these **was** *The Office Ladies*, which </t>
  </si>
  <si>
    <t xml:space="preserve">https://www.reddit.com/comments/1jj8v8c</t>
  </si>
  <si>
    <t xml:space="preserve">Recommend a song and I’ll rate it. I love music from all genres, so whatever your favourite song is, let me know and I’ll rate it, might even add it t</t>
  </si>
  <si>
    <t xml:space="preserve">https://www.reddit.com/comments/1jjcxn2</t>
  </si>
  <si>
    <t xml:space="preserve">Why is my discover weekly so weird?. Back in January I stopped paying for premium and moved to Apple Music. But there's something I can't get over: th</t>
  </si>
  <si>
    <t xml:space="preserve">https://www.reddit.com/comments/1jje4oe</t>
  </si>
  <si>
    <t xml:space="preserve">Christian folk bands?. I dig grey havens, national park radio, avi kaplan. This kinda chill folk. Just found the hunts.</t>
  </si>
  <si>
    <t xml:space="preserve">https://www.reddit.com/comments/1jjn5vw</t>
  </si>
  <si>
    <t xml:space="preserve">Ooooookay trying this again lol. Recommend me a song and I’ll add them all to a playlist and share it.. I will rate each song and put said songs in a </t>
  </si>
  <si>
    <t xml:space="preserve">https://www.reddit.com/comments/1jjt4sg</t>
  </si>
  <si>
    <t xml:space="preserve">Spotify Keeps playing automatically when I don't want it to whenever I connect to bluetooth.. Everytime I connect to my car radio, Spotify automatical</t>
  </si>
  <si>
    <t xml:space="preserve">https://www.reddit.com/comments/1jjtc3k</t>
  </si>
  <si>
    <t xml:space="preserve">I need music suggestions from your culture!. Hey all. My workplace is hosting a 1hr long "Culture festival" where members of different cultures are in</t>
  </si>
  <si>
    <t xml:space="preserve">https://www.reddit.com/comments/1jjzq4t</t>
  </si>
  <si>
    <t xml:space="preserve">New music you should listen to!. Hi! I’m Brady! I’m 13, and I’m the lead singer of a pop/rock band called StakHouse. On various posts I’ve been recomm</t>
  </si>
  <si>
    <t xml:space="preserve">https://www.reddit.com/comments/1jk1uik</t>
  </si>
  <si>
    <t xml:space="preserve">Radio playlists/Daily mixes/playlists made by spotify are different from dekstop and mobile.. This is really infuriating because u click on a song on </t>
  </si>
  <si>
    <t xml:space="preserve">https://www.reddit.com/comments/1jkgd7v</t>
  </si>
  <si>
    <t xml:space="preserve">Songs suggestions for my playlist to break my heart. I want to add more songs to my gut-wrenching playlist. anything - Adrianne Lenker not a lot, just</t>
  </si>
  <si>
    <t xml:space="preserve">https://www.reddit.com/comments/1jkgt07</t>
  </si>
  <si>
    <t xml:space="preserve">Why can’t I view/edit my queue when using the DJ. It’s ridiculous. They let you add to the queue but not remove/reorder. And don’t try to give me a lo</t>
  </si>
  <si>
    <t xml:space="preserve">https://www.reddit.com/comments/1jkht1u</t>
  </si>
  <si>
    <t xml:space="preserve">Who is Gianluca Tindo and why am I getting Release Radar playlist "Made for Gianluca Tindo". When this started I did "log out everywhere" and changed </t>
  </si>
  <si>
    <t xml:space="preserve">https://www.reddit.com/comments/1jkmzza</t>
  </si>
  <si>
    <t xml:space="preserve">blocked artist played on my liked songs. today i was just minding my business riding the bus home from school when suddenly i hear kendrick lamar's gr</t>
  </si>
  <si>
    <t xml:space="preserve">https://www.reddit.com/comments/1jknh5v</t>
  </si>
  <si>
    <t xml:space="preserve">Smart Shuffle uninstalls custom songs. I just wanted to see if anyone else had this issue. I install custom/local file tracks and add them to my playl</t>
  </si>
  <si>
    <t xml:space="preserve">https://www.reddit.com/comments/1jku3uf</t>
  </si>
  <si>
    <t xml:space="preserve">Any songs that sound similar to.... Hi! I'm trying to find songs to add to my playlists. But mainly songs that have a buildup and sound desperate. Key</t>
  </si>
  <si>
    <t xml:space="preserve">https://www.reddit.com/comments/1jl0nuu</t>
  </si>
  <si>
    <t xml:space="preserve">What do you mean "Spotify has the best algorithm"???. Does it even have an algorithm? I get the most random songs ever on my start page, that’s why I </t>
  </si>
  <si>
    <t xml:space="preserve">https://www.reddit.com/comments/1jl2cin</t>
  </si>
  <si>
    <t xml:space="preserve">https://www.reddit.com/comments/1jl2fa3</t>
  </si>
  <si>
    <t xml:space="preserve">Recommend Me Some Yacht Rock Classics. BTW, I already made a yacht rock playlist back then. I’m just looking for some more songs in my playlist.</t>
  </si>
  <si>
    <t xml:space="preserve">https://www.reddit.com/comments/1jl561r</t>
  </si>
  <si>
    <t xml:space="preserve">If you guys want to/wish to, listen to this playlist i made.. I made it a while back and i am always adding to it. I thinks its a great playlist, and </t>
  </si>
  <si>
    <t xml:space="preserve">https://www.reddit.com/comments/1jlaujs</t>
  </si>
  <si>
    <t xml:space="preserve">Why isn’t spotifys “this is (artist)” playlist showing up anymore. I always use “this is the ___” playlists automatically made from Spotify to get int</t>
  </si>
  <si>
    <t xml:space="preserve">https://www.reddit.com/comments/1jleecq</t>
  </si>
  <si>
    <t xml:space="preserve">Spotify knows me better than I know myself. How do I get it to find new-old music for me?. I saw someone share a tip to get recommendations: add 3 son</t>
  </si>
  <si>
    <t xml:space="preserve">https://www.reddit.com/comments/1jll8i2</t>
  </si>
  <si>
    <t xml:space="preserve">How to use DJ?. Hey guys, I’ve just recently gotten back to using Spotify and was wondering how to access the AI DJ. I can’t seem to find it anywhere.</t>
  </si>
  <si>
    <t xml:space="preserve">https://www.reddit.com/comments/1jlsmq3</t>
  </si>
  <si>
    <t xml:space="preserve">2025 rock albums?. any suggestions on any rock albums released this year that I should listen to? Any type of rock is okay!</t>
  </si>
  <si>
    <t xml:space="preserve">https://www.reddit.com/comments/1jmj84q</t>
  </si>
  <si>
    <t xml:space="preserve">Shuffle. I'm lucky enough to have both Spotify and Sirius. Gotta say my search for new music is rewarded on Sirius is much more fruitful. I am current</t>
  </si>
  <si>
    <t xml:space="preserve">https://www.reddit.com/comments/1jntc32</t>
  </si>
  <si>
    <t xml:space="preserve">Spotify just brought back the dislike button!. Pretty much title. After what feels like forever and me contemplating switching to Youtube Music multip</t>
  </si>
  <si>
    <t xml:space="preserve">https://www.reddit.com/comments/1jnyndc</t>
  </si>
  <si>
    <t xml:space="preserve">Issue with retroactively creating an email associated with a spotify account. Hi everyone, I am wondering if you can help me because Spotify support i</t>
  </si>
  <si>
    <t xml:space="preserve">https://www.reddit.com/comments/1jo0px9</t>
  </si>
  <si>
    <t xml:space="preserve">Spotify Support/Complaint Megathread. This subreddit is mainly for sharing playlists. Please keep all complaints and support/technical questions withi</t>
  </si>
  <si>
    <t xml:space="preserve">https://www.reddit.com/comments/1joinlb</t>
  </si>
  <si>
    <t xml:space="preserve">why spotify doesn't recommend famous band members under "fans also like". For example: Band Sugarcubes and there's no Bjork in "fans also like" line, </t>
  </si>
  <si>
    <t xml:space="preserve">https://www.reddit.com/comments/1joq6k5</t>
  </si>
  <si>
    <t xml:space="preserve">What is the easiest method to provide free redemption codes at conventions/trade shows?. The codes generated are too long for people to take the time </t>
  </si>
  <si>
    <t xml:space="preserve">https://www.reddit.com/comments/1joxyfm</t>
  </si>
  <si>
    <t xml:space="preserve">“Discover” Interface blank. I just signed up for my Spotify account and bought a premium account in the Philippines, which I've been using for 2 days,</t>
  </si>
  <si>
    <t xml:space="preserve">https://www.reddit.com/comments/1jpds00</t>
  </si>
  <si>
    <t xml:space="preserve">removed songs keep showing up in playlist. i added a bunch of songs from an artist to my playlist and — after having spotify shuffle recommending me t</t>
  </si>
  <si>
    <t xml:space="preserve">https://www.reddit.com/comments/1jpygq3</t>
  </si>
  <si>
    <t xml:space="preserve">Autoplay needs an exorcism. The wildest thing happened to me this morning and I need to share it somewhere. I had just woken up and decided I needed a</t>
  </si>
  <si>
    <t xml:space="preserve">https://www.reddit.com/comments/1jq4hiw</t>
  </si>
  <si>
    <t xml:space="preserve">Playlist Feedback. I got bored of everything.I was listening to so I made a new playlist for new music. Rate my playlist and give me song suggestions.</t>
  </si>
  <si>
    <t xml:space="preserve">https://www.reddit.com/comments/1jqgleb</t>
  </si>
  <si>
    <t xml:space="preserve">Spotify keeps adding songs to queue even after i clear it. (pc app). I just want to listen to one album and then stop once its over but spotify keeps </t>
  </si>
  <si>
    <t xml:space="preserve">https://www.reddit.com/comments/1jqmsf0</t>
  </si>
  <si>
    <t xml:space="preserve">Broken playlist song suggestions. I made a playlist: [ at first I added songs manually, and then the 20 last songs were suggested by spotify, and then</t>
  </si>
  <si>
    <t xml:space="preserve">https://www.reddit.com/comments/1jrfdbw</t>
  </si>
  <si>
    <t xml:space="preserve">Throwback Vibes for Every Mood – Playlists Packed with Classics &amp; Nostalgia!. Hey everyone! I put together a bunch of playlists that are perfect for w</t>
  </si>
  <si>
    <t xml:space="preserve">https://www.reddit.com/comments/1jrirq2</t>
  </si>
  <si>
    <t xml:space="preserve">Looking for songs similar to About You by The 1975. I really love the vibe/mood/lyrics of “About You” by The 1975. Any recommendations for songs or ar</t>
  </si>
  <si>
    <t xml:space="preserve">https://www.reddit.com/comments/1js9zxm</t>
  </si>
  <si>
    <t xml:space="preserve">How to fix my spotify algorithm as quick as possible?. When I work out, I listen to songs that would otherwise annoy the hell out of me. I use a priva</t>
  </si>
  <si>
    <t xml:space="preserve">https://www.reddit.com/comments/1jso9hl</t>
  </si>
  <si>
    <t xml:space="preserve">Discover New and any old songs and artists with this playlist called "My recommendations" . If you play the eclectic songs i'm sure you press like in </t>
  </si>
  <si>
    <t xml:space="preserve">https://www.reddit.com/comments/1jsovzm</t>
  </si>
  <si>
    <t xml:space="preserve">READ - EP - By "B". # “READ” (Say it red) 🩸 Freestyled. Themed. Fully from the shadows. This ain’t your average Halloween gimmick — it’s a **Dracula-t</t>
  </si>
  <si>
    <t xml:space="preserve">https://www.reddit.com/comments/1jt9u2a</t>
  </si>
  <si>
    <t xml:space="preserve">People copying my playlists!. I recently made a post looking for Spotify friends to share music but now I have seen a profile that has copied my exact</t>
  </si>
  <si>
    <t xml:space="preserve">https://www.reddit.com/comments/1ju43nr</t>
  </si>
  <si>
    <t xml:space="preserve">What song is your current top track?. I just want song recommendations bro 😔😔</t>
  </si>
  <si>
    <t xml:space="preserve">https://www.reddit.com/comments/1jubcp0</t>
  </si>
  <si>
    <t xml:space="preserve">Spotify algorithm is cucked. I am trying to change tracks which are in my liked list but unable to do it, Spotify is only suggesting me religious song</t>
  </si>
  <si>
    <t xml:space="preserve">https://www.reddit.com/comments/1jugbmh</t>
  </si>
  <si>
    <t xml:space="preserve">Playlist radio. I know this is a common complaint on here, but I’m genuinely so frustrated about the removal of playlist radio. It used to be the best</t>
  </si>
  <si>
    <t xml:space="preserve">https://www.reddit.com/comments/1juizqp</t>
  </si>
  <si>
    <t xml:space="preserve">Dear Spotify AI DJ…. The artists I like have more than 4 songs. Thanks.</t>
  </si>
  <si>
    <t xml:space="preserve">https://www.reddit.com/comments/1juj5ip</t>
  </si>
  <si>
    <t xml:space="preserve">Dude, what is happening?. Randomly tonight my recent playlists aren't showing, and my discovery weekly doesn't exist anymore and neither do my daily m</t>
  </si>
  <si>
    <t xml:space="preserve">https://www.reddit.com/comments/1jv1brg</t>
  </si>
  <si>
    <t xml:space="preserve">Spotify is at work again. I just got pissed right now. I can't manually chose which song I want to start from. Even when I open the song from the sear</t>
  </si>
  <si>
    <t xml:space="preserve">https://www.reddit.com/comments/1jv5eh4</t>
  </si>
  <si>
    <t xml:space="preserve">how can i stop this random autoplay queue setting. i didnt add anything in queue. it added songs by itself and i also tried turning off the autoplay o</t>
  </si>
  <si>
    <t xml:space="preserve">https://www.reddit.com/comments/1jv5l8i</t>
  </si>
  <si>
    <t xml:space="preserve">Does spotify ever actually choose random songs?. I mainly listen to a single artist at a time so i just find their account and play from there, but i </t>
  </si>
  <si>
    <t xml:space="preserve">https://www.reddit.com/comments/1jve8rq</t>
  </si>
  <si>
    <t xml:space="preserve">I'm thinking about creating a playlist of cover songs performed by bands and singers tentatively called "Memory Loss." Suggestions appreciated!.</t>
  </si>
  <si>
    <t xml:space="preserve">https://www.reddit.com/comments/1jvpmls</t>
  </si>
  <si>
    <t xml:space="preserve">heyyy i made a playlist with my favorite energetic &amp; sexy tunes. most of it isn’t mainstream, lots of hidden gems with crazy sound design and tracks i</t>
  </si>
  <si>
    <t xml:space="preserve">https://www.reddit.com/comments/1jw87zd</t>
  </si>
  <si>
    <t xml:space="preserve">Spotify used to play recommended songs after one track, but now it just repeats the same song — has something changed?. Yesterday, I was able to play </t>
  </si>
  <si>
    <t xml:space="preserve">https://www.reddit.com/comments/1jwba48</t>
  </si>
  <si>
    <t xml:space="preserve">Hit me with a good tune off today’s Release Radar. This is on mine</t>
  </si>
  <si>
    <t xml:space="preserve">https://www.reddit.com/comments/1jwlort</t>
  </si>
  <si>
    <t xml:space="preserve">Release Radar frozen in time?. My release radar feels like it’s frozen in time. Every single week I check and none of the artists I listen to are incl</t>
  </si>
  <si>
    <t xml:space="preserve">https://www.reddit.com/comments/1jww3c0</t>
  </si>
  <si>
    <t xml:space="preserve">Any recommendations?.</t>
  </si>
  <si>
    <t xml:space="preserve">https://www.reddit.com/comments/1jx35i9</t>
  </si>
  <si>
    <t xml:space="preserve">Why is smart shuffle so bad?. It has to be the WORST feature because it literally doesn't even shuffle your songs, it plays the same order of songs wa</t>
  </si>
  <si>
    <t xml:space="preserve">https://www.reddit.com/comments/1jxg5ih</t>
  </si>
  <si>
    <t xml:space="preserve">just made an experimental rap playlist, any recs?. lmk of any album or single recommendations as its mostly albums atm (individual songs take too long</t>
  </si>
  <si>
    <t xml:space="preserve">https://www.reddit.com/comments/1jxvv12</t>
  </si>
  <si>
    <t xml:space="preserve">Spotify’s search algorithm is absolutely horrendous. It somehow got less intelligent over the years.</t>
  </si>
  <si>
    <t xml:space="preserve">https://www.reddit.com/comments/1jy509b</t>
  </si>
  <si>
    <t xml:space="preserve">Recommendations welcome.</t>
  </si>
  <si>
    <t xml:space="preserve">https://www.reddit.com/comments/1jymsav</t>
  </si>
  <si>
    <t xml:space="preserve">SONG RECOMMENDATIONS NEEDED!!!. Does anyone know any similar sounding/themed songs similar to “still with you” by Jung Kook??!! I’m in need of a playl</t>
  </si>
  <si>
    <t xml:space="preserve">https://www.reddit.com/comments/1jzfe38</t>
  </si>
  <si>
    <t xml:space="preserve">AI curated playlists. I’ve always enjoyed Spotify’s curated playlist because there was something special about how each song flowed into the next, lik</t>
  </si>
  <si>
    <t xml:space="preserve">https://www.reddit.com/comments/1jzpyhj</t>
  </si>
  <si>
    <t xml:space="preserve">Need some new playlists / recommendations for shoegaze music. I've recently been obsessed with the shoegaze genre of music, but I've exhausted all the</t>
  </si>
  <si>
    <t xml:space="preserve">https://www.reddit.com/comments/1jzvhtj</t>
  </si>
  <si>
    <t xml:space="preserve">Spotify Pay to Play?. Maybe it's just me, but no matter what playlist/song/album aIm listening to it will always go to Hamilton Leithauser. Now I like</t>
  </si>
  <si>
    <t xml:space="preserve">https://www.reddit.com/comments/1k056xf</t>
  </si>
  <si>
    <t xml:space="preserve">Need song recs. i am currently listening to, i hope this helps 1. no one noticed 2. Sienna 3. best part 4. dancing with a stranger 5. bound 2 6. passi</t>
  </si>
  <si>
    <t xml:space="preserve">https://www.reddit.com/comments/1k0kunm</t>
  </si>
  <si>
    <t xml:space="preserve">Spotify replacements you can use until it gets back up.. I would recommend Pandora,Tidal,Amazon Music or YouTube music</t>
  </si>
  <si>
    <t xml:space="preserve">https://www.reddit.com/comments/1k0nigg</t>
  </si>
  <si>
    <t xml:space="preserve">Is the spotify AI dj ever coming to all countries?. Been wanting to check that out for sometime.</t>
  </si>
  <si>
    <t xml:space="preserve">https://www.reddit.com/comments/1k0r65j</t>
  </si>
  <si>
    <t xml:space="preserve">Is the spotify AI dj ever coming to other countries?. Been wanting to try it out for some time</t>
  </si>
  <si>
    <t xml:space="preserve">https://www.reddit.com/comments/1k0rzx2</t>
  </si>
  <si>
    <t xml:space="preserve">Moved to AM because I’m sick of Spotify’s suggestions. I found that over the last few years I’ve not been able to move from Spotify due to recommendat</t>
  </si>
  <si>
    <t xml:space="preserve">https://www.reddit.com/comments/1k19ahk</t>
  </si>
  <si>
    <t xml:space="preserve">What songs do you want played at your funeral and why? I'll make a playlist of all the (serious) suggestions.. I'm not dying, not that I know of anywa</t>
  </si>
  <si>
    <t xml:space="preserve">https://www.reddit.com/comments/1k1gmde</t>
  </si>
  <si>
    <t xml:space="preserve">Anyone else in the "top 10%" of DJ users?. Just wondering as I have always really loved the DJ feature. In my opinion, the people that complain about </t>
  </si>
  <si>
    <t xml:space="preserve">https://www.reddit.com/comments/1k1ulx7</t>
  </si>
  <si>
    <t xml:space="preserve">Need song recommendations based on this playlist. [deleted]</t>
  </si>
  <si>
    <t xml:space="preserve">https://www.reddit.com/comments/1k2d801</t>
  </si>
  <si>
    <t xml:space="preserve">So I broke up with my girlfriend yesterday. And my Spotify recommended this I'm laughing my ass off over ts</t>
  </si>
  <si>
    <t xml:space="preserve">https://www.reddit.com/comments/1k2xwpi</t>
  </si>
  <si>
    <t xml:space="preserve">Corny Discover week. This week my Discover Weekly was all super cheesy love songs for some reason. I get a lot of songs are about love but come on, I </t>
  </si>
  <si>
    <t xml:space="preserve">https://www.reddit.com/comments/1k34hlf</t>
  </si>
  <si>
    <t xml:space="preserve">Suggestions after searches. Did anyone else’s spotify stop playing suggested songs after the song you search finishes? It just loops the song now for </t>
  </si>
  <si>
    <t xml:space="preserve">https://www.reddit.com/comments/1k3e2r5</t>
  </si>
  <si>
    <t xml:space="preserve">It's Easter, so the theme is bleeding. Do you guys have any suggestions? [</t>
  </si>
  <si>
    <t xml:space="preserve">https://www.reddit.com/comments/1k3heuh</t>
  </si>
  <si>
    <t xml:space="preserve">Recommended tracks vs Daylist vs song/album radio vs smart shuffle vs AI DJ: do they all use the same algorithm?. I don’t know much about Spotify’s sy</t>
  </si>
  <si>
    <t xml:space="preserve">https://www.reddit.com/comments/1k3wvtj</t>
  </si>
  <si>
    <t xml:space="preserve">Why is shuffle still absolute garbage?. Seriously, it's been years now that we, the Spotify community, have been begging for a shuffle that does not p</t>
  </si>
  <si>
    <t xml:space="preserve">https://www.reddit.com/comments/1k4izqe</t>
  </si>
  <si>
    <t xml:space="preserve">Need reggae songs like this.. Looking for songs that have a similar vibe to "Pass The Dutchie" by Musical Youth. Recommendations and playlists are wel</t>
  </si>
  <si>
    <t xml:space="preserve">https://www.reddit.com/comments/1k4s4t8</t>
  </si>
  <si>
    <t xml:space="preserve">Idea for a new setting, "time-out". You've heard of "Don't play this artist", essentially blocking artists on Spotify from ever being suggested to you</t>
  </si>
  <si>
    <t xml:space="preserve">https://www.reddit.com/comments/1k548gw</t>
  </si>
  <si>
    <t xml:space="preserve">Sick of 'Made for you' playlists. Is anybody else absolutely hating that majority of playlists are now 'made for you'? I'm not talking about song radi</t>
  </si>
  <si>
    <t xml:space="preserve">https://www.reddit.com/comments/1k5aui2</t>
  </si>
  <si>
    <t xml:space="preserve">Song recs for playlist. Soooo… I want to add more songs to this playlist with the same vibe to get me through the day at work 👀 help a girl out!!</t>
  </si>
  <si>
    <t xml:space="preserve">https://www.reddit.com/comments/1k5gpc6</t>
  </si>
  <si>
    <t xml:space="preserve">Skibidi toilet mix. Looked up "skibidi toilet mix" out of pure boredom and this popped up, this shit is made for you too meaning that it isn't user ge</t>
  </si>
  <si>
    <t xml:space="preserve">https://www.reddit.com/comments/1k5mxxs</t>
  </si>
  <si>
    <t xml:space="preserve">I used to hate a lot on Spotify, but without actually never having used Premium I was wrong. Just got Premium today.. Spotify free is the one that's k</t>
  </si>
  <si>
    <t xml:space="preserve">https://www.reddit.com/comments/1k5t9c3</t>
  </si>
  <si>
    <t xml:space="preserve">Spotify Radio. As someone who loves endless personalized radio—like the seamless flow on Deezer or Apple Music’s name-based radio stations—I can't hel</t>
  </si>
  <si>
    <t xml:space="preserve">https://www.reddit.com/comments/1k5tn2g</t>
  </si>
  <si>
    <t xml:space="preserve">Suggestions welcome❤️.</t>
  </si>
  <si>
    <t xml:space="preserve">https://www.reddit.com/comments/1k61m5z</t>
  </si>
  <si>
    <t xml:space="preserve">Algorithm Changes based on Device?. This might be a dumb question/assessment, but is the algorithm dependent on model of device? I always knew the PC </t>
  </si>
  <si>
    <t xml:space="preserve">https://www.reddit.com/comments/1k63k1g</t>
  </si>
  <si>
    <t xml:space="preserve">The suggested songs list when clicking “add” in a playlist is a lot better than recommended songs at bottom?. Does anyone know what the suggested song</t>
  </si>
  <si>
    <t xml:space="preserve">https://www.reddit.com/comments/1k6k9br</t>
  </si>
  <si>
    <t xml:space="preserve">90s &amp; Mid-2000s Throwback Mix (feel free to recommend major hits that I missed).</t>
  </si>
  <si>
    <t xml:space="preserve">https://www.reddit.com/comments/1k6uwfi</t>
  </si>
  <si>
    <t xml:space="preserve">Top 5 tools to block Spotify Ads for a seamless workday. I am someone who spends long hours in the office. And for me, having uninterrupted music is n</t>
  </si>
  <si>
    <t xml:space="preserve">https://www.reddit.com/comments/1k6xz8d</t>
  </si>
  <si>
    <t xml:space="preserve">I want new music. I love to listen to albums all the way through and play them on repeat until my ears fall off but I need some new album recommendati</t>
  </si>
  <si>
    <t xml:space="preserve">https://www.reddit.com/comments/1k72rrn</t>
  </si>
  <si>
    <t xml:space="preserve">AI DJ. Yo it's actually fire now I like how it starts the song at the chorus. Idk if it did that before</t>
  </si>
  <si>
    <t xml:space="preserve">https://www.reddit.com/comments/1k7ds7p</t>
  </si>
  <si>
    <t xml:space="preserve">Did they fix smart shuffle?. Basically, about a year ago I switched from Spotify which I had been using for four years to Apple Music because the "sma</t>
  </si>
  <si>
    <t xml:space="preserve">https://www.reddit.com/comments/1k7m3rx</t>
  </si>
  <si>
    <t xml:space="preserve">So 1000 is the limit. Had to start a new playlist!! Spotify called it #13!! Cool too when u click on the Add button; u will get new suggestions!! Neat</t>
  </si>
  <si>
    <t xml:space="preserve">https://www.reddit.com/comments/1k7nous</t>
  </si>
  <si>
    <t xml:space="preserve">Ads in Premium?. From the about recommendations button, "In some cases, commercial considerations may influence our recommendations (...)" Playlists I</t>
  </si>
  <si>
    <t xml:space="preserve">https://www.reddit.com/comments/1k7q5ss</t>
  </si>
  <si>
    <t xml:space="preserve">please can someone tell me how to turn off suggested songs. my playlist has 35 songs in it and i have autoplay turned off on the settings btw i don’t </t>
  </si>
  <si>
    <t xml:space="preserve">https://www.reddit.com/comments/1k86fqb</t>
  </si>
  <si>
    <t xml:space="preserve">Downloads not starting?. Hey there... For two days I've hit the same problem repeatedly... Downloads of albums and podcasts episodes stay stuck at zer</t>
  </si>
  <si>
    <t xml:space="preserve">https://www.reddit.com/comments/1k89e8d</t>
  </si>
  <si>
    <t xml:space="preserve">95+ Hours Long. There’s a mix of alternative subgenres in it, the further down you go the heavier it gets! This has been nine years in the making and </t>
  </si>
  <si>
    <t xml:space="preserve">https://www.reddit.com/comments/1k8cdmx</t>
  </si>
  <si>
    <t xml:space="preserve">Release Radar flooded with AI music?. [removed]</t>
  </si>
  <si>
    <t xml:space="preserve">https://www.reddit.com/comments/1k8gq1z</t>
  </si>
  <si>
    <t xml:space="preserve">New Phone, New Algorithm selection. Call me crazy, but I have upgraded from a Samsung Galaxy Note 10 plus to a Samsung Galaxy Note 20 5G ultra and now</t>
  </si>
  <si>
    <t xml:space="preserve">https://www.reddit.com/comments/1k8itkl</t>
  </si>
  <si>
    <t xml:space="preserve">You can now remove Smart Shuffle!. Finally</t>
  </si>
  <si>
    <t xml:space="preserve">https://www.reddit.com/comments/1k9n1oe</t>
  </si>
  <si>
    <t xml:space="preserve">Is there any way to give the Spotify algorithm feedback on the Discover Weekly playlist?. Some weeks, the algorithm will present me with an absolute b</t>
  </si>
  <si>
    <t xml:space="preserve">https://www.reddit.com/comments/1k9r4rl</t>
  </si>
  <si>
    <t xml:space="preserve">Radio Vs Mix?. What’s the difference between an artist radio and an artist mix? They both seem to feature similar songs to me and so I was wondering i</t>
  </si>
  <si>
    <t xml:space="preserve">https://www.reddit.com/comments/1k9rz65</t>
  </si>
  <si>
    <t xml:space="preserve">Is this common? I found an "artist" on Spotify who stole an album, renamed all the songs and pitch shifted them.. I noticed that an artist was being r</t>
  </si>
  <si>
    <t xml:space="preserve">https://www.reddit.com/comments/1k9ssqo</t>
  </si>
  <si>
    <t xml:space="preserve">Last Week's Discover Weekly was completely bizarre. I love checking my Discover Weekly Monday mornings. There's typically only a couple songs that I w</t>
  </si>
  <si>
    <t xml:space="preserve">https://www.reddit.com/comments/1k9twoz</t>
  </si>
  <si>
    <t xml:space="preserve">Any suggestions for this playlist?.</t>
  </si>
  <si>
    <t xml:space="preserve">https://www.reddit.com/comments/1k9ypmw</t>
  </si>
  <si>
    <t xml:space="preserve">Spotify Support Refuses to Let Me Add Daughter Back to Family Plan - Cites Undefined "Automatic Protection". Just had an incredibly frustrating \~2-ho</t>
  </si>
  <si>
    <t xml:space="preserve">https://www.reddit.com/comments/1ka6s15</t>
  </si>
  <si>
    <t xml:space="preserve">Recently Played section not updating. Hey guys, I think it’s been about 2–3 weeks (maybe even more) since my profile artists have updated - neither my</t>
  </si>
  <si>
    <t xml:space="preserve">https://www.reddit.com/comments/1ka8r0u</t>
  </si>
  <si>
    <t xml:space="preserve">Spotify randomly pausing?. My Spotify keeps randomly pausing after 20-30 seconds. I’ve uninstalled and reinstalled the app on my phone switched Blueto</t>
  </si>
  <si>
    <t xml:space="preserve">https://www.reddit.com/comments/1kaddvd</t>
  </si>
  <si>
    <t xml:space="preserve">New Music Recommendations. Very briefly about a week ago I came across a page that had a ton of new music recommendations including upcoming albums by</t>
  </si>
  <si>
    <t xml:space="preserve">https://www.reddit.com/comments/1kb1f7e</t>
  </si>
  <si>
    <t xml:space="preserve">Help with any recommendations from a playlist I made! Same vibe. Hiiii i recently made a playlist, mainly low fi or daytime subbed vibes electronic bu</t>
  </si>
  <si>
    <t xml:space="preserve">https://www.reddit.com/comments/1kbdt9r</t>
  </si>
  <si>
    <t xml:space="preserve">Disqo — The social network for music.. What started off as a way to share music with my friends and get their recommendations has turned into more of </t>
  </si>
  <si>
    <t xml:space="preserve">https://www.reddit.com/comments/1kbq9j0</t>
  </si>
  <si>
    <t xml:space="preserve">My Similar playlists section is missing :(. At the bottom of every playlist,i used to get few suggestions of what i might also like ( similar playlist</t>
  </si>
  <si>
    <t xml:space="preserve">https://www.reddit.com/comments/1kbqq0h</t>
  </si>
  <si>
    <t xml:space="preserve">Spotify starts playing Joe Rogan’s podcast randomly (I have never purposefully listened to it). Does anyone else have this happen? I don’t listen to t</t>
  </si>
  <si>
    <t xml:space="preserve">https://www.reddit.com/comments/1kbr99x</t>
  </si>
  <si>
    <t xml:space="preserve">Spotify suddenly playing random songs?. I dont have premium and I'm using the mobile app so I'm used to having it play random songs when I try to list</t>
  </si>
  <si>
    <t xml:space="preserve">https://www.reddit.com/comments/1kcwnqv</t>
  </si>
  <si>
    <t xml:space="preserve">Feels like you’re in a movie. Mostly old songs that bring back so many memories and/ or from movies. If you have any recommendation too, don’t be shy </t>
  </si>
  <si>
    <t xml:space="preserve">https://www.reddit.com/comments/1kd0szv</t>
  </si>
  <si>
    <t xml:space="preserve">Why did the ai dj start playing popular recent releases?. [removed]</t>
  </si>
  <si>
    <t xml:space="preserve">https://www.reddit.com/comments/1kdj2bf</t>
  </si>
  <si>
    <t xml:space="preserve">WHY DO RECOMMENDED SONGS KEEP PLAYING!!!. [removed]</t>
  </si>
  <si>
    <t xml:space="preserve">https://www.reddit.com/comments/1kdjkl0</t>
  </si>
  <si>
    <t xml:space="preserve">Spotify Alternative?. Not sure if anyone else feels this, but lately Spotify’s algorithm just feels... stale. Same vibes, same artists, ai generated p</t>
  </si>
  <si>
    <t xml:space="preserve">https://www.reddit.com/comments/1kdlbph</t>
  </si>
  <si>
    <t xml:space="preserve">Spotify almost exclusively recommends the same 90s alternative rock in my playlists. This is extremely annoying. Yeah I listen to a lot of 90s rock an</t>
  </si>
  <si>
    <t xml:space="preserve">https://www.reddit.com/comments/1kdq1l3</t>
  </si>
  <si>
    <t xml:space="preserve">Anyone want a fun indie pop/rock playlist? Lots of jazz, psych, classical, folk, and mathrock sounds :D Nothing heavy, lots of whimsy! Still growing a</t>
  </si>
  <si>
    <t xml:space="preserve">https://www.reddit.com/comments/1keu2ww</t>
  </si>
  <si>
    <t xml:space="preserve">Discover Weekly showing the same songs and patterns since 2019. I cant stand this anymore. Hi. Despite reporting the issue to Spotify in 2019, my Disc</t>
  </si>
  <si>
    <t xml:space="preserve">https://www.reddit.com/comments/1kfa7qo</t>
  </si>
  <si>
    <t xml:space="preserve">Spotify now suppressing ambient music on Release Radar. My newest ambient track wasn't featured on Release Radar despite being submitted with ample ti</t>
  </si>
  <si>
    <t xml:space="preserve">https://www.reddit.com/comments/1kfez93</t>
  </si>
  <si>
    <t xml:space="preserve">Discover Weekly. My Discover Weekly didn’t refresh this week. Did that happen to anyone else? Also, I like collecting discover weeklys, so share yours</t>
  </si>
  <si>
    <t xml:space="preserve">https://www.reddit.com/comments/1kfgw87</t>
  </si>
  <si>
    <t xml:space="preserve">No Smart Shuffle Anymore?.</t>
  </si>
  <si>
    <t xml:space="preserve">https://www.reddit.com/comments/1kfs8kl</t>
  </si>
  <si>
    <t xml:space="preserve">Anything else I should enable/disable for automix to be OFF for real?. I have automix turned Off on my phone and sometimes it behaves like it's On Cas</t>
  </si>
  <si>
    <t xml:space="preserve">https://www.reddit.com/comments/1kfyneh</t>
  </si>
  <si>
    <t xml:space="preserve">Songs similar to?. I just found and LOVEEE THIS I like the funky ethnic vibes with the singing in the back and am hoping to find more like this. I tri</t>
  </si>
  <si>
    <t xml:space="preserve">https://www.reddit.com/comments/1kgb28g</t>
  </si>
  <si>
    <t xml:space="preserve">Podcast deleted from Spotify for “unauthorized use” - any chance of reversal, or recovering the RSS feed?. I’ve been making an educational/comedy podc</t>
  </si>
  <si>
    <t xml:space="preserve">https://www.reddit.com/comments/1kgl0vj</t>
  </si>
  <si>
    <t xml:space="preserve">Spotify. Why does Spotify play songs that clearly aren't on my playlist and there is no recommended or (song that we added) it just plays them and I d</t>
  </si>
  <si>
    <t xml:space="preserve">https://www.reddit.com/comments/1kgps79</t>
  </si>
  <si>
    <t xml:space="preserve">I literally just got Spotify and it's trying to make me listen to pornography ASMR I'm a devout Muslim I'm not ok with this. Can't tell me it's based </t>
  </si>
  <si>
    <t xml:space="preserve">https://www.reddit.com/comments/1kgtxbl</t>
  </si>
  <si>
    <t xml:space="preserve">Remove For You Playlists. Every radio you create is the same. Every playlist generated by Spotify is the same. We have our own playlists we don’t need</t>
  </si>
  <si>
    <t xml:space="preserve">https://www.reddit.com/comments/1kh01mj</t>
  </si>
  <si>
    <t xml:space="preserve">Why did my DJ just say this?. Clicked Spotify DJ as I do most days and he said “here’s a couple songs that’s really gonna rattle your balls! check it </t>
  </si>
  <si>
    <t xml:space="preserve">https://www.reddit.com/comments/1kh34vk</t>
  </si>
  <si>
    <t xml:space="preserve">Royalty Family. Dear Spotify Stop recommending this trash to me. Thanks</t>
  </si>
  <si>
    <t xml:space="preserve">https://www.reddit.com/comments/1kh5ig5</t>
  </si>
  <si>
    <t xml:space="preserve">Making a playlist for a shark tank. (Read desc). For those who don't know, a shark tank is where you fight against multiple people in a row. I'm doing</t>
  </si>
  <si>
    <t xml:space="preserve">https://www.reddit.com/comments/1kh9h9w</t>
  </si>
  <si>
    <t xml:space="preserve">Which do you prefer? DJ or Daylist?. Me personally, I prefer the daylist over DJ. The daylist is better for song discovery in my opinion. I love how i</t>
  </si>
  <si>
    <t xml:space="preserve">https://www.reddit.com/comments/1kho4xn</t>
  </si>
  <si>
    <t xml:space="preserve">Daylist of classic 70s artists such as Fatboy Slim, Stereo MCs and Alice Deejay. What the hell is wrong with my Spotify. I try to use daylist to switc</t>
  </si>
  <si>
    <t xml:space="preserve">https://www.reddit.com/comments/1khvmpq</t>
  </si>
  <si>
    <t xml:space="preserve">How to fix Spotify recommendations?. Spotify sometimes makes me a few playlists that are made for me, but they always contain artists that i don’t act</t>
  </si>
  <si>
    <t xml:space="preserve">https://www.reddit.com/comments/1kiqbpp</t>
  </si>
  <si>
    <t xml:space="preserve">Enoesis Igniflux. ENOESIS – IGNIFLUX The Resonance of Awakening This is not just a playlist. It’s a journey—a story told through resonance. Every song</t>
  </si>
  <si>
    <t xml:space="preserve">https://www.reddit.com/comments/1kjdhwg</t>
  </si>
  <si>
    <t xml:space="preserve">Secretly discourage Spotify from playing certain artists?. I work with someone who plays one band's "radio" on Spotify at least once a week. Whenever </t>
  </si>
  <si>
    <t xml:space="preserve">https://www.reddit.com/comments/1kjeiue</t>
  </si>
  <si>
    <t xml:space="preserve">Is there a way to exclude certain music from your algorithms?. I like to listen to rain sounds and ambient sounds when I’m going to sleep and I like t</t>
  </si>
  <si>
    <t xml:space="preserve">https://www.reddit.com/comments/1kjozhi</t>
  </si>
  <si>
    <t xml:space="preserve">I want to get into salsa and tango, what do you recommend?.</t>
  </si>
  <si>
    <t xml:space="preserve">https://www.reddit.com/comments/1kjqkkx</t>
  </si>
  <si>
    <t xml:space="preserve">What song did you hear in the recommended songs, you listened to it and thought it was incredible?.</t>
  </si>
  <si>
    <t xml:space="preserve">https://www.reddit.com/comments/1kjrgt1</t>
  </si>
  <si>
    <t xml:space="preserve">FYI - you can disable smart shuffle on the app permanently now. Don’t know when they added it but it shows up in playback settings</t>
  </si>
  <si>
    <t xml:space="preserve">https://www.reddit.com/comments/1kjv7cg</t>
  </si>
  <si>
    <t xml:space="preserve">Is there a way to create a Pandora-like radio station that doesn’t become a playlist that just repeats the same 50 (?) songs and keeps bringing up dif</t>
  </si>
  <si>
    <t xml:space="preserve">https://www.reddit.com/comments/1kk0dhx</t>
  </si>
  <si>
    <t xml:space="preserve">Please recommend songs for this playlist. Can you recommend songs that fit the vibes or are similar to the songs in this playlist? [</t>
  </si>
  <si>
    <t xml:space="preserve">https://www.reddit.com/comments/1kkd50y</t>
  </si>
  <si>
    <t xml:space="preserve">Spotify AI DJ. Is there any methotd to use AI DJ in Europe (Poland) i have premium family plan and want to try this feature. Maybe there are some thir</t>
  </si>
  <si>
    <t xml:space="preserve">https://www.reddit.com/comments/1kknov5</t>
  </si>
  <si>
    <t xml:space="preserve">DJ kinda messed up?. recent update seems f'd up their AI DJ. Is it just me or anyone else experiencing the same thing? DJ mentioned playing Sound of S</t>
  </si>
  <si>
    <t xml:space="preserve">https://www.reddit.com/comments/1kkpk5w</t>
  </si>
  <si>
    <t xml:space="preserve">Jazz &amp; Fizz: The Golden Sound of Vocal Jazz. Hello everyone, I created a playlist designed for the early hours, when you want to relax with a glass in</t>
  </si>
  <si>
    <t xml:space="preserve">https://www.reddit.com/comments/1kksw6a</t>
  </si>
  <si>
    <t xml:space="preserve">Smart shuffle is the worst feature. Just as the title says. Smart shuffle is horrible, it enables itself all of the time even if i did not have shuffl</t>
  </si>
  <si>
    <t xml:space="preserve">https://www.reddit.com/comments/1kkych2</t>
  </si>
  <si>
    <t xml:space="preserve">Poor quality sound. can you help me understand and fix my Spotify issue? I have enabled all high settings in my Spotify to play high and very high qua</t>
  </si>
  <si>
    <t xml:space="preserve">https://www.reddit.com/comments/1klhjws</t>
  </si>
  <si>
    <t xml:space="preserve">DJ X now takes requests using voice.</t>
  </si>
  <si>
    <t xml:space="preserve">https://www.reddit.com/comments/1klls4t</t>
  </si>
  <si>
    <t xml:space="preserve">AI playlist could be better and more specific. The idea of an ai generating a playlist for you could be used better than just being another algorithm </t>
  </si>
  <si>
    <t xml:space="preserve">https://www.reddit.com/comments/1kludvk</t>
  </si>
  <si>
    <t xml:space="preserve">https://www.reddit.com/comments/1kluzlh</t>
  </si>
  <si>
    <t xml:space="preserve">favorite songs with less than 50k streams. Yo, looking for songs that have less than 50k streams! I always dig finding music that’s under the radar an</t>
  </si>
  <si>
    <t xml:space="preserve">https://www.reddit.com/comments/1klymwv</t>
  </si>
  <si>
    <t xml:space="preserve">If but When: Rock Band with 7 Monthly Listeners. A coworker of a family member of a friend knew this band called If but When. They never really took o</t>
  </si>
  <si>
    <t xml:space="preserve">https://www.reddit.com/comments/1km0lia</t>
  </si>
  <si>
    <t xml:space="preserve">Looking to expand my music taste would love any sort of playlists/artists or suggestions!.</t>
  </si>
  <si>
    <t xml:space="preserve">https://www.reddit.com/comments/1km7x84</t>
  </si>
  <si>
    <t xml:space="preserve">Release radar songs jump around. Hello, Why does the songs in release radar jump around a few times a day? I find it hard to know when I have listened</t>
  </si>
  <si>
    <t xml:space="preserve">https://www.reddit.com/comments/1kmcn54</t>
  </si>
  <si>
    <t xml:space="preserve">Spotify DJ Update I’ve never noticed. I just opened Spotify this morning to a pleasant surprise. I use Spotify DJ every day, mostly in the mornings. T</t>
  </si>
  <si>
    <t xml:space="preserve">https://www.reddit.com/comments/1kmdbds</t>
  </si>
  <si>
    <t xml:space="preserve">Platforms that autoplay short song previews?. I'd like to discover songs faster and would love if there's a way for that guys i only know shazam but i</t>
  </si>
  <si>
    <t xml:space="preserve">https://www.reddit.com/comments/1kmdztp</t>
  </si>
  <si>
    <t xml:space="preserve">Sister, mother, father songs. I want your suggested songs for any member of a family (father, mother, sister), since I have no brother, I don’t look f</t>
  </si>
  <si>
    <t xml:space="preserve">https://www.reddit.com/comments/1kmjnll</t>
  </si>
  <si>
    <t xml:space="preserve">What the hell is up with the spotify app updates?. This is a bit of a rant, bit of a consensus to see what other people think. Also is it just an iPho</t>
  </si>
  <si>
    <t xml:space="preserve">https://www.reddit.com/comments/1kmtm5d</t>
  </si>
  <si>
    <t xml:space="preserve">Give me the sad stuff. Hit me in the feelings.. This post is a bit different. I’ve put together something for you to listen to, if you’re willing. I r</t>
  </si>
  <si>
    <t xml:space="preserve">https://www.reddit.com/comments/1kn6pku</t>
  </si>
  <si>
    <t xml:space="preserve">Underground artists. Playlists or artist recs for artists like hozier but that are underground and give a hipster/colorado vibe if you know what I mea</t>
  </si>
  <si>
    <t xml:space="preserve">https://www.reddit.com/comments/1knd7mp</t>
  </si>
  <si>
    <t xml:space="preserve">“Radio” does not mean “playlist”. IMO and from other services, if you’re going to call something radio that means it should keep streaming until you t</t>
  </si>
  <si>
    <t xml:space="preserve">https://www.reddit.com/comments/1knd8ou</t>
  </si>
  <si>
    <t xml:space="preserve">Hi all! Here is a Spotify playlist I made for songs by artists from the Pacific Northwest, if I missed any or you all have any suggestions please feel</t>
  </si>
  <si>
    <t xml:space="preserve">https://www.reddit.com/comments/1kndzg2</t>
  </si>
  <si>
    <t xml:space="preserve">As someone who has used Spotify premium for over a decade, I hate it. Alternatives?. I am done. I don’t know what Spotify has done to an app that has </t>
  </si>
  <si>
    <t xml:space="preserve">https://www.reddit.com/comments/1kngd5a</t>
  </si>
  <si>
    <t xml:space="preserve">Easiest Way to Export and Transfer Your Liked Songs or Playlists. Step 1: Export Your Liked Songs or Playlist 1. Visit ( 2. Log in using your Spotify </t>
  </si>
  <si>
    <t xml:space="preserve">https://www.reddit.com/comments/1knhpb7</t>
  </si>
  <si>
    <t xml:space="preserve">Just FYI: Recommendations is rigged.</t>
  </si>
  <si>
    <t xml:space="preserve">https://www.reddit.com/comments/1knmcu7</t>
  </si>
  <si>
    <t xml:space="preserve">What are some songs like best friend by tex orange county, looking out for you by joy again. If u wouldn't mind please recommend one with a male artis</t>
  </si>
  <si>
    <t xml:space="preserve">https://www.reddit.com/comments/1knqryl</t>
  </si>
  <si>
    <t xml:space="preserve">Spotify Discover Weekly changing multiple times in 2 days, is this normal?. Hey everyone, I just reopened a Spotify account less than a week ago, and </t>
  </si>
  <si>
    <t xml:space="preserve">https://www.reddit.com/comments/1knwyk1</t>
  </si>
  <si>
    <t xml:space="preserve">music. why has spotify suddenly gone weird? When playing searched song you the playing recommended tracks but now if you go back a song you go back to</t>
  </si>
  <si>
    <t xml:space="preserve">https://www.reddit.com/comments/1ko6rp8</t>
  </si>
  <si>
    <t xml:space="preserve">Why are recommended songs being forced onto my playlists, even if I do not want to listen to said songs and explicitly try to remove them?. As of yest</t>
  </si>
  <si>
    <t xml:space="preserve">https://www.reddit.com/comments/1ko8uz0</t>
  </si>
  <si>
    <t xml:space="preserve">Made for you playlist help.. Is there a way of seeing every single playlist Spotify has ever made for me. I go into the made for you section and its j</t>
  </si>
  <si>
    <t xml:space="preserve">https://www.reddit.com/comments/1kopivt</t>
  </si>
  <si>
    <t xml:space="preserve">Bug with filtering genre in Discover Weekly mix tap. This happen when filtering certain genre only. Anyone had this issue before?</t>
  </si>
  <si>
    <t xml:space="preserve">https://www.reddit.com/comments/1korsw6</t>
  </si>
  <si>
    <t xml:space="preserve">All songs became unavailable. I can’t play anything, the only ability to play smth is turn off hiding of unavailable songs and tap on recommended, whi</t>
  </si>
  <si>
    <t xml:space="preserve">https://www.reddit.com/comments/1kox0rp</t>
  </si>
  <si>
    <t xml:space="preserve">For the people who uses 'X' on Spotify - did it also get sassy with you today ?. Spotify recently had an update I guess where you can request a song o</t>
  </si>
  <si>
    <t xml:space="preserve">https://www.reddit.com/comments/1kp1m7q</t>
  </si>
  <si>
    <t xml:space="preserve">Help! It won't stop adding songs. I have a ambiance playlist but Spotify keeps adding other songs to it and it won't allow me to remove them (it does </t>
  </si>
  <si>
    <t xml:space="preserve">https://www.reddit.com/comments/1kp5291</t>
  </si>
  <si>
    <t xml:space="preserve">“My 5 favorite tracks from Jazz &amp; Fizz this week – what are yours? Suggestions for additions?”. “Hey everyone! This week in my playlist JAZZ &amp; FIZZ I’</t>
  </si>
  <si>
    <t xml:space="preserve">https://www.reddit.com/comments/1kpr3g4</t>
  </si>
  <si>
    <t xml:space="preserve">Sonder Feels. Taking suggestions as well that fit this vibe</t>
  </si>
  <si>
    <t xml:space="preserve">https://www.reddit.com/comments/1kpwfey</t>
  </si>
  <si>
    <t xml:space="preserve">Crossfade Podcasts and music. Hs anyone been successful crossfading music and podcasts like the do on old time radio? I know there is a technical matc</t>
  </si>
  <si>
    <t xml:space="preserve">https://www.reddit.com/comments/1kpx6gs</t>
  </si>
  <si>
    <t xml:space="preserve">Anyone know the email or way to report bugs?. Hello! I am a premium user, (if that is relevant in this case) and I went to use the Spotify AI playlist</t>
  </si>
  <si>
    <t xml:space="preserve">https://www.reddit.com/comments/1kq1iga</t>
  </si>
  <si>
    <t xml:space="preserve">Alternative to the create button. I don't mind the create button but I think it would be better if we could have like a customisable button that inste</t>
  </si>
  <si>
    <t xml:space="preserve">https://www.reddit.com/comments/1kq656d</t>
  </si>
  <si>
    <t xml:space="preserve">What are one-to-three songs you love that you found only because they were played while you had Spotify Shuffle on?. Spotify Shuffle definitely has it</t>
  </si>
  <si>
    <t xml:space="preserve">https://www.reddit.com/comments/1kqif5f</t>
  </si>
  <si>
    <t xml:space="preserve">Need some gym song recommendations to add to my gym playlist. I'm a huge fan of edm, rock, pop punk and emo songs btw, but I'm down to try more stuff </t>
  </si>
  <si>
    <t xml:space="preserve">https://www.reddit.com/comments/1kr1i0j</t>
  </si>
  <si>
    <t xml:space="preserve">Question about playlist settings?. So I was listening to this playlist I've had saved for a while and I've listened to it before, it's one of the play</t>
  </si>
  <si>
    <t xml:space="preserve">https://www.reddit.com/comments/1krb160</t>
  </si>
  <si>
    <t xml:space="preserve">AI/DJ least popular music. I tried asking for the least popular music on Spotify from the ai and from the dj request and they couldn't comply. Anyone </t>
  </si>
  <si>
    <t xml:space="preserve">https://www.reddit.com/comments/1krh3xt</t>
  </si>
  <si>
    <t xml:space="preserve">Losing progress on discovery weekly. I’ll be half way through my discover weekly when I’ll play a completely separate song from my liked playlist. My </t>
  </si>
  <si>
    <t xml:space="preserve">https://www.reddit.com/comments/1krlefm</t>
  </si>
  <si>
    <t xml:space="preserve">Spotify finally changed shuffle algorithm??. 7k songs in my liked list and Ive heard like 10 songs today that I literally haven’t heard in years and e</t>
  </si>
  <si>
    <t xml:space="preserve">https://www.reddit.com/comments/1krnbxa</t>
  </si>
  <si>
    <t xml:space="preserve">Anyone have an API key that still has access to advanced music metadata (genres, recommendations)?. Hi! A while ago I started making a web app integra</t>
  </si>
  <si>
    <t xml:space="preserve">https://www.reddit.com/comments/1kru3ow</t>
  </si>
  <si>
    <t xml:space="preserve">Lyrics anzeigen nicht möglich. Hallo zusammen, auf meinem Computer, Handy etc. kann ich Lyrics anzeigen lassen bei den Liedern, jedoch auf meinem Andr</t>
  </si>
  <si>
    <t xml:space="preserve">https://www.reddit.com/comments/1krv38h</t>
  </si>
  <si>
    <t xml:space="preserve">Got recommended a "new Charlotte de Witte album" by Spotify… turns out it's AI spam?. Hey everyone, just wanted to share a strange experience I had on</t>
  </si>
  <si>
    <t xml:space="preserve">https://www.reddit.com/comments/1ks2h4w</t>
  </si>
  <si>
    <t xml:space="preserve">Spotify turns off my on repeat when I switch tabs? (Web player). This issue just started happening. I'll turn my on repeat on, I'll switch to another </t>
  </si>
  <si>
    <t xml:space="preserve">https://www.reddit.com/comments/1ksaehq</t>
  </si>
  <si>
    <t xml:space="preserve">Sneaky Ads in Premium. This shit is constantly autoplaying everytime I open Spotify. This is nothing more than a sneaky advertisement. It looks like a</t>
  </si>
  <si>
    <t xml:space="preserve">https://www.reddit.com/comments/1ksb60m</t>
  </si>
  <si>
    <t xml:space="preserve">Comment a song and I’ll add it to my queue while I clean. If I like it I’ll return to lyk. And please just one song. I can make a playlist of these to</t>
  </si>
  <si>
    <t xml:space="preserve">https://www.reddit.com/comments/1kspu6l</t>
  </si>
  <si>
    <t xml:space="preserve">on repeat is broken?. historically, my 'on repeat' playlist has always been extremely accurate. im autistic and i tend to listen to the same song hund</t>
  </si>
  <si>
    <t xml:space="preserve">https://www.reddit.com/comments/1ksw0os</t>
  </si>
  <si>
    <t xml:space="preserve">Personalized "Daily Drive"-like playlist with Python script. Hi everyone, I don't know if that's the correct subreddit to post this kind of things but</t>
  </si>
  <si>
    <t xml:space="preserve">https://www.reddit.com/comments/1ktlsyy</t>
  </si>
  <si>
    <t xml:space="preserve">How to remove podcasts from being recommended in my homepage. Hello, I’m not sure if this is the right place to put this. I listened to a podcast epis</t>
  </si>
  <si>
    <t xml:space="preserve">https://www.reddit.com/comments/1ktnycm</t>
  </si>
  <si>
    <t xml:space="preserve">I really like the first 20 seconds of this song, the rest is fine. Any recommendations for similar?. [Set Me Free by PROM]( Thanks!</t>
  </si>
  <si>
    <t xml:space="preserve">https://www.reddit.com/comments/1kts6j9</t>
  </si>
  <si>
    <t xml:space="preserve">DJ Voice Request. Sorry if I’m late to the party or am repeating another post (I’ve been searching 😩). The DJ now has action button to request specifi</t>
  </si>
  <si>
    <t xml:space="preserve">https://www.reddit.com/comments/1ku1dnm</t>
  </si>
  <si>
    <t xml:space="preserve">What songs would Al Gore use on the Campaign Trail? I need song suggestions some with swearing in for my Al Gore playlist. Thank you..</t>
  </si>
  <si>
    <t xml:space="preserve">https://www.reddit.com/comments/1kudva4</t>
  </si>
  <si>
    <t xml:space="preserve">Ads have nothing to do with what you hear; they're out of place.. okey, advertisements every... 10 minutes or so? okey that's fine, they are not as in</t>
  </si>
  <si>
    <t xml:space="preserve">https://www.reddit.com/comments/1kul4mi</t>
  </si>
  <si>
    <t xml:space="preserve">What's up with my Spotify. I feel like I'm not evil gay or retard what up with my Spotify made for you (it's at the top)</t>
  </si>
  <si>
    <t xml:space="preserve">https://www.reddit.com/comments/1kut0jr</t>
  </si>
  <si>
    <t xml:space="preserve">DJ X (premium). What is with X only playing the same 3 artists on rotate? How do I fix this man I like using him but I don't like listening to nf, tom</t>
  </si>
  <si>
    <t xml:space="preserve">https://www.reddit.com/comments/1kuun8f</t>
  </si>
  <si>
    <t xml:space="preserve">Suggest songs as good as 'Araadhike'. I've gotten hooked to (or can say fallen in love with) this Malayalam song 'Araadhike' and now I want to listen </t>
  </si>
  <si>
    <t xml:space="preserve">https://www.reddit.com/comments/1kvdwtq</t>
  </si>
  <si>
    <t xml:space="preserve">spotify needs to do something about canvases. **Lately I've noticed more and more artists — or even just random people — putting full-blown videos of </t>
  </si>
  <si>
    <t xml:space="preserve">https://www.reddit.com/comments/1kvqbte</t>
  </si>
  <si>
    <t xml:space="preserve">Is Smart Shuffle just gone?. I know this was probably an unpopular and confusing feature for a lot of people because it just inserted itself into the </t>
  </si>
  <si>
    <t xml:space="preserve">https://www.reddit.com/comments/1kvwmin</t>
  </si>
  <si>
    <t xml:space="preserve">My Spotify account randomly got banned and the customer support experience made it worse.. I’m writing this post out of frustration and sadness. My Sp</t>
  </si>
  <si>
    <t xml:space="preserve">https://www.reddit.com/comments/1kvx6gw</t>
  </si>
  <si>
    <t xml:space="preserve">Anyone else experiencing this? Spotify keeps auto-playing new releases when I open the app, from artists I've never followed or listened to. I feel li</t>
  </si>
  <si>
    <t xml:space="preserve">https://www.reddit.com/comments/1kwfexi</t>
  </si>
  <si>
    <t xml:space="preserve">Some suggestions to improve Spotify. Now, I know probably many already discussed or proposed this, but I think that Spotify would be A LOT better if w</t>
  </si>
  <si>
    <t xml:space="preserve">https://www.reddit.com/comments/1kwkctx</t>
  </si>
  <si>
    <t xml:space="preserve">Spotify history. Sometimes I’m just enjoying the radio feature based on some song/album that I like but I also try not to be picking my phone every ti</t>
  </si>
  <si>
    <t xml:space="preserve">https://www.reddit.com/comments/1kwyiae</t>
  </si>
  <si>
    <t xml:space="preserve">Please bring back Discover Weekly Filters!. I’m aware that it was a tested feature a few weeks ago, but everyone that’s commented on it said they love</t>
  </si>
  <si>
    <t xml:space="preserve">https://www.reddit.com/comments/1kx5i7c</t>
  </si>
  <si>
    <t xml:space="preserve">Please share your LONG random synth alternative playlist :-). I'm interested in the tracks that are not the mainstream radio songs. I love Gary Numan,</t>
  </si>
  <si>
    <t xml:space="preserve">https://www.reddit.com/comments/1kxjn9i</t>
  </si>
  <si>
    <t xml:space="preserve">what is the most gutreching and depressing song you know of?. I'm putting together a playlist of songs that just want to make you cry. Any recommendat</t>
  </si>
  <si>
    <t xml:space="preserve">https://www.reddit.com/comments/1kxtnup</t>
  </si>
  <si>
    <t xml:space="preserve">Recommend Songs for My Playlists while Finding a Song for Yourself!. Hey everyone! Feel free to dive into my playlists and discover new music while he</t>
  </si>
  <si>
    <t xml:space="preserve">https://www.reddit.com/comments/1kxv15g</t>
  </si>
  <si>
    <t xml:space="preserve">bangers not bigots. artists who have spoken out and/or refused to let trump play their music at his events I've got a pretty good list so far, and am </t>
  </si>
  <si>
    <t xml:space="preserve">https://www.reddit.com/comments/1kxw7e8</t>
  </si>
  <si>
    <t xml:space="preserve">Daylist appreciation post. I've been using Spotify for years but have only recently started listening to the daylist. Is this the best auto playlist S</t>
  </si>
  <si>
    <t xml:space="preserve">https://www.reddit.com/comments/1ky2vi4</t>
  </si>
  <si>
    <t xml:space="preserve">Looking for new-ish music. I’m currently trying to build a playlist ( I like rap rock country to name a few) and I’m trying to discover new genres I’v</t>
  </si>
  <si>
    <t xml:space="preserve">https://www.reddit.com/comments/1ky88iz</t>
  </si>
  <si>
    <t xml:space="preserve">A Specific Type Of Song. I need a song recommendation that: Understands that a specific type of winter, 4 am, and the number 14 feel the same, but isn</t>
  </si>
  <si>
    <t xml:space="preserve">https://www.reddit.com/comments/1ky8wdh</t>
  </si>
  <si>
    <t xml:space="preserve">Is anyone else low-key impressed with what Spotify ‘Daylist’ has been spitting out…. I know these new playlists are Spotify’s flagship AI offering for</t>
  </si>
  <si>
    <t xml:space="preserve">https://www.reddit.com/comments/1kyks8i</t>
  </si>
  <si>
    <t xml:space="preserve">Can I filter out AI generated content?. I use my discover weekly playlist a lot and lately I've been getting a lot of low quality AI generated stuff. </t>
  </si>
  <si>
    <t xml:space="preserve">https://www.reddit.com/comments/1kyzbbc</t>
  </si>
  <si>
    <t xml:space="preserve">Drop a link for your favorite releases from this weeks release radar!. I got one I like from Little Feet And a good one from Oddisee Action Bronson to</t>
  </si>
  <si>
    <t xml:space="preserve">https://www.reddit.com/comments/1kz9ggv</t>
  </si>
  <si>
    <t xml:space="preserve">Spotify promoting me a Christian-right podcast and I can’t remove from homepage. Hi all, I’m not sure if this is a new feature, but I logged on to my </t>
  </si>
  <si>
    <t xml:space="preserve">https://www.reddit.com/comments/1kzcrvn</t>
  </si>
  <si>
    <t xml:space="preserve">Anyone know a good Spotify converter?. Hello, sorry if this isn’t allowed here, but I need help downloading my playlist to my phone so I can listen to</t>
  </si>
  <si>
    <t xml:space="preserve">https://www.reddit.com/comments/1l02mgu</t>
  </si>
  <si>
    <t xml:space="preserve">song recommendations for running. preferably upbeat, dancey songs to keep me going :)</t>
  </si>
  <si>
    <t xml:space="preserve">https://www.reddit.com/comments/1l09asp</t>
  </si>
  <si>
    <t xml:space="preserve">Christian Algorithm. I recently started using I heart radio. I decided to try the app to listen to a non secular artist I found that plays great motiv</t>
  </si>
  <si>
    <t xml:space="preserve">https://www.reddit.com/comments/1l0d34n</t>
  </si>
  <si>
    <t xml:space="preserve">Like music, need song. Hi. Need song for music. Should fit appropriate situation, such as all. Recommendations needed. Varied taste. Spotify curated p</t>
  </si>
  <si>
    <t xml:space="preserve">https://www.reddit.com/comments/1l0nup9</t>
  </si>
  <si>
    <t xml:space="preserve">Song recommends. [removed]</t>
  </si>
  <si>
    <t xml:space="preserve">https://www.reddit.com/comments/1l0rabi</t>
  </si>
  <si>
    <t xml:space="preserve">Expect To Sweat - Synthwave Workout. I listen to this a lot not, just when working out. If you have any sweatwave suggestions (synthwave tracks with a</t>
  </si>
  <si>
    <t xml:space="preserve">https://www.reddit.com/comments/1l0ta8k</t>
  </si>
  <si>
    <t xml:space="preserve">Daylists getting worse. Has anyone else noticed the Daylists are getting worse and more lazy? Today for example I had ‘Stutter House Early Sunday Morn</t>
  </si>
  <si>
    <t xml:space="preserve">https://www.reddit.com/comments/1l0urw9</t>
  </si>
  <si>
    <t xml:space="preserve">Why does Spotify stop my music to play a random song?. Not sure why but while Im in the MIDDLE of listening to a song, the app will cut off my music t</t>
  </si>
  <si>
    <t xml:space="preserve">https://www.reddit.com/comments/1l0xqtb</t>
  </si>
  <si>
    <t xml:space="preserve">Looking for songs that sound like nursery rhymes/ragtime ballads. Preferably from typically profane or unexpected artists. Right now I have "I'm Danci</t>
  </si>
  <si>
    <t xml:space="preserve">https://www.reddit.com/comments/1l0zimj</t>
  </si>
  <si>
    <t xml:space="preserve">SPOTIFY US ONLY GIVING ME RECOMMENDATIONS. I JUST WANT TO PLAY MY PLAYLIST BUT IT ONLY PLAYS RECOMMENDATIONS INSTEAD OF MY PLAYLIST WHY IS IT DOING TH</t>
  </si>
  <si>
    <t xml:space="preserve">https://www.reddit.com/comments/1l0zufk</t>
  </si>
  <si>
    <t xml:space="preserve">"easy listening" for experimental lovers?. As someone who prefers dark &amp; heavy sounds, I've been struggling to find songs that are more socially accep</t>
  </si>
  <si>
    <t xml:space="preserve">https://www.reddit.com/comments/1l157l6</t>
  </si>
  <si>
    <t xml:space="preserve">Looking for songs/artists recommendations based off my playlist! (I'll rate the song as well!). I used to only listen to emo rap (Juice WRLD), but wit</t>
  </si>
  <si>
    <t xml:space="preserve">https://www.reddit.com/comments/1l15ad9</t>
  </si>
  <si>
    <t xml:space="preserve">Sakhal Music Studio. Music created and released by Sakhal Music Studio, a division of Sakhalia Net Project. Digital instrumental music created through</t>
  </si>
  <si>
    <t xml:space="preserve">https://www.reddit.com/comments/1l1evxn</t>
  </si>
  <si>
    <t xml:space="preserve">Autoplay annoyances. If I'm listening to a podcast that ends, and Spotify automatically plays a stupid Morgan Wallen song that I didn't ask for, how m</t>
  </si>
  <si>
    <t xml:space="preserve">https://www.reddit.com/comments/1l29jsz</t>
  </si>
  <si>
    <t xml:space="preserve">“Not interested” option removed from videos/podcasts suggestions. I use Spotify for music only, I don’t want podcasts/podcasts video suggest polluting</t>
  </si>
  <si>
    <t xml:space="preserve">https://www.reddit.com/comments/1l2lgjw</t>
  </si>
  <si>
    <t xml:space="preserve">Has anyone switched over or back from Apple Music?. If so why? Obviously if you’re in the Apple ecosystem it makes sense. I recently bought the AirPod</t>
  </si>
  <si>
    <t xml:space="preserve">https://www.reddit.com/comments/1l2ti0m</t>
  </si>
  <si>
    <t xml:space="preserve">no more podcasts and ebook. After leaving Deezer and returning to Spotify with a new account...miracle, I no longer see any podcast or ebook suggestio</t>
  </si>
  <si>
    <t xml:space="preserve">https://www.reddit.com/comments/1l394o9</t>
  </si>
  <si>
    <t xml:space="preserve">Looking for song recommendations based on my playlist — trying to build a small CD collection with better music. Lately I’ve been getting more into mu</t>
  </si>
  <si>
    <t xml:space="preserve">https://www.reddit.com/comments/1l3cg1g</t>
  </si>
  <si>
    <t xml:space="preserve">Songs with screaming. I'm looking for songs with screaming and heavy bass and all that. I'm fine with pretty much anything except for those metal song</t>
  </si>
  <si>
    <t xml:space="preserve">https://www.reddit.com/comments/1l3efz6</t>
  </si>
  <si>
    <t xml:space="preserve">Why it generate a random queue when open the app and press play. I love to play my like songs in Alphabetical order, they removed that side scroll bar</t>
  </si>
  <si>
    <t xml:space="preserve">https://www.reddit.com/comments/1l3fhjw</t>
  </si>
  <si>
    <t xml:space="preserve">how to see last week's discover weekly? (answer). so uh i have seen some people asking on how to check last week's discover weekly (me included). rece</t>
  </si>
  <si>
    <t xml:space="preserve">https://www.reddit.com/comments/1l3vvsy</t>
  </si>
  <si>
    <t xml:space="preserve">alt rap/shit rap playlist. this playlist gives major soundcloud vibes. anyone have any suggestions of artists that are similar vibes to the ones in he</t>
  </si>
  <si>
    <t xml:space="preserve">https://www.reddit.com/comments/1l3w1ko</t>
  </si>
  <si>
    <t xml:space="preserve">Accidentally hid a song from Spotify DJ. How do I undo this? It was All I Ask of You by Skrillex</t>
  </si>
  <si>
    <t xml:space="preserve">https://www.reddit.com/comments/1l43nqo</t>
  </si>
  <si>
    <t xml:space="preserve">Spotify Smart Shuffle only giving new songs. Anyone else having this issue? Spotify Smart Shuffle used to splice in new songs here or there, but not i</t>
  </si>
  <si>
    <t xml:space="preserve">https://www.reddit.com/comments/1l43ot6</t>
  </si>
  <si>
    <t xml:space="preserve">Switching to Spotify?. So this is a post asking about how good Spotify actually is before I can make the switch to it. # Backstory: \&gt;Yandex music use</t>
  </si>
  <si>
    <t xml:space="preserve">https://www.reddit.com/comments/1l4athz</t>
  </si>
  <si>
    <t xml:space="preserve">Really into ethereal/sad songs need suggestions!. Not really like completely gutwrenching but i love a good atmospheric song, like those cliché songs </t>
  </si>
  <si>
    <t xml:space="preserve">https://www.reddit.com/comments/1l4bzxa</t>
  </si>
  <si>
    <t xml:space="preserve">What happened to smart shuffle?. Instead of shuffling between my playlist's songs and random recommendations, it's only random recommendations. Is the</t>
  </si>
  <si>
    <t xml:space="preserve">https://www.reddit.com/comments/1l4e3pg</t>
  </si>
  <si>
    <t xml:space="preserve">Smart Shuffle help. Smart shuffle has recently started to ONLY play songs not on my playist. Only last week did it play a song I didn't have between o</t>
  </si>
  <si>
    <t xml:space="preserve">https://www.reddit.com/comments/1l4o94r</t>
  </si>
  <si>
    <t xml:space="preserve">Smart shuffle broken?. Hey so i went to start my playlist up with smart shuffle enabled as usual, but its only playing the smart shuffle added songs a</t>
  </si>
  <si>
    <t xml:space="preserve">https://www.reddit.com/comments/1l4xaa3</t>
  </si>
  <si>
    <t xml:space="preserve">Dj X just turned Spanish?. Hey so not sure if anyone has had this too but DJ X just went from speaking English to Spanish, but still used my name so, </t>
  </si>
  <si>
    <t xml:space="preserve">https://www.reddit.com/comments/1l4zcs6</t>
  </si>
  <si>
    <t xml:space="preserve">AI DJ.. i just wanted to drop this here the AI DJ is actually really really good compared to the regular shuffle play its like pandora on spotify for </t>
  </si>
  <si>
    <t xml:space="preserve">https://www.reddit.com/comments/1l5cwyr</t>
  </si>
  <si>
    <t xml:space="preserve">Spotify sucks. Made a playlist, funny thing is. I cant listen to any of the songs on the playlist! It put about 15 recommendations in the playlist and</t>
  </si>
  <si>
    <t xml:space="preserve">https://www.reddit.com/comments/1l5lxpi</t>
  </si>
  <si>
    <t xml:space="preserve">Still on the bug. I post this problem for the first time three days ago in a sarcastic caption, but it was deleted by mod, said my post was low effort</t>
  </si>
  <si>
    <t xml:space="preserve">https://www.reddit.com/comments/1l5pqt7</t>
  </si>
  <si>
    <t xml:space="preserve">Playbackerror in Tesla. Hi hoping for some help, for a month or so though it’s operating normally on my phone my Spotify in Tesla has this specific er</t>
  </si>
  <si>
    <t xml:space="preserve">https://www.reddit.com/comments/1l5xl2o</t>
  </si>
  <si>
    <t xml:space="preserve">I have 144 hour playlist, but shuffle only plays the same 50 songs. Is there a way to focus the shuffle on lesser played songs?. Hello: GenX 50-year-o</t>
  </si>
  <si>
    <t xml:space="preserve">https://www.reddit.com/comments/1l5xpo8</t>
  </si>
  <si>
    <t xml:space="preserve">Shuffled playlist playing the same rotations - Help!!. I have a random playlist on Spotify that is always on shuffle. However I have experienced somet</t>
  </si>
  <si>
    <t xml:space="preserve">https://www.reddit.com/comments/1l60nf4</t>
  </si>
  <si>
    <t xml:space="preserve">Why did the mods remove my post about the spanish DJ X. I won’t be silenced My DJ X goes Spanish sometimes</t>
  </si>
  <si>
    <t xml:space="preserve">https://www.reddit.com/comments/1l6kv6c</t>
  </si>
  <si>
    <t xml:space="preserve">Mods removed my post again. Spanish DJ X please save me. Dj X goes Spanish sometimes. It’s a Spanish AI DJ and it’s very occasional but it happened at</t>
  </si>
  <si>
    <t xml:space="preserve">https://www.reddit.com/comments/1l6rndm</t>
  </si>
  <si>
    <t xml:space="preserve">My experience making a Spotify "AI Playlist". I'm gonna go over my experience using this, because I finally caved and had an idea that it could *maybe</t>
  </si>
  <si>
    <t xml:space="preserve">https://www.reddit.com/comments/1l6zj8r</t>
  </si>
  <si>
    <t xml:space="preserve">Is there a way to force a playlist to always shuffle?. Currently using premium (desktop and android) but that won't last past this month. I'd like to </t>
  </si>
  <si>
    <t xml:space="preserve">https://www.reddit.com/comments/1l7faxi</t>
  </si>
  <si>
    <t xml:space="preserve">Has shuffle truly lost the plot? Same shuffle order?. Every time I try to shuffle my liked songs, it plays the same “shuffled” order over and over. I’</t>
  </si>
  <si>
    <t xml:space="preserve">https://www.reddit.com/comments/1l7ku66</t>
  </si>
  <si>
    <t xml:space="preserve">Looking for metal / rock bands below 10k monthly listeners for some new vibes :-). Hi all! As the title states I really wanna find some fun new metal/</t>
  </si>
  <si>
    <t xml:space="preserve">https://www.reddit.com/comments/1l7wywd</t>
  </si>
  <si>
    <t xml:space="preserve">Shuffle stays the same after playing any song from playlist. HI i have thisproblem with shuffle - for example when i play song A the next in shuffle i</t>
  </si>
  <si>
    <t xml:space="preserve">https://www.reddit.com/comments/1l85i6e</t>
  </si>
  <si>
    <t xml:space="preserve">The recommendation system is terrible.. The music recommendation system is actually so bad. I wanted to listen to something different, kinda tired wit</t>
  </si>
  <si>
    <t xml:space="preserve">https://www.reddit.com/comments/1l8abfb</t>
  </si>
  <si>
    <t xml:space="preserve">Songs about perfectionism/the fear involved in love?. I’m looking for some songs that capture these two feelings. A) the crippling feeling of perfecti</t>
  </si>
  <si>
    <t xml:space="preserve">https://www.reddit.com/comments/1l8jgsd</t>
  </si>
  <si>
    <t xml:space="preserve">How do I fix this?. Every time I put on a playlist of mine it always play some recommended tracks, after a couple of them it finally plays songs from </t>
  </si>
  <si>
    <t xml:space="preserve">https://www.reddit.com/comments/1l8n0ki</t>
  </si>
  <si>
    <t xml:space="preserve">Looking for more 2010s playlists or looking for more song suggestions to add!.</t>
  </si>
  <si>
    <t xml:space="preserve">https://www.reddit.com/comments/1l8t0g9</t>
  </si>
  <si>
    <t xml:space="preserve">Spotify getting greedier. I Am SOOO exhausted with Spotify. When I make a playlist, It Means that I Want to listen to those songs. NOT that I Want to </t>
  </si>
  <si>
    <t xml:space="preserve">https://www.reddit.com/comments/1l98kjj</t>
  </si>
  <si>
    <t xml:space="preserve">Recent Bugs/Issues with Spotify after swapping from Apple Music. Not saying either or is better, just wanted some change after using Apple Music for o</t>
  </si>
  <si>
    <t xml:space="preserve">https://www.reddit.com/comments/1l9dy60</t>
  </si>
  <si>
    <t xml:space="preserve">Desktop version. Hi. I was looking for ways to view the date you've created playlists and found out that the only way you can is through the desktop v</t>
  </si>
  <si>
    <t xml:space="preserve">https://www.reddit.com/comments/1l9izla</t>
  </si>
  <si>
    <t xml:space="preserve">Suggestions for playlist starting with Ain't no Use by The Meters. Wanna create a playlist that starts with Ain't no Use by The Meters. Thinking of Bi</t>
  </si>
  <si>
    <t xml:space="preserve">https://www.reddit.com/comments/1l9mlt8</t>
  </si>
  <si>
    <t xml:space="preserve">Would LOVE some music recommendations. Hey everyone ! :^) Lately I have a lot of time on my hands and Im really getting back into spotify and expandin</t>
  </si>
  <si>
    <t xml:space="preserve">https://www.reddit.com/comments/1l9td6g</t>
  </si>
  <si>
    <t xml:space="preserve">Rainy day comforting nostalgia sorta vibes. Anyone got any song suggestions that fall under that? I'm into anything from any decade so really open to </t>
  </si>
  <si>
    <t xml:space="preserve">https://www.reddit.com/comments/1la1igf</t>
  </si>
  <si>
    <t xml:space="preserve">Spotify blend question? why not a mutual song?. I have a Spotify blend with someone that has pretty similar music. I read through some of the posts on</t>
  </si>
  <si>
    <t xml:space="preserve">https://www.reddit.com/comments/1la76b2</t>
  </si>
  <si>
    <t xml:space="preserve">Is there a way to listen to Spotify AI DJ? I am from Europe, Finland.</t>
  </si>
  <si>
    <t xml:space="preserve">https://www.reddit.com/comments/1lafw6e</t>
  </si>
  <si>
    <t xml:space="preserve">Recommend music and share your on repeat, this is mine, I'm new here..</t>
  </si>
  <si>
    <t xml:space="preserve">https://www.reddit.com/comments/1lanc11</t>
  </si>
  <si>
    <t xml:space="preserve">JAZZFUSION + FUNK + SOUL playlist. I'm trying to add more songs, so any recommendations are welcome!</t>
  </si>
  <si>
    <t xml:space="preserve">https://www.reddit.com/comments/1lasi2n</t>
  </si>
  <si>
    <t xml:space="preserve">Sorting Playlists. Call me lazy but I really cannot be bothered to manually sort my playlists, there’s a few playlists I have for a few bands I like a</t>
  </si>
  <si>
    <t xml:space="preserve">https://www.reddit.com/comments/1lbw4h3</t>
  </si>
  <si>
    <t xml:space="preserve">autoplay on web. If i google an album or a song and i then click the link to spotify, it automatically starts playing this album or song. I don't want</t>
  </si>
  <si>
    <t xml:space="preserve">https://www.reddit.com/comments/1lbwo7r</t>
  </si>
  <si>
    <t xml:space="preserve">Similar song suggestions. I'm a big fan of Japanese music/anime music and I'm wondering if anybody has any songs similar to the death note intros and </t>
  </si>
  <si>
    <t xml:space="preserve">https://www.reddit.com/comments/1lbxxqn</t>
  </si>
  <si>
    <t xml:space="preserve">Automix is amazing!. I’ve been using Spotify since 2013. When it was finally available for me without VPN. I’m not one to brand loyal but Spotify was </t>
  </si>
  <si>
    <t xml:space="preserve">https://www.reddit.com/comments/1lcaztq</t>
  </si>
  <si>
    <t xml:space="preserve">The 24 definitive nights greyed out on spotify. Before just hours the album was usable but now it says "song unavailable you can still start radio"</t>
  </si>
  <si>
    <t xml:space="preserve">https://www.reddit.com/comments/1lctsmj</t>
  </si>
  <si>
    <t xml:space="preserve">https://www.reddit.com/comments/1ldbto2</t>
  </si>
  <si>
    <t xml:space="preserve">Spotify Android SUCKS. So I use Spotify a lot and sometimes I don't have access to the luxury of Spotify on my computer so I have to use my phone whic</t>
  </si>
  <si>
    <t xml:space="preserve">https://www.reddit.com/comments/1ldfbvx</t>
  </si>
  <si>
    <t xml:space="preserve">I NEED NEW MUSIC DESPERATELY. i been doing a playlist revamp and i NEED new music 😭😭🙏🏽 plsss give me the most fire songs that went platinum in your sp</t>
  </si>
  <si>
    <t xml:space="preserve">https://www.reddit.com/comments/1ldhfi1</t>
  </si>
  <si>
    <t xml:space="preserve">Spotify Free is out of control. So I started using the app on the iPad IOS and was pretty content, I could pick my song and hear the occasional ad. I </t>
  </si>
  <si>
    <t xml:space="preserve">https://www.reddit.com/comments/1ldlje5</t>
  </si>
  <si>
    <t xml:space="preserve">shuffle algo broken ? (see all slides). im getting a lot of the same songs in shuffle in almost the exact order each time i shuffle play my liked for </t>
  </si>
  <si>
    <t xml:space="preserve">https://www.reddit.com/comments/1ldyunl</t>
  </si>
  <si>
    <t xml:space="preserve">Is it worth the switch?. I've been a longtime user of Youtube Music/Youtube Premium. Since around 2017-2018. Even before YT Music, I used to use Youtu</t>
  </si>
  <si>
    <t xml:space="preserve">https://www.reddit.com/comments/1ldyyes</t>
  </si>
  <si>
    <t xml:space="preserve">smart shuffle only shuffling jazz?. I used to use smart shuffle but now it will only cycle and sugest instrumental jazz, regular shuffle gets the whol</t>
  </si>
  <si>
    <t xml:space="preserve">https://www.reddit.com/comments/1lerilc</t>
  </si>
  <si>
    <t xml:space="preserve">What’s everyone’s favorite Brian Wilson track?. With the recent passing of Beach Boys founder Brian Wilson, I’ve been listening to them way more and f</t>
  </si>
  <si>
    <t xml:space="preserve">https://www.reddit.com/comments/1lfeqyp</t>
  </si>
  <si>
    <t xml:space="preserve">Is there a sure way to see all new album releases on one page?. Does Spotify have a dedicated page for true new releases other than the "Made for you"</t>
  </si>
  <si>
    <t xml:space="preserve">https://www.reddit.com/comments/1lfzosc</t>
  </si>
  <si>
    <t xml:space="preserve">[ARTISTS] Well performing song didn’t hit Release Radar. Relatively new Artist here. We’ve managed to push our most recent track over 4000 streams, 12</t>
  </si>
  <si>
    <t xml:space="preserve">https://www.reddit.com/comments/1lg9l1e</t>
  </si>
  <si>
    <t xml:space="preserve">gathering all shoegaze enjoyers. I need help for a playlist I'm making! It features long songs and/or songs with ethereal/dreamy vibes. The ones I alr</t>
  </si>
  <si>
    <t xml:space="preserve">https://www.reddit.com/comments/1lgy6is</t>
  </si>
  <si>
    <t xml:space="preserve">Do y’all still make Spotify playlists?. I used to be all about building playlists, but now I mostly just “like” songs. Spotify does an okay job of gen</t>
  </si>
  <si>
    <t xml:space="preserve">https://www.reddit.com/comments/1lhqcch</t>
  </si>
  <si>
    <t xml:space="preserve">Spotify dj not available?. Hey there Is it possible that spotify dj isn't avaliable in belgium? Thanks in advance</t>
  </si>
  <si>
    <t xml:space="preserve">https://www.reddit.com/comments/1lhscca</t>
  </si>
  <si>
    <t xml:space="preserve">anyone have any good rock songs suggestions?. I’ve gotta decent amount of songs in this rock playlist of mine but I know I’m missing a lottaaaaa good </t>
  </si>
  <si>
    <t xml:space="preserve">https://www.reddit.com/comments/1lij3c7</t>
  </si>
  <si>
    <t xml:space="preserve">Please Rate my Playlist. I would greatly appreciate any recommendations on what song(s) and/or artists I should add to my playlist!</t>
  </si>
  <si>
    <t xml:space="preserve">https://www.reddit.com/comments/1lio3dg</t>
  </si>
  <si>
    <t xml:space="preserve">How do we break out of our algorithm bubble?. I look up artists that people recommend and that seems like the only way I can find new music now becaus</t>
  </si>
  <si>
    <t xml:space="preserve">https://www.reddit.com/comments/1lj979a</t>
  </si>
  <si>
    <t xml:space="preserve">F'ing top notch algorithm Spotify. Spotify just went on a roughly 20 song stretch of ALL the songs, in order, that I heard about 48 hours ago. I know </t>
  </si>
  <si>
    <t xml:space="preserve">https://www.reddit.com/comments/1ljbktp</t>
  </si>
  <si>
    <t xml:space="preserve">A playlist which was supposedly made for me has almost 1 million saves. Huh?. I have been listening to a playlist called "Sunny Day" a lot for the las</t>
  </si>
  <si>
    <t xml:space="preserve">https://www.reddit.com/comments/1ljlw9t</t>
  </si>
  <si>
    <t xml:space="preserve">HITS - Top Hits - Pop - Dance Rock- EDM - Rap - R&amp;B - 80's to Now. This is my pop/top 40 playlist. It’s pretty 90s-2000’s heavy. It spans most mainstr</t>
  </si>
  <si>
    <t xml:space="preserve">https://www.reddit.com/comments/1lkgx0n</t>
  </si>
  <si>
    <t xml:space="preserve">Need suggestions for podcasts, prefer crime stories recently completed bhasker bose podcast.</t>
  </si>
  <si>
    <t xml:space="preserve">https://www.reddit.com/comments/1lktj5x</t>
  </si>
  <si>
    <t xml:space="preserve">Im gonna go insane. I dont have premium and EVERY TIME i try to listen to music it ONLY plays recommended songs instead of songs on my playlist. Im on</t>
  </si>
  <si>
    <t xml:space="preserve">https://www.reddit.com/comments/1lm9g2e</t>
  </si>
  <si>
    <t xml:space="preserve">Horrified at the AI music in my Discover weekly playlist. I use my Spotify Discover playlist to find new music, and enjoy making my own playlists up f</t>
  </si>
  <si>
    <t xml:space="preserve">https://www.reddit.com/comments/1lmxx5s</t>
  </si>
  <si>
    <t xml:space="preserve">Songs that feel like the best day ever. If you have any recommendations I would greatly appreciate it. I hope you guys have the best day ever</t>
  </si>
  <si>
    <t xml:space="preserve">https://www.reddit.com/comments/1ln4o12</t>
  </si>
  <si>
    <t xml:space="preserve">Canada Day playlist. I started making a Canada Day weekend playlist. I'm looking for recommendations, bands that I've missed, Canadian themed songs fr</t>
  </si>
  <si>
    <t xml:space="preserve">https://www.reddit.com/comments/1lnecqw</t>
  </si>
  <si>
    <t xml:space="preserve">Spotifies horrible podcast play system and history.. I love to listen to a specifc podcast before i sleep (distractible) and its flagged as a comedy p</t>
  </si>
  <si>
    <t xml:space="preserve">https://www.reddit.com/comments/1lnl9wo</t>
  </si>
  <si>
    <t xml:space="preserve">trash playlist suggestions. no idea what this tyoe of music is called but currently added: Stacy's Mom - Fountain of Wayne Teenage Dirtbag - Wheatus S</t>
  </si>
  <si>
    <t xml:space="preserve">https://www.reddit.com/comments/1lnrcev</t>
  </si>
  <si>
    <t xml:space="preserve">A very very chill one:. I‘ll take suggestions :) I want to add 100+ songs, long way to go..</t>
  </si>
  <si>
    <t xml:space="preserve">https://www.reddit.com/comments/1lnroke</t>
  </si>
  <si>
    <t xml:space="preserve">Found a song i loved. turns out it’s AI.. I was listening to my Discover Weekly on Spotify. found this song called i always come back to you. been pla</t>
  </si>
  <si>
    <t xml:space="preserve">https://www.reddit.com/comments/1lo3ivr</t>
  </si>
  <si>
    <t xml:space="preserve">Can anyone recommend a Spotify alternative?. Not sure if this is the right place to ask or not. I'm looking for an alternative player to Spotify. I wa</t>
  </si>
  <si>
    <t xml:space="preserve">https://www.reddit.com/comments/1lo3v24</t>
  </si>
  <si>
    <t xml:space="preserve">Just got 3 unskippable ads while listening to my playlist. Turns out this is the new normal. What happened to the old spotify? Now it's like they forc</t>
  </si>
  <si>
    <t xml:space="preserve">https://www.reddit.com/comments/1lodnsv</t>
  </si>
  <si>
    <t xml:space="preserve">Hi so pls recommend your favourite mid-day, open-window music of the highest order. continuously creative &amp; lazily horny would be fantastic.</t>
  </si>
  <si>
    <t xml:space="preserve">https://www.reddit.com/comments/1lojwyi</t>
  </si>
  <si>
    <t xml:space="preserve">Spotify AI DJ. Hi ! I was wondering if you know how to activate the AI DJ, because I tried every tutorial on the net, I have updated my app and done e</t>
  </si>
  <si>
    <t xml:space="preserve">https://www.reddit.com/comments/1lp5dpa</t>
  </si>
  <si>
    <t xml:space="preserve">You all need to stop letting an app decide what music you listen to.. That's it, that's the post. Spotify recommended AI? Spotify is hard pushing some</t>
  </si>
  <si>
    <t xml:space="preserve">https://www.reddit.com/comments/1lpsbse</t>
  </si>
  <si>
    <t xml:space="preserve">Forcing a better playlist shuffle. I made this comment as an answer on another post. Increase randomness in the shuffle of your own playlist(s) 1. Mak</t>
  </si>
  <si>
    <t xml:space="preserve">https://www.reddit.com/comments/1lq0rf8</t>
  </si>
  <si>
    <t xml:space="preserve">recommendations apps for discovering new music. Yo y all , everyone have like an app that recommended some songs that i dont listen or something like </t>
  </si>
  <si>
    <t xml:space="preserve">https://www.reddit.com/comments/1lqsqwn</t>
  </si>
  <si>
    <t xml:space="preserve">Has Spotify removed the ability to turn off smart shuffle?. Question is in title. I had it off for the longest time and then last night I suddenly was</t>
  </si>
  <si>
    <t xml:space="preserve">https://www.reddit.com/comments/1lqwwcn</t>
  </si>
  <si>
    <t xml:space="preserve">Listening new music. Is there a way or a method on Spotify that let’s me try new music? I have some liked songs and what Spotify does is always recomm</t>
  </si>
  <si>
    <t xml:space="preserve">https://www.reddit.com/comments/1lqx87i</t>
  </si>
  <si>
    <t xml:space="preserve">Question: Possible to reset recommendations?. I'm just wondering (not limited to Spotify, curious to know if possible in other services), is it possib</t>
  </si>
  <si>
    <t xml:space="preserve">https://www.reddit.com/comments/1lrtn0l</t>
  </si>
  <si>
    <t xml:space="preserve">Spotify won’t stop playing random music. I am so annoyed. I’ve turned auto play and smart shuffle off, yet every time I play a playlist or choose a so</t>
  </si>
  <si>
    <t xml:space="preserve">https://www.reddit.com/comments/1lryzfw</t>
  </si>
  <si>
    <t xml:space="preserve">Listening to Spotify and browsing is impossible in 2025. I'm on Android and I use mainly Chrome , everytime I listen to music and browse on sites in c</t>
  </si>
  <si>
    <t xml:space="preserve">https://www.reddit.com/comments/1ls67c5</t>
  </si>
  <si>
    <t xml:space="preserve">spotify mutuals and music friends??. always open to meeting new people via music and songs and playlists, discovering hidden gems, bonding over sad vo</t>
  </si>
  <si>
    <t xml:space="preserve">https://www.reddit.com/comments/1ls7g5g</t>
  </si>
  <si>
    <t xml:space="preserve">Some Jazz Tunes. still adding songs to it I finally made a jazz playlist with a custom picture I made of snoopy on the cover 💪😤 If you guys have any j</t>
  </si>
  <si>
    <t xml:space="preserve">https://www.reddit.com/comments/1lsgbew</t>
  </si>
  <si>
    <t xml:space="preserve">recommend me some retro english songs!. All i know in retro english are Elvis Presley, The Smiths and a few Tears for Fears songs. Please recommend me</t>
  </si>
  <si>
    <t xml:space="preserve">https://www.reddit.com/comments/1lsybio</t>
  </si>
  <si>
    <t xml:space="preserve">Ethereal songs. Hello I need some recommendations for my playlist, I wanna find more songs that have an ethereal vibe to them!</t>
  </si>
  <si>
    <t xml:space="preserve">https://www.reddit.com/comments/1lt1g6i</t>
  </si>
  <si>
    <t xml:space="preserve">Why did you move lyrics to Now Playing View? (Windows/Web App/Linux). I hate this new update with every fiber in my being, like genuinely one thing I </t>
  </si>
  <si>
    <t xml:space="preserve">https://www.reddit.com/comments/1lth5g4</t>
  </si>
  <si>
    <t xml:space="preserve">Recommended songs. One of my favorite features of spotify is getting to an end of a playlist and it begins plaing recommended songs. My account stoppe</t>
  </si>
  <si>
    <t xml:space="preserve">https://www.reddit.com/comments/1ltr497</t>
  </si>
  <si>
    <t xml:space="preserve">Modern Song Standards. Hello, everyone. Today, I’m looking for songs that show the artistry of the Great American Songbook while being imagined for th</t>
  </si>
  <si>
    <t xml:space="preserve">https://www.reddit.com/comments/1lu01ga</t>
  </si>
  <si>
    <t xml:space="preserve">How can I fix my Spotify algorithm?. I’ve had this problem with my Spotify for a while, my discover weekly has become so annoying the last while. So m</t>
  </si>
  <si>
    <t xml:space="preserve">https://www.reddit.com/comments/1lu7pbb</t>
  </si>
  <si>
    <t xml:space="preserve">Open to music suggestions. Do you have any song suggestions for my Tunebox playlist on Spotify? I like indie rock, punk, Finnish metal among other gen</t>
  </si>
  <si>
    <t xml:space="preserve">https://www.reddit.com/comments/1lu82w5</t>
  </si>
  <si>
    <t xml:space="preserve">Is anyone else's Discover Weekly weirdly American this week?. I am not from the US and don't listen to this kind of music, but this week my Discover W</t>
  </si>
  <si>
    <t xml:space="preserve">https://www.reddit.com/comments/1lukuf2</t>
  </si>
  <si>
    <t xml:space="preserve">Suggestions to add to my “Joan Jett” playlist. Here is my current playlist of my fav songs of “Joan Jett”. Could you please recommend more of her best</t>
  </si>
  <si>
    <t xml:space="preserve">https://www.reddit.com/comments/1lulu7q</t>
  </si>
  <si>
    <t xml:space="preserve">Discover Weekly change???. WHAT is going on?! Discover Weekly in the past two weeks (ever since they changed the cover art for the playlist) is now fu</t>
  </si>
  <si>
    <t xml:space="preserve">https://www.reddit.com/comments/1luoptg</t>
  </si>
  <si>
    <t xml:space="preserve">Recommended song after day list and discover weekly. I’ve had recommended songs stop playing after daylists and discover weekly. It was how I found a </t>
  </si>
  <si>
    <t xml:space="preserve">https://www.reddit.com/comments/1lup9q5</t>
  </si>
  <si>
    <t xml:space="preserve">I need your help adding songs to my playlist "old school gentleman"! 30s-40s-50s artists like Louis Armstrong, Chet Baker, Ink Spots and Mills Brother</t>
  </si>
  <si>
    <t xml:space="preserve">https://www.reddit.com/comments/1lupvcs</t>
  </si>
  <si>
    <t xml:space="preserve">the new discover weekly sucks what happened?. [removed]</t>
  </si>
  <si>
    <t xml:space="preserve">https://www.reddit.com/comments/1lv580s</t>
  </si>
  <si>
    <t xml:space="preserve">Free user “smart shuffle” runout. Whenever I reach the end of my playlist on mobile, it just switches to the list of smart shuffle with no way to star</t>
  </si>
  <si>
    <t xml:space="preserve">https://www.reddit.com/comments/1lvckz3</t>
  </si>
  <si>
    <t xml:space="preserve">Is there any function similar to the YT Supermix on Spotify?. Is there any YT supermix-like function on Spotify? Hello everyone, my question is if the</t>
  </si>
  <si>
    <t xml:space="preserve">https://www.reddit.com/comments/1lw147a</t>
  </si>
  <si>
    <t xml:space="preserve">On Repeat &amp; On the Rise.</t>
  </si>
  <si>
    <t xml:space="preserve">https://www.reddit.com/comments/1lwaf0d</t>
  </si>
  <si>
    <t xml:space="preserve">Can you leave the app alone for 5 minutes?!!. I feel like every time I open the app it's becoming a game of spot the difference and it's becoming unse</t>
  </si>
  <si>
    <t xml:space="preserve">https://www.reddit.com/comments/1lwg88r</t>
  </si>
  <si>
    <t xml:space="preserve">Drop your suggestions in the comments!. You know those TikTok songs that are stuck in your head but you have no idea what they’re called? Yeah, I’m ma</t>
  </si>
  <si>
    <t xml:space="preserve">https://www.reddit.com/comments/1lwkoih</t>
  </si>
  <si>
    <t xml:space="preserve">🔥Hot take: Discover Weekly is now less relevant than your Tiktok/Instagram FYP. The algorithm lost to the meme.. Basically the title. Most music I hea</t>
  </si>
  <si>
    <t xml:space="preserve">https://www.reddit.com/comments/1lx8vud</t>
  </si>
  <si>
    <t xml:space="preserve">Smart shuffle not that smart. Why is it when I turn on smart shuffle it only plays one music genre . I'm a person that enjoys a wide range and variety</t>
  </si>
  <si>
    <t xml:space="preserve">https://www.reddit.com/comments/1lynmq1</t>
  </si>
  <si>
    <t xml:space="preserve">"On Repeat &amp; On the Rise" - in need of suggestions! Preferably new artists, but also popular artists with new songs. If you have something on repeat a</t>
  </si>
  <si>
    <t xml:space="preserve">https://www.reddit.com/comments/1lyrfp6</t>
  </si>
  <si>
    <t xml:space="preserve">[Playlist] 50 indie artists from Japan you should check out – curated on Spotify. Hi! This is **KAON**. We share Japanese music with passion, making i</t>
  </si>
  <si>
    <t xml:space="preserve">https://www.reddit.com/comments/1lzbyo8</t>
  </si>
  <si>
    <t xml:space="preserve">Did dj x just hype up plants vs zombies???. I was using my homeboy dj x when I hear him say this, "now back to your usual, Laura shiahara on this one.</t>
  </si>
  <si>
    <t xml:space="preserve">https://www.reddit.com/comments/1lzcm2i</t>
  </si>
  <si>
    <t xml:space="preserve">Don't Recommend - Why only 30 days. Some time ago, I noticed on my DW playlist that when you hit 'Don't Recommend', a pop-up saying 'Don't Recommend f</t>
  </si>
  <si>
    <t xml:space="preserve">https://www.reddit.com/comments/1lzgkr1</t>
  </si>
  <si>
    <t xml:space="preserve">#1 Hits Of The 80s. [ I made a playlist of all of the #1 Hits in order from Billboard, Cashbox, The Gavin Report, Radio &amp; Records and Record World. I </t>
  </si>
  <si>
    <t xml:space="preserve">https://www.reddit.com/comments/1lzkyw0</t>
  </si>
  <si>
    <t xml:space="preserve">Guys please stop commenting on my post its too many songs to listen to. I think the amount of songs yall recommended is enough guys</t>
  </si>
  <si>
    <t xml:space="preserve">https://www.reddit.com/comments/1lzmq8c</t>
  </si>
  <si>
    <t xml:space="preserve">Looking for some R&amp;B recommendations!. Hey guys I'm a huge pop music fan (ofc none other than taylor swift) and i've been recently trying out some new</t>
  </si>
  <si>
    <t xml:space="preserve">https://www.reddit.com/comments/1lzoe54</t>
  </si>
  <si>
    <t xml:space="preserve">Logged out of my account.. I've been logged out of my account just some few mins ago when I was just playing it. And when I tried to logged in back ag</t>
  </si>
  <si>
    <t xml:space="preserve">https://www.reddit.com/comments/1m0kuci</t>
  </si>
  <si>
    <t xml:space="preserve">Please Spotify, stop turning on Smart Shuffle when I'm just trying to turn off shuffle. I don't understand why this function is built into the shuffle</t>
  </si>
  <si>
    <t xml:space="preserve">https://www.reddit.com/comments/1m0q119</t>
  </si>
  <si>
    <t xml:space="preserve">RAGE POST. I’m actually losing my mind with how trash the free version of Spotify has become. I get it — it’s a free app, there’s gonna be ads. Cool. </t>
  </si>
  <si>
    <t xml:space="preserve">https://www.reddit.com/comments/1m0zat1</t>
  </si>
  <si>
    <t xml:space="preserve">https://www.reddit.com/comments/1m0zbxg</t>
  </si>
  <si>
    <t xml:space="preserve">Discover weekly playlist suddenly giving me genres I never listen to... Can I reset the algorithm?. For year, each week, the discover weekly playlist </t>
  </si>
  <si>
    <t xml:space="preserve">https://www.reddit.com/comments/1m1guok</t>
  </si>
  <si>
    <t xml:space="preserve">Why does spotify only recommend albums?. I dont like albums, and so this has been the most frustrating thing, having switched from another platform. I</t>
  </si>
  <si>
    <t xml:space="preserve">https://www.reddit.com/comments/1m1qdgq</t>
  </si>
  <si>
    <t xml:space="preserve">Is there a streaming service that just shuffles without an algorithm?. I created a playlist and worked super hard on it for years. Its 1400 songs, but</t>
  </si>
  <si>
    <t xml:space="preserve">https://www.reddit.com/comments/1m20i3a</t>
  </si>
  <si>
    <t xml:space="preserve">Why does Spotify dj keep recommending Israeli music when I live in USA and have not expressed interest??. I feel like Spotify dj has been suggesting r</t>
  </si>
  <si>
    <t xml:space="preserve">https://www.reddit.com/comments/1m2htnr</t>
  </si>
  <si>
    <t xml:space="preserve">https://www.reddit.com/comments/1m2jnqx</t>
  </si>
  <si>
    <t xml:space="preserve">Question about DJ. I really enjoy using the DJ feature on Spotify, but the one thing I hate about it is that it automatically skips to a certain part </t>
  </si>
  <si>
    <t xml:space="preserve">https://www.reddit.com/comments/1m2xnxs</t>
  </si>
  <si>
    <t xml:space="preserve">What’s the longest your on repeat has been?. Mine updated today and hit 2 hours and 25 minutes</t>
  </si>
  <si>
    <t xml:space="preserve">https://www.reddit.com/comments/1m39oo3</t>
  </si>
  <si>
    <t xml:space="preserve">Playlist recommendations. I run events and need your best Spotify playlists with good hype music of all genres</t>
  </si>
  <si>
    <t xml:space="preserve">https://www.reddit.com/comments/1m3l0ud</t>
  </si>
  <si>
    <t xml:space="preserve">Music discovery that doesn't suck?. Hi, I'm in a musical rut, and decided to give discover weekly a try. Again. It's useless. It's recommending me alm</t>
  </si>
  <si>
    <t xml:space="preserve">https://www.reddit.com/comments/1m3mrh8</t>
  </si>
  <si>
    <t xml:space="preserve">A playlist for having sex - "take me to the backroom" - please send suggestions! What is your "go-to song" while getting naughty?. [</t>
  </si>
  <si>
    <t xml:space="preserve">https://www.reddit.com/comments/1m43yz0</t>
  </si>
  <si>
    <t xml:space="preserve">Why do I get irrelevant recommendations?. In the “New releases for you” section of the home tab, I get albums of artists I don’t listen to, like J Bal</t>
  </si>
  <si>
    <t xml:space="preserve">https://www.reddit.com/comments/1m497kd</t>
  </si>
  <si>
    <t xml:space="preserve">I am DJ X from Spotify, AMA. What’s up y’all! X here, the voice behind Spotify’s DJ. I’ll be doing an AMA today at 12pm ET/9am PST/4pm GMT, and I’m ex</t>
  </si>
  <si>
    <t xml:space="preserve">https://www.reddit.com/comments/1m5h0rg</t>
  </si>
  <si>
    <t xml:space="preserve">My new Discover Weekly has been stuck on the same 5 genres for weeks. Any way to change this?. I’m loving the new Discover Weekly format but I’m still</t>
  </si>
  <si>
    <t xml:space="preserve">https://www.reddit.com/comments/1m5iybo</t>
  </si>
  <si>
    <t xml:space="preserve">What the Hell did they do to Discover Weekly?. Did they make some changes to the Discover Weekly algorithm? It was reliably playing stuff that was unk</t>
  </si>
  <si>
    <t xml:space="preserve">https://www.reddit.com/comments/1m5sn1n</t>
  </si>
  <si>
    <t xml:space="preserve">Spotify playlist ended and now won't play at all. My son has the free version of Spotify, and he has created a playlist that is just over 6 hours long</t>
  </si>
  <si>
    <t xml:space="preserve">https://www.reddit.com/comments/1m5wnz7</t>
  </si>
  <si>
    <t xml:space="preserve">Discover weekly sucks all of a sudden. Why does discover weekly all of a sudden get nothing right? After years of a couple of weekly hits, it’s like i</t>
  </si>
  <si>
    <t xml:space="preserve">https://www.reddit.com/comments/1m66o47</t>
  </si>
  <si>
    <t xml:space="preserve">What websites to use to convert podcast to mp3 file. Hello, so i want to convert some podcasts on spotify to mp3 files so i can still listen to them, </t>
  </si>
  <si>
    <t xml:space="preserve">https://www.reddit.com/comments/1m6rqa9</t>
  </si>
  <si>
    <t xml:space="preserve">"dreamer music" - need suggestions!!. hey y'all, definitely not the first to coin this term but I've been obsessing over songs which I'd assign first </t>
  </si>
  <si>
    <t xml:space="preserve">https://www.reddit.com/comments/1m6s3go</t>
  </si>
  <si>
    <t xml:space="preserve">Autoplay feature not working. Today my autoplay feature just randomly stopped working (after a song ends nothing plays). I looked online and tried all</t>
  </si>
  <si>
    <t xml:space="preserve">https://www.reddit.com/comments/1m6wzgg</t>
  </si>
  <si>
    <t xml:space="preserve">Really bizarre algorithm behavior. I often play the tail end of my playlists and let it recommend from there. For some reason the past few weeks it ke</t>
  </si>
  <si>
    <t xml:space="preserve">https://www.reddit.com/comments/1m75fri</t>
  </si>
  <si>
    <t xml:space="preserve">“About recommendations and the impact of promotion🤦🏻‍♂️”. “yeah guys let’s throw some BS reason into text to make the people think it’s okay to sugges</t>
  </si>
  <si>
    <t xml:space="preserve">https://www.reddit.com/comments/1m780kl</t>
  </si>
  <si>
    <t xml:space="preserve">Letter to Spotify. Wanted to post my e-mail I wrote to Spotify today. I guess it's something of an essay. But I sat down and wrote it so I thought I m</t>
  </si>
  <si>
    <t xml:space="preserve">https://www.reddit.com/comments/1m7h873</t>
  </si>
  <si>
    <t xml:space="preserve">What are the most asinine song that has shown up on your discover weekly. I’m an elder millennial that that I mostly listens to emo, modern rock, and </t>
  </si>
  <si>
    <t xml:space="preserve">https://www.reddit.com/comments/1m7m1ll</t>
  </si>
  <si>
    <t xml:space="preserve">Shuffle Worse than Normal?. I already know that Spotify’s shuffle is not a true shuffle and there is an algorithm to it but in the last couple of days</t>
  </si>
  <si>
    <t xml:space="preserve">https://www.reddit.com/comments/1m7ry0p</t>
  </si>
  <si>
    <t xml:space="preserve">Weird Spotify Bug??. Posting this to see if anybody else has had it happen or if there’s a fix. I’m encountering something weird and frustrating. I’ve</t>
  </si>
  <si>
    <t xml:space="preserve">https://www.reddit.com/comments/1m7u3up</t>
  </si>
  <si>
    <t xml:space="preserve">Shuffle broken?. I shuffle through my 2000+ song playlist all day. I press play in the morning and pause at night never pressing anything else. Someho</t>
  </si>
  <si>
    <t xml:space="preserve">https://www.reddit.com/comments/1m82k8r</t>
  </si>
  <si>
    <t xml:space="preserve">My Wrapped hasn't shown up twice in a row and I think I know what the problem is.. 2 years ago I kept hearing songs that weren't on my playlist, so I </t>
  </si>
  <si>
    <t xml:space="preserve">https://www.reddit.com/comments/1m85kpj</t>
  </si>
  <si>
    <t xml:space="preserve">How satisfied are you with Spotify’s recommendation algorithm?. Currently conducting a study on major music recommendation algorithms. Please mention </t>
  </si>
  <si>
    <t xml:space="preserve">https://www.reddit.com/comments/1m85vsr</t>
  </si>
  <si>
    <t xml:space="preserve">Attention all guilty pleasurers / stalkers: undeletable search history has been added. now when you go search for anything and start typing, you'll fi</t>
  </si>
  <si>
    <t xml:space="preserve">https://www.reddit.com/comments/1m89im8</t>
  </si>
  <si>
    <t xml:space="preserve">How to delete, stop a song from ever playing again?. How can I delete, or stop a song from ever being played again. I'm trying to delete, a song, with</t>
  </si>
  <si>
    <t xml:space="preserve">https://www.reddit.com/comments/1m8dmm7</t>
  </si>
  <si>
    <t xml:space="preserve">Spotify never playing any new songs. When I just let Spotify finish my playlist and go onto different songs, it’ll just play me the same songs I’ve li</t>
  </si>
  <si>
    <t xml:space="preserve">https://www.reddit.com/comments/1m8g59t</t>
  </si>
  <si>
    <t xml:space="preserve">Spotify playlist curators. What legal ways can I promote my music through Spotify playlist curators and where do you recommend I look for them?</t>
  </si>
  <si>
    <t xml:space="preserve">https://www.reddit.com/comments/1m8kdyu</t>
  </si>
  <si>
    <t xml:space="preserve">Modern Day Payola?. When creating a radio/playlist based off one song, there was a small like saying 'About recommendations and the impact of promotio</t>
  </si>
  <si>
    <t xml:space="preserve">https://www.reddit.com/comments/1m8sxa2</t>
  </si>
  <si>
    <t xml:space="preserve">App crashing. For the past month or so the app crashes after I let a song play and turn it off at around the 30 second mark, now look, I walk to schoo</t>
  </si>
  <si>
    <t xml:space="preserve">https://www.reddit.com/comments/1m8vjuk</t>
  </si>
  <si>
    <t xml:space="preserve">new music indie playlist. if anyone needs indie music recs or is trying to keep up with new music, i just made a playlist wrapping up the top 30 indie</t>
  </si>
  <si>
    <t xml:space="preserve">https://www.reddit.com/comments/1m966p4</t>
  </si>
  <si>
    <t xml:space="preserve">A whole different genre of a song recommended on my Britney Jean Playlist??.</t>
  </si>
  <si>
    <t xml:space="preserve">https://www.reddit.com/comments/1m9wexn</t>
  </si>
  <si>
    <t xml:space="preserve">Came back to Spotify after almost a decade… questions.. TLDR; Please let me know if you have any tips for somebody who hasn’t used Spotify as their ma</t>
  </si>
  <si>
    <t xml:space="preserve">https://www.reddit.com/comments/1ma55o1</t>
  </si>
  <si>
    <t xml:space="preserve">Liked song playing in the wrong order(?). My husband has been trying to play his liked songs in artist order but he noticed that it was "shuffling" ev</t>
  </si>
  <si>
    <t xml:space="preserve">https://www.reddit.com/comments/1mabm6y</t>
  </si>
  <si>
    <t xml:space="preserve">Why tf isnt there an option to turn off listening history. Im so tired of spotify tracking what i listen to bc i sometimes listen to weird shit and th</t>
  </si>
  <si>
    <t xml:space="preserve">https://www.reddit.com/comments/1maehx2</t>
  </si>
  <si>
    <t xml:space="preserve">Looking for old Club songs from 90’s to 2000’s. I would like to think I already have quite a bit of songs from that era although I have been having is</t>
  </si>
  <si>
    <t xml:space="preserve">https://www.reddit.com/comments/1mb5wbp</t>
  </si>
  <si>
    <t xml:space="preserve">AI songs in Discover Weekly. Anyone else seeing an influx of AI songs in their generated playlists? I've had two in this week's discover weekly, which</t>
  </si>
  <si>
    <t xml:space="preserve">https://www.reddit.com/comments/1mbd544</t>
  </si>
  <si>
    <t xml:space="preserve">Does anyone ever listen to music while "being naughty"? If so, what is your go-to music? (I'm in need of new suggestions for this playlist). Thanks!.</t>
  </si>
  <si>
    <t xml:space="preserve">https://www.reddit.com/comments/1mbffcf</t>
  </si>
  <si>
    <t xml:space="preserve">What’s the best daylist title you’ve ever gotten?.</t>
  </si>
  <si>
    <t xml:space="preserve">https://www.reddit.com/comments/1mc3lgd</t>
  </si>
  <si>
    <t xml:space="preserve">Please Help.... Whenever I play songs from a playlist that has both songs from the library and my local files, the autoplay feature breaks and I have </t>
  </si>
  <si>
    <t xml:space="preserve">https://www.reddit.com/comments/1mc5wke</t>
  </si>
  <si>
    <t xml:space="preserve">Late night playlist suggestions! (Hip hop and rap). I usually like hip hop or soft rap. Here's the playlist: [ I need more songs to the playlist so i </t>
  </si>
  <si>
    <t xml:space="preserve">https://www.reddit.com/comments/1md2j1i</t>
  </si>
  <si>
    <t xml:space="preserve">Check out my playlist. Feedback needed guys. Also the name is kinda crappy I have to change it every time I add a song. Made it with some songs people</t>
  </si>
  <si>
    <t xml:space="preserve">https://www.reddit.com/comments/1md3tt4</t>
  </si>
  <si>
    <t xml:space="preserve">Clearing Spotify’s memory of my taste without losing my playlists?. I would really like Spotify to treat me like a brand new user. I love that we can </t>
  </si>
  <si>
    <t xml:space="preserve">https://www.reddit.com/comments/1mdc35w</t>
  </si>
  <si>
    <t xml:space="preserve">Recommendations for my playlist. So I created a grunge playlist and I’m still adding new songs to it, I have some of the OG bands but I want to discov</t>
  </si>
  <si>
    <t xml:space="preserve">https://www.reddit.com/comments/1mdfofk</t>
  </si>
  <si>
    <t xml:space="preserve">DJ back on home page…. Pretty sure there was an option a while ago where you could click “not interested” on the DJ and he would disappear from your f</t>
  </si>
  <si>
    <t xml:space="preserve">https://www.reddit.com/comments/1mdznhl</t>
  </si>
  <si>
    <t xml:space="preserve">Spotify Emergency Broadcast System Test at 3 AM waking me by interrupting white noise!!!. I play white noise on my PC at night via the Spotify app on </t>
  </si>
  <si>
    <t xml:space="preserve">https://www.reddit.com/comments/1me23ak</t>
  </si>
  <si>
    <t xml:space="preserve">Songs that were sampled by famous hip hop songs. Recommendations welcome!.</t>
  </si>
  <si>
    <t xml:space="preserve">https://www.reddit.com/comments/1mekwrq</t>
  </si>
  <si>
    <t xml:space="preserve">This app is terrible. New music on Fridays needs to have its own thread. Not curated playlists. Not editors picks. Not suggested gym music. I shouldn'</t>
  </si>
  <si>
    <t xml:space="preserve">https://www.reddit.com/comments/1menuh4</t>
  </si>
  <si>
    <t xml:space="preserve">Nothing in my life has made me hate more songs that I used to love than Spotify shuffle.. Spotify's shuffle algorithm is so bad that third parties hav</t>
  </si>
  <si>
    <t xml:space="preserve">https://www.reddit.com/comments/1meu089</t>
  </si>
  <si>
    <t xml:space="preserve">We can't save Daylists as playlists in the PC web browser anymore?. Used to have an "Add to playlist" button for the whole playlist, then it'd save it</t>
  </si>
  <si>
    <t xml:space="preserve">https://www.reddit.com/comments/1mez5tk</t>
  </si>
  <si>
    <t xml:space="preserve">Why does this keep happening?. When i go to shuffle my liked songs, it says its playing recommended songs even though i’m on my liked songs, and now i</t>
  </si>
  <si>
    <t xml:space="preserve">https://www.reddit.com/comments/1mf8zd5</t>
  </si>
  <si>
    <t xml:space="preserve">How can I see all releases on a Friday for a specific genre. Is there a method to seeing all the days releases ordered by monthly listeners for a spec</t>
  </si>
  <si>
    <t xml:space="preserve">https://www.reddit.com/comments/1mffz0d</t>
  </si>
  <si>
    <t xml:space="preserve">How do I get a genre i dont like off my spotify?. My sibling got into my spotify and started playing country.. I hate country and now I get daily mixe</t>
  </si>
  <si>
    <t xml:space="preserve">https://www.reddit.com/comments/1mggfyw</t>
  </si>
  <si>
    <t xml:space="preserve">Help with editing playlists.. Hi everyone I have a problem that I'm hoping one of you could help me with. I am unable to edit the order of my songs on</t>
  </si>
  <si>
    <t xml:space="preserve">https://www.reddit.com/comments/1mghstj</t>
  </si>
  <si>
    <t xml:space="preserve">future's grimiest - street god mode. Working on a Spotify playlist of the hardest future songs available on there, looking for any suggestions of what</t>
  </si>
  <si>
    <t xml:space="preserve">https://www.reddit.com/comments/1mgu51t</t>
  </si>
  <si>
    <t xml:space="preserve">Where can I select "Don't play this" now that I'm on a family plan?. I use Spotify's autoplay feature a lot when I just want songs similar to one of t</t>
  </si>
  <si>
    <t xml:space="preserve">https://www.reddit.com/comments/1mh6fkm</t>
  </si>
  <si>
    <t xml:space="preserve">Discover Weekly has been ruined for months now by instrumentals. DW used to be my favorite feature. I’ve long been the type whose main playlist would </t>
  </si>
  <si>
    <t xml:space="preserve">https://www.reddit.com/comments/1mh7teb</t>
  </si>
  <si>
    <t xml:space="preserve">Anyone got any experience with distributor CD Baby?. Hey everyone, My band is looking to release our own music on Spotify. We think CD Baby could be a</t>
  </si>
  <si>
    <t xml:space="preserve">https://www.reddit.com/comments/1mh9nio</t>
  </si>
  <si>
    <t xml:space="preserve">The new discover weekly is genuinely so ass please fix it why am I getting Call me Maybe on my weekly.</t>
  </si>
  <si>
    <t xml:space="preserve">https://www.reddit.com/comments/1mhfpqq</t>
  </si>
  <si>
    <t xml:space="preserve">Woke up to my Spotify in Hebrew?. I opened up Spotify for the first time and when I clicked on my Daylist everything was in Hebrew? This happened as I</t>
  </si>
  <si>
    <t xml:space="preserve">https://www.reddit.com/comments/1mhh1cx</t>
  </si>
  <si>
    <t xml:space="preserve">spotify killer app idea. Hi everyone, I work at a large IT company and manage a team of 90 people. I'd like to know what you think about the idea of a</t>
  </si>
  <si>
    <t xml:space="preserve">https://www.reddit.com/comments/1mhz985</t>
  </si>
  <si>
    <t xml:space="preserve">Good vibrations - Vibraphone focus for Deep Groove &amp; Color. This playlist showcases the vibraphone and it's many masters in jazz. Well known artists a</t>
  </si>
  <si>
    <t xml:space="preserve">https://www.reddit.com/comments/1mi1p91</t>
  </si>
  <si>
    <t xml:space="preserve">My daylist has pigeonholed me.. No matter how much I add to my liked songs my daylists apparently must think I’m Joni Mitchell or David Crosby because</t>
  </si>
  <si>
    <t xml:space="preserve">https://www.reddit.com/comments/1miairb</t>
  </si>
  <si>
    <t xml:space="preserve">Any good Spotify EQ settings you recommend?. I listen to a wide variety of genres on Spotify — everything from hip-hop and pop to rock, indie, and ele</t>
  </si>
  <si>
    <t xml:space="preserve">https://www.reddit.com/comments/1mie3nc</t>
  </si>
  <si>
    <t xml:space="preserve">Give me a few keywords and I’ll recommend you a song from my playlist. You read the tirle</t>
  </si>
  <si>
    <t xml:space="preserve">https://www.reddit.com/comments/1misabx</t>
  </si>
  <si>
    <t xml:space="preserve">nostalgic throwback 2010’s - ‘19s playlist. i just got hit with the idea of making a playlist of making bangers we all forgot about.. if anyone has an</t>
  </si>
  <si>
    <t xml:space="preserve">https://www.reddit.com/comments/1mjpigw</t>
  </si>
  <si>
    <t xml:space="preserve">HELLOOOO HELP UR GIRL OUT. CAN SOMEBODY RECOMMEND ME A SONGS WITH THIS KIND OF VIBE? PLSSSSS I REALLY LOVE THIS TYPE OF BEAT, LIKE AND OLD SCHOOL PROM</t>
  </si>
  <si>
    <t xml:space="preserve">https://www.reddit.com/comments/1mk2fbg</t>
  </si>
  <si>
    <t xml:space="preserve">Discover Weekly Stopped Discovering. Is it just me, or has Discover Weekly lost its magic? I used to look forward to it every week and would find abso</t>
  </si>
  <si>
    <t xml:space="preserve">https://www.reddit.com/comments/1mkrcsr</t>
  </si>
  <si>
    <t xml:space="preserve">Is it possible to turn off Smart Shuffle after listening to an artist's ten most popular song?. I used to have a habit of putting listening to an arti</t>
  </si>
  <si>
    <t xml:space="preserve">https://www.reddit.com/comments/1mkrxmb</t>
  </si>
  <si>
    <t xml:space="preserve">I Need Help Fixing my Recommendations. Hey, so for the last year or two I’ve had an Alexa routine that would automatically play Ambient Dreamscapes, w</t>
  </si>
  <si>
    <t xml:space="preserve">https://www.reddit.com/comments/1ml4m18</t>
  </si>
  <si>
    <t xml:space="preserve">World Hits - Top Hits. The world's on repeat — a global mix of the hottest tracks topping charts and turning heads everywhere. Tune in to what everyon</t>
  </si>
  <si>
    <t xml:space="preserve">https://www.reddit.com/comments/1ml670h</t>
  </si>
  <si>
    <t xml:space="preserve">burnt offerings - hypnotic groove | nocturnal energy | ritual psychedelia | desert noir | electric witchcraft | smoky slow burn | seductive strangenes</t>
  </si>
  <si>
    <t xml:space="preserve">https://www.reddit.com/comments/1mlr8tc</t>
  </si>
  <si>
    <t xml:space="preserve">"Will my Spotify Free experience still be enjoyable after turning off Autoplay?". Sometimes when I play an album It plays songs that have nothing to d</t>
  </si>
  <si>
    <t xml:space="preserve">https://www.reddit.com/comments/1mm3zgt</t>
  </si>
  <si>
    <t xml:space="preserve">Coffee &amp; Chill. If your soul had a blanket, this would be it. Whether you’re making coffee, reading, or just existing in peace. Happy if you have any </t>
  </si>
  <si>
    <t xml:space="preserve">https://www.reddit.com/comments/1mn09do</t>
  </si>
  <si>
    <t xml:space="preserve">Need song recommendations to add to playlist..</t>
  </si>
  <si>
    <t xml:space="preserve">https://www.reddit.com/comments/1mn1ziy</t>
  </si>
  <si>
    <t xml:space="preserve">Hire me as a Spotify Listener!. It may not be the most lucrative way, but if you have a song you want pushed to a wider audience or simply have inflat</t>
  </si>
  <si>
    <t xml:space="preserve">https://www.reddit.com/comments/1mn2uuy</t>
  </si>
  <si>
    <t xml:space="preserve">Premium account. Hello, you see I have a problem with the app, my subscription is canceled until September but today I entered the app and the option </t>
  </si>
  <si>
    <t xml:space="preserve">https://www.reddit.com/comments/1mnz9ru</t>
  </si>
  <si>
    <t xml:space="preserve">How do yall find sound-alike songs?. I do playlist by mood but they always end up with 6 or 7 songs cause i cant find enough similar mood and sound so</t>
  </si>
  <si>
    <t xml:space="preserve">https://www.reddit.com/comments/1modmqo</t>
  </si>
  <si>
    <t xml:space="preserve">Songs in French?. Can you recommend some good songs in French? The genre doesn't matter :) I listen to everything, but when it comes to music in Frenc</t>
  </si>
  <si>
    <t xml:space="preserve">https://www.reddit.com/comments/1mpgwwi</t>
  </si>
  <si>
    <t xml:space="preserve">Spotify only plays a handful of songs from my long playlist. I haven’t been able to find discourse on this exact issue so I haven’t found an answer ye</t>
  </si>
  <si>
    <t xml:space="preserve">https://www.reddit.com/comments/1mq2rou</t>
  </si>
  <si>
    <t xml:space="preserve">Anyway to get recommended “made for me” playlists, rather than “made for me” playlists with songs I already know?. There has been no recent changes — </t>
  </si>
  <si>
    <t xml:space="preserve">https://www.reddit.com/comments/1msr579</t>
  </si>
  <si>
    <t xml:space="preserve">More Electronica, Please!. I need more stuff like this... I've been searching for obscure but really cool Electronica the past few weeks and it makes </t>
  </si>
  <si>
    <t xml:space="preserve">https://www.reddit.com/comments/1mt1fu6</t>
  </si>
  <si>
    <t xml:space="preserve">The Chronological Evolution of Rock: Best &amp; Greatest Rock N Roll, Metal, Indie, and Psychedelic Rock Songs of All Time. 7400+ songs and 600 hours of t</t>
  </si>
  <si>
    <t xml:space="preserve">https://www.reddit.com/comments/1mug412</t>
  </si>
  <si>
    <t xml:space="preserve">Niche song I liked on Spotify was removed. I've had several songs I've liked become unavailable over the years and have been able to find them on YouT</t>
  </si>
  <si>
    <t xml:space="preserve">https://www.reddit.com/comments/1mumr1y</t>
  </si>
  <si>
    <t xml:space="preserve">For those who complain about Spotify's recommendation system: Does this help?. Like other users I've been a little annoyed at the "safe" recommendatio</t>
  </si>
  <si>
    <t xml:space="preserve">https://www.reddit.com/comments/1mutptj</t>
  </si>
  <si>
    <t xml:space="preserve">I WANT ONE FUCKING NEW FEATURE ALREADY GODDAMNIT. I *STILL* don't have the DJ and Eat This Playlist. I highly doubt I'm getting the new mixing feature</t>
  </si>
  <si>
    <t xml:space="preserve">https://www.reddit.com/comments/1muus07</t>
  </si>
  <si>
    <t xml:space="preserve">Something to replace Spotify’s algorithm?. I’ve been thinking of moving to just downloading my music and playing it on through that but my main concer</t>
  </si>
  <si>
    <t xml:space="preserve">https://www.reddit.com/comments/1muzqiv</t>
  </si>
  <si>
    <t xml:space="preserve">Why is Spotify force-feeding me certain songs on shuffle? Can it be turned off?. shuffled my like songs twice, got basically the same songs in a diffe</t>
  </si>
  <si>
    <t xml:space="preserve">https://www.reddit.com/comments/1mvir0y</t>
  </si>
  <si>
    <t xml:space="preserve">Spotify should make a “For You” feed that works like TikTok’s algorithm to see what you’re vibing with and provide more of it. could pool all liked so</t>
  </si>
  <si>
    <t xml:space="preserve">https://www.reddit.com/comments/1mvizt5</t>
  </si>
  <si>
    <t xml:space="preserve">Add the (AI Enhance) and the playlist genre filter seen on the *Mix* playlists and the Liked Songs Playlist features to user made playlists. I quite l</t>
  </si>
  <si>
    <t xml:space="preserve">https://www.reddit.com/comments/1mvy8sa</t>
  </si>
  <si>
    <t xml:space="preserve">Let us roast your Spotify listening history and see your Wrapped early!. We just released the open beta for our new platform, [Mosh]( which lets you a</t>
  </si>
  <si>
    <t xml:space="preserve">https://www.reddit.com/comments/1mwp5bl</t>
  </si>
  <si>
    <t xml:space="preserve">Can you guys recommend me songs similar to Ricko James A Samurais Death and Jesse James Chi I'm trying to build a playlist with that kind of vibe.</t>
  </si>
  <si>
    <t xml:space="preserve">https://www.reddit.com/comments/1mxbgay</t>
  </si>
  <si>
    <t xml:space="preserve">Any House/Electropop playlist recommendations?. More specifically, instrumental ones or with very little vocals.</t>
  </si>
  <si>
    <t xml:space="preserve">https://www.reddit.com/comments/1mxub0j</t>
  </si>
  <si>
    <t xml:space="preserve">Not just Punk Goes Pop. Here's the link to a playlist I made a while ago, it contains a lot of metalcore/punk/deatcore covers of pop songs. Suggestion</t>
  </si>
  <si>
    <t xml:space="preserve">https://www.reddit.com/comments/1myeaaa</t>
  </si>
  <si>
    <t xml:space="preserve">I don't know for you, but Sunday mornings feel like old school music to me. Be tranquille in your home or take a walk in the cool breeze.. Have sugges</t>
  </si>
  <si>
    <t xml:space="preserve">https://www.reddit.com/comments/1mysaov</t>
  </si>
  <si>
    <t xml:space="preserve">InApp AI Playlist-Generator. ... where is the InApp AI Playlist-Generator 🤔 Otherwise can you recommend external Playlist-Generators 🤔</t>
  </si>
  <si>
    <t xml:space="preserve">https://www.reddit.com/comments/1myspqm</t>
  </si>
  <si>
    <t xml:space="preserve">On repeat. Plus some Galleons and Stolas 👌😌</t>
  </si>
  <si>
    <t xml:space="preserve">https://www.reddit.com/comments/1myvivn</t>
  </si>
  <si>
    <t xml:space="preserve">What underrated band/artist do you recommend?. As the title suggests, name me a band or artist that blows your mind and does not get the recognition t</t>
  </si>
  <si>
    <t xml:space="preserve">https://www.reddit.com/comments/1myx70r</t>
  </si>
  <si>
    <t xml:space="preserve">Smooth Chill - sharing my favourite playlist.. The perfect blend of RnB, soul, and slow grooves for a chill evening. Have a listen, and i’d appreciate</t>
  </si>
  <si>
    <t xml:space="preserve">https://www.reddit.com/comments/1myzn07</t>
  </si>
  <si>
    <t xml:space="preserve">Spotify Being Outrageous. We tried to add my sister to our Spotify Family Plan and wasn’t able to. We updated the address and everything, and it still</t>
  </si>
  <si>
    <t xml:space="preserve">https://www.reddit.com/comments/1mz3p7o</t>
  </si>
  <si>
    <t xml:space="preserve">AI generated music is slowly taking over an established band's artist profile. I opened Spotify this afternoon and it recommended a new single to me f</t>
  </si>
  <si>
    <t xml:space="preserve">https://www.reddit.com/comments/1mzefud</t>
  </si>
  <si>
    <t xml:space="preserve">Why are all my Discover Weekly songs instrumentals every single week?. Well I guess I do like a lot of songs that dont have lyrics that sound lofi. Ho</t>
  </si>
  <si>
    <t xml:space="preserve">https://www.reddit.com/comments/1mzrxoc</t>
  </si>
  <si>
    <t xml:space="preserve">accident hid a song instead of liking it when letting spotify autoplay random songs. is there anyway of finding this song as i didnt catch the name as</t>
  </si>
  <si>
    <t xml:space="preserve">https://www.reddit.com/comments/1n1kjfe</t>
  </si>
  <si>
    <t xml:space="preserve">Is it still worth it?. I've had a Spotify account for maybe 10 years? Maybe more? Recently I've been listening to lots of podcasts but the adverts are</t>
  </si>
  <si>
    <t xml:space="preserve">https://www.reddit.com/comments/1n2nquq</t>
  </si>
  <si>
    <t xml:space="preserve">An AI Analysis of Spotify’s 2025 Terms of Use: More commercial influence, less user flexibility, but some added clarity. Disclosure: This post was gen</t>
  </si>
  <si>
    <t xml:space="preserve">https://www.reddit.com/comments/1n33a9e</t>
  </si>
  <si>
    <t xml:space="preserve">Blocked Artists Everywhere.... Can the marketing team at Spotify start excluding people from the paid promotional activity if they have an artist bloc</t>
  </si>
  <si>
    <t xml:space="preserve">https://www.reddit.com/comments/1n3b1u6</t>
  </si>
  <si>
    <t xml:space="preserve">DJ is inexcusably bad.. 3/4 of the songs it plays are from MY playlists. About 1/5 of the remaining 1/4 songs are "similar" to the other songs. Maybe </t>
  </si>
  <si>
    <t xml:space="preserve">https://www.reddit.com/comments/1n3jz0u</t>
  </si>
  <si>
    <t xml:space="preserve">Question. If you subscribe to Spotify and pay the monthly fee, can you listen to your playlist without Spotify's suggestions?</t>
  </si>
  <si>
    <t xml:space="preserve">https://www.reddit.com/comments/1n3m18g</t>
  </si>
  <si>
    <t xml:space="preserve">Started making a playlist for the countryside, any song recs to match the vibe?.</t>
  </si>
  <si>
    <t xml:space="preserve">https://www.reddit.com/comments/1n5mhcm</t>
  </si>
  <si>
    <t xml:space="preserve">Any way to turn off the option for smart shuffle on web player version?. Guess spotify just updated for me so smart shuffle is on web player. I turned</t>
  </si>
  <si>
    <t xml:space="preserve">https://www.reddit.com/comments/1n60ii1</t>
  </si>
  <si>
    <t xml:space="preserve">Discover weekly gone?.</t>
  </si>
  <si>
    <t xml:space="preserve">https://www.reddit.com/comments/1n6m99k</t>
  </si>
  <si>
    <t xml:space="preserve">Why does Spotify keep creating Daily Mix's using songs/artists that I stopped listening to like 5 years ago?. My music taste has changed drastically i</t>
  </si>
  <si>
    <t xml:space="preserve">https://www.reddit.com/comments/1n833da</t>
  </si>
  <si>
    <t xml:space="preserve">how to make spotify stop muting other apps when i open it? ios most recent update on everything. can only seem to find the opposite question. “how can</t>
  </si>
  <si>
    <t xml:space="preserve">https://www.reddit.com/comments/1n8b8bp</t>
  </si>
  <si>
    <t xml:space="preserve">Anyone else seeing fake ai content on legit artists. Seeing this in recommended.. clearly does not match artists usual music and all posted same day</t>
  </si>
  <si>
    <t xml:space="preserve">https://www.reddit.com/comments/1n8ds6i</t>
  </si>
  <si>
    <t xml:space="preserve">need help polishing a playlist. Hi Hello, I hope you're well I want to print a CD for my car (so it's a short playlist) I think it can fit 4 more song</t>
  </si>
  <si>
    <t xml:space="preserve">https://www.reddit.com/comments/1n8h4n6</t>
  </si>
  <si>
    <t xml:space="preserve">Boycott. In June this year Spotify CEO Daniel Ek led a €600 million round of investment in Helsing, a company which develops AI software to enhance mi</t>
  </si>
  <si>
    <t xml:space="preserve">https://www.reddit.com/comments/1n8r62h</t>
  </si>
  <si>
    <t xml:space="preserve">Songs that sound good sped up. So for context I made a cute lil chrome extension that lets you speed up and slow down music. So to accompany it I want</t>
  </si>
  <si>
    <t xml:space="preserve">https://www.reddit.com/comments/1n8ssvn</t>
  </si>
  <si>
    <t xml:space="preserve">This ai is getting out of hand. Release radar is ruined.. It g</t>
  </si>
  <si>
    <t xml:space="preserve">https://www.reddit.com/comments/1n8xbhw</t>
  </si>
  <si>
    <t xml:space="preserve">Is Spotify falsely releasing ai songs under artists names?. As the tagine says. I was looking through my release radar playlist. and found a bunch of </t>
  </si>
  <si>
    <t xml:space="preserve">https://www.reddit.com/comments/1n92blf</t>
  </si>
  <si>
    <t xml:space="preserve">Is Spotify DJ bad for the environment?. Does the Spotify AI DJ use AI in a way that is detrimental to the environment? I do like using it sometimes wh</t>
  </si>
  <si>
    <t xml:space="preserve">https://www.reddit.com/comments/1n97kt9</t>
  </si>
  <si>
    <t xml:space="preserve">Extra Tracks on Albums Without Alternative Sole Album. Does anyone else hate when albums on spotify have extra live/demo tracks on them without having</t>
  </si>
  <si>
    <t xml:space="preserve">https://www.reddit.com/comments/1na55kn</t>
  </si>
  <si>
    <t xml:space="preserve">New update question. Hello all, If I sent a spotify link to someone (who did not have spotify at the time, and still doesn't have an account to my kno</t>
  </si>
  <si>
    <t xml:space="preserve">https://www.reddit.com/comments/1nafwgl</t>
  </si>
  <si>
    <t xml:space="preserve">Recommend me any song, including foreign music, I listen to almost anything and my music taste is all over the place, I have over 1800 songs in my pla</t>
  </si>
  <si>
    <t xml:space="preserve">https://www.reddit.com/comments/1nar4vx</t>
  </si>
  <si>
    <t xml:space="preserve">Anyone else have the Spotify AI DJ compliment their music taste? Lol. So Ive been using the AI DJ since it launched in my country, but just recently I</t>
  </si>
  <si>
    <t xml:space="preserve">https://www.reddit.com/comments/1nazge2</t>
  </si>
  <si>
    <t xml:space="preserve">Did discover weekly change?. Did something happen to discover weekly? Lately mine is absolutely ass I usually find some cool new songs but this mornin</t>
  </si>
  <si>
    <t xml:space="preserve">https://www.reddit.com/comments/1nbgw0l</t>
  </si>
  <si>
    <t xml:space="preserve">I need new Techno tracks!. I’ve been really into techno lately and I’d love to refresh my playlists. I’m especially into minima/peak-time/hipnotic vib</t>
  </si>
  <si>
    <t xml:space="preserve">https://www.reddit.com/comments/1nbjzr6</t>
  </si>
  <si>
    <t xml:space="preserve">r/spotify sent me here to air my grievances. I am so tired of the lazy algorithm. I loved Spotify because they curated lists of songs I hadn’t yet hea</t>
  </si>
  <si>
    <t xml:space="preserve">https://www.reddit.com/comments/1nbn8sr</t>
  </si>
  <si>
    <t xml:space="preserve">witchy playlist. getting started on my whimsy goth, fall feeling inspired playlist 🍂 feel free to save and share some recommendations of songs to add </t>
  </si>
  <si>
    <t xml:space="preserve">https://www.reddit.com/comments/1nbr2my</t>
  </si>
  <si>
    <t xml:space="preserve">Does anyone have any dream pop recommendations…. Beach House is my absolute favourite band. It doesn’t truly need to be dream pop but I’m looking arou</t>
  </si>
  <si>
    <t xml:space="preserve">https://www.reddit.com/comments/1nbx7wq</t>
  </si>
  <si>
    <t xml:space="preserve">Rate the playlist out of 10. (Profile picture is not actually me, random stock photo guy I photoshop in different outfits for different playlists) I’d</t>
  </si>
  <si>
    <t xml:space="preserve">https://www.reddit.com/comments/1nc6cco</t>
  </si>
  <si>
    <t xml:space="preserve">A Playlist For Amorous Intent. I've spent roughly 10 hours over the past three days curating this and organizing/DJing this playlist. Listen with mix </t>
  </si>
  <si>
    <t xml:space="preserve">https://www.reddit.com/comments/1ncaud8</t>
  </si>
  <si>
    <t xml:space="preserve">Spotify playlists created by editorial staff. Wondering how many playlists are generated and updated by editorial staff (also called “humans”) instead</t>
  </si>
  <si>
    <t xml:space="preserve">https://www.reddit.com/comments/1ncudnp</t>
  </si>
  <si>
    <t xml:space="preserve">This fuckass app will recommend you a song one day and take it away the next.... [removed]</t>
  </si>
  <si>
    <t xml:space="preserve">https://www.reddit.com/comments/1nda5m6</t>
  </si>
  <si>
    <t xml:space="preserve">A playlist exclusively for Greek music. Any recommendations on similar tracks to add?.</t>
  </si>
  <si>
    <t xml:space="preserve">https://www.reddit.com/comments/1nday9x</t>
  </si>
  <si>
    <t xml:space="preserve">country-specific recommendation disable option. it puzzles me as to why my algo changed suddenly... i was wondering if there is an option to block a s</t>
  </si>
  <si>
    <t xml:space="preserve">https://www.reddit.com/comments/1ne4jfh</t>
  </si>
  <si>
    <t xml:space="preserve">Dj AI availability. Is ai dj not everywhere in europe or why am i missing it? I got premium recently and i havent found it anywhere.</t>
  </si>
  <si>
    <t xml:space="preserve">https://www.reddit.com/comments/1neqnk7</t>
  </si>
  <si>
    <t xml:space="preserve">Spotify keeps recommending me music I hate.. I despise swing and electroswing music with my entire being. If the word hate was inscribed on every stan</t>
  </si>
  <si>
    <t xml:space="preserve">https://www.reddit.com/comments/1neseph</t>
  </si>
  <si>
    <t xml:space="preserve">When Will Lossless Audio Finally Arrive in the Middle East?. Hey everybody? I’ve been a Spotify Premium user in the Middle East for a while now, and I</t>
  </si>
  <si>
    <t xml:space="preserve">https://www.reddit.com/comments/1nf720o</t>
  </si>
  <si>
    <t xml:space="preserve">Good on-ear USB-C headphones for lossless?. I saw another post asking for earbud recommendations, but what I’m looking for is on-ear, not over the ear</t>
  </si>
  <si>
    <t xml:space="preserve">https://www.reddit.com/comments/1nfwhfz</t>
  </si>
  <si>
    <t xml:space="preserve">something cool I can build with the Spotify API for a retro music fan? (Please suggest). Hey guys! I’m looking to build a fun side project using the S</t>
  </si>
  <si>
    <t xml:space="preserve">https://www.reddit.com/comments/1ng08un</t>
  </si>
  <si>
    <t xml:space="preserve">Major Labels are ruining chances for Indie artists. We can all agree that the major labels have bought out DSPs like Spotify, Apple Music, Tidal etc. </t>
  </si>
  <si>
    <t xml:space="preserve">https://www.reddit.com/comments/1nhv8ef</t>
  </si>
  <si>
    <t xml:space="preserve">Hva synes du om Spotify Daylist?. Jeg tar en master i Medier og kommunikasjon ved UiO. Musikk er en stor interesse, og jeg har brukt Spotify i godt ov</t>
  </si>
  <si>
    <t xml:space="preserve">https://www.reddit.com/comments/1nj9yni</t>
  </si>
  <si>
    <t xml:space="preserve">Spanish playlist that helped me learn español. This is my Spanish playlist I’ve been building over my years in Spain ranging from stuff I’ve heard en </t>
  </si>
  <si>
    <t xml:space="preserve">https://www.reddit.com/comments/1njdw4p</t>
  </si>
  <si>
    <t xml:space="preserve">local file songs not showing in playlists (free version of spotify). I've added some local file songs to my playlists, but for some reason they aren't</t>
  </si>
  <si>
    <t xml:space="preserve">https://www.reddit.com/comments/1njgzps</t>
  </si>
  <si>
    <t xml:space="preserve">what’s one playlist you have that PERFECTLY describes you?. I’m talking about like the first playlist that comes to mind that you would recommend some</t>
  </si>
  <si>
    <t xml:space="preserve">https://www.reddit.com/comments/1njqplo</t>
  </si>
  <si>
    <t xml:space="preserve">Are you tired of AI Slop invading all your playlists?. Hey all, So I don't know if you're like many of us but any playlist Spotify creates half of it </t>
  </si>
  <si>
    <t xml:space="preserve">https://www.reddit.com/comments/1nk8wbd</t>
  </si>
  <si>
    <t xml:space="preserve">Spotify pausing playlist at end of song. I'll try my best to explain but the last couple months I've experienced a bug where I'll be playing a playlis</t>
  </si>
  <si>
    <t xml:space="preserve">https://www.reddit.com/comments/1nkkjd1</t>
  </si>
  <si>
    <t xml:space="preserve">Realease Radar with Spotify Playlists?. My release radar is how I find out which of my followed artists dropped new music. However, it is now flooded </t>
  </si>
  <si>
    <t xml:space="preserve">https://www.reddit.com/comments/1nkveuf</t>
  </si>
  <si>
    <t xml:space="preserve">Did they break Release Radar again?. Most of the songs that just got added tonight are "Various Artists" compilation album slop. 7 out of my top 11. A</t>
  </si>
  <si>
    <t xml:space="preserve">https://www.reddit.com/comments/1nkvhco</t>
  </si>
  <si>
    <t xml:space="preserve">Whats up with the new blend update?!?!?!. I noticed that in the newest update blends only recommend songs which for you the other person haven't liste</t>
  </si>
  <si>
    <t xml:space="preserve">https://www.reddit.com/comments/1nkx6z6</t>
  </si>
  <si>
    <t xml:space="preserve">AI Playlists?. I've been using Spotify for nearly a decade. Today, I noticed almost half of my Release Radar playlist was simply covers or complicatio</t>
  </si>
  <si>
    <t xml:space="preserve">https://www.reddit.com/comments/1nkxbqc</t>
  </si>
  <si>
    <t xml:space="preserve">Spotify makes my day better even during Zoom issues. Yeah, I’ve had that strange sound problem too when Zoom is running, but honestly, [spotify cracca</t>
  </si>
  <si>
    <t xml:space="preserve">https://www.reddit.com/comments/1nlqiv2</t>
  </si>
  <si>
    <t xml:space="preserve">Joined spotify few days back but I dont see AI DJ. Is it even available in India?.</t>
  </si>
  <si>
    <t xml:space="preserve">https://www.reddit.com/comments/1nm4sg1</t>
  </si>
  <si>
    <t xml:space="preserve">Suggested Songs. So, the new update came out for free users to choose whatever song which is great, but I’ve gotten A LOT more suggested songs in my p</t>
  </si>
  <si>
    <t xml:space="preserve">https://www.reddit.com/comments/1nm7ank</t>
  </si>
  <si>
    <t xml:space="preserve">Songs that sound like fading memories on repeat.</t>
  </si>
  <si>
    <t xml:space="preserve">https://www.reddit.com/comments/1nn1yci</t>
  </si>
  <si>
    <t xml:space="preserve">New updates drama. Well, i'm really excited for all the new features the Spotify team is announcing, you know, custom transitions, lossless audio, all</t>
  </si>
  <si>
    <t xml:space="preserve">https://www.reddit.com/comments/1nn36t4</t>
  </si>
  <si>
    <t xml:space="preserve">https://www.reddit.com/comments/1nn38vr</t>
  </si>
  <si>
    <t xml:space="preserve">Spotify mixes vanished. All my mixes are gone when I go into 'Made For You'.</t>
  </si>
  <si>
    <t xml:space="preserve">https://www.reddit.com/comments/1nneqst</t>
  </si>
  <si>
    <t xml:space="preserve">Crazy battery usage just to control music on another device.. I use Spotify on my iPhone to occasionally control the music (Play/Pause/Skip) that is r</t>
  </si>
  <si>
    <t xml:space="preserve">https://www.reddit.com/comments/1no5l0d</t>
  </si>
  <si>
    <t xml:space="preserve">How can I Truly Shuffle a Spotify Playlist?. Hi guys, I have a playlist of over 2000 songs and i've began to notice that Spotify's shuffle is algorith</t>
  </si>
  <si>
    <t xml:space="preserve">https://www.reddit.com/comments/1nobetg</t>
  </si>
  <si>
    <t xml:space="preserve">Spotify discover weekly playlists actually great this week, did they update something?. never had so many bangers in my life before... just curious if</t>
  </si>
  <si>
    <t xml:space="preserve">https://www.reddit.com/comments/1nog4ml</t>
  </si>
  <si>
    <t xml:space="preserve">Looking for band/ song suggestions. Based on this playlist (Sludge Metal) what do you think I should check out No right or wrong answers</t>
  </si>
  <si>
    <t xml:space="preserve">https://www.reddit.com/comments/1np5czx</t>
  </si>
  <si>
    <t xml:space="preserve">Is there any way to export this entire playlist to download locally?. I've exported a smaller public playlist (1500ish songs) just fine. I had to use </t>
  </si>
  <si>
    <t xml:space="preserve">https://www.reddit.com/comments/1npavuw</t>
  </si>
  <si>
    <t xml:space="preserve">Hazmat - UK, Rapper B and Related tracks. UK, Wrexham raised rapper "B" and his new project mixed with Spotify picked recommendations to tie the sound</t>
  </si>
  <si>
    <t xml:space="preserve">https://www.reddit.com/comments/1npc6n4</t>
  </si>
  <si>
    <t xml:space="preserve">House Zone - Playlist. Hey everyone! 👋 I’ve just put together a playlist called HOUSE ZONE 🏠 — only the best house music, carefully selected and mixed</t>
  </si>
  <si>
    <t xml:space="preserve">https://www.reddit.com/comments/1npn9bb</t>
  </si>
  <si>
    <t xml:space="preserve">Best browser to use on iOS web player…. All I’m trying to do is edit the name of a folder I made and pin it but I’m having a hard time on safari. I’ve</t>
  </si>
  <si>
    <t xml:space="preserve">https://www.reddit.com/comments/1npo5m6</t>
  </si>
  <si>
    <t xml:space="preserve">Do you miss the playlist radio feature?. There hasn't been much talk about it recently from what I can find, most of it is over a year ago. In attempt</t>
  </si>
  <si>
    <t xml:space="preserve">https://www.reddit.com/comments/1npvape</t>
  </si>
  <si>
    <t xml:space="preserve">Spotify's Release Radar playlist sucks. It's full of reissues (sometimes decades old), and AI generated crap. If you're looking for a better place to </t>
  </si>
  <si>
    <t xml:space="preserve">https://www.reddit.com/comments/1nqxs9p</t>
  </si>
  <si>
    <t xml:space="preserve">Songs recomendation please. So listen to music by downloading them And i dont get much new songs tbh so can you all please recommend me some good song</t>
  </si>
  <si>
    <t xml:space="preserve">https://www.reddit.com/comments/1nsoxb9</t>
  </si>
  <si>
    <t xml:space="preserve">August's Megathread Playlist. The second Megathread playlist is complete, this time for [August]( It's entirely made of suggestions from the Megathrea</t>
  </si>
  <si>
    <t xml:space="preserve">https://www.reddit.com/comments/1nt0ea8</t>
  </si>
  <si>
    <t xml:space="preserve">Spotify Automix transition playlist. Any other recs between any 2 songs I should add that are just on "auto" mix, not the "custom" ones would be rly a</t>
  </si>
  <si>
    <t xml:space="preserve">https://www.reddit.com/comments/1nt467a</t>
  </si>
  <si>
    <t xml:space="preserve">Lossless not actually lossless?. I'm sure you know of Goldensound in the HiFi community. He basically single handledly showed the underpinnings of MQA</t>
  </si>
  <si>
    <t xml:space="preserve">https://www.reddit.com/comments/1ntdhoo</t>
  </si>
  <si>
    <t xml:space="preserve">My spotify DJ just told me it is proud of my taste in music.. I'm not sure what to take away from this ...</t>
  </si>
  <si>
    <t xml:space="preserve">https://www.reddit.com/comments/1ntv8vc</t>
  </si>
  <si>
    <t xml:space="preserve">Finally. I finally got lossless🙏 now i have ai dj, mix dm:s and lossless😝</t>
  </si>
  <si>
    <t xml:space="preserve">https://www.reddit.com/comments/1ntx132</t>
  </si>
  <si>
    <t xml:space="preserve">Is TS being pushed/forced onto my feed??. I just saw a couple of Taylor swift albums recommended under “albums by artists you follow”. I have never, E</t>
  </si>
  <si>
    <t xml:space="preserve">https://www.reddit.com/comments/1nu8vfg</t>
  </si>
  <si>
    <t xml:space="preserve">Is there anyway of removing spotify's smart shuffle?. It keeps adding songs to my playlists and, they just suck .Is there anyway to get rid of them on</t>
  </si>
  <si>
    <t xml:space="preserve">https://www.reddit.com/comments/1nuj5a0</t>
  </si>
  <si>
    <t xml:space="preserve">Ive never followed Taylor swift. I have never played TS on my Spotify account so when I saw this I clicked her page, and suddenly I’m “following” her.</t>
  </si>
  <si>
    <t xml:space="preserve">https://www.reddit.com/comments/1nupysg</t>
  </si>
  <si>
    <t xml:space="preserve">How do I remove recommended songs??? Recent Spotify update. With the whole new Spotify update that lets you pick specific songs for a limited amount o</t>
  </si>
  <si>
    <t xml:space="preserve">https://www.reddit.com/comments/1nv6duz</t>
  </si>
  <si>
    <t xml:space="preserve">Lossless arrives in Ireland. I had read somewhere that Ireland was due to get Lossless in October, and sure enough it arrived to my account today. As </t>
  </si>
  <si>
    <t xml:space="preserve">https://www.reddit.com/comments/1nv86pt</t>
  </si>
  <si>
    <t xml:space="preserve">Spotify now lets you exclude specific songs from your algorithm.</t>
  </si>
  <si>
    <t xml:space="preserve">https://www.reddit.com/comments/1nv8w56</t>
  </si>
  <si>
    <t xml:space="preserve">Song search only returning about 30 songs on MAC app. A couple of days ago my spotify desktop app for mac started returning only approximately 30 song</t>
  </si>
  <si>
    <t xml:space="preserve">https://www.reddit.com/comments/1nvb7bb</t>
  </si>
  <si>
    <t xml:space="preserve">Can’t find AI DJ. Hi! I can’t find the Spotify AI DJ and would love to use it since it has been out for quite a while now. Google says it should be av</t>
  </si>
  <si>
    <t xml:space="preserve">https://www.reddit.com/comments/1nvhiel</t>
  </si>
  <si>
    <t xml:space="preserve">With every update, it gets worse.. Why is Spotify with every update getting worse? Why did they put the excluding option right between add to playlist</t>
  </si>
  <si>
    <t xml:space="preserve">https://www.reddit.com/comments/1nvy1qm</t>
  </si>
  <si>
    <t xml:space="preserve">I have a Amapiano playlist and could use some song recommendations!!. I’ve been getting into Amapiano a lot lately. These seem to be the tracks I can </t>
  </si>
  <si>
    <t xml:space="preserve">https://www.reddit.com/comments/1nw0xkf</t>
  </si>
  <si>
    <t xml:space="preserve">Playlist radio. Why did spotify remove the playlist radio feature? And why have they still not brought it back despite managing to turn the entire app</t>
  </si>
  <si>
    <t xml:space="preserve">https://www.reddit.com/comments/1nwgeei</t>
  </si>
  <si>
    <t xml:space="preserve">“On Repeat” Playlist Update and Blocking Situation. My friend blocked me, but his "On Repeat" playlist was saved with me and I'm blocked now, but this</t>
  </si>
  <si>
    <t xml:space="preserve">https://www.reddit.com/comments/1nwrocb</t>
  </si>
  <si>
    <t xml:space="preserve">Please share your LONG new wave random playlist! The more synthy the better. No standard radio tracks either thanks :-). Please share your LONG new wa</t>
  </si>
  <si>
    <t xml:space="preserve">https://www.reddit.com/comments/1nxpqc4</t>
  </si>
  <si>
    <t xml:space="preserve">Haven't listened to 80-90s rock/indie music in over 2 years yet it's still the only thing that shows up in my Discover Weekly.... I remember when I fi</t>
  </si>
  <si>
    <t xml:space="preserve">https://www.reddit.com/comments/1ny3jtd</t>
  </si>
  <si>
    <t xml:space="preserve">Spotify, please add a direct link to Discogs and/or Wikipedia for additional song title information.. For example, Radio Paradise provides this featur</t>
  </si>
  <si>
    <t xml:space="preserve">https://www.reddit.com/comments/1ny7s4o</t>
  </si>
  <si>
    <t xml:space="preserve">Liked artist shuffle? Looking for creative way.. Is there any creative way to listen to all your followed artist in a playlist? I have about 200 and w</t>
  </si>
  <si>
    <t xml:space="preserve">https://www.reddit.com/comments/1nybpzh</t>
  </si>
  <si>
    <t xml:space="preserve">How do I get rid of the recommended songs.</t>
  </si>
  <si>
    <t xml:space="preserve">https://www.reddit.com/comments/1nz079l</t>
  </si>
  <si>
    <t xml:space="preserve">How do I get rid of the recommended songs. I have premium</t>
  </si>
  <si>
    <t xml:space="preserve">https://www.reddit.com/comments/1nz07u1</t>
  </si>
  <si>
    <t xml:space="preserve">Depression/less than playlist. I want to find/make a mix where all the songs make me feel like I’m not good enough or like a turd, any song/playlist s</t>
  </si>
  <si>
    <t xml:space="preserve">https://www.reddit.com/comments/1nz3gyl</t>
  </si>
  <si>
    <t xml:space="preserve">Spotify weekly change?. Has anyone elses discover weekly changed? Like i never got several songs from an album? Ive used discover weekly for years and</t>
  </si>
  <si>
    <t xml:space="preserve">https://www.reddit.com/comments/1nz68tz</t>
  </si>
  <si>
    <t xml:space="preserve">Why is my made for you page empty?. I tried both the main and lite app, on lite my playlists have disappeared altogether. When i search for personaliz</t>
  </si>
  <si>
    <t xml:space="preserve">https://www.reddit.com/comments/1nzdkxl</t>
  </si>
  <si>
    <t xml:space="preserve">Driving with Spotify feels unsafe (high risk of accidents) - improve controls. Hey Spotify I'm using Spotify while driving, but the current swipe and </t>
  </si>
  <si>
    <t xml:space="preserve">https://www.reddit.com/comments/1nzf135</t>
  </si>
  <si>
    <t xml:space="preserve">I started a blog called Indie Is Better to spotlight underrated artists and would love feedback on how to grow it.. I’ve been listening to a lot of sm</t>
  </si>
  <si>
    <t xml:space="preserve">https://www.reddit.com/comments/1nzzhzw</t>
  </si>
  <si>
    <t xml:space="preserve">rate my playlist. &lt;iframe data-testid="embed-iframe" style="border-radius:12px" src=" width="100%" height="352" frameBorder="0" allowfullscreen="" all</t>
  </si>
  <si>
    <t xml:space="preserve">https://www.reddit.com/comments/1o09lt0</t>
  </si>
  <si>
    <t xml:space="preserve">Why am I getting random songs. I have 3000+ songs in my playlist and now half the time I get random songs that play, sometimes multiple in a row, i ha</t>
  </si>
  <si>
    <t xml:space="preserve">https://www.reddit.com/comments/1o130h7</t>
  </si>
  <si>
    <t xml:space="preserve">Built my own smarter playlist generator after getting tired of Spotify’s repetitive recommendations. I got tired of Spotify recommending me the same s</t>
  </si>
  <si>
    <t xml:space="preserve">https://www.reddit.com/comments/1o179d7</t>
  </si>
  <si>
    <t xml:space="preserve">Any songs banned from the speaker?. Songs where the intro or somewhere random there is a moaning/groaning sound? It's for my [playlist]( and i was ins</t>
  </si>
  <si>
    <t xml:space="preserve">https://www.reddit.com/comments/1o1gy9k</t>
  </si>
  <si>
    <t xml:space="preserve">Jazz Daily Mix ( updated ).</t>
  </si>
  <si>
    <t xml:space="preserve">https://www.reddit.com/comments/1o1ni2d</t>
  </si>
  <si>
    <t xml:space="preserve">From the book "portraits of jazz" by Haruki Murakami you have in this playlist all greatest 55 albums from the stars of jazz he recommends in this boo</t>
  </si>
  <si>
    <t xml:space="preserve">https://www.reddit.com/comments/1o1omwd</t>
  </si>
  <si>
    <t xml:space="preserve">artists like jiinzo. im obsessed with jiinzo, his music is shoegaze/rock-ish and was wondering if anybody has any others like him! any recommendation </t>
  </si>
  <si>
    <t xml:space="preserve">https://www.reddit.com/comments/1o1rthj</t>
  </si>
  <si>
    <t xml:space="preserve">remember when Spotify used to look like this. Ugh, i miss it so much😩. Hey Everybody. Throwback time, folks. I was digging through some old screenshot</t>
  </si>
  <si>
    <t xml:space="preserve">https://www.reddit.com/comments/1o2bz22</t>
  </si>
  <si>
    <t xml:space="preserve">Spotify autoplay when connecting to Bluetooth anything.. As the title says. Basically, when Bluetooth is connected Spotify either opens or opens and p</t>
  </si>
  <si>
    <t xml:space="preserve">https://www.reddit.com/comments/1o313j5</t>
  </si>
  <si>
    <t xml:space="preserve">Should I change my Spotify region from Canada to India?. Hey everyone, I’ve been living in Quebec, Canada for the past 5 years and I use Spotify a lot</t>
  </si>
  <si>
    <t xml:space="preserve">https://www.reddit.com/comments/1o3kjru</t>
  </si>
  <si>
    <t xml:space="preserve">Recs for the vibe of music in this playlist? 90s-10s indie rock/pop songs that are cheerful, but also mellow/kinda eerie sounding?. I really like thes</t>
  </si>
  <si>
    <t xml:space="preserve">https://www.reddit.com/comments/1o4m9sz</t>
  </si>
  <si>
    <t xml:space="preserve">Recommend me some songs (mostly rap).</t>
  </si>
  <si>
    <t xml:space="preserve">https://www.reddit.com/comments/1o4x4a9</t>
  </si>
  <si>
    <t xml:space="preserve">https://www.reddit.com/comments/1o516k1</t>
  </si>
  <si>
    <t xml:space="preserve">Rec me some obscure hidden gems for my everyday playlist.. I'll listen to pretty much anything, except generic radio music. Not that it's bad, just th</t>
  </si>
  <si>
    <t xml:space="preserve">https://www.reddit.com/comments/1o51yue</t>
  </si>
  <si>
    <t xml:space="preserve">Disover Weekly frontloading AI slop?. pretty sure the 1st song on my Discover Weekly is AI? Spotify really needs to start labeling this stuff &amp; should</t>
  </si>
  <si>
    <t xml:space="preserve">https://www.reddit.com/comments/1o5cwmb</t>
  </si>
  <si>
    <t xml:space="preserve">drop your fav chill rnb song or playlist. late night rnb - SZA, Summer Walker, Jhené Aiko, Brent Faiyaz, Kehlani, Ella Mai, H.E.R., Alina Baraz, etc. </t>
  </si>
  <si>
    <t xml:space="preserve">https://www.reddit.com/comments/1o65efs</t>
  </si>
  <si>
    <t xml:space="preserve">Please recommend me some songs that is similar to my playlist. Basically like cute songs peaceful songs ish</t>
  </si>
  <si>
    <t xml:space="preserve">https://www.reddit.com/comments/1o6gzg5</t>
  </si>
  <si>
    <t xml:space="preserve">Spotify rolls out controls to keep kids music out of your algorithm.</t>
  </si>
  <si>
    <t xml:space="preserve">https://www.reddit.com/comments/1o6jqo4</t>
  </si>
  <si>
    <t xml:space="preserve">Been a premium user since 2019, but after this update, I'll just shift to apple music.... Like theres no point in using Spotify anymore They can't com</t>
  </si>
  <si>
    <t xml:space="preserve">https://www.reddit.com/comments/1o79mds</t>
  </si>
  <si>
    <t xml:space="preserve">Spotify keeps playing same songs again and again. i use Spotify free on my phone and have listened to my liked songs mostly recently. After the update</t>
  </si>
  <si>
    <t xml:space="preserve">https://www.reddit.com/comments/1o7ahna</t>
  </si>
  <si>
    <t xml:space="preserve">The same songs playing over and over.. So lately I've noticed my Spotify acting differently. Ever since the update where free users can now skip an un</t>
  </si>
  <si>
    <t xml:space="preserve">https://www.reddit.com/comments/1o7e4mu</t>
  </si>
  <si>
    <t xml:space="preserve">I need song recommendations that sound like the title of this playlist. i’ve been really into this glitchy / crunchy soundscape lately. what songs sho</t>
  </si>
  <si>
    <t xml:space="preserve">https://www.reddit.com/comments/1o7f8eo</t>
  </si>
  <si>
    <t xml:space="preserve">Soundtracks request for eargasms. I need some soundtracks to listen to. Something that can really make you feel you are floating or in a different pla</t>
  </si>
  <si>
    <t xml:space="preserve">https://www.reddit.com/comments/1o7gbpm</t>
  </si>
  <si>
    <t xml:space="preserve">Recommend a Podcast or 2 for my drive. Will be driving around 8 hours from VA up to NY then back a couple days later. I rarely listen to Podcasts but </t>
  </si>
  <si>
    <t xml:space="preserve">https://www.reddit.com/comments/1o7nnbw</t>
  </si>
  <si>
    <t xml:space="preserve">Did shuffle get way worse after the free user update?. After Spotify let free users play any song they want and forced recommended songs it feels like</t>
  </si>
  <si>
    <t xml:space="preserve">https://www.reddit.com/comments/1o7tw9y</t>
  </si>
  <si>
    <t xml:space="preserve">Need suggestion's regarding playlists. So as my title suggests, I need suggestions regarding playlists. How do you guys organize yours? Is it based on</t>
  </si>
  <si>
    <t xml:space="preserve">https://www.reddit.com/comments/1o7yt8k</t>
  </si>
  <si>
    <t xml:space="preserve">Are you looking for new music and sick of Spotify's repetitive suggestions?. After a while, Spotify becomes a repetitive echo chamber, and it's especi</t>
  </si>
  <si>
    <t xml:space="preserve">https://www.reddit.com/comments/1o8y2ip</t>
  </si>
  <si>
    <t xml:space="preserve">What in the buns recommendations are these 😭😭😭. I don't even listen to huntrix in fact I hate their songs and I get recommended this</t>
  </si>
  <si>
    <t xml:space="preserve">https://www.reddit.com/comments/1o99pcp</t>
  </si>
  <si>
    <t xml:space="preserve">New artist terms from Spotify. Hello everyone! I apologize if this isn't the right place to ask this. I just watched this video and I’m wondering: is </t>
  </si>
  <si>
    <t xml:space="preserve">https://www.reddit.com/comments/1o9qjrl</t>
  </si>
  <si>
    <t xml:space="preserve">Give me song recommendations to put in my playlist. Here's my Spotify playlist. Send me songs that you like and I'll reply which songs I'll put in my </t>
  </si>
  <si>
    <t xml:space="preserve">https://www.reddit.com/comments/1oa0rhr</t>
  </si>
  <si>
    <t xml:space="preserve">What are the odds of this?. So, I'm really tired and am almost certain im doing this wrong. 1343 songs in the Playlist, 2 versions of My Way by frank </t>
  </si>
  <si>
    <t xml:space="preserve">https://www.reddit.com/comments/1oadtux</t>
  </si>
  <si>
    <t xml:space="preserve">Anyone having their recommendations filled with nonsense?. Over the last couple of weeks a few random podcasts have been in my recommendations and I f</t>
  </si>
  <si>
    <t xml:space="preserve">https://www.reddit.com/comments/1oawquh</t>
  </si>
  <si>
    <t xml:space="preserve">Drop the playlists you made for your boo or bae, cuffing season edition. I been gatekeeping these fr, made them for my love, felt too personal to shar</t>
  </si>
  <si>
    <t xml:space="preserve">https://www.reddit.com/comments/1obiepv</t>
  </si>
  <si>
    <t xml:space="preserve">looking for songs. im just looking for songs to expand my taste and enhance my palate here are some of my playlists: [rock, anti folk]( [dreamy sad vi</t>
  </si>
  <si>
    <t xml:space="preserve">https://www.reddit.com/comments/1obq5h5</t>
  </si>
  <si>
    <t xml:space="preserve">Any suggestions?. (Don't recommend same album)</t>
  </si>
  <si>
    <t xml:space="preserve">https://www.reddit.com/comments/1obwqvt</t>
  </si>
  <si>
    <t xml:space="preserve">New to spotify a few annoyances about the "recommendation" system. Rec Sys Questions and Advice for "Non-playlist" people 1. Why no feedback? It seems</t>
  </si>
  <si>
    <t xml:space="preserve">https://www.reddit.com/comments/1oc0omk</t>
  </si>
  <si>
    <t xml:space="preserve">Spotify DJ glitch. Has anyone else’s DJ recently be repeating the songs it chooses? It’ll play the first 4 songs and then continuously repeat them unt</t>
  </si>
  <si>
    <t xml:space="preserve">https://www.reddit.com/comments/1oco97e</t>
  </si>
  <si>
    <t xml:space="preserve">seriously. I just wanna listen to the songs i added to my playlist but because i dont spend 10€ or however much premium costs im stuck listening to ho</t>
  </si>
  <si>
    <t xml:space="preserve">https://www.reddit.com/comments/1ocurk8</t>
  </si>
  <si>
    <t xml:space="preserve">Desperately need help with song recommendations for this playlist. The playlist is called “Songs where the artist soft launches that they’re a werewol</t>
  </si>
  <si>
    <t xml:space="preserve">https://www.reddit.com/comments/1ocw299</t>
  </si>
  <si>
    <t xml:space="preserve">Has anyone had issues with with refresh buttong on recommend songs?. The button is behind the home keys and cannot be pressed.</t>
  </si>
  <si>
    <t xml:space="preserve">https://www.reddit.com/comments/1od2gpy</t>
  </si>
  <si>
    <t xml:space="preserve">Switching over because of AI recommendations. Today I've read about AI artists on spotify. I've been feeling my discover weekly is a bit lackluster la</t>
  </si>
  <si>
    <t xml:space="preserve">https://www.reddit.com/comments/1odj1a1</t>
  </si>
  <si>
    <t xml:space="preserve">Redditcore - Small pop punk &amp; emo bands suggested by various subreddits.</t>
  </si>
  <si>
    <t xml:space="preserve">https://www.reddit.com/comments/1odlgek</t>
  </si>
  <si>
    <t xml:space="preserve">Share your Spotify Daylist!. Hi all! I am conducting a small survey for an essay about how Spotify constructs the personalized Daylist titles. If you </t>
  </si>
  <si>
    <t xml:space="preserve">https://www.reddit.com/comments/1oe32qd</t>
  </si>
  <si>
    <t xml:space="preserve">Suggest more music. Sorta bored of playing the songs on repeat, suggest more songs based off my top bands Mcr, black sabbath, soad, type o negative, k</t>
  </si>
  <si>
    <t xml:space="preserve">https://www.reddit.com/comments/1ofoz4v</t>
  </si>
  <si>
    <t xml:space="preserve">Removed crossfade fine tuning. Not sure what else to call it, but before, I used to get around the awkward pause during song transitions by setting th</t>
  </si>
  <si>
    <t xml:space="preserve">https://www.reddit.com/comments/1oge4xb</t>
  </si>
  <si>
    <t xml:space="preserve">African Dinner Music (Ethiopian jazz, Senegalese soul, Ghanaian highlife, Nigerian Afrobeat, Saharan desert blues, etc). Suggestions much appreciated:</t>
  </si>
  <si>
    <t xml:space="preserve">https://www.reddit.com/comments/1ogs9yr</t>
  </si>
  <si>
    <t xml:space="preserve">Has anyone else been experiencing this bug?. Every time I try to pop out a song on my iOS to put it on repeat, it just gives me a black screen and the</t>
  </si>
  <si>
    <t xml:space="preserve">https://www.reddit.com/comments/1oho9au</t>
  </si>
  <si>
    <t xml:space="preserve">Halloween is coming up!. I love making Instagram posts, and I plan on making a few for Halloween and I'm looking for audio suggestions! My preferred g</t>
  </si>
  <si>
    <t xml:space="preserve">https://www.reddit.com/comments/1ohv9cv</t>
  </si>
  <si>
    <t xml:space="preserve">Spotify out! Qobuz in!. I've had Spotify for more than 15 years but now I'm out. Qobuz is great! 10/10, would recommend. Remember that Spotify support</t>
  </si>
  <si>
    <t xml:space="preserve">https://www.reddit.com/comments/1oi8zec</t>
  </si>
  <si>
    <t xml:space="preserve">None of my playlists, both ones I've made and ones that are from cast recordings, aren't letting me play the actual songs in the playlist. I'm 99% sur</t>
  </si>
  <si>
    <t xml:space="preserve">https://www.reddit.com/comments/1oixwbo</t>
  </si>
  <si>
    <t xml:space="preserve">How can I use Spotify better for album listening?. I’ve used Spotify for many years but I’ve made a few excursions to other services over the years an</t>
  </si>
  <si>
    <t xml:space="preserve">https://www.reddit.com/comments/1oizd6a</t>
  </si>
  <si>
    <t xml:space="preserve">Just discovered there's a song limit on playlists :((. I solely use this playlist as a radio, meaning I never switch and let it play almost H24, while</t>
  </si>
  <si>
    <t xml:space="preserve">https://www.reddit.com/comments/1oj2d63</t>
  </si>
  <si>
    <t xml:space="preserve">Recommended songs. I don’t have Spotify Premium, and lately the recommended songs that play after my chosen music don’t make any sense at all 😭 I’ll b</t>
  </si>
  <si>
    <t xml:space="preserve">https://www.reddit.com/comments/1ojmydk</t>
  </si>
  <si>
    <t xml:space="preserve">Song recommendations pretty please(playlist for reference).</t>
  </si>
  <si>
    <t xml:space="preserve">https://www.reddit.com/comments/1okaim2</t>
  </si>
  <si>
    <t xml:space="preserve">Spotify keeps giving me playlists I don’t want.. I’d been watching videos of a streamer reacting to “top streamed songs” lists—things like Top 2010s S</t>
  </si>
  <si>
    <t xml:space="preserve">https://www.reddit.com/comments/1okbcqo</t>
  </si>
  <si>
    <t xml:space="preserve">How long does it take BBC Radio 1 Live Lounge to appear on Spotify?. I know these songs eventually make their way to Spotify, but based on quick resea</t>
  </si>
  <si>
    <t xml:space="preserve">https://www.reddit.com/comments/1ol3cwp</t>
  </si>
  <si>
    <t xml:space="preserve">Can’t find album. I was looking at the recommended albums and I was going to go back and listen to this album that had piqued my interest bc it was th</t>
  </si>
  <si>
    <t xml:space="preserve">https://www.reddit.com/comments/1olfdlg</t>
  </si>
  <si>
    <t xml:space="preserve">Recovering good dj recommendations?. Hi all, I had some contractors working on my house for several weeks. They used Spotify through my Alexa to liste</t>
  </si>
  <si>
    <t xml:space="preserve">https://www.reddit.com/comments/1olpc41</t>
  </si>
  <si>
    <t xml:space="preserve">Why Discover Weekly is so weird?. You see, I'm argentinian and I listen lot of national rock but britpop aswell, classic rock, prog rock, etc. What do</t>
  </si>
  <si>
    <t xml:space="preserve">https://www.reddit.com/comments/1om8zzi</t>
  </si>
  <si>
    <t xml:space="preserve">Spotify on AppleWatchUltra3. So i switched from Garmin to AWU3 and using airpod pro 2. The spotfy app worked nicely on garmin. On the AWU3 i have mass</t>
  </si>
  <si>
    <t xml:space="preserve">https://www.reddit.com/comments/1one8js</t>
  </si>
  <si>
    <t xml:space="preserve">How do you with your holiday music?. Hi all. So its nearly Christmas music time! I'm one of those people that will listen to it from Thanks Giving to </t>
  </si>
  <si>
    <t xml:space="preserve">https://www.reddit.com/comments/1ong5rx</t>
  </si>
  <si>
    <t xml:space="preserve">"Made for you" not showing up on Roku. I listen to for you, new releases etc. and when I logged into Spotify on my roku it had what I listened to rece</t>
  </si>
  <si>
    <t xml:space="preserve">https://www.reddit.com/comments/1onpg3m</t>
  </si>
  <si>
    <t xml:space="preserve">Deep, dark, atmospheric D&amp;B from smaller artists.. Looking for gritty breaks, gnarly bass and strong melodies. Let me know if you have a recommendatio</t>
  </si>
  <si>
    <t xml:space="preserve">https://www.reddit.com/comments/1oo6nay</t>
  </si>
  <si>
    <t xml:space="preserve">TikTok to Spotify: Converting Social Media Buzz Into Playlist Placements. # Why TikTok Alone Isn't Enough In 2025, TikTok is still the #1 driver of vi</t>
  </si>
  <si>
    <t xml:space="preserve">https://www.reddit.com/comments/1oowd3v</t>
  </si>
  <si>
    <t xml:space="preserve">What's going on with Spotify recommendations?. I feel like my Daily Mix are the same 10 songs every day in a different order, and the DJ just seems to</t>
  </si>
  <si>
    <t xml:space="preserve">https://www.reddit.com/comments/1opesz3</t>
  </si>
  <si>
    <t xml:space="preserve">/r/spotify is a cancer to Spotify. Here is why.. I found my way here to truespotify after being annoyed with the fact that /r/spotify is nothing but b</t>
  </si>
  <si>
    <t xml:space="preserve">https://www.reddit.com/comments/1oph9w9</t>
  </si>
  <si>
    <t xml:space="preserve">algorithm sucks, do you agree. I've been using Spotify and discover weekly for YEARS and I used to find a lot of great music but the quality and quant</t>
  </si>
  <si>
    <t xml:space="preserve">https://www.reddit.com/comments/1opn286</t>
  </si>
  <si>
    <t xml:space="preserve">Workout playlist recs. I've got a workout playlist that I use for glute-centered hiit using a rower and an elliptical. Getting a bit tired of the song</t>
  </si>
  <si>
    <t xml:space="preserve">https://www.reddit.com/comments/1oposvm</t>
  </si>
  <si>
    <t xml:space="preserve">Error when using address finder. I'm attempting to join a family plan but having an issue with the address finder. I've tried the suggested fixes (whi</t>
  </si>
  <si>
    <t xml:space="preserve">https://www.reddit.com/comments/1oq09sf</t>
  </si>
  <si>
    <t xml:space="preserve">Queue is not on genre?. Why does Spotify music rec and queue just not work?? I get into one a genre and then I listen to another and Spotify is like o</t>
  </si>
  <si>
    <t xml:space="preserve">https://www.reddit.com/comments/1oq94wu</t>
  </si>
  <si>
    <t xml:space="preserve">uk new wave playlist. Some of the best and trending new wave tracks out of the UK. mixed in with some classics delivering the perfect vibe. Check it o</t>
  </si>
  <si>
    <t xml:space="preserve">https://www.reddit.com/comments/1orszxu</t>
  </si>
  <si>
    <t xml:space="preserve">Recent Earworms 2024 - 2025. Musicthatdasts highly recommended music from the past couple of years. It’s not just a playlist, it’s a lifestyle.</t>
  </si>
  <si>
    <t xml:space="preserve">https://www.reddit.com/comments/1ot2vxi</t>
  </si>
  <si>
    <t xml:space="preserve">Big gap… Any suggestions?.</t>
  </si>
  <si>
    <t xml:space="preserve">https://www.reddit.com/comments/1ot55qi</t>
  </si>
  <si>
    <t xml:space="preserve">i used to think spotify’s “discover weekly” was enough: until i realized how much music i was missing. for the longest time i thought spotify was doin</t>
  </si>
  <si>
    <t xml:space="preserve">https://www.reddit.com/comments/1otakq9</t>
  </si>
  <si>
    <t xml:space="preserve">Spotify keeps auto-playing music that is completely unrelated to what I'm listening to. For context, about 2 months back i got hooked on the song St. </t>
  </si>
  <si>
    <t xml:space="preserve">https://www.reddit.com/comments/1otk12x</t>
  </si>
  <si>
    <t xml:space="preserve">Is there any way to make this screw off?. Like for real, I pay these bastards ever month basically just so they won't bother me. All I wanna do is lis</t>
  </si>
  <si>
    <t xml:space="preserve">https://www.reddit.com/comments/1otlsv6</t>
  </si>
  <si>
    <t xml:space="preserve">Spotify forced "Smart Shuffle" on their Roku app without option to turn off…. This absolutely horrible feature is now forced on playlists and the play</t>
  </si>
  <si>
    <t xml:space="preserve">https://www.reddit.com/comments/1otqkl5</t>
  </si>
  <si>
    <t xml:space="preserve">Growing trend of ai music. Has anyone else started noticing how ai generated music is beginning to over take regular music. Especially when letting Sp</t>
  </si>
  <si>
    <t xml:space="preserve">https://www.reddit.com/comments/1oudm5t</t>
  </si>
  <si>
    <t xml:space="preserve">Can I get rid of the “discover” section on the Kids Spotify app?. Is there a way to get rid of the “discover” section or exclude certain discover reco</t>
  </si>
  <si>
    <t xml:space="preserve">https://www.reddit.com/comments/1ouo9oz</t>
  </si>
  <si>
    <t xml:space="preserve">Okay I guess?. I’ve tried listening to the dj ai spotify shoved into the app, and the playlists are decent. There is a reason however that I am listen</t>
  </si>
  <si>
    <t xml:space="preserve">https://www.reddit.com/comments/1ouoqyp</t>
  </si>
  <si>
    <t xml:space="preserve">Spotify. I genuinely fucking hate Spotify how the fuck do I get 30 minutes of uninterrupted music then after 2 songs I get ads I fucking hate Spotify </t>
  </si>
  <si>
    <t xml:space="preserve">https://www.reddit.com/comments/1ov64ov</t>
  </si>
  <si>
    <t xml:space="preserve">Just wanna throw it out there bc I know someone wants to hear it.. I’ve had Spotify for 10 years. I am in the top 1% of listeners for any music whatso</t>
  </si>
  <si>
    <t xml:space="preserve">https://www.reddit.com/comments/1ovknbk</t>
  </si>
  <si>
    <t xml:space="preserve">DJ has become useless to me. It used to be a cool feature because it played whatever I was most into at the time and similar stuff. Now it won't shut </t>
  </si>
  <si>
    <t xml:space="preserve">https://www.reddit.com/comments/1oxrmwg</t>
  </si>
  <si>
    <t xml:space="preserve">Muting songs on On Repeat. Can we not do that anymore? I used to be able to mute them from showing up on the playlist/playing when I put it on shuffle</t>
  </si>
  <si>
    <t xml:space="preserve">https://www.reddit.com/comments/1oxt8ez</t>
  </si>
  <si>
    <t xml:space="preserve">Spotify lyrics not auto scrolling correctly (Browser). I've been having this issue lately where the lyrics will *start out* tracking and scrolling cor</t>
  </si>
  <si>
    <t xml:space="preserve">https://www.reddit.com/comments/1oyi8ss</t>
  </si>
  <si>
    <t xml:space="preserve">4580.. How many likes have you given so far? I've 4,850 Songs in my favourite songs List. You have to train the algorithm, after all. ☺️ I use Spotify</t>
  </si>
  <si>
    <t xml:space="preserve">https://www.reddit.com/comments/1ozi1i3</t>
  </si>
  <si>
    <t xml:space="preserve">Is A.I. piano music taking the place of people with actual talent?. Lately my Spotify recommendations have been flooded with “piano” tracks that hones</t>
  </si>
  <si>
    <t xml:space="preserve">https://www.reddit.com/comments/1ozi5eh</t>
  </si>
  <si>
    <t xml:space="preserve">Tiered Liked Playlists?. Hey yall! I was wondering if it was possible to make a tier list for your songs in playlist form? Like, the idea would be to </t>
  </si>
  <si>
    <t xml:space="preserve">https://www.reddit.com/comments/1p0dgoi</t>
  </si>
  <si>
    <t xml:space="preserve">Man, Discover Weekly has been clicking for me the last couple weeks. [removed]</t>
  </si>
  <si>
    <t xml:space="preserve">https://www.reddit.com/comments/1p0gzsl</t>
  </si>
  <si>
    <t xml:space="preserve">Music recs from any of the genres in this comment on mememe by 100 gecs on youtube. " @jeffmoffat5202 • 2y ago I'm old. I was/am a death metal head wh</t>
  </si>
  <si>
    <t xml:space="preserve">https://www.reddit.com/comments/1p0n83o</t>
  </si>
  <si>
    <t xml:space="preserve">Guys i have a problem. Sometimes i find in my playlists some weird song that i never added (and it also go into the liked songs), (i don’t use smart s</t>
  </si>
  <si>
    <t xml:space="preserve">https://www.reddit.com/comments/1p0nai6</t>
  </si>
  <si>
    <t xml:space="preserve">Song radio. [removed]</t>
  </si>
  <si>
    <t xml:space="preserve">https://www.reddit.com/comments/1p1lfkd</t>
  </si>
  <si>
    <t xml:space="preserve">[Rock] 1990 Billboard Rock Tracks. I have been gradually creating and posting the Billboard Rock Tracks charts (which began in 1981) and have worked m</t>
  </si>
  <si>
    <t xml:space="preserve">https://www.reddit.com/comments/1p1sy5c</t>
  </si>
  <si>
    <t xml:space="preserve">Spotify testing "Prompt Playlists". Spotify is testing "Prompt Playlists: Prompt a playlist with specific cues and rules" "Describe your perfect playl</t>
  </si>
  <si>
    <t xml:space="preserve">https://www.reddit.com/comments/1p35nhr</t>
  </si>
  <si>
    <t xml:space="preserve">how to play liked songs in a playlist?. I wanna play a certain playlist, but I hate that it has songs that I didn't like and sometimes, I just wanna l</t>
  </si>
  <si>
    <t xml:space="preserve">https://www.reddit.com/comments/1p38ik8</t>
  </si>
  <si>
    <t xml:space="preserve">Unlikely Reggae. This is a playlist of Reggae influenced tracks by non Reggae artists. It's a real mix - as diverse as The Clash, Bob Dylan and Prince</t>
  </si>
  <si>
    <t xml:space="preserve">https://www.reddit.com/comments/1p3mklu</t>
  </si>
  <si>
    <t xml:space="preserve">Help Support Emerging Talent: This Mexican Artist Deserves Way More Streams!. Hey everyone! I highly recommend checking out this **emerging** Mexican </t>
  </si>
  <si>
    <t xml:space="preserve">https://www.reddit.com/comments/1p43ymr</t>
  </si>
  <si>
    <t xml:space="preserve">How's the algorithm in 2025?. Years ago, I often used to hear how surprisingly good the algorithm recommending new artists and songs is. I am now cons</t>
  </si>
  <si>
    <t xml:space="preserve">https://www.reddit.com/comments/1p45e50</t>
  </si>
  <si>
    <t xml:space="preserve">Any way I can convert stuff like this to a SINGLE playlist?. I would like to listen to all of the new releases that the algorithm picks for me. Sort o</t>
  </si>
  <si>
    <t xml:space="preserve">https://www.reddit.com/comments/1p4iw41</t>
  </si>
  <si>
    <t xml:space="preserve">10 Songs from the 70s. A short playlist for lovers of 70s rock &amp; pop radio...10 songs are featured daily (hits and album tracks), then a new batch the</t>
  </si>
  <si>
    <t xml:space="preserve">https://www.reddit.com/comments/1p55ww6</t>
  </si>
  <si>
    <t xml:space="preserve">Midwest Emo recommendations. Music similar to Nik Salah, Modern Baseball, (not Midwest emo but) Cavetown, etc. thanks!</t>
  </si>
  <si>
    <t xml:space="preserve">https://www.reddit.com/comments/1p6uy63</t>
  </si>
  <si>
    <t xml:space="preserve">Just how. Okay we all know the spotify "made for you" playlists are terrible, but how did it mess up this badly?</t>
  </si>
  <si>
    <t xml:space="preserve">https://www.reddit.com/comments/1p736az</t>
  </si>
  <si>
    <t xml:space="preserve">When clicking on "Go to song Radio" how do I avoid Spotify filling the list with songs that I already have in my playlist?.</t>
  </si>
  <si>
    <t xml:space="preserve">https://www.reddit.com/comments/1p79mtr</t>
  </si>
  <si>
    <t xml:space="preserve">Help out a Spotify Lite user please. So they took Spotify Lite out behind the barn this week. Forced to switch to the god awful bloated main app. Stru</t>
  </si>
  <si>
    <t xml:space="preserve">https://www.reddit.com/comments/1p7afy4</t>
  </si>
  <si>
    <t xml:space="preserve">Thanksgiving 2025. Can anybody recommend some songs for my Thanksgiving dinner playlist? Preferably indie &amp; classic rock. Thanks!</t>
  </si>
  <si>
    <t xml:space="preserve">https://www.reddit.com/comments/1p7nyp9</t>
  </si>
  <si>
    <t xml:space="preserve">Spotify is force-replacing songs with ai covers. I was trying to listen to a song in my playlist today, "В последний раз" by Vesyolye Rebyata, and it </t>
  </si>
  <si>
    <t xml:space="preserve">https://www.reddit.com/comments/1p8fagg</t>
  </si>
  <si>
    <t xml:space="preserve">Is there a way this is real?. I went into my Spotify Premium account to check how much longer I had for my subscription within my app. When I checked </t>
  </si>
  <si>
    <t xml:space="preserve">https://www.reddit.com/comments/1p95dbi</t>
  </si>
  <si>
    <t xml:space="preserve">The Never Ending Quest for New Music. I've been on a constant search for new music my whole life. I've found so much great stuff, and I'm always impre</t>
  </si>
  <si>
    <t xml:space="preserve">https://www.reddit.com/comments/1p9s5iy</t>
  </si>
  <si>
    <t xml:space="preserve">Spotify randomly sent a message to someone?. I just checked my Spotify and I see it sent a song to someone. I originally sent this song to a friend vi</t>
  </si>
  <si>
    <t xml:space="preserve">https://www.reddit.com/comments/1pa3547</t>
  </si>
  <si>
    <t xml:space="preserve">Spotify just forced music videos on us and it’s ruining the listening experience. Anyone else absolutely DONE with Spotify’s new video feature where r</t>
  </si>
  <si>
    <t xml:space="preserve">https://www.reddit.com/comments/1paroxm</t>
  </si>
  <si>
    <t xml:space="preserve">Why does my spotify keep playing the same song????. Its in shuffle and smart shuffle, ive tried refreshing and clearing cache, clicking a new song??? </t>
  </si>
  <si>
    <t xml:space="preserve">https://www.reddit.com/comments/1pb8ewa</t>
  </si>
  <si>
    <t xml:space="preserve">Rate this Equaliser setting.. Just used these on my new AirPods Pro’s. Everything sounds more enhanced.</t>
  </si>
  <si>
    <t xml:space="preserve">https://www.reddit.com/comments/1pbttp7</t>
  </si>
  <si>
    <t xml:space="preserve">Spotify Messaging. I want to know how this works. I remember being active on Discord and Twitter during the early days of the pandemic, and shared a l</t>
  </si>
  <si>
    <t xml:space="preserve">https://www.reddit.com/comments/1pc4brc</t>
  </si>
  <si>
    <t xml:space="preserve">Getting rid of spotify. Hi, any advice on alternatives for spotify? I reeeally want to ditch spotify an listen to music more ethically, so i need an a</t>
  </si>
  <si>
    <t xml:space="preserve">https://www.reddit.com/comments/1pcolpc</t>
  </si>
  <si>
    <t xml:space="preserve">My top songs are completely off. I’m tracking my songs with last.fm, and the most listened tracks are completely unaligned with anything there. My mos</t>
  </si>
  <si>
    <t xml:space="preserve">https://www.reddit.com/comments/1pdmcmo</t>
  </si>
  <si>
    <t xml:space="preserve">random songs playing. ive been having this issue for about a year or so now, whenever im listening to music sometimes it will turn the volume all the </t>
  </si>
  <si>
    <t xml:space="preserve">https://www.reddit.com/comments/1pdmkbv</t>
  </si>
  <si>
    <t xml:space="preserve">An AI artist I’ve barely listened to is somehow my #1 artist on Spotify?. Not sure how this is possible. Biscuit Beats has a country song called “I Ai</t>
  </si>
  <si>
    <t xml:space="preserve">https://www.reddit.com/comments/1pdskct</t>
  </si>
  <si>
    <t xml:space="preserve">How to fix my algorithm. Last year I was using my Google Home as an alarm clock, and I made it play “Peanut Butter Jelly Time” off Spotify as my alarm</t>
  </si>
  <si>
    <t xml:space="preserve">https://www.reddit.com/comments/1pf2i4n</t>
  </si>
  <si>
    <t xml:space="preserve">Playlist Cover Quality Issues. Hiiii, I hope u can help me. Idk if it's just me or a bug. I've noticed that all my playlists covers looks in low quali</t>
  </si>
  <si>
    <t xml:space="preserve">https://www.reddit.com/comments/1pg1ttj</t>
  </si>
  <si>
    <t xml:space="preserve">[Rock] 1992 Billboard Rock Tracks. On to 1992 for the Billboard Rock Tracks charts (which began in 1981). The chart is in order based on the ranking s</t>
  </si>
  <si>
    <t xml:space="preserve">https://www.reddit.com/comments/1pg7zka</t>
  </si>
  <si>
    <t xml:space="preserve">Made this playlist today, if you could only choose 15 songs?. Had a few hours to kill and made this playlist today and was looking for feedback and/or</t>
  </si>
  <si>
    <t xml:space="preserve">https://www.reddit.com/comments/1pg8fhi</t>
  </si>
  <si>
    <t xml:space="preserve">Every single discover weekly song is made by AI. I'm so tired of Spotify recommending AI song's to me. I got maybe 1-2 real artists before I was heari</t>
  </si>
  <si>
    <t xml:space="preserve">https://www.reddit.com/comments/1ph3c88</t>
  </si>
  <si>
    <t xml:space="preserve">AI Tag | Made a quick example, thoughts?. I keep getting AI on my Discover Weekly, why doesn’t something like this exist? I made a quick example in Ph</t>
  </si>
  <si>
    <t xml:space="preserve">https://www.reddit.com/comments/1phgtne</t>
  </si>
  <si>
    <t xml:space="preserve">Do you like Hyperpop? Drop recs/ check out my playlist. I love hyperpop and similar genres, and lately I've been getting more into Spanish artists lik</t>
  </si>
  <si>
    <t xml:space="preserve">https://www.reddit.com/comments/1phoxil</t>
  </si>
  <si>
    <t xml:space="preserve">shuffle issue. i’ve had spotify for a while and i love the app, but occasionally i’ll get the issue where i keep getting the same 20ish songs in a row</t>
  </si>
  <si>
    <t xml:space="preserve">https://www.reddit.com/comments/1pihoeo</t>
  </si>
  <si>
    <t xml:space="preserve">Can I just disable this daily mix/recommendation feature?. Front and center on my Spotify page and I don't even listen to Taylor Swift. I've only ever</t>
  </si>
  <si>
    <t xml:space="preserve">https://www.reddit.com/comments/1pj5r1m</t>
  </si>
  <si>
    <t xml:space="preserve">Fo Sho. I feel a rush of greed for more music to add to this playlist. Any suggestions?</t>
  </si>
  <si>
    <t xml:space="preserve">https://www.reddit.com/comments/1pjpn17</t>
  </si>
  <si>
    <t xml:space="preserve">Recommend me new music, artists, albums, playlists anything.. I wanna discover new stuff so I'd love some recommendations Recently I've been listening</t>
  </si>
  <si>
    <t xml:space="preserve">https://www.reddit.com/comments/1pjvap5</t>
  </si>
  <si>
    <t xml:space="preserve">My discover weekly has been playing 80% drum and bass for the past month and I very rarely listen to that. I'm even actively disliking or pressing X o</t>
  </si>
  <si>
    <t xml:space="preserve">https://www.reddit.com/comments/1pkhfuw</t>
  </si>
  <si>
    <t xml:space="preserve">Spotify using Ai???. Was listening to late nights &amp; heartbreak by Hannah Williams and the affirmations when I noticed the “playing view” video looking</t>
  </si>
  <si>
    <t xml:space="preserve">https://www.reddit.com/comments/1pkivhr</t>
  </si>
  <si>
    <t xml:space="preserve">Looking for new music? I've got you covered.. I make long (100+ hr) playlists across many genres, meant to be put on shuffle like a radio station. Eve</t>
  </si>
  <si>
    <t xml:space="preserve">https://www.reddit.com/comments/1pla0mm</t>
  </si>
  <si>
    <t xml:space="preserve">Why Spotify?!. So I’ve been using Spotfiy for years now and I’m a premium subscriber. I absolutely love the service but I’ve ran into this issue the l</t>
  </si>
  <si>
    <t xml:space="preserve">https://www.reddit.com/comments/1plcuhu</t>
  </si>
  <si>
    <t xml:space="preserve">Guys I need help. Hi! I was just trying to listen to Spotify, but it won’t let me listen to anything - all the songs in my playlists are greyed out/un</t>
  </si>
  <si>
    <t xml:space="preserve">https://www.reddit.com/comments/1plovtr</t>
  </si>
  <si>
    <t xml:space="preserve">Search suggestion no longer showing. So I used to search up someone I know quite often for music, as we have quite similiar taste in music and they cr</t>
  </si>
  <si>
    <t xml:space="preserve">https://www.reddit.com/comments/1pmdibd</t>
  </si>
  <si>
    <t xml:space="preserve">Is there a way to hide “made for you” playlists?. I personally love finding other peoples’ human made workout playlists and pulling songs I like onto </t>
  </si>
  <si>
    <t xml:space="preserve">https://www.reddit.com/comments/1pmi81o</t>
  </si>
  <si>
    <t xml:space="preserve">Why, Spotify algorithm? Why must you ragebait like this?.</t>
  </si>
  <si>
    <t xml:space="preserve">https://www.reddit.com/comments/1pmkm73</t>
  </si>
  <si>
    <t xml:space="preserve">What’s a song that changed your life?. Hi! I’ve gotten super used to the songs I listen to often, I need some new recommendations. My fav genre is roc</t>
  </si>
  <si>
    <t xml:space="preserve">https://www.reddit.com/comments/1pmxqp6</t>
  </si>
  <si>
    <t xml:space="preserve">Why is my daylist full of songs I never listen to?. Recently my daylist has been mostly songs I don't listen to and don't like, anyone else have this </t>
  </si>
  <si>
    <t xml:space="preserve">https://www.reddit.com/comments/1pne4i5</t>
  </si>
  <si>
    <t xml:space="preserve">Pop Rock Christmas Playlist.. I’m making a Pop/Rock Christmas playlist and trying to keep it 90% newer releases. I’m also wanting to keep adding new m</t>
  </si>
  <si>
    <t xml:space="preserve">https://www.reddit.com/comments/1pni2gr</t>
  </si>
  <si>
    <t xml:space="preserve">[Modern Rock] 1989 Billboard Modern Rock. Following up the 1988 Modern Rock/Alternative Rock chart playlist with 1989, the first full year Billboard t</t>
  </si>
  <si>
    <t xml:space="preserve">https://www.reddit.com/comments/1poawbh</t>
  </si>
  <si>
    <t xml:space="preserve">Any way of randomly listening to the artists you already follow?. I usually follow artists that I want to listen to later, and then I end up never lis</t>
  </si>
  <si>
    <t xml:space="preserve">https://www.reddit.com/comments/1poc1no</t>
  </si>
  <si>
    <t xml:space="preserve">is anybody getting the same songs in the same order when on shuffle?. screenshots are from lastfm so this has been happening a lot it’s driving me mad</t>
  </si>
  <si>
    <t xml:space="preserve">https://www.reddit.com/comments/1pomqj4</t>
  </si>
  <si>
    <t xml:space="preserve">Could someone please explain how these little tabs work? Will Spotify recommend me Indie songs similar to the radio song i chose? Similar Dream-pop so</t>
  </si>
  <si>
    <t xml:space="preserve">https://www.reddit.com/comments/1pqwdfe</t>
  </si>
  <si>
    <t xml:space="preserve">Spotify not playing the whole playlist. Hi, I noticed that for at least a week now my Spotify doesn't play the whole Playlist. I have 6h long one, so </t>
  </si>
  <si>
    <t xml:space="preserve">https://www.reddit.com/comments/1ps33db</t>
  </si>
  <si>
    <t xml:space="preserve">“From: (My Ex)” Disappeared. Long story short my ex sent me her daylist link once and every time I click on mine it says “from (ex)” but that just wen</t>
  </si>
  <si>
    <t xml:space="preserve">https://www.reddit.com/comments/1ps7rum</t>
  </si>
  <si>
    <t xml:space="preserve">Bedroom Pop / Indie Playlist, hope you like it :p. Bedroom Pop / Indie hope you like it, open to suggestions!</t>
  </si>
  <si>
    <t xml:space="preserve">https://www.reddit.com/comments/1psuplr</t>
  </si>
  <si>
    <t xml:space="preserve">Problem with Apple TV, Spotify recommendations. Hello all, just have a question regarding something going on with my Spotify app on Apple TV. Spotify </t>
  </si>
  <si>
    <t xml:space="preserve">https://www.reddit.com/comments/1pta2th</t>
  </si>
  <si>
    <t xml:space="preserve">For anyone looking for deep house/radio/ techno musics here you go!😁. [removed]</t>
  </si>
  <si>
    <t xml:space="preserve">https://www.reddit.com/comments/1ptblmt</t>
  </si>
  <si>
    <t xml:space="preserve">Odd issue I'm having. So I hide a few songs from my On Repeat every so often because I'm just tired of them, using "hide in this playlist". But when I</t>
  </si>
  <si>
    <t xml:space="preserve">https://www.reddit.com/comments/1puuo2p</t>
  </si>
  <si>
    <t xml:space="preserve">I played a white noise podcast once last week, and now i guess i will have this suggested, everyday. I click suggest less evryday and it sill keeps su</t>
  </si>
  <si>
    <t xml:space="preserve">https://www.reddit.com/comments/1pvbhd6</t>
  </si>
  <si>
    <t xml:space="preserve">[Rock] 1991 Billboard Modern Rock. This playlist contains every song that peaked in 1991 on the Billboard Modern Rock/Alternative Rock charts. They ar</t>
  </si>
  <si>
    <t xml:space="preserve">https://www.reddit.com/comments/1pw2np0</t>
  </si>
  <si>
    <t xml:space="preserve">Spotify keeps randomly playing when scrolling other apps. When I scroll on Reddit and Pinterest mainly, Spotify will randomly start playing music, eve</t>
  </si>
  <si>
    <t xml:space="preserve">https://www.reddit.com/comments/1pwb980</t>
  </si>
  <si>
    <t xml:space="preserve">King of the Fall. I listen to all kinds of music but right now I need some help as I’m bordering on my depths. Trying to make a playlist that leans ki</t>
  </si>
  <si>
    <t xml:space="preserve">https://www.reddit.com/comments/1pwcfyp</t>
  </si>
  <si>
    <t xml:space="preserve">Enhanced Radio Buttons. Hi all, can anyone explain how these new buttons work ? I have a few radio’s saved and all have different algorithm buttons ch</t>
  </si>
  <si>
    <t xml:space="preserve">https://www.reddit.com/comments/1pwfk9n</t>
  </si>
  <si>
    <t xml:space="preserve">September's Megathread Playlist. [Here]( is the Megathread playlist for September! All of the songs were suggestions from the Megathread community of </t>
  </si>
  <si>
    <t xml:space="preserve">https://www.reddit.com/comments/1pwzhga</t>
  </si>
  <si>
    <t xml:space="preserve">I’ve been woken up by a song randomly playing in my locked phone. Has this happened to anyone else? It freaked me out so much. I was sleeping and righ</t>
  </si>
  <si>
    <t xml:space="preserve">https://www.reddit.com/comments/1pxgktk</t>
  </si>
  <si>
    <t xml:space="preserve">iOS - autoplay on phone unlock.. As the title says, whenever I listened to music and stopped it then unlocked phone it always starts playing music aga</t>
  </si>
  <si>
    <t xml:space="preserve">https://www.reddit.com/comments/1py7ird</t>
  </si>
  <si>
    <t xml:space="preserve">Switching back from Apple Music, will the HomePod routine still work?. I’m moving from Apple Music to Spotify but I have Apple HomePods around the hou</t>
  </si>
  <si>
    <t xml:space="preserve">https://www.reddit.com/comments/1pzbd3i</t>
  </si>
  <si>
    <t xml:space="preserve">Recommended songs -&gt; into a playlist. I randomly searched a song that’s not usually on my Spotify recommendations. The songs that have followed are so</t>
  </si>
  <si>
    <t xml:space="preserve">https://www.reddit.com/comments/1pziwgl</t>
  </si>
  <si>
    <t xml:space="preserve">Don't Worry-Keep Going Playlist. Ok, still technically 2025 here. One of the very few accomplishments I had this year was making this playlist. It is </t>
  </si>
  <si>
    <t xml:space="preserve">https://www.reddit.com/comments/1q0ub87</t>
  </si>
  <si>
    <t xml:space="preserve">Search Glitch. Recently I'm finding the search feature within "my library" is not working. Tells me it can't find songs which are in the library. I've</t>
  </si>
  <si>
    <t xml:space="preserve">https://www.reddit.com/comments/1q1340t</t>
  </si>
  <si>
    <t xml:space="preserve">[Rock] 1995 Billboard Rock Tracks. This playlist contains every song that peaked in 1995 on the Billboard Mainstream/AOR Rock chart. They are in order</t>
  </si>
  <si>
    <t xml:space="preserve">https://www.reddit.com/comments/1q16u70</t>
  </si>
  <si>
    <t xml:space="preserve">hey guys can u save my playlist please? cocoa radio - indie, electronic, club, experimental music.</t>
  </si>
  <si>
    <t xml:space="preserve">https://www.reddit.com/comments/1q17a7s</t>
  </si>
  <si>
    <t xml:space="preserve">cocoa radio - indie, electronic, club, dance, experimental music.</t>
  </si>
  <si>
    <t xml:space="preserve">https://www.reddit.com/comments/1q191d6</t>
  </si>
  <si>
    <t xml:space="preserve">cocoa radio - indie, electronic, club, dance, experimental music. [</t>
  </si>
  <si>
    <t xml:space="preserve">https://www.reddit.com/comments/1q1hy1a</t>
  </si>
  <si>
    <t xml:space="preserve">Can't control Spotify AI DJ (no text/ voice input), region Pakistan. [removed]</t>
  </si>
  <si>
    <t xml:space="preserve">https://www.reddit.com/comments/1q1ielf</t>
  </si>
  <si>
    <t xml:space="preserve">Al songs appearing at the top of my old Spotify playlists that I never added. I'm seeing something strange with Spotify and I'm trying to understand w</t>
  </si>
  <si>
    <t xml:space="preserve">https://www.reddit.com/comments/1q1jm99</t>
  </si>
  <si>
    <t xml:space="preserve">Jazz meets Reggae. This starterd off as a list of Jazz performances with reggae influences, it's now flipped a little to include reggae with Jazz infl</t>
  </si>
  <si>
    <t xml:space="preserve">https://www.reddit.com/comments/1q1s5k6</t>
  </si>
  <si>
    <t xml:space="preserve">Best ways to re-engage with Spotify recommendations after a listening plateau. Lately I’ve been feeling kind of saturated with music. I don’t dislike </t>
  </si>
  <si>
    <t xml:space="preserve">https://www.reddit.com/comments/1q1tpou</t>
  </si>
  <si>
    <t xml:space="preserve">Spotify keeps going back to my personal playlist every time I open a new playlist to listen to. How to fix?. I tried playing my Daylist which was full</t>
  </si>
  <si>
    <t xml:space="preserve">https://www.reddit.com/comments/1q1zejw</t>
  </si>
  <si>
    <t xml:space="preserve">[Rock] 1994 Billboard Modern Rock. This playlist contains every song that peaked in 1994 on the Billboard Alternative/Modern Rock chart. They are in o</t>
  </si>
  <si>
    <t xml:space="preserve">https://www.reddit.com/comments/1q25ict</t>
  </si>
  <si>
    <t xml:space="preserve">Any way to get Spotify to recommend ONLY artists I have never listened to before at all?. Hi. Listening to music is my #1 hobby, so I listen to a lot </t>
  </si>
  <si>
    <t xml:space="preserve">https://www.reddit.com/comments/1q2fow8</t>
  </si>
  <si>
    <t xml:space="preserve">New features in Spotify radios?. So I was going to listen to Led Zeppelin radio and I noticed these buttons I hadn’t seen before up until now? Unless </t>
  </si>
  <si>
    <t xml:space="preserve">https://www.reddit.com/comments/1q2nh1e</t>
  </si>
  <si>
    <t xml:space="preserve">"real songs" by fake artist pages on discover weekly. [removed]</t>
  </si>
  <si>
    <t xml:space="preserve">https://www.reddit.com/comments/1q30ejy</t>
  </si>
  <si>
    <t xml:space="preserve">psychedelic desert rock 2026 RECS WELCOME BELOW!.</t>
  </si>
  <si>
    <t xml:space="preserve">https://www.reddit.com/comments/1q3de7f</t>
  </si>
  <si>
    <t xml:space="preserve">Looking for new music on Spotify, is there a workable strategy?. With Spotify's tendency toward repetitive playlists or even radio stations, it's real</t>
  </si>
  <si>
    <t xml:space="preserve">https://www.reddit.com/comments/1q3h2z0</t>
  </si>
  <si>
    <t xml:space="preserve">Shuffle, or not.... Why is shuffle on the Android app so bad? I have around 4k songs in my liked songs playlist and when I select shuffle it pretty mu</t>
  </si>
  <si>
    <t xml:space="preserve">https://www.reddit.com/comments/1q3lzhu</t>
  </si>
  <si>
    <t xml:space="preserve">If you love Tame Impala, The 1975, or Beach House, but want to explore a new language: I curated the best of 'Latin Dream Pop'.. I built [vol ⁰² : luc</t>
  </si>
  <si>
    <t xml:space="preserve">https://www.reddit.com/comments/1q3m932</t>
  </si>
  <si>
    <t xml:space="preserve">On Repeat playlist has been messed up since wr*pped came out. Ever since the year in review which I apparently am not allowed to mention by name outsi</t>
  </si>
  <si>
    <t xml:space="preserve">https://www.reddit.com/comments/1q3uo5h</t>
  </si>
  <si>
    <t xml:space="preserve">Spotify Wong load anything. Spot My mobile app wont load anything. At first it was just when i was on mobile data but now on WiFi too. It would show m</t>
  </si>
  <si>
    <t xml:space="preserve">https://www.reddit.com/comments/1q4ho0e</t>
  </si>
  <si>
    <t xml:space="preserve">[Rock] 1998 Billboard Rock Tracks. This playlist contains every song that peaked in 1998 on the Billboard Mainstream/AOR Rock chart. They are in order</t>
  </si>
  <si>
    <t xml:space="preserve">https://www.reddit.com/comments/1q4o1w6</t>
  </si>
  <si>
    <t xml:space="preserve">Bot idea for this subreddit. I was thinking it would be awesome to have a bot that aggregates all song recommendations from the comments of a post and</t>
  </si>
  <si>
    <t xml:space="preserve">https://www.reddit.com/comments/1q506m0</t>
  </si>
  <si>
    <t xml:space="preserve">Song recommendations?. I'm looking for songs in Spanish with the same vibe as "Save Me" by Aimee Mann</t>
  </si>
  <si>
    <t xml:space="preserve">https://www.reddit.com/comments/1q5o0h2</t>
  </si>
  <si>
    <t xml:space="preserve">[Rock] 1998 Billboard Modern Rock. This playlist contains every song that peaked in 1998 on the Billboard Modern Rock/Alternative Rock chart. They are</t>
  </si>
  <si>
    <t xml:space="preserve">https://www.reddit.com/comments/1q601uz</t>
  </si>
  <si>
    <t xml:space="preserve">Want some new artist suggestions, any genre. So my main genre i listen too is underground rap or just hiphop in general, but I'll listen to Billie Eil</t>
  </si>
  <si>
    <t xml:space="preserve">https://www.reddit.com/comments/1q698db</t>
  </si>
  <si>
    <t xml:space="preserve">The Chronological Evolution of Rock: Best &amp; Greatest Rock N Roll, Metal, Indie, and Psychedelic Rock Songs of All Time. *2025 added!* 7000+ songs and </t>
  </si>
  <si>
    <t xml:space="preserve">https://www.reddit.com/comments/1q6fb3x</t>
  </si>
  <si>
    <t xml:space="preserve">How to remove bullshit like this from my homescreen?. Since days I have to look at these stupid recommendations, I never listened to anything close an</t>
  </si>
  <si>
    <t xml:space="preserve">https://www.reddit.com/comments/1q6l28e</t>
  </si>
  <si>
    <t xml:space="preserve">Obscure / Experimental Hip Hop. Save this and also recommend more underground jazz rap.</t>
  </si>
  <si>
    <t xml:space="preserve">https://www.reddit.com/comments/1q6pye8</t>
  </si>
  <si>
    <t xml:space="preserve">[Rock] 1964 - 1966 Classic Rock. So I have been posting playlists year-by-year ranking all the songs that were on the Billboard Mainstream/AOR rock tr</t>
  </si>
  <si>
    <t xml:space="preserve">https://www.reddit.com/comments/1q747ui</t>
  </si>
  <si>
    <t xml:space="preserve">Here's 22 hours of music that feels like 60s songs!. It's very subjective of course but it's totally coherent in my mind! Got any suggestions? Drop it</t>
  </si>
  <si>
    <t xml:space="preserve">https://www.reddit.com/comments/1q78clx</t>
  </si>
  <si>
    <t xml:space="preserve">[Rock] 1999 Billboard Modern Rock. This playlist has the spotify songs ranked in order that peaked in 1999 from #1 to #136, based on the ranking syste</t>
  </si>
  <si>
    <t xml:space="preserve">https://www.reddit.com/comments/1q7sx0k</t>
  </si>
  <si>
    <t xml:space="preserve">Whats up with spotify and having song having fake collaborations(that's why they pop in my release radar). This song is clearly not by jinjer and isn'</t>
  </si>
  <si>
    <t xml:space="preserve">https://www.reddit.com/comments/1q834sp</t>
  </si>
  <si>
    <t xml:space="preserve">take. another. pill. (song recommendations). Looking for music recommendations for a playlist that revolve around songs about taking pills to feel nor</t>
  </si>
  <si>
    <t xml:space="preserve">https://www.reddit.com/comments/1q8c5zp</t>
  </si>
  <si>
    <t xml:space="preserve">Spotify isn’t the same, and it’s pmo. 5 years ago I used to use Spotify religiously, back then it was actually good. Then I stopped using Spotify for </t>
  </si>
  <si>
    <t xml:space="preserve">https://www.reddit.com/comments/1q8iixq</t>
  </si>
  <si>
    <t xml:space="preserve">I've never even watch a video episode before, what is this 😭. I was just scrolling through my spotify as normal when this came up Why. I don't need th</t>
  </si>
  <si>
    <t xml:space="preserve">https://www.reddit.com/comments/1q8lcyc</t>
  </si>
  <si>
    <t xml:space="preserve">How can I make the radio feature not useless? I don't want the same 5-6 artists cycled..</t>
  </si>
  <si>
    <t xml:space="preserve">https://www.reddit.com/comments/1q8uxdh</t>
  </si>
  <si>
    <t xml:space="preserve">Question about the Jam. I listen to metal and techno, my boyfriend listens to Andean music and reggaeton. If we start a jam session together, will the</t>
  </si>
  <si>
    <t xml:space="preserve">https://www.reddit.com/comments/1q9iyjc</t>
  </si>
  <si>
    <t xml:space="preserve">Need song recommendations for this magnificent brazilian playlist!.</t>
  </si>
  <si>
    <t xml:space="preserve">https://www.reddit.com/comments/1q9lbrs</t>
  </si>
  <si>
    <t xml:space="preserve">How do I remove this from my suggestions?. [deleted]</t>
  </si>
  <si>
    <t xml:space="preserve">https://www.reddit.com/comments/1qaq8yg</t>
  </si>
  <si>
    <t xml:space="preserve">Message Request to another Region. Ireland , (Premium Plan) I have recently tried to send a message request to a friend who has moved to America 🇺🇸fro</t>
  </si>
  <si>
    <t xml:space="preserve">https://www.reddit.com/comments/1qazn21</t>
  </si>
  <si>
    <t xml:space="preserve">Looking for new pop girlies i should really pay attention this year. I mean those really underground ones but with insane talent, without any critical</t>
  </si>
  <si>
    <t xml:space="preserve">https://www.reddit.com/comments/1qb11ri</t>
  </si>
  <si>
    <t xml:space="preserve">My Discover Weekly is Broken. Last week I only had 38min of songs, this week I have 2 songs? Whats the problem here? Is there anyway to fix it?</t>
  </si>
  <si>
    <t xml:space="preserve">https://www.reddit.com/comments/1qb7p45</t>
  </si>
  <si>
    <t xml:space="preserve">Uplifting songs?. Hey guys! Going through something quite tough at the moment and I need some songs about... hope, not in a religious way though, don'</t>
  </si>
  <si>
    <t xml:space="preserve">https://www.reddit.com/comments/1qb9er0</t>
  </si>
  <si>
    <t xml:space="preserve">Anybody having problems with their On Repeat?. For some reason different versions of songs will appear on my On Repeat. For example a clean version wi</t>
  </si>
  <si>
    <t xml:space="preserve">https://www.reddit.com/comments/1qbfdgd</t>
  </si>
  <si>
    <t xml:space="preserve">Playing a song. Am I dumb,or did Spotify remove my feature to play my playlist??? And btw, "Melodii recomandate" means recommended songs</t>
  </si>
  <si>
    <t xml:space="preserve">https://www.reddit.com/comments/1qc32qv</t>
  </si>
  <si>
    <t xml:space="preserve">Spotify regular better recommendations than Premium?. [removed]</t>
  </si>
  <si>
    <t xml:space="preserve">https://www.reddit.com/comments/1qc4ctq</t>
  </si>
  <si>
    <t xml:space="preserve">I can't listen to songs in order even on Spotify Premium.. I'm using the free trial of Spotify Premium, but when I try to turn off Smart Shuffle mode,</t>
  </si>
  <si>
    <t xml:space="preserve">https://www.reddit.com/comments/1qc4x2h</t>
  </si>
  <si>
    <t xml:space="preserve">Did Spotify change their "recommended shows for you" algorithm? I used to get a ton of concert recs for bands I only listen to sometimes, which was gr</t>
  </si>
  <si>
    <t xml:space="preserve">https://www.reddit.com/comments/1qc8cbr</t>
  </si>
  <si>
    <t xml:space="preserve">why the fuck is this on my home page. why am i being suggested softcore porn videos when I dont listen to any kind of podcast or video on spotify, the</t>
  </si>
  <si>
    <t xml:space="preserve">https://www.reddit.com/comments/1qcnl0b</t>
  </si>
  <si>
    <t xml:space="preserve">Does anyone use this ai dj😭. I just got Spotify yesterday—I switched from Amazon Music—and I’ve been using the DJ religiously. Does anyone else use it</t>
  </si>
  <si>
    <t xml:space="preserve">https://www.reddit.com/comments/1qcq2yt</t>
  </si>
  <si>
    <t xml:space="preserve">anyone getting artists with hella low streams/monthly listeners on their daylist?. my daylist has some good songs and i noticed that half these ppl ha</t>
  </si>
  <si>
    <t xml:space="preserve">https://www.reddit.com/comments/1qct4ga</t>
  </si>
  <si>
    <t xml:space="preserve">https://www.reddit.com/comments/1qcta26</t>
  </si>
  <si>
    <t xml:space="preserve">RE: updated Spotify playlists. \+6 ​ [Discover Weekly]( or [Release Radar]( the songs automatically refresh when you're online, "with new additions do</t>
  </si>
  <si>
    <t xml:space="preserve">https://www.reddit.com/comments/1qdbkq7</t>
  </si>
  <si>
    <t xml:space="preserve">370+ hours of hip hop of all kinds of variety. I know it's slightly bloated and I do take things out occasionally. I hope you find something new in he</t>
  </si>
  <si>
    <t xml:space="preserve">https://www.reddit.com/comments/1qe0xmy</t>
  </si>
  <si>
    <t xml:space="preserve">Discover Weekly has only 4 songs?. Did this happen to someone else ?</t>
  </si>
  <si>
    <t xml:space="preserve">https://www.reddit.com/comments/1qe1h3f</t>
  </si>
  <si>
    <t xml:space="preserve">How to delete/disable "About recommendations and the impact of promotion" text. Anyone knows how to disable it? I don't care and I don't want another </t>
  </si>
  <si>
    <t xml:space="preserve">https://www.reddit.com/comments/1qe2e9d</t>
  </si>
  <si>
    <t xml:space="preserve">Spotify playing random songs?. I’ve been using Spotify for about 2 months now, and I noticed when I try to play an album, it’ll throw in random songs.</t>
  </si>
  <si>
    <t xml:space="preserve">https://www.reddit.com/comments/1qe2fr6</t>
  </si>
  <si>
    <t xml:space="preserve">Spotify Social Feature. I’ve already disabled the social features on my Spotify account (messages, message suggestions, and appearing in message sugge</t>
  </si>
  <si>
    <t xml:space="preserve">https://www.reddit.com/comments/1qeacy9</t>
  </si>
  <si>
    <t xml:space="preserve">Would you use an app that pings you when your favorite artists drop (Spotify, YouTube, Apple… all in one place)?. Quick question from a builder/music </t>
  </si>
  <si>
    <t xml:space="preserve">https://www.reddit.com/comments/1qeijxe</t>
  </si>
  <si>
    <t xml:space="preserve">Can I stop spotify from adding music videos to my "Daily Mix" playlists?. Using the Windows standalone executable. In recent days, Spotify has started</t>
  </si>
  <si>
    <t xml:space="preserve">https://www.reddit.com/comments/1qeql80</t>
  </si>
  <si>
    <t xml:space="preserve">Spotify daily mix is shocking. [removed]</t>
  </si>
  <si>
    <t xml:space="preserve">https://www.reddit.com/comments/1qetge3</t>
  </si>
  <si>
    <t xml:space="preserve">Anyone else “on repeat” been way off for a while now?. Songs I listen to twice will make it but songs I’ve played 7 times won’t be in there. Songs I h</t>
  </si>
  <si>
    <t xml:space="preserve">https://www.reddit.com/comments/1qf2b5f</t>
  </si>
  <si>
    <t xml:space="preserve">Tired of the boring Spotify Algorithm?. It doesn't matter if you use Spotify DJ, 'Discover Weekly' or Artist/Song Radio. In the end, the suggestions w</t>
  </si>
  <si>
    <t xml:space="preserve">https://www.reddit.com/comments/1qfea49</t>
  </si>
  <si>
    <t xml:space="preserve">Spotify is making money from AI music. This is a sponsored recommandations, meaning spotify made money from recommending AI content. I find this kinda</t>
  </si>
  <si>
    <t xml:space="preserve">https://www.reddit.com/comments/1qfg1jf</t>
  </si>
  <si>
    <t xml:space="preserve">What do you think spotify does better than other services?. With spotify being the most expensive music service on the market now, what do you think i</t>
  </si>
  <si>
    <t xml:space="preserve">https://www.reddit.com/comments/1qfvdb2</t>
  </si>
  <si>
    <t xml:space="preserve">Song Recommendations. So ive been having some personal life issues and have been feeling very melancholic/nostalgia/wish I wasnt forced to grow up. I </t>
  </si>
  <si>
    <t xml:space="preserve">https://www.reddit.com/comments/1qg0491</t>
  </si>
  <si>
    <t xml:space="preserve">Questions regarding blends. Hello all! I have used Spotify since it came out but I had a couple of years fall from it, and I’m back now. Blends is an </t>
  </si>
  <si>
    <t xml:space="preserve">https://www.reddit.com/comments/1qg2nzj</t>
  </si>
  <si>
    <t xml:space="preserve">Alternative Hip-Hop Radio 2025.</t>
  </si>
  <si>
    <t xml:space="preserve">https://www.reddit.com/comments/1qgyuof</t>
  </si>
  <si>
    <t xml:space="preserve">DIY Spotify Connect → HTTP “radio” bridge (Docker + Icecast) to reuse one DAC / hi-fi chain — incl. lossless option.</t>
  </si>
  <si>
    <t xml:space="preserve">https://www.reddit.com/comments/1qh3sw1</t>
  </si>
  <si>
    <t xml:space="preserve">[Rock] 2002 Billboard Modern Rock. This playlist has the spotify songs ranked in order that peaked in 2002 from #1 to #131, based on the ranking syste</t>
  </si>
  <si>
    <t xml:space="preserve">https://www.reddit.com/comments/1qhh8nd</t>
  </si>
  <si>
    <t xml:space="preserve">Vintage Songcraft in Modern Country. Recent releases that would’ve been right at home on the radio in the 70s &amp; 80s.</t>
  </si>
  <si>
    <t xml:space="preserve">https://www.reddit.com/comments/1qho71b</t>
  </si>
  <si>
    <t xml:space="preserve">"Something went wrong. Try reloading your library.". I am writing this in rage, I have been having this problem for months, possibly a year now. I am </t>
  </si>
  <si>
    <t xml:space="preserve">https://www.reddit.com/comments/1qi5y5d</t>
  </si>
  <si>
    <t xml:space="preserve">Anyone else use both Spotify and Tidal?. I love Spotify for discovery and the algorithm, but for me as a DJ Spotify killed the DJ software integration</t>
  </si>
  <si>
    <t xml:space="preserve">https://www.reddit.com/comments/1qi8nx0</t>
  </si>
  <si>
    <t xml:space="preserve">I'm tired of listening to my “Favorite songs” over and over again. I had to scroll through 20!!! songs on DJ X to find one I hadn't heard before. That</t>
  </si>
  <si>
    <t xml:space="preserve">https://www.reddit.com/comments/1qid9nb</t>
  </si>
  <si>
    <t xml:space="preserve">Different versions of songs considered the same. I'v encountered an issue with my Spotify "On Repeat" playlist - some of the songs there, I've never a</t>
  </si>
  <si>
    <t xml:space="preserve">https://www.reddit.com/comments/1qiw42w</t>
  </si>
  <si>
    <t xml:space="preserve">Do you like discovering new music or listening to your favorite tracks?. How often do you discover new tracks? Do you like listening to music you alre</t>
  </si>
  <si>
    <t xml:space="preserve">https://www.reddit.com/comments/1qjbiud</t>
  </si>
  <si>
    <t xml:space="preserve">dark gym playlist for ego boost &amp; villain energy. I made a gym playlist focused on: • confidence • dark energy • main-character / villain vibes It’s a</t>
  </si>
  <si>
    <t xml:space="preserve">https://www.reddit.com/comments/1qjk056</t>
  </si>
  <si>
    <t xml:space="preserve">Does anyone else feel like discovery algorithms don’t actually understand them?. Spotify, TikTok, Instagram etc are great at giving “more of the same”</t>
  </si>
  <si>
    <t xml:space="preserve">https://www.reddit.com/comments/1qjx6pk</t>
  </si>
  <si>
    <t xml:space="preserve">How to effectively "thumbs down" to get better recommendations and playlists?. [removed]</t>
  </si>
  <si>
    <t xml:space="preserve">https://www.reddit.com/comments/1qk12k7</t>
  </si>
  <si>
    <t xml:space="preserve">How to effectively "thumbs down" to get better recommendations and playlists?. I know they don't have 👎 thumbs down but how do I let it know I hate a </t>
  </si>
  <si>
    <t xml:space="preserve">https://www.reddit.com/comments/1qk14je</t>
  </si>
  <si>
    <t xml:space="preserve">ethereal shoegaze and dream pop. leave a song recommendation if you have one</t>
  </si>
  <si>
    <t xml:space="preserve">https://www.reddit.com/comments/1qk7v8e</t>
  </si>
  <si>
    <t xml:space="preserve">Song/Album recs based off this aesthetic?.</t>
  </si>
  <si>
    <t xml:space="preserve">https://www.reddit.com/comments/1qk932l</t>
  </si>
  <si>
    <t xml:space="preserve">Spotify as a shop radio. At wits end with trying to use one of my family plan accounts as a shop radio. I have a Google home set up with a Chromecast </t>
  </si>
  <si>
    <t xml:space="preserve">https://www.reddit.com/comments/1qkg2c2</t>
  </si>
  <si>
    <t xml:space="preserve">Video game genre is annoying. On my Spotify stats, my most listened to genre is video game soundtracks. However, the video game soundtracks I listen t</t>
  </si>
  <si>
    <t xml:space="preserve">https://www.reddit.com/comments/1qkhh5n</t>
  </si>
  <si>
    <t xml:space="preserve">Playing songs that I haven't played before. This is somewhat me asking for help. For the past little while, Spotify has been playing songs that I did </t>
  </si>
  <si>
    <t xml:space="preserve">https://www.reddit.com/comments/1qkilj1</t>
  </si>
  <si>
    <t xml:space="preserve">Office Work - (Edited / Non Explicit) - pop, radio hits. Pop and top 40 music from the 70’s to now with the edited versions of the songs. Warning, lyr</t>
  </si>
  <si>
    <t xml:space="preserve">https://www.reddit.com/comments/1qldz7t</t>
  </si>
  <si>
    <t xml:space="preserve">What do you think algo based recommendations is doing to our collective music experience?. I think about how music can be pushed to us based on what w</t>
  </si>
  <si>
    <t xml:space="preserve">https://www.reddit.com/comments/1qlq8n2</t>
  </si>
  <si>
    <t xml:space="preserve">What is wrong with the on repeat playlist?. Anyone else experience a complete breakdown of their on repeat playlist? Something changed with the algori</t>
  </si>
  <si>
    <t xml:space="preserve">https://www.reddit.com/comments/1qme1cg</t>
  </si>
  <si>
    <t xml:space="preserve">Blend of genres of songs that feature accordion/bandoneon/concertina. Open for recs but I’m pretty picky. I hope you enjoy it!</t>
  </si>
  <si>
    <t xml:space="preserve">https://www.reddit.com/comments/1qmy2nd</t>
  </si>
  <si>
    <t xml:space="preserve">Ill rate the first song on your on repeat playlist out of 10. [removed]</t>
  </si>
  <si>
    <t xml:space="preserve">https://www.reddit.com/comments/1qn14zv</t>
  </si>
  <si>
    <t xml:space="preserve">running playlist recs~. Looking for some running playlists or songs to push me through these freezing morning runs\~ need that extra boost\~</t>
  </si>
  <si>
    <t xml:space="preserve">https://www.reddit.com/comments/1qnfqwo</t>
  </si>
  <si>
    <t xml:space="preserve">2026 Clean Office Pop playlist — updated weekly, no explicit songs. This is a Clean Office Pop playlist for anyone who needs background music that act</t>
  </si>
  <si>
    <t xml:space="preserve">https://www.reddit.com/comments/1qohw33</t>
  </si>
  <si>
    <t xml:space="preserve">When did Spotify's Discover Weekly become good again? (excluding AI songs). Genuinely curious. I switched away from Spotify 2021/2022 as the recommend</t>
  </si>
  <si>
    <t xml:space="preserve">https://www.reddit.com/comments/1qokrca</t>
  </si>
  <si>
    <t xml:space="preserve">Goth playlist!. feel free to leave suggestions in the comments!</t>
  </si>
  <si>
    <t xml:space="preserve">https://www.reddit.com/comments/1qorzce</t>
  </si>
  <si>
    <t xml:space="preserve">[Rock] 2002 Billboard Rock Tracks. This playlist contains every song that peaked in 2002 on the Billboard Mainstream/AOR Rock chart. They are in order</t>
  </si>
  <si>
    <t xml:space="preserve">https://www.reddit.com/comments/1qoujix</t>
  </si>
  <si>
    <t xml:space="preserve">Spotify not syncing changes from mobile to desktop. Hi, I’m having an issue with syncing songs, playlists, and other changes made on my smartphone - t</t>
  </si>
  <si>
    <t xml:space="preserve">https://www.reddit.com/comments/1qp9bll</t>
  </si>
  <si>
    <t xml:space="preserve">Radio but no released songs yet?. I have some upcoming releases but nothing is out yet. I noticed Spotify created a “radio” based off of my profile, b</t>
  </si>
  <si>
    <t xml:space="preserve">https://www.reddit.com/comments/1qpmdsw</t>
  </si>
  <si>
    <t xml:space="preserve">UPDATE: -vol ⁰³ : string theory- is finished. You guys have insane taste.. I wanted to drop an update and thank everyone who commented. I asked for "s</t>
  </si>
  <si>
    <t xml:space="preserve">https://www.reddit.com/comments/1qpzbrr</t>
  </si>
  <si>
    <t xml:space="preserve">The greatest songs iv ever licensed too (In my opinion). Songs In multiple genres, I consider among the greatest ever, for their lyricism, production,</t>
  </si>
  <si>
    <t xml:space="preserve">https://www.reddit.com/comments/1qpzcns</t>
  </si>
  <si>
    <t xml:space="preserve">Creating playlists for discovering music. When you create your own playlist of songs, you notice that down at the bottom of that playlist, there's a s</t>
  </si>
  <si>
    <t xml:space="preserve">https://www.reddit.com/comments/1qqesfe</t>
  </si>
  <si>
    <t xml:space="preserve">Which songs would you recommend to person who loves taking walks?. I enjoy going out for solo walks. Which songs calm songs can I be listening to</t>
  </si>
  <si>
    <t xml:space="preserve">https://www.reddit.com/comments/1qr1dcr</t>
  </si>
  <si>
    <t xml:space="preserve">Open Source app to get better recommendations. Hi all, I sometimes hear a song and I think "It'd be AWESOME to hear more songs like that!" but the rec</t>
  </si>
  <si>
    <t xml:space="preserve">https://www.reddit.com/comments/1qr9b7q</t>
  </si>
  <si>
    <t xml:space="preserve">Is there a way to get my Release Radar to only show me new songs released *this* week?. It used to do this automatically, but now the second half of m</t>
  </si>
  <si>
    <t xml:space="preserve">https://www.reddit.com/comments/1qrgpkg</t>
  </si>
  <si>
    <t xml:space="preserve">An indie playlist where most of the artists happen to be women or female-led. Didn’t set out to do this, but a lot of the artists I’ve been gravitatin</t>
  </si>
  <si>
    <t xml:space="preserve">https://www.reddit.com/comments/1qrkhav</t>
  </si>
  <si>
    <t xml:space="preserve">A practical way to de-duplicate and normalize Spotify Liked Songs (CSV-based). If you’re the kind of person who can’t ignore a messy playlist… welcome</t>
  </si>
  <si>
    <t xml:space="preserve">https://www.reddit.com/comments/1qs6zf4</t>
  </si>
  <si>
    <t xml:space="preserve">Mass-Generate Artist Playcount Playlists. # Artist playlist conveyor belt: `Artist (PlayCount)` with Spicetify + Sort Play Goal: generate **one playli</t>
  </si>
  <si>
    <t xml:space="preserve">https://www.reddit.com/comments/1qsapr7</t>
  </si>
  <si>
    <t xml:space="preserve">New Single - Alt Rock -Chairman. We have just released a new single called Chairman. It woukd be awesome if you coukd consider us for your playlists. </t>
  </si>
  <si>
    <t xml:space="preserve">https://www.reddit.com/comments/1qt9bhp</t>
  </si>
  <si>
    <t xml:space="preserve">I just threw 70% of my Discover Weekly in the trash. AI all sounds the same; it makes me so sad.... So here's a little rant. I used to love Discover W</t>
  </si>
  <si>
    <t xml:space="preserve">https://www.reddit.com/comments/1qtqd7m</t>
  </si>
  <si>
    <t xml:space="preserve">Spotify randomly connects to car when listening on phone. My wife is having issues with her phone or pc randomly connecting to the car through the Spo</t>
  </si>
  <si>
    <t xml:space="preserve">https://www.reddit.com/comments/1qtzetp</t>
  </si>
  <si>
    <t xml:space="preserve">More songs like these, which I personally consider fitting for a rainy night.. **No, just having "rain" in the title doesn't cut it. "A Rainy Night in</t>
  </si>
  <si>
    <t xml:space="preserve">https://www.reddit.com/comments/1qu99tf</t>
  </si>
  <si>
    <t xml:space="preserve">Similarly to my "rainy night" post: More songs like these which I believe feel like summer.. **Again, simply just having "summer" in the title isn't e</t>
  </si>
  <si>
    <t xml:space="preserve">https://www.reddit.com/comments/1qu99ya</t>
  </si>
  <si>
    <t xml:space="preserve">Does anyone else notice that the algorithm changes when you use Android Auto?. Not long ago, my family was able to afford a car with Android Auto, so </t>
  </si>
  <si>
    <t xml:space="preserve">https://www.reddit.com/comments/1qucwbr</t>
  </si>
  <si>
    <t xml:space="preserve">Is Chris Williamson really that popular? Or just being pushed onto people?. So, I have a free Spotify account, which I believe doesn't entitle me to l</t>
  </si>
  <si>
    <t xml:space="preserve">https://www.reddit.com/comments/1quq8pt</t>
  </si>
  <si>
    <t xml:space="preserve">Just noticed I lost about two weeks' worth of liked songs.. I listen to spotify basically daily. Most of the time it's the release radar and other new</t>
  </si>
  <si>
    <t xml:space="preserve">https://www.reddit.com/comments/1qusu1s</t>
  </si>
  <si>
    <t xml:space="preserve">Can anyone please recommend me artists like Type O Negative?. I’m looking for music that is generally dark, gothic, or gloomy that fits the vibe of Ty</t>
  </si>
  <si>
    <t xml:space="preserve">https://www.reddit.com/comments/1qvw578</t>
  </si>
  <si>
    <t xml:space="preserve">Probably far from the first person to talk about this, but what is the dystopian corpslop is this?? choosing what songs you want to play is paid only </t>
  </si>
  <si>
    <t xml:space="preserve">https://www.reddit.com/comments/1qw7y94</t>
  </si>
  <si>
    <t xml:space="preserve">Article: improving your algorithm. Very informative article here about improving your algorithm in Spotify (from an Android site but this should apply</t>
  </si>
  <si>
    <t xml:space="preserve">https://www.reddit.com/comments/1qwqryh</t>
  </si>
  <si>
    <t xml:space="preserve">Some feedback on Auto DJ X. Hey Spotify. Would you enable a toggle for the Auto DJ to switch on/off gapless playback. Or just make the auto dj adhere </t>
  </si>
  <si>
    <t xml:space="preserve">https://www.reddit.com/comments/1qwzuo6</t>
  </si>
  <si>
    <t xml:space="preserve">Finding new music. Where do you find new music on Spotify? I don't understand why Spotify don't put more effort in presenting new releases. I used to </t>
  </si>
  <si>
    <t xml:space="preserve">https://www.reddit.com/comments/1qxbp8u</t>
  </si>
  <si>
    <t xml:space="preserve">If Spotify recommendations suck for you, it might be user error. Not trying to be rude, but a lot of people say the algorithm is trash while also skip</t>
  </si>
  <si>
    <t xml:space="preserve">https://www.reddit.com/comments/1qxe8di</t>
  </si>
  <si>
    <t xml:space="preserve">How do you operate Spotify when trying to discover music?. I know it’s not a hot take that the algorithm just gives you the same stuff over and over, </t>
  </si>
  <si>
    <t xml:space="preserve">https://www.reddit.com/comments/1qxgrgn</t>
  </si>
  <si>
    <t xml:space="preserve">song recs based on any song on this playlist. [removed]</t>
  </si>
  <si>
    <t xml:space="preserve">https://www.reddit.com/comments/1qxldml</t>
  </si>
  <si>
    <t xml:space="preserve">The app crashes when I try to open recents. There are some songs I got on my discover weekly about a month ago that I forgot to like and tried to find</t>
  </si>
  <si>
    <t xml:space="preserve">https://www.reddit.com/comments/1qyhjfq</t>
  </si>
  <si>
    <t xml:space="preserve">Is anyone else Spotify DJ not working?. it keeps saying something is not working on my end when I send in a request and just play whatever bs it wants</t>
  </si>
  <si>
    <t xml:space="preserve">https://www.reddit.com/comments/1qyoyta</t>
  </si>
  <si>
    <t xml:space="preserve">What should I add to my Camp Vibes playlist?. I like to pride myself on having an accurate camp playlist. The whole reason I created it was since when</t>
  </si>
  <si>
    <t xml:space="preserve">https://www.reddit.com/comments/1qyu1kc</t>
  </si>
  <si>
    <t xml:space="preserve">(OOOPS) Sex Music, BDSM &amp; Bondage Night - Please do send recommendations for a playlist like this (Best case scenario - red artwork ;). All suggestion</t>
  </si>
  <si>
    <t xml:space="preserve">https://www.reddit.com/comments/1qzcrmf</t>
  </si>
  <si>
    <t xml:space="preserve">looking for recommendations to enhance my playlist. [ this is my playlist i usually listen when alone or driving. random genre but mostly this is abou</t>
  </si>
  <si>
    <t xml:space="preserve">https://www.reddit.com/comments/1qzjjed</t>
  </si>
  <si>
    <t xml:space="preserve">Did spotify increase the quota at which suggested songs stop playing?. I have a playlist thats over 1h 20mins with 26 songs from an array of artists, </t>
  </si>
  <si>
    <t xml:space="preserve">https://www.reddit.com/comments/1qzuss2</t>
  </si>
  <si>
    <t xml:space="preserve">YouTube Music vs Spotify. I have been a Spotify user for years but some of the core features just feel worse over time. Shuffle does not feel like shu</t>
  </si>
  <si>
    <t xml:space="preserve">https://www.reddit.com/comments/1r02zel</t>
  </si>
  <si>
    <t xml:space="preserve">Bye Spotify… fuck you and your Sponsored Recommendations. I’m out! After 10+ years I truly can’t do this anymore. We all pay for AD-FREE listening… so</t>
  </si>
  <si>
    <t xml:space="preserve">https://www.reddit.com/comments/1r04xc4</t>
  </si>
  <si>
    <t xml:space="preserve">What happened?. I used to find lots of good new stuff to listen to on Spotify, now all the recs are garbage. also the shuffle feature is usless. it’ll</t>
  </si>
  <si>
    <t xml:space="preserve">https://www.reddit.com/comments/1r0a5wf</t>
  </si>
  <si>
    <t xml:space="preserve">Hi everyone! Looking for honest feedback on my playlist Hey! I put together this playlist and would really love your thoughts on it - especially what </t>
  </si>
  <si>
    <t xml:space="preserve">https://www.reddit.com/comments/1r0d3mc</t>
  </si>
  <si>
    <t xml:space="preserve">Worst songs of all time. Putting together some of the worst songs I’ve ever heard. Would love some recommendations</t>
  </si>
  <si>
    <t xml:space="preserve">https://www.reddit.com/comments/1r0thye</t>
  </si>
  <si>
    <t xml:space="preserve">When did Spotify stop allowing users to play an artists discography in order?. I really don't like how Spotify won't allow you to easily listen to an </t>
  </si>
  <si>
    <t xml:space="preserve">https://www.reddit.com/comments/1r10izd</t>
  </si>
  <si>
    <t xml:space="preserve">Spotify’s Fake Artists Drama is REAL (and it sucks). Some artists you see on playlists or weekly recs might not be real humans. There are profiles wit</t>
  </si>
  <si>
    <t xml:space="preserve">https://www.reddit.com/comments/1r11lqy</t>
  </si>
  <si>
    <t xml:space="preserve">Dumb question?. Okay might be stupid to ask, but i used to have the ability to be halfway through my Playlist on Spotify, pull down on the Playlist na</t>
  </si>
  <si>
    <t xml:space="preserve">https://www.reddit.com/comments/1r1hhpm</t>
  </si>
  <si>
    <t xml:space="preserve">Can someone help me with this Spotify bug? (prev post bugged). I went to check recommended additions to my Imagine Dragons playlist and saw this. WTH </t>
  </si>
  <si>
    <t xml:space="preserve">https://www.reddit.com/comments/1r1jc5m</t>
  </si>
  <si>
    <t xml:space="preserve">Song Recs like Heaven by Hablot Brown. As the title suggest, I am looking for songs similar to Heaven. It's so pretty but so sad. I want to create a p</t>
  </si>
  <si>
    <t xml:space="preserve">https://www.reddit.com/comments/1r1lmhj</t>
  </si>
  <si>
    <t xml:space="preserve">Does anyone know how to stop this from being recommended to me?. I don’t listen to podcasts on Spotify. At all. But for the past few days, every time </t>
  </si>
  <si>
    <t xml:space="preserve">https://www.reddit.com/comments/1r1q8r9</t>
  </si>
  <si>
    <t xml:space="preserve">The Music of Humanity - any songs missing from this playlist in your opinion? Which song is the one that just HAVE to showcase us as humans from your </t>
  </si>
  <si>
    <t xml:space="preserve">https://www.reddit.com/comments/1r1vmwp</t>
  </si>
  <si>
    <t xml:space="preserve">Is anyone else's "On Repeat" playlist not displaying correct songs you've listened to most?. Have some songs on there I barely listen to and songs I d</t>
  </si>
  <si>
    <t xml:space="preserve">https://www.reddit.com/comments/1r25koe</t>
  </si>
  <si>
    <t xml:space="preserve">Asking Spotify’s New DJ X for “AI Generated Music By Spotify” (Warning: Rabbit Hole). Hi All, I don’t normally use Reddit, but had to create a quick a</t>
  </si>
  <si>
    <t xml:space="preserve">https://www.reddit.com/comments/1r27l7q</t>
  </si>
  <si>
    <t xml:space="preserve">80s MasterMix - The golden era of NYC radio. Cue your tape deck. The MasterMix starts now. Dial it back to the early 1980s with this tribute to the go</t>
  </si>
  <si>
    <t xml:space="preserve">https://www.reddit.com/comments/1r2911h</t>
  </si>
  <si>
    <t xml:space="preserve">Disabling auto play when plugging iPhone into car?. Hey just like the title says, I’m looking for a workaround to keep Spotify from opening up and pla</t>
  </si>
  <si>
    <t xml:space="preserve">https://www.reddit.com/comments/1r2irj4</t>
  </si>
  <si>
    <t xml:space="preserve">Spotify now showing ads/"sponsored reccomendations" to it's premium users. Opened up spotify today and was presented an ad on my home page. This is ve</t>
  </si>
  <si>
    <t xml:space="preserve">https://www.reddit.com/comments/1r2ld5b</t>
  </si>
  <si>
    <t xml:space="preserve">Shoegaze playlist, still working on it. Suggestions are welcome..</t>
  </si>
  <si>
    <t xml:space="preserve">https://www.reddit.com/comments/1r2wjh3</t>
  </si>
  <si>
    <t xml:space="preserve">Why won’t my created prompted playlists update?. I have created several prompted playlists to update daily, (it says at 6 am), so I had woke up and wh</t>
  </si>
  <si>
    <t xml:space="preserve">https://www.reddit.com/comments/1r35ley</t>
  </si>
  <si>
    <t xml:space="preserve">Free Tier Spotify IOS app keeps adding songs to my playlists. I recently downgraded to the free version of spotify &amp; stopped paying for premium… ever </t>
  </si>
  <si>
    <t xml:space="preserve">https://www.reddit.com/comments/1r3jp0q</t>
  </si>
  <si>
    <t xml:space="preserve">Release radar not updating, although there are new songs by artist that I listened to often?. [removed]</t>
  </si>
  <si>
    <t xml:space="preserve">https://www.reddit.com/comments/1r3pdd1</t>
  </si>
  <si>
    <t xml:space="preserve">Is there any way to access or recover previous Daylists?. Earlier today Spotify generated one of the best Daylists I’ve had, but I didn’t have time to</t>
  </si>
  <si>
    <t xml:space="preserve">https://www.reddit.com/comments/1r3q5yq</t>
  </si>
  <si>
    <t xml:space="preserve">Anyone can add to this playlist! Give me song recs :D. gimme song recs :3 hopefully this doesnt count as begging for likes, idc who follows I just wan</t>
  </si>
  <si>
    <t xml:space="preserve">https://www.reddit.com/comments/1r3ttkq</t>
  </si>
  <si>
    <t xml:space="preserve">Question about downloading playlists. If I were to download my daylist or any other playlist that changes periodically, will the songs just un downloa</t>
  </si>
  <si>
    <t xml:space="preserve">https://www.reddit.com/comments/1r3xt7f</t>
  </si>
  <si>
    <t xml:space="preserve">I made a free party game that turns your friend group's Spotify stats into a live multiplayer trivia quiz!. Hey! We all love the feeling of seeing our</t>
  </si>
  <si>
    <t xml:space="preserve">https://www.reddit.com/comments/1r4punv</t>
  </si>
  <si>
    <t xml:space="preserve">Spotify needs to change!. Hi all, There’s some Spotify features that I think should be gone. For example, the 8 tracks when you open the app at the to</t>
  </si>
  <si>
    <t xml:space="preserve">https://www.reddit.com/comments/1r4wypy</t>
  </si>
  <si>
    <t xml:space="preserve">[Rock] 2004 Billboard Modern Rock. This playlist contains every song that peaked in 2004 on the Billboard Modern/Alternative Rock chart. They are in o</t>
  </si>
  <si>
    <t xml:space="preserve">https://www.reddit.com/comments/1r4zlkp</t>
  </si>
  <si>
    <t xml:space="preserve">Spotify dj SUCKS. I (heavily dislike) spotify dj and here's my #1 reason EVERY time I ask it to play something for me with my voice with words it play</t>
  </si>
  <si>
    <t xml:space="preserve">https://www.reddit.com/comments/1r50efr</t>
  </si>
  <si>
    <t xml:space="preserve">Anti-Valentines Female song recommendations. Hi, Working on a feminine rage, anti-valentines playlist. Any recommendations? Specifically female artist</t>
  </si>
  <si>
    <t xml:space="preserve">https://www.reddit.com/comments/1r50ta4</t>
  </si>
  <si>
    <t xml:space="preserve">Tengo un problema con la app. No puedo entrar a ninguna playlist ni a álbumes, me aparece que algo salió mal y el botón de reintentar. ¿Alguien sabe c</t>
  </si>
  <si>
    <t xml:space="preserve">https://www.reddit.com/comments/1r51zkj</t>
  </si>
  <si>
    <t xml:space="preserve">People that love rock/pop/hardcore/metal singers, can you recommend me stuff based on my VOCALS TO CRY TO playlist here. [</t>
  </si>
  <si>
    <t xml:space="preserve">https://www.reddit.com/comments/1r579t6</t>
  </si>
  <si>
    <t xml:space="preserve">I made this playlist in New York public library the other day.. I think it goes very hard already, it’s introspective and explosive, I tried to make a</t>
  </si>
  <si>
    <t xml:space="preserve">https://www.reddit.com/comments/1r5ceti</t>
  </si>
  <si>
    <t xml:space="preserve">Can anyone help me sort out playlists ?. i have a 37hr playlist and have just made a couple side playlists, but i’m seriously so bad at deciding what </t>
  </si>
  <si>
    <t xml:space="preserve">https://www.reddit.com/comments/1r5e4pi</t>
  </si>
  <si>
    <t xml:space="preserve">AI dj doesn’t keep playing endlessly with the request I had made, or the request it had started with?. Why can’t the AI dj keep suggesting/playing son</t>
  </si>
  <si>
    <t xml:space="preserve">https://www.reddit.com/comments/1r5fw4l</t>
  </si>
  <si>
    <t xml:space="preserve">What's a song intro that you keep on repeating more than listening to the whole song?.</t>
  </si>
  <si>
    <t xml:space="preserve">https://www.reddit.com/comments/1r5qnfx</t>
  </si>
  <si>
    <t xml:space="preserve">This is how I think GTA VI radio stations SHOULD sound. Been replaying Vice City lately and got obsessed with the idea of what the radio stations in G</t>
  </si>
  <si>
    <t xml:space="preserve">https://www.reddit.com/comments/1r6jm36</t>
  </si>
  <si>
    <t xml:space="preserve">I don’t like how the algorithm pushes popular artists and not obscure artists.. The playlists like “All-new Country, or “All-new Dance”, as examples, </t>
  </si>
  <si>
    <t xml:space="preserve">https://www.reddit.com/comments/1r6rinb</t>
  </si>
  <si>
    <t xml:space="preserve">Clean Office Playlist 2026. I put together a clean, distraction-free office playlist designed for productivity! No explicit lyrics, no sudden volume s</t>
  </si>
  <si>
    <t xml:space="preserve">https://www.reddit.com/comments/1r6t4vs</t>
  </si>
  <si>
    <t xml:space="preserve">How to explore all genres of music and find obscure artists?. So, people say that “\*\*nowadays never been a better time in history to discover new mu</t>
  </si>
  <si>
    <t xml:space="preserve">https://www.reddit.com/comments/1r7c2i4</t>
  </si>
  <si>
    <t xml:space="preserve">Nothing but the best of 90's dance floor Classics. Hey, everyone. I’ve curated a 7+ hour playlist of pure classic Dance hits, no fillers, just the tra</t>
  </si>
  <si>
    <t xml:space="preserve">https://www.reddit.com/comments/1r7ltwv</t>
  </si>
  <si>
    <t xml:space="preserve">Does this happen for anyone else. Does anyone else have the issue where the shuffle will you bring you back 100-150 songs and play in the same order i</t>
  </si>
  <si>
    <t xml:space="preserve">https://www.reddit.com/comments/1r81t7h</t>
  </si>
  <si>
    <t xml:space="preserve">New music/ release radar question.. I often listen to sleep sounds / rain sounds at night. But similar songs are now popping up in my playlists. Is th</t>
  </si>
  <si>
    <t xml:space="preserve">https://www.reddit.com/comments/1r82vda</t>
  </si>
  <si>
    <t xml:space="preserve">Podcast episode problem. Is anyone else hearing the same episodes of podcasts on repeat? I am currently trying to catch up on a couple different podca</t>
  </si>
  <si>
    <t xml:space="preserve">https://www.reddit.com/comments/1r853wn</t>
  </si>
  <si>
    <t xml:space="preserve">Pulling my hair out (a bald rant). TLDR: Are there any alternatives to Spotify that are good at curating suggestions and perform smoothly as an app? I</t>
  </si>
  <si>
    <t xml:space="preserve">https://www.reddit.com/comments/1r87u88</t>
  </si>
  <si>
    <t xml:space="preserve">Did they axe genre mixes ?. Yesterday I had seven genre mixes and now there is only one and it’s the genre I listen to the least. It makes no sense be</t>
  </si>
  <si>
    <t xml:space="preserve">https://www.reddit.com/comments/1r87uid</t>
  </si>
  <si>
    <t xml:space="preserve">underrated Spanish acoustic recommendations. Looking for Spanish song I can practice on my guitar. Any and all recommendations are welcome!</t>
  </si>
  <si>
    <t xml:space="preserve">https://www.reddit.com/comments/1r8e540</t>
  </si>
  <si>
    <t xml:space="preserve">Has anyone used the Auto Mix function and what were your thoughts on it?. I didn't even realise I had access to it until the weekend after searching f</t>
  </si>
  <si>
    <t xml:space="preserve">https://www.reddit.com/comments/1r99r34</t>
  </si>
  <si>
    <t xml:space="preserve">Here's my Release Radar. Let's share. If 10 of us share ours, that’s potentially 1,200+ new tracks we wouldn’t otherwise see. Deep-dive analysis optio</t>
  </si>
  <si>
    <t xml:space="preserve">https://www.reddit.com/comments/1r9azdf</t>
  </si>
  <si>
    <t xml:space="preserve">Suggestions for songs or (new) artist?. im looking to add new songs to the playlist I recently made or discover new artists. Since I discovered Nebiu </t>
  </si>
  <si>
    <t xml:space="preserve">https://www.reddit.com/comments/1r9nwat</t>
  </si>
  <si>
    <t xml:space="preserve">Release Radar not updating for the second week in a row. As the title states, my Release Radar is stuck on an older release radar for two weeks now. I</t>
  </si>
  <si>
    <t xml:space="preserve">https://www.reddit.com/comments/1r9s8uv</t>
  </si>
  <si>
    <t xml:space="preserve">Playlist of my top 3 favourite songs off of albums I've listened to a lot, recommend me stuff!. [</t>
  </si>
  <si>
    <t xml:space="preserve">https://www.reddit.com/comments/1r9v3vo</t>
  </si>
  <si>
    <t xml:space="preserve">Why dose dj x need to keep cutting off the end of my songs?. it's not a smooth transition like they think it is.</t>
  </si>
  <si>
    <t xml:space="preserve">https://www.reddit.com/comments/1r9w1ra</t>
  </si>
  <si>
    <t xml:space="preserve">The daylist is giving me music I never listen to. I've never listened to these songs, or anything even similiar, so idk why it's giving me this daylis</t>
  </si>
  <si>
    <t xml:space="preserve">https://www.reddit.com/comments/1ra0erx</t>
  </si>
  <si>
    <t xml:space="preserve">I’ve tried switching to Apple Music and YT Music, but Spotify’s algorithm is simply unbeatable.. I’ve spent the last few months trying to "break up" w</t>
  </si>
  <si>
    <t xml:space="preserve">https://www.reddit.com/comments/1ra6kvh</t>
  </si>
  <si>
    <t xml:space="preserve">Can I remove dynamic island for Spotify and Libby?. Hi there, I recently got an iPhone 17, and it came with the dynamic island enabled. I live with ch</t>
  </si>
  <si>
    <t xml:space="preserve">https://www.reddit.com/comments/1rafk5q</t>
  </si>
  <si>
    <t xml:space="preserve">currently making a big spotify playlist. i plan for it to be around 24 hours long. any recommendations? it's currently at 9 or so hours.</t>
  </si>
  <si>
    <t xml:space="preserve">https://www.reddit.com/comments/1ralqbe</t>
  </si>
  <si>
    <t xml:space="preserve">Twitter keeps crashing my Spotify. The Twitter communtiy sucks so I'm posting this here. That app keeps crashing my Spotify For the last month, whenev</t>
  </si>
  <si>
    <t xml:space="preserve">https://www.reddit.com/comments/1ranhz1</t>
  </si>
  <si>
    <t xml:space="preserve">Spotify's best way to get suggested songs based on liked songs?. [removed]</t>
  </si>
  <si>
    <t xml:space="preserve">https://www.reddit.com/comments/1raossz</t>
  </si>
  <si>
    <t xml:space="preserve">4,500 liked songs, playlist chaos, podcast clutter…do I nuke my Spotify and start over?. Looking for some practical advice from anyone who’s done a se</t>
  </si>
  <si>
    <t xml:space="preserve">https://www.reddit.com/comments/1rav67u</t>
  </si>
  <si>
    <t xml:space="preserve">if you wanna zone out and drift in space for a bit (psychedelic rock and atmospheric trap). just wanted to share this mix i’ve been vibeing with latel</t>
  </si>
  <si>
    <t xml:space="preserve">https://www.reddit.com/comments/1rb95vg</t>
  </si>
  <si>
    <t xml:space="preserve">Turning my K-Pop dominated Spotify into a decades-long musical journey (1977–Present, 33+ hours per year). I'm on a mission to sort my Spotify algorit</t>
  </si>
  <si>
    <t xml:space="preserve">https://www.reddit.com/comments/1rbkg3w</t>
  </si>
  <si>
    <t xml:space="preserve">Relisten to play list. I am trying to figure out how to relisten to a play list on Spotify because after my playlist is over it just plays recommend m</t>
  </si>
  <si>
    <t xml:space="preserve">https://www.reddit.com/comments/1rbsu5l</t>
  </si>
  <si>
    <t xml:space="preserve">liked songs playlist. is anyone else’s liked songs playlist playing the same 20 or so songs on repeat? i didn’t search for anything before i pressed p</t>
  </si>
  <si>
    <t xml:space="preserve">https://www.reddit.com/comments/1rbti5n</t>
  </si>
  <si>
    <t xml:space="preserve">How do YOU discover new music on Spotify?. I’ve had an urge over the last year to diversify my music taste because it was extremely hiphop heavy and I</t>
  </si>
  <si>
    <t xml:space="preserve">https://www.reddit.com/comments/1rbttzi</t>
  </si>
  <si>
    <t xml:space="preserve">How do I close Spotify?. Every time I get in my car, Spotify starts automatically (through my phone), even though I have disabled "Keep Spotify Open".</t>
  </si>
  <si>
    <t xml:space="preserve">https://www.reddit.com/comments/1rbv1gb</t>
  </si>
  <si>
    <t xml:space="preserve">Why Spotify's recommendations are worse?. I have been using Spotify for a long time and I was in love w the recommendation system cus it always played</t>
  </si>
  <si>
    <t xml:space="preserve">https://www.reddit.com/comments/1rckaco</t>
  </si>
  <si>
    <t xml:space="preserve">Is it my imagination or do settings all now reset between updates?. (Observed on Android app) Lately it seems like my app is undoing ALL of the custom</t>
  </si>
  <si>
    <t xml:space="preserve">https://www.reddit.com/comments/1rckg6e</t>
  </si>
  <si>
    <t xml:space="preserve">Wake Up, Spotify: You’re a Music Company — Act Like One. Spotify used to feel like a an amazing way to let my kids experience music. A single family p</t>
  </si>
  <si>
    <t xml:space="preserve">https://www.reddit.com/comments/1rct0l6</t>
  </si>
  <si>
    <t xml:space="preserve">I think the Spotify DJ had a stroke.. Spotify DJ: Next up some of your favourite Metal. This song sounds like Karaoke and Dizzy Rascal, here's Colin H</t>
  </si>
  <si>
    <t xml:space="preserve">https://www.reddit.com/comments/1rczsi5</t>
  </si>
  <si>
    <t xml:space="preserve">The shuffle. Spotify i have over 1800 songs in my liked list and i shuffle it all the time and what do i hear? The same 150 songs on repeat it’s calle</t>
  </si>
  <si>
    <t xml:space="preserve">https://www.reddit.com/comments/1rd2vh3</t>
  </si>
  <si>
    <t xml:space="preserve">I KNEW IT.. so this is why spotify keeps recommending everybody the same songs over and over… i fucking knew it. i bet this impacts what songs play wh</t>
  </si>
  <si>
    <t xml:space="preserve">https://www.reddit.com/comments/1rdbip8</t>
  </si>
  <si>
    <t xml:space="preserve">Songs that are calming/sad. Things like end of beginning, drag path, the sick, sad girl, anything that gives gloomy vibes but is catchy! Willing to li</t>
  </si>
  <si>
    <t xml:space="preserve">https://www.reddit.com/comments/1rdelhe</t>
  </si>
  <si>
    <t xml:space="preserve">Why is spotify free recommendations so bad. like why is it soo bad is it done intentionally because a week ago i had premium and it was recommending s</t>
  </si>
  <si>
    <t xml:space="preserve">https://www.reddit.com/comments/1rdimjr</t>
  </si>
  <si>
    <t xml:space="preserve">Anyone has Spotify autoplay issues on Spotify Free Web Player?. Starting yesterday, my Spotify Free Web Player started acting up. Usually after about </t>
  </si>
  <si>
    <t xml:space="preserve">https://www.reddit.com/comments/1rdkyzx</t>
  </si>
  <si>
    <t xml:space="preserve">the underrated way i get my tracks on Spotify playlists (no payola). If you need to pitch your tracks to playlists, this is for you. I try to help oth</t>
  </si>
  <si>
    <t xml:space="preserve">https://www.reddit.com/comments/1rdxm6o</t>
  </si>
  <si>
    <t xml:space="preserve">Issues with spotify’s mix feature algorithm.. Spotify recently rolled out that new mix feature to blend songs together and I love it, I have a playlis</t>
  </si>
  <si>
    <t xml:space="preserve">https://www.reddit.com/comments/1re51e2</t>
  </si>
  <si>
    <t xml:space="preserve">Discover Weekly Broken? (stuck in Portuguese). I have been having a very odd issue with my discover playlist recently. My entire discover weekly playl</t>
  </si>
  <si>
    <t xml:space="preserve">https://www.reddit.com/comments/1rehjie</t>
  </si>
  <si>
    <t xml:space="preserve">Recommendation of songs like this??. like songs of dewani which is by ruban buttar , something of this vibe would be hella niceee</t>
  </si>
  <si>
    <t xml:space="preserve">https://www.reddit.com/comments/1reve16</t>
  </si>
  <si>
    <t xml:space="preserve">[Rock] 2025 Billboard Modern Rock. This playlist contains every song that peaked in 2005 on the Billboard Modern/Alternative Rock chart. They are in o</t>
  </si>
  <si>
    <t xml:space="preserve">https://www.reddit.com/comments/1rewf95</t>
  </si>
  <si>
    <t xml:space="preserve">Possible AI integration into Spotify? Thoughts?. I have been thinking of this idea to improve the experience on music streaming apps especially for vi</t>
  </si>
  <si>
    <t xml:space="preserve">https://www.reddit.com/comments/1reyqmj</t>
  </si>
  <si>
    <t xml:space="preserve">Smart shuffle history?. Is there a way to view previously suggested songs via smart shuffle? Enjoyed a song, forgot to like/add it, cant go back to it</t>
  </si>
  <si>
    <t xml:space="preserve">https://www.reddit.com/comments/1rf3y3i</t>
  </si>
  <si>
    <t xml:space="preserve">What the fuck Spotify, you think I listen to Baddie grwm on Tuesday nights???!!. The spotify daylist is so shit, it doesnt make any sense at all</t>
  </si>
  <si>
    <t xml:space="preserve">https://www.reddit.com/comments/1rf6507</t>
  </si>
  <si>
    <t xml:space="preserve">Es feisimo Spotify con las letras ahí. Estaba usando Spotify porque nose, pero veo las letras y el botón de video ahí los 2 y nose, no me gusta, se ve</t>
  </si>
  <si>
    <t xml:space="preserve">https://www.reddit.com/comments/1rfpbc8</t>
  </si>
  <si>
    <t xml:space="preserve">AI playlist, AI DJ, and prompted playlist suck.. With AI playlist, I ask the ai to make me a 90 song playlist with melodic vocals that sound similar t</t>
  </si>
  <si>
    <t xml:space="preserve">https://www.reddit.com/comments/1rfvpaf</t>
  </si>
  <si>
    <t xml:space="preserve">Help with Made For You Playlists. Lately I’ve noticed something weird with my Spotify “Made For You” playlists. A lot of the songs it recommends are t</t>
  </si>
  <si>
    <t xml:space="preserve">https://www.reddit.com/comments/1rg2zf1</t>
  </si>
  <si>
    <t xml:space="preserve">How can i find truly random music and experiment with my music taste?. (Just joined this group, sorry if this question gets asked a lot...😅) I have be</t>
  </si>
  <si>
    <t xml:space="preserve">https://www.reddit.com/comments/1rgjfmb</t>
  </si>
  <si>
    <t xml:space="preserve">Ai dj refuses to do traditional chinese music?. I was looking for a certain flavor of lofi and it kept telling me it didn’t understand and just gave m</t>
  </si>
  <si>
    <t xml:space="preserve">https://www.reddit.com/comments/1rgm73z</t>
  </si>
  <si>
    <t xml:space="preserve">What do you do when you discover a new artist?. How do you go about exploring new artists when you find them in release radar and discovery weekly? Li</t>
  </si>
  <si>
    <t xml:space="preserve">https://www.reddit.com/comments/1rgn0m5</t>
  </si>
  <si>
    <t xml:space="preserve">My on repeat for February. [removed]</t>
  </si>
  <si>
    <t xml:space="preserve">https://www.reddit.com/comments/1rgncda</t>
  </si>
  <si>
    <t xml:space="preserve">Fresh Sprouts is a carefully crafted playlist to help get you off the repetitive, boring Spotify recommendations. Discover Weekly, DJ, Release Radar, </t>
  </si>
  <si>
    <t xml:space="preserve">https://www.reddit.com/comments/1rh18e3</t>
  </si>
  <si>
    <t xml:space="preserve">The AI Situation NEEDS to be Addressed and Handled. The AI slop situation is honestly getting out of control and needs to be taken care of. I just fin</t>
  </si>
  <si>
    <t xml:space="preserve">https://www.reddit.com/comments/1rh9vpf</t>
  </si>
  <si>
    <t xml:space="preserve">did spotify get rid of the option to filter by audiobooks included in premium?. or am i just missing it. i swear i’ve filtered by that before but now </t>
  </si>
  <si>
    <t xml:space="preserve">https://www.reddit.com/comments/1rhiehx</t>
  </si>
  <si>
    <t xml:space="preserve">Spotify has started forcing me to listen to clean/radio edits of explicit songs on my playlist. Yes, the explicit content allowed slider is on. I don’</t>
  </si>
  <si>
    <t xml:space="preserve">https://www.reddit.com/comments/1rht9pv</t>
  </si>
  <si>
    <t xml:space="preserve">New feature: Prompted by us, made for you. While scrolling through the Spotify home page (iOS app) I noticed a new section: **Prompted by us, made for</t>
  </si>
  <si>
    <t xml:space="preserve">https://www.reddit.com/comments/1ri3pgc</t>
  </si>
  <si>
    <t xml:space="preserve">Discover Weekly. Has anyone's Discover Weekly reverted back to the single list? Previous weeks I had multiple lists per music genre. To be honest, I l</t>
  </si>
  <si>
    <t xml:space="preserve">https://www.reddit.com/comments/1rim60i</t>
  </si>
  <si>
    <t xml:space="preserve">My (complicated) manual approach to find AI in my playlists. I currently use the following workflow (unfortunately not automated): * Here, I export th</t>
  </si>
  <si>
    <t xml:space="preserve">https://www.reddit.com/comments/1rim6eh</t>
  </si>
  <si>
    <t xml:space="preserve">Like Dark Blues Radio on Youtube. Auriez-vous des suggestions de playlist sur Spotify qui sonnent comme celle de Dark Blues Radio sur Youtube??</t>
  </si>
  <si>
    <t xml:space="preserve">https://www.reddit.com/comments/1rj1yp2</t>
  </si>
  <si>
    <t xml:space="preserve">What happened to niche mixes?. They seem to be almost completely scrubbed from playlist search results, even though when I go to my recently played hi</t>
  </si>
  <si>
    <t xml:space="preserve">https://www.reddit.com/comments/1rj405n</t>
  </si>
  <si>
    <t xml:space="preserve">Is there a way to make a playlist not effect your recommendations?. Sometimes I listen to music when I go to sleep, stuff that’s super chill (similar </t>
  </si>
  <si>
    <t xml:space="preserve">https://www.reddit.com/comments/1rjlzlm</t>
  </si>
  <si>
    <t xml:space="preserve">Survey about Spotify's algorithms (pls fill it out i need to pass 😭🙏). HI! This quick survey is a part of my final year’s research project. It explore</t>
  </si>
  <si>
    <t xml:space="preserve">https://www.reddit.com/comments/1rjocgn</t>
  </si>
  <si>
    <t xml:space="preserve">Japanese City Pop 70s and 80s Playlist Curation. I’ve been building a Japanese City Pop playlist focused on 70s and 80s classics and deeper cuts. I’ve</t>
  </si>
  <si>
    <t xml:space="preserve">https://www.reddit.com/comments/1rjqp96</t>
  </si>
  <si>
    <t xml:space="preserve">Spotify Discover Weekly completely ruined. I used to discover new songs every week, and they would be connected to my taste but different artists or s</t>
  </si>
  <si>
    <t xml:space="preserve">https://www.reddit.com/comments/1rjro7o</t>
  </si>
  <si>
    <t xml:space="preserve">There are over 100 million songs on Spotify…. And yet every playlist it suggests to me has the same songs I’ve listened to before on repeat 🙄 Is there</t>
  </si>
  <si>
    <t xml:space="preserve">https://www.reddit.com/comments/1rjrzhb</t>
  </si>
  <si>
    <t xml:space="preserve">How to remove new music Spotify recommendations, it says you can in the more information but can't find it in settings or anything on Google.</t>
  </si>
  <si>
    <t xml:space="preserve">https://www.reddit.com/comments/1rjtw26</t>
  </si>
  <si>
    <t xml:space="preserve">Generating playlist based on multiple bands. Hey there, I would like to ask if there's a way to let spotify generate me playlist based on multiple ban</t>
  </si>
  <si>
    <t xml:space="preserve">https://www.reddit.com/comments/1rjv9ll</t>
  </si>
  <si>
    <t xml:space="preserve">Has the search algorithm for playlists changed recently?. I’ve noticed the past few days when searching for a playlist the results have shown more man</t>
  </si>
  <si>
    <t xml:space="preserve">https://www.reddit.com/comments/1rk3qwt</t>
  </si>
  <si>
    <t xml:space="preserve">The Iran War algorithm has started to affect my Spotify recommendations.</t>
  </si>
  <si>
    <t xml:space="preserve">https://www.reddit.com/comments/1rk99dc</t>
  </si>
  <si>
    <t xml:space="preserve">Y2K R&amp;B Nights. This playlist is for people who were outside when R&amp;B ruled the night. Late-night drives, windows down, no skips. T-Pain, Ne-Yo, Lloyd</t>
  </si>
  <si>
    <t xml:space="preserve">https://www.reddit.com/comments/1rkh5mz</t>
  </si>
  <si>
    <t xml:space="preserve">Why does spotify on ps5 always play albums?. Whenever I try to play a specific song on my ps5 it automatically forces me to see all the songs in the a</t>
  </si>
  <si>
    <t xml:space="preserve">https://www.reddit.com/comments/1rkkuta</t>
  </si>
  <si>
    <t xml:space="preserve">A playlist for slow mornings/afternoons. This is Coffee &amp; Chill ☕️ Warm soul &amp; mellow grooves for mornings, reading, and slow afternoons. I update thi</t>
  </si>
  <si>
    <t xml:space="preserve">https://www.reddit.com/comments/1rkn1u8</t>
  </si>
  <si>
    <t xml:space="preserve">Alt rock 50+ hours &amp; curated. Open for suggestions as well</t>
  </si>
  <si>
    <t xml:space="preserve">https://www.reddit.com/comments/1rkpzgy</t>
  </si>
  <si>
    <t xml:space="preserve">i hope they remove this stupid recommended songs section. Literally every time i refresh it without fail 4:44 by jay z is always the only song there</t>
  </si>
  <si>
    <t xml:space="preserve">https://www.reddit.com/comments/1rkx8e0</t>
  </si>
  <si>
    <t xml:space="preserve">Suggestions for my playlist of live recordings. Hello all. Like the title says, I am looking for some recommendations for my newest playlist. Ive rece</t>
  </si>
  <si>
    <t xml:space="preserve">https://www.reddit.com/comments/1rlzoat</t>
  </si>
  <si>
    <t xml:space="preserve">Changing Artist Radio Recommendations. Hi there. My name is Chris Ruiz, I'm a folk/americana artist from Southern California. I used to release predom</t>
  </si>
  <si>
    <t xml:space="preserve">https://www.reddit.com/comments/1rmgejm</t>
  </si>
  <si>
    <t xml:space="preserve">Adding songs I've never heard to shuffle. Y'all, I really enjoy Spotify. I've made a playlist with like 500 songs that I love and listen to them on sh</t>
  </si>
  <si>
    <t xml:space="preserve">https://www.reddit.com/comments/1rmhmlk</t>
  </si>
  <si>
    <t xml:space="preserve">Spotify recommendation is good but Youtube Music is better.. I have been using both spotify and youtube music so in my opinion i think youtube music h</t>
  </si>
  <si>
    <t xml:space="preserve">https://www.reddit.com/comments/1rmxvep</t>
  </si>
  <si>
    <t xml:space="preserve">Looking for niche artists!. Will respond back with ratings! I want to listen to some niche artists, underground type shi. You know lately I've been th</t>
  </si>
  <si>
    <t xml:space="preserve">https://www.reddit.com/comments/1rn7e3f</t>
  </si>
  <si>
    <t xml:space="preserve">Looking for songs with a similar vibe to IVOXYGEN – the girl next door. Hey everyone I’ve been listening to **IVOXYGEN – the girl next door** a lot la</t>
  </si>
  <si>
    <t xml:space="preserve">https://www.reddit.com/comments/1rng65c</t>
  </si>
  <si>
    <t xml:space="preserve">Has there ever been any notion that they may introduce the DJ hosting your playlists?. [removed]</t>
  </si>
  <si>
    <t xml:space="preserve">https://www.reddit.com/comments/1rodb1l</t>
  </si>
  <si>
    <t xml:space="preserve">discovery weekly??. discover weekly has been giving me recs for the same artists for the past few months and it's driving me crazy. I rarely find song</t>
  </si>
  <si>
    <t xml:space="preserve">https://www.reddit.com/comments/1roti5k</t>
  </si>
  <si>
    <t xml:space="preserve">My discover weekly is broken. It has been months now that my discover weekly give me music that is far away from my music taste, it's mostly rap music</t>
  </si>
  <si>
    <t xml:space="preserve">https://www.reddit.com/comments/1royu9u</t>
  </si>
  <si>
    <t xml:space="preserve">Discover Weekly changes multiple times in a week. I used to listen to my Discover Weekly all week - it changed once a week, on Monday. Now It shows on</t>
  </si>
  <si>
    <t xml:space="preserve">https://www.reddit.com/comments/1rp1651</t>
  </si>
  <si>
    <t xml:space="preserve">Cancelled Spotify premium after years.. Hi, Sorry for the ‘this is not an airport, no need to announce your departure’ but hopefully this will help ot</t>
  </si>
  <si>
    <t xml:space="preserve">https://www.reddit.com/comments/1rp2wgo</t>
  </si>
  <si>
    <t xml:space="preserve">Do you ever "fight back" against Spotify’s algorithms? Looking to interview music listeners about resisting recommendations. Hey everyone! I'm a bache</t>
  </si>
  <si>
    <t xml:space="preserve">https://www.reddit.com/comments/1rp4k1j</t>
  </si>
  <si>
    <t xml:space="preserve">How to fix shuffle algorithm. Maybe you’ve known about this or maybe you don’t, but it’s been working for me. When you start to notice songs repeating</t>
  </si>
  <si>
    <t xml:space="preserve">https://www.reddit.com/comments/1rp5vln</t>
  </si>
  <si>
    <t xml:space="preserve">Songs/Artist/Playlist/Albums that feel like spring. Here’s my spring playlist and would love recommendations to add to it!</t>
  </si>
  <si>
    <t xml:space="preserve">https://www.reddit.com/comments/1rpcllb</t>
  </si>
  <si>
    <t xml:space="preserve">What is with all the AI Slop?. I mean, seriously. It feels like every 2-3 songs I’m suggested is AI garbage that all sounds the exact same. The influx</t>
  </si>
  <si>
    <t xml:space="preserve">https://www.reddit.com/comments/1rpf89w</t>
  </si>
  <si>
    <t xml:space="preserve">spotify auto adding songs to playlist that I DIDNT add!!!!! HELP!!!. I thought i was going crazy!! how do i stop it!??? its not autoplay! its in my AC</t>
  </si>
  <si>
    <t xml:space="preserve">https://www.reddit.com/comments/1rpfkd6</t>
  </si>
  <si>
    <t xml:space="preserve">Dj X???. Does anyone know how to use the dj x? I had it previously (I’m in the uk) and I went to use it just but can’t find it for the life of me. I w</t>
  </si>
  <si>
    <t xml:space="preserve">https://www.reddit.com/comments/1rpg845</t>
  </si>
  <si>
    <t xml:space="preserve">Holy hell, I don't think I've ever seen a longer discover weekly.</t>
  </si>
  <si>
    <t xml:space="preserve">https://www.reddit.com/comments/1rpithy</t>
  </si>
  <si>
    <t xml:space="preserve">“On Repeat” playlist messing up recently?. I have listened to all of these songs literally once, the ones I liked a lot I added to my main playlist bu</t>
  </si>
  <si>
    <t xml:space="preserve">https://www.reddit.com/comments/1rpljpk</t>
  </si>
  <si>
    <t xml:space="preserve">Turn off the f*** sponsered pop up "suggestions". [removed]</t>
  </si>
  <si>
    <t xml:space="preserve">https://www.reddit.com/comments/1rps3mv</t>
  </si>
  <si>
    <t xml:space="preserve">I built an community driven album recommendation app because I was tired of algorithms. I built something because I got tired of algorithms telling me</t>
  </si>
  <si>
    <t xml:space="preserve">https://www.reddit.com/comments/1rqj9gz</t>
  </si>
  <si>
    <t xml:space="preserve">what’s wrong with spotify?. i’m a premium user and the songs that are playing in my recommendations arent the ones i liked. I love to discover new stu</t>
  </si>
  <si>
    <t xml:space="preserve">https://www.reddit.com/comments/1rr7rlc</t>
  </si>
  <si>
    <t xml:space="preserve">40’s - 60’s, open to suggestions. Give this playlist a listen: Oldies</t>
  </si>
  <si>
    <t xml:space="preserve">https://www.reddit.com/comments/1rravmq</t>
  </si>
  <si>
    <t xml:space="preserve">Spotify's algorithm has gotten so bad at actually surprising me — anyone else?. Used to open Discover Weekly and find at least 2-3 songs I'd never hea</t>
  </si>
  <si>
    <t xml:space="preserve">https://www.reddit.com/comments/1rre7ro</t>
  </si>
  <si>
    <t xml:space="preserve">TrapHipHop party playlist. yo goats. i lowk need smthing for a party with sum good heavy beats and smthing that hypes up a little only song im rocking</t>
  </si>
  <si>
    <t xml:space="preserve">https://www.reddit.com/comments/1rrirbh</t>
  </si>
  <si>
    <t xml:space="preserve">Using Spotify for ambient noise while sleeping ruins Discover and DJ features. Historically, I loved the Discover Weekly and DJ features for getting s</t>
  </si>
  <si>
    <t xml:space="preserve">https://www.reddit.com/comments/1rrsmla</t>
  </si>
  <si>
    <t xml:space="preserve">Bought a new phone and now shuffle + loop will not work when connected to my car (android). I've read countless posts on this topic already but 99% of</t>
  </si>
  <si>
    <t xml:space="preserve">https://www.reddit.com/comments/1rs1mhq</t>
  </si>
  <si>
    <t xml:space="preserve">I think I made the switch. I recently signed up for premium and cancelled my Apple Music subscription. I got so tired of the same songs being recommen</t>
  </si>
  <si>
    <t xml:space="preserve">https://www.reddit.com/comments/1rs4kuo</t>
  </si>
  <si>
    <t xml:space="preserve">Recommendation Millennial. I graduated high school 2006, college 2010 and had older siblings. I listened to all genres i want a playlist I can just tu</t>
  </si>
  <si>
    <t xml:space="preserve">https://www.reddit.com/comments/1rs8dih</t>
  </si>
  <si>
    <t xml:space="preserve">Music Recommendations. After my playlists finish, I'm constantly recommended the Stateside Zara Larsson remix even if the songs I was listening to pre</t>
  </si>
  <si>
    <t xml:space="preserve">https://www.reddit.com/comments/1rs9yek</t>
  </si>
  <si>
    <t xml:space="preserve">Smart shuffle not working on a particular playlist i have made. like whenever i try to click on the standard shuffle to switch to smart shuffle, it te</t>
  </si>
  <si>
    <t xml:space="preserve">https://www.reddit.com/comments/1rsgfbb</t>
  </si>
  <si>
    <t xml:space="preserve">recommend me songs like this ?.</t>
  </si>
  <si>
    <t xml:space="preserve">https://www.reddit.com/comments/1rslh35</t>
  </si>
  <si>
    <t xml:space="preserve">Spotify will let you edit your Taste Profile to control your recommendations. Starting with Premium listeners initially in New Zealand, Spotify will a</t>
  </si>
  <si>
    <t xml:space="preserve">https://www.reddit.com/comments/1rst6ma</t>
  </si>
  <si>
    <t xml:space="preserve">What’s one Spotify feature or trick that more people should know about?. I’ve been using Spotify for a while and every now and then I discover a featu</t>
  </si>
  <si>
    <t xml:space="preserve">https://www.reddit.com/comments/1rsw9mj</t>
  </si>
  <si>
    <t xml:space="preserve">The Radios now are better than ever. One of the best recent updates. The new options made the radios on Spotify excellent. Now, we have: __Made for Yo</t>
  </si>
  <si>
    <t xml:space="preserve">https://www.reddit.com/comments/1rsx73y</t>
  </si>
  <si>
    <t xml:space="preserve">Why doesn’t the DJ understand what I want?. I had started by tapping the dj button, it then says “Ok, I’m going to play some top indie songs, lana del</t>
  </si>
  <si>
    <t xml:space="preserve">https://www.reddit.com/comments/1rt1vsl</t>
  </si>
  <si>
    <t xml:space="preserve">Why can’t the suport team help me at all?. Ok, I’m not sure if this is the right place for this, but I recently decided to reach out to Spotify suppor</t>
  </si>
  <si>
    <t xml:space="preserve">https://www.reddit.com/comments/1rtin5f</t>
  </si>
  <si>
    <t xml:space="preserve">Did they remove the genres option? Or is it bugged for me?. I listen mainly to Metal, DNB and Jungle, Jazz, Classic Rap,Trap and LoFi. So it was amazi</t>
  </si>
  <si>
    <t xml:space="preserve">https://www.reddit.com/comments/1rtm8zv</t>
  </si>
  <si>
    <t xml:space="preserve">What's the difference between artist mixes and radios?. I've always wondered what the difference is between REM radio and REM mix, for example. Does a</t>
  </si>
  <si>
    <t xml:space="preserve">https://www.reddit.com/comments/1rubbpx</t>
  </si>
  <si>
    <t xml:space="preserve">moody synth and glitch (plus 80s and modern pop sensibilities). aka driving home at night from your small town retail job in your dad’s truck would lo</t>
  </si>
  <si>
    <t xml:space="preserve">https://www.reddit.com/comments/1rucxlv</t>
  </si>
  <si>
    <t xml:space="preserve">Smart Shuffle stopped working on my Liked Songs playlist. [removed]</t>
  </si>
  <si>
    <t xml:space="preserve">https://www.reddit.com/comments/1rud7u7</t>
  </si>
  <si>
    <t xml:space="preserve">Release Radar gone. Is the release radar gone for anyone else? I i cannot find it on desktop, web or android. I have tried logging out and in several </t>
  </si>
  <si>
    <t xml:space="preserve">https://www.reddit.com/comments/1ruhbux</t>
  </si>
  <si>
    <t xml:space="preserve">Interesting set of recommendations.</t>
  </si>
  <si>
    <t xml:space="preserve">https://www.reddit.com/comments/1rul5nq</t>
  </si>
  <si>
    <t xml:space="preserve">Drop your top emotional crash out songs/playlists. I’m trying to build myself a top tier crash out playlist and need suggestions. I am going for more </t>
  </si>
  <si>
    <t xml:space="preserve">https://www.reddit.com/comments/1ruv6f9</t>
  </si>
  <si>
    <t xml:space="preserve">I think Spotify abandoned AI playlists in favor of DJ. I used to have pretty good luck making AI playlists, but now am finding it’s pretty useless— i’</t>
  </si>
  <si>
    <t xml:space="preserve">https://www.reddit.com/comments/1ruvhn3</t>
  </si>
  <si>
    <t xml:space="preserve">Any romantasy songs you know?. I've really been into acotar lately and read a few more romantasy books and now I feel like I want to listen to songs a</t>
  </si>
  <si>
    <t xml:space="preserve">https://www.reddit.com/comments/1rv8dob</t>
  </si>
  <si>
    <t xml:space="preserve">shoegaze mix.. my attempt at a shoegaze playlist, including both mainstream and some underground artists too. always open to song/artist suggestions. </t>
  </si>
  <si>
    <t xml:space="preserve">https://www.reddit.com/comments/1rv9yys</t>
  </si>
  <si>
    <t xml:space="preserve">Gift Card Not Working. I received a Spotify gift card for Christmas this past December. As I still had some time left on my account from a previously </t>
  </si>
  <si>
    <t xml:space="preserve">https://www.reddit.com/comments/1rvkfs2</t>
  </si>
  <si>
    <t xml:space="preserve">How can I separate extreme metal songs from my Spotify Liked Songs without doing it all manually?. My Spotify Liked Songs is a huge mess and a big par</t>
  </si>
  <si>
    <t xml:space="preserve">https://www.reddit.com/comments/1rwaum2</t>
  </si>
  <si>
    <t xml:space="preserve">My playlist (yes it has no name) rate it out of 10 for me and recommend me songs. [</t>
  </si>
  <si>
    <t xml:space="preserve">https://www.reddit.com/comments/1rwfx7y</t>
  </si>
  <si>
    <t xml:space="preserve">Is anybody else's On Repeat absolutely broken?. [removed]</t>
  </si>
  <si>
    <t xml:space="preserve">https://www.reddit.com/comments/1rx8bk5</t>
  </si>
  <si>
    <t xml:space="preserve">How to hide podcast. “Diary of CEO” is on my top panel for podcasts despite not Following/being subscribed to this podcast. It makes me so angry every</t>
  </si>
  <si>
    <t xml:space="preserve">https://www.reddit.com/comments/1rxccqv</t>
  </si>
  <si>
    <t xml:space="preserve">"Roll credits.." (Please send suggestions for good "credits songs"! Thanks).</t>
  </si>
  <si>
    <t xml:space="preserve">https://www.reddit.com/comments/1rxhu7p</t>
  </si>
  <si>
    <t xml:space="preserve">Gas Station &amp; Retail Work Radio. Fully clean playlist for work 45+ hours worth of Good vibes from International Artists and International Mega stars. </t>
  </si>
  <si>
    <t xml:space="preserve">https://www.reddit.com/comments/1rxtv3a</t>
  </si>
  <si>
    <t xml:space="preserve">My Discover Weekly sucks, and I don’t know how to “fix” it. All the music in my discover weekly is nothing like what I like or listen to or what I wan</t>
  </si>
  <si>
    <t xml:space="preserve">https://www.reddit.com/comments/1rxx7do</t>
  </si>
  <si>
    <t xml:space="preserve">My playlist. Please help point out any remaining lofi so I can remove it as my discover weekly has seemingly been poisoned permanently when I liked 1 </t>
  </si>
  <si>
    <t xml:space="preserve">https://www.reddit.com/comments/1ry56sb</t>
  </si>
  <si>
    <t xml:space="preserve">Only playing “suggested” songs on playlists. I have the free version of Spotify and have been firm on using it for years. I’ve never been inconvenienc</t>
  </si>
  <si>
    <t xml:space="preserve">https://www.reddit.com/comments/1ry5inr</t>
  </si>
  <si>
    <t xml:space="preserve">Ai and smart shuffle issue. I used to listen to phonk style stuff but then it got filled with shit so I finally removed over 300 songs and replaced it</t>
  </si>
  <si>
    <t xml:space="preserve">https://www.reddit.com/comments/1ry75il</t>
  </si>
  <si>
    <t xml:space="preserve">i don’t see dj x in the netherlands.</t>
  </si>
  <si>
    <t xml:space="preserve">https://www.reddit.com/comments/1ry9plv</t>
  </si>
  <si>
    <t xml:space="preserve">Where did my daily mixes go?. [deleted]</t>
  </si>
  <si>
    <t xml:space="preserve">https://www.reddit.com/comments/1ryasc8</t>
  </si>
  <si>
    <t xml:space="preserve">Daily Mix problem. Daily mixes all show "playlist is empty". I cleared my cache, data, and even reinstalled the app twice. What do I do??</t>
  </si>
  <si>
    <t xml:space="preserve">https://www.reddit.com/comments/1rye5tm</t>
  </si>
  <si>
    <t xml:space="preserve">Got a blend with a random user?. i was going through the playlists made for you and I found that there was a blend made with “Belle” and me? I don’t h</t>
  </si>
  <si>
    <t xml:space="preserve">https://www.reddit.com/comments/1ryfui4</t>
  </si>
  <si>
    <t xml:space="preserve">Trying to listen an album with spotify free.. Hey, I'm trying to listen a full album but I only have Spotify free. After a few songs the app starts re</t>
  </si>
  <si>
    <t xml:space="preserve">https://www.reddit.com/comments/1ryr6gl</t>
  </si>
  <si>
    <t xml:space="preserve">Need respondents ASAP!!. Hi! I’m a Business Management student. I’m conducting a short (5–7 minute) survey on streaming platforms (e.g., Netflix, Spot</t>
  </si>
  <si>
    <t xml:space="preserve">https://www.reddit.com/comments/1ryr75y</t>
  </si>
  <si>
    <t xml:space="preserve">App Slowness SOLVED. Its literally just the Smart Shuffle collecting and managing data constantly. Just go to settings, playback etc and turn off Smar</t>
  </si>
  <si>
    <t xml:space="preserve">https://www.reddit.com/comments/1ryvnpn</t>
  </si>
  <si>
    <t xml:space="preserve">How would you feel, if you'd have more agency with the Smart-Shuffle function?. I was wondering, how the user base would feel, if they were given more</t>
  </si>
  <si>
    <t xml:space="preserve">https://www.reddit.com/comments/1rz3ju2</t>
  </si>
  <si>
    <t xml:space="preserve">Looking for recommendations for a dark electronic hype playlist. I’m building a playlist with a dark, high-energy electronic vibe and wanted to get so</t>
  </si>
  <si>
    <t xml:space="preserve">https://www.reddit.com/comments/1rz4zxq</t>
  </si>
  <si>
    <t xml:space="preserve">Discovery weekly in spanish. Discover weekly is all 100% Spanish songs and idk how because I dont listen to Spanish songs nearly enough for every sing</t>
  </si>
  <si>
    <t xml:space="preserve">https://www.reddit.com/comments/1rz6h81</t>
  </si>
  <si>
    <t xml:space="preserve">Worst update/is there a fix?. Before there was “new videos for you” on the scrolling feature I was able to find new songs that were underground some a</t>
  </si>
  <si>
    <t xml:space="preserve">https://www.reddit.com/comments/1rzaavc</t>
  </si>
  <si>
    <t xml:space="preserve">How the absolute hell does Spotify not have a "block song" feature in 2026!? Not having this one setting is triggering me so hard using Spotify.. Its </t>
  </si>
  <si>
    <t xml:space="preserve">https://www.reddit.com/comments/1rzbjrp</t>
  </si>
  <si>
    <t xml:space="preserve">I do not like being corralled like a baby in a service I pay for.. The home screen is non-customizable. Playlists that I haven't listened to in months</t>
  </si>
  <si>
    <t xml:space="preserve">https://www.reddit.com/comments/1rzi91g</t>
  </si>
  <si>
    <t xml:space="preserve">Made For You. Does anyone know how to turn off or LIMIT “made for you” playlist suggestions??? Every time I search for playlists, I’m flooded with “ma</t>
  </si>
  <si>
    <t xml:space="preserve">https://www.reddit.com/comments/1rzs8ts</t>
  </si>
  <si>
    <t xml:space="preserve">Spotify shuffle stays the same when I change songs.. I am having an issue with the shuffle feature on my playlists. If I select a song with shuffle on</t>
  </si>
  <si>
    <t xml:space="preserve">https://www.reddit.com/comments/1s030dc</t>
  </si>
  <si>
    <t xml:space="preserve">Instrumentals. Give suggestions too please.</t>
  </si>
  <si>
    <t xml:space="preserve">https://www.reddit.com/comments/1s03kw4</t>
  </si>
  <si>
    <t xml:space="preserve">After 3 years i finally see dj, but can't play it?. I'm in the beta, got update and went to check the "made for you" tab for some mixes like i often d</t>
  </si>
  <si>
    <t xml:space="preserve">https://www.reddit.com/comments/1s0afjv</t>
  </si>
  <si>
    <t xml:space="preserve">I got the dj feature after 3 years... But there's a weird catch. So i went to update spotify on my phone since i'm in the beta program. Went to look f</t>
  </si>
  <si>
    <t xml:space="preserve">https://www.reddit.com/comments/1s0alzo</t>
  </si>
  <si>
    <t xml:space="preserve">song recommendations on playlists problems:(. does anyone else have the same 10 songs recommended by spotify to add to their playlist, plus songs remo</t>
  </si>
  <si>
    <t xml:space="preserve">https://www.reddit.com/comments/1s0ekj2</t>
  </si>
  <si>
    <t xml:space="preserve">Why cannot not exclude AI artists ? Why are they still recommoned daily ????. /u/thisisspotify you have to do something about this. There is an artist</t>
  </si>
  <si>
    <t xml:space="preserve">https://www.reddit.com/comments/1s0j89g</t>
  </si>
  <si>
    <t xml:space="preserve">only chinese discover weekly playlist wtf. huh ching cheng hanji cheng chang chi no taiwan isnt a country ahh playlist xi jingping daddy i dont even l</t>
  </si>
  <si>
    <t xml:space="preserve">https://www.reddit.com/comments/1s0n7f0</t>
  </si>
  <si>
    <t xml:space="preserve">I got tired of Spotify's algorithm pushing fake AI artists, so I built a tracker. Just 50 of them are draining 37,000 Premium subs a month.. Hey every</t>
  </si>
  <si>
    <t xml:space="preserve">https://www.reddit.com/comments/1s0ymoo</t>
  </si>
  <si>
    <t xml:space="preserve">How to stop Spotify pushing a playlist on me. Hi everyone, I have an issue that hopefully someone knows how to resolve. I had a collaborative playlist</t>
  </si>
  <si>
    <t xml:space="preserve">https://www.reddit.com/comments/1s1bgpm</t>
  </si>
  <si>
    <t xml:space="preserve">What’s the problem with Spotify?. I have been using Apple Music since I was a student but I finally ran out of the student plan and didn’t feel paying</t>
  </si>
  <si>
    <t xml:space="preserve">https://www.reddit.com/comments/1s1gpul</t>
  </si>
  <si>
    <t xml:space="preserve">Prompted playlist that worked!. I've been trying to use prompted playlists to discover new songs that aren't similar to songs I've just heard. But it </t>
  </si>
  <si>
    <t xml:space="preserve">https://www.reddit.com/comments/1s1nd1u</t>
  </si>
  <si>
    <t xml:space="preserve">My Recently Played Songs Not Updating/Tracking Properly?. Don’t mind my playlist names, honestly— So, I noticed this start when I went to my Liked Son</t>
  </si>
  <si>
    <t xml:space="preserve">https://www.reddit.com/comments/1s26cni</t>
  </si>
  <si>
    <t xml:space="preserve">How do you stop car autoplay?. I'm new to Spotify. I use wireless Android Auto for my car connection. Every time I start my car, the music starts wher</t>
  </si>
  <si>
    <t xml:space="preserve">https://www.reddit.com/comments/1s2dkob</t>
  </si>
  <si>
    <t xml:space="preserve">Tired of the same recommendations? Here's a faster way to find new music you actually like. The theme is simple: discovery. Every week over 2000 new r</t>
  </si>
  <si>
    <t xml:space="preserve">https://www.reddit.com/comments/1s2fcj6</t>
  </si>
  <si>
    <t xml:space="preserve">Can't use Spotify offline. I don't know if anyone has had this issue or if they do but the app doesn't work offline. I have to switch on my data to li</t>
  </si>
  <si>
    <t xml:space="preserve">https://www.reddit.com/comments/1s2se8g</t>
  </si>
  <si>
    <t xml:space="preserve">who do i cancel this from happening?. I swear the ones they recommend are always hot garbage</t>
  </si>
  <si>
    <t xml:space="preserve">https://www.reddit.com/comments/1s38orn</t>
  </si>
  <si>
    <t xml:space="preserve">I’m probably now going to get recommended with podcasts. I accidentally tapped one of the “reels” under the “Search” tab, under the “Explore Episodes </t>
  </si>
  <si>
    <t xml:space="preserve">https://www.reddit.com/comments/1s3d2kn</t>
  </si>
  <si>
    <t xml:space="preserve">I've been checking whether AI recommends active podcasts or just the same 5 famous ones. Offering free audits. Started looking into this after asking </t>
  </si>
  <si>
    <t xml:space="preserve">https://www.reddit.com/comments/1s3mz38</t>
  </si>
  <si>
    <t xml:space="preserve">DJ “jokes”. The jokes that the DJ comes up with are usually corny, really bad, and just old jokes in general. But today, it actually made me laugh. “N</t>
  </si>
  <si>
    <t xml:space="preserve">https://www.reddit.com/comments/1s3mzqw</t>
  </si>
  <si>
    <t xml:space="preserve">Is the algorithm fucked?. I keep getting recommendations I would NEVER listen to. For example, on my 2020s mix, I had mariachi music, Olivia Rodrigo, </t>
  </si>
  <si>
    <t xml:space="preserve">https://www.reddit.com/comments/1s47eg2</t>
  </si>
  <si>
    <t xml:space="preserve">How to hear new music again. Most people know now that Spotify is more concerned with forcing novelty bells and whistles and endless clutter on users,</t>
  </si>
  <si>
    <t xml:space="preserve">https://www.reddit.com/comments/1s4ci04</t>
  </si>
  <si>
    <t xml:space="preserve">Why is BTS on the cover of Today’s Top Hits if none of their songs are in the playlist?. I’m in the US, and something about Spotify’s charts doesn’t m</t>
  </si>
  <si>
    <t xml:space="preserve">https://www.reddit.com/comments/1s4dgnt</t>
  </si>
  <si>
    <t xml:space="preserve">APPRECIATION: HOLY CRAP I WAS MISSING OUT ON SO MUCH. I AM NOT KIDDING BUT IDC IF SPOTIFY CHARGES A LOT BUT I LOVE SPOTIFY PLATINUM. I am not overexag</t>
  </si>
  <si>
    <t xml:space="preserve">https://www.reddit.com/comments/1s4eirc</t>
  </si>
  <si>
    <t xml:space="preserve">free plan — is this bs back??. they had previously lifted the shuffle restrictions for the free plan, as in choosing specific songs to play and turnin</t>
  </si>
  <si>
    <t xml:space="preserve">https://www.reddit.com/comments/1s4yxlo</t>
  </si>
  <si>
    <t xml:space="preserve">Recommendation on 90s/2000s/2010s/2020s playlists. [removed]</t>
  </si>
  <si>
    <t xml:space="preserve">https://www.reddit.com/comments/1s51g0v</t>
  </si>
  <si>
    <t xml:space="preserve">Spotify not letting me listen to songs of my choice. Okay so usually this resets within 24 hours right? I changed phones from redmi to one plus, and t</t>
  </si>
  <si>
    <t xml:space="preserve">https://www.reddit.com/comments/1s52ffu</t>
  </si>
  <si>
    <t xml:space="preserve">Discover Weekly is basicaly what's trending on Instagram/Tiktok. [removed]</t>
  </si>
  <si>
    <t xml:space="preserve">https://www.reddit.com/comments/1s52wd6</t>
  </si>
  <si>
    <t xml:space="preserve">How do I get this messages track to stop showing up every week?. I likes to listen to the release radar playlist every week. For some reason, without </t>
  </si>
  <si>
    <t xml:space="preserve">https://www.reddit.com/comments/1s5390p</t>
  </si>
  <si>
    <t xml:space="preserve">Why does Spotify keep pushing the same songs?. I keep noticing the same tracks showing up across different playlists and recommendations. Even when I </t>
  </si>
  <si>
    <t xml:space="preserve">https://www.reddit.com/comments/1s542jh</t>
  </si>
  <si>
    <t xml:space="preserve">Spotify AI DJ not working. Hey everyone my Spotify DJ has decided to stop working completely, and every time I’ve tried using it. the AI pops up with </t>
  </si>
  <si>
    <t xml:space="preserve">https://www.reddit.com/comments/1s547fa</t>
  </si>
  <si>
    <t xml:space="preserve">Best Mixed Playlist. Best mix amapiano or afrobeats playlist. Anyobe have suggestions. I do not have spotify premium, i cannot make one. Paste any lin</t>
  </si>
  <si>
    <t xml:space="preserve">https://www.reddit.com/comments/1s59fws</t>
  </si>
  <si>
    <t xml:space="preserve">FIX for spotify random playback not working and playlists not playing due to lack of google play services. I've had this problem recently since removi</t>
  </si>
  <si>
    <t xml:space="preserve">https://www.reddit.com/comments/1s5qz9a</t>
  </si>
  <si>
    <t xml:space="preserve">How do I stop music videos from ever playing?. None of the posts or anything I've seen so far lets me stop all music videos from ever playing. I reall</t>
  </si>
  <si>
    <t xml:space="preserve">https://www.reddit.com/comments/1s5vxe6</t>
  </si>
  <si>
    <t xml:space="preserve">"Discover 2 - Songs For Repeat". I auditioned all the songs from my most current Discover Weekly and these were the most repeat-worthy songs for me, t</t>
  </si>
  <si>
    <t xml:space="preserve">https://www.reddit.com/comments/1s69gl4</t>
  </si>
  <si>
    <t xml:space="preserve">Spotify has become too overwhelming. I’m sorry but wtf, I just opened my fucking Spotify after 1 day of not using it and they put a bloody ai dj in my</t>
  </si>
  <si>
    <t xml:space="preserve">https://www.reddit.com/comments/1s6hr2l</t>
  </si>
  <si>
    <t xml:space="preserve">Finding new music on Spotify sucks. This has been said a bazillion times but man it's only gotten worse. I often turn leave Spotify to do its thing re</t>
  </si>
  <si>
    <t xml:space="preserve">https://www.reddit.com/comments/1s6urxa</t>
  </si>
  <si>
    <t xml:space="preserve">Autoplay wont work unless I'm on the tab. I’ve been having a weird issue with the autoplay on Spotify web/Safari. Autoplay is turned on, but whenever </t>
  </si>
  <si>
    <t xml:space="preserve">https://www.reddit.com/comments/1s6w5v6</t>
  </si>
  <si>
    <t xml:space="preserve">[Rock] 2025 Billboard Rock Tracks. Decided to hop ahead a couple decades to something more current! This playlist contains every song that peaked in 2</t>
  </si>
  <si>
    <t xml:space="preserve">https://www.reddit.com/comments/1s6zjvg</t>
  </si>
  <si>
    <t xml:space="preserve">Making a mix playlist. Give me song suggestions that mix well with “Outside” by Travis Scott and Youngboy.</t>
  </si>
  <si>
    <t xml:space="preserve">https://www.reddit.com/comments/1s704rr</t>
  </si>
  <si>
    <t xml:space="preserve">Who ever is in charge of what goes on with the AI DJ NEEDS TO GET FIRED. Like cmon mane why he plays every song every song I instantly skip when I pla</t>
  </si>
  <si>
    <t xml:space="preserve">https://www.reddit.com/comments/1s76l0d</t>
  </si>
  <si>
    <t xml:space="preserve">Am I wrong, or is Spotify increasingly hiding Daily Mixes?. They are starting to appear less and less on the home page, both in the general one (now u</t>
  </si>
  <si>
    <t xml:space="preserve">https://www.reddit.com/comments/1s7aipd</t>
  </si>
  <si>
    <t xml:space="preserve">Tired of the boring Spotify algorithm?. It doesn't matter if you use Spotify DJ, 'Discover Weekly' or Artist/Song Radio. In the end, the suggestions w</t>
  </si>
  <si>
    <t xml:space="preserve">https://www.reddit.com/comments/1s7semk</t>
  </si>
  <si>
    <t xml:space="preserve">Did Spotify quietly change the DJ crossfade? Transitions feel way more aggressive now. I’ve noticed that the crossfade between songs on the DJ feature</t>
  </si>
  <si>
    <t xml:space="preserve">https://www.reddit.com/comments/1s7zshv</t>
  </si>
  <si>
    <t xml:space="preserve">Does anyone elses songs sound underwater?. As the title states, my Spotify sounds like it’s underwater. Not constantly, only a select few songs and it</t>
  </si>
  <si>
    <t xml:space="preserve">https://www.reddit.com/comments/1s84cnr</t>
  </si>
  <si>
    <t xml:space="preserve">Female Fronted Metal. How would you rate this Female Fronted Playlist? any suggestions of some good Female Fronted bands that I'm missing?</t>
  </si>
  <si>
    <t xml:space="preserve">https://www.reddit.com/comments/1s86wfd</t>
  </si>
  <si>
    <t xml:space="preserve">can you guys recommend songs for this playlist?.</t>
  </si>
  <si>
    <t xml:space="preserve">https://www.reddit.com/comments/1s8c5ci</t>
  </si>
  <si>
    <t xml:space="preserve">Is Discover Weekly becoming unplayable with too much AI/ghost artist songs (juice WRLD)?. I have not listened to juice WRLD consistent since around 20</t>
  </si>
  <si>
    <t xml:space="preserve">https://www.reddit.com/comments/1s96w1j</t>
  </si>
  <si>
    <t xml:space="preserve">If you like pop but hate hearing the same songs everywhere, this is for you. I got tired of hearing the same songs over and over from the radio and Sp</t>
  </si>
  <si>
    <t xml:space="preserve">https://www.reddit.com/comments/1s9eea3</t>
  </si>
  <si>
    <t xml:space="preserve">Song on DJ from Ex. I got a song that popped up from my ex using the DJ playlist. It said “From username.” She’s not blocked, but we don’t follow each</t>
  </si>
  <si>
    <t xml:space="preserve">https://www.reddit.com/comments/1s9h3cw</t>
  </si>
  <si>
    <t xml:space="preserve">Spotify not playing next song. I am running Spotify premium family. As of last week when a song is over I get this message: “We’re trying to play this</t>
  </si>
  <si>
    <t xml:space="preserve">https://www.reddit.com/comments/1s9i9df</t>
  </si>
  <si>
    <t xml:space="preserve">Is this happening with everyone or Spotify just doesn't want me to be q student?. So I have been using Spotify premium student plan for past 3 yrs of </t>
  </si>
  <si>
    <t xml:space="preserve">https://www.reddit.com/comments/1s9k39a</t>
  </si>
  <si>
    <t xml:space="preserve">Looking for Suggestions on Songs about a girl who's going to be ok.</t>
  </si>
  <si>
    <t xml:space="preserve">https://www.reddit.com/comments/1s9k5s7</t>
  </si>
  <si>
    <t xml:space="preserve">Inaccurate on repeat playlist. I’m confused. I never heard of BTS’ new song, yet it’s on my repeat playlist. Does anyone know why? Disclaimer: this is</t>
  </si>
  <si>
    <t xml:space="preserve">https://www.reddit.com/comments/1s9x0v4</t>
  </si>
  <si>
    <t xml:space="preserve">Looking for European Portuguese playlists/artists for B1 level. Hi everyone! I’m currently at a **B1 level** in **European Portuguese** and I’m lookin</t>
  </si>
  <si>
    <t xml:space="preserve">https://www.reddit.com/comments/1sa63vv</t>
  </si>
  <si>
    <t xml:space="preserve">LOL WTF happened to Discover Weekly?. I don't usually check my Discover Weekly all that often, but I just did and this week mine went to what appears </t>
  </si>
  <si>
    <t xml:space="preserve">https://www.reddit.com/comments/1sakzwa</t>
  </si>
  <si>
    <t xml:space="preserve">Discover weekly randomly in languages I’ve never listened to. Any fix?. The languages and categories just completely different than what I listen to a</t>
  </si>
  <si>
    <t xml:space="preserve">https://www.reddit.com/comments/1sao91f</t>
  </si>
  <si>
    <t xml:space="preserve">Some questions. I used Pandora since I was like 15 (2013 ish) and just swapped to Spotify cause its become ass. Why is Spotify adding 'Liked' songs I </t>
  </si>
  <si>
    <t xml:space="preserve">https://www.reddit.com/comments/1sarrfu</t>
  </si>
  <si>
    <t xml:space="preserve">Something strange happened to my Discover Weekly... was there an April fools prank this week? my entire Discover Weekly is Viking Music and songs sung</t>
  </si>
  <si>
    <t xml:space="preserve">https://www.reddit.com/comments/1sato2h</t>
  </si>
  <si>
    <t xml:space="preserve">ADD MORE AI DJ VOICES. PLEASE SPOTIFY WE NEED THIS, POOR DJ IS BEING FORCED TO WORK EVERYDAY</t>
  </si>
  <si>
    <t xml:space="preserve">https://www.reddit.com/comments/1sb4u7s</t>
  </si>
  <si>
    <t xml:space="preserve">Maybe streaming’s real competitor was radio all along. Streaming won the catalogue war. But what if a lot of listening was never really a catalogue pr</t>
  </si>
  <si>
    <t xml:space="preserve">https://www.reddit.com/comments/1sbcjn5</t>
  </si>
  <si>
    <t xml:space="preserve">Built an alternative to the search, skip, queue loop. Would love honest feedback.. I kept feeling like Spotify solved access but not the experience of</t>
  </si>
  <si>
    <t xml:space="preserve">https://www.reddit.com/comments/1sbcvez</t>
  </si>
  <si>
    <t xml:space="preserve">Why does this limit exist?. I wanted to pin all of the Daily Mix playlists because I got tired of finding them whenever I wanted to listen to them</t>
  </si>
  <si>
    <t xml:space="preserve">https://www.reddit.com/comments/1sbidv5</t>
  </si>
  <si>
    <t xml:space="preserve">is there a way to get local files to show up in ´on repeat` or Spotify wrapped?. title pretty much. I have some songs I´m absolutely obsessed with and</t>
  </si>
  <si>
    <t xml:space="preserve">https://www.reddit.com/comments/1sbmnl7</t>
  </si>
  <si>
    <t xml:space="preserve">Made for Fuzzy?. So on "Search" I'm browsing all the categories and go to "Made For You" category. I click on the "Concerts Near You" playlist and get</t>
  </si>
  <si>
    <t xml:space="preserve">https://www.reddit.com/comments/1sbnwfg</t>
  </si>
  <si>
    <t xml:space="preserve">How do I disable autoplaying music videos on mobile?. Spotify has started autoplaying music videos for every song played. You can manually hit "switch</t>
  </si>
  <si>
    <t xml:space="preserve">https://www.reddit.com/comments/1sbzztr</t>
  </si>
  <si>
    <t xml:space="preserve">Offline Playlists not starting to play. I wanted to download some playlists on an old notebook to use offline for a party in a remote location. This w</t>
  </si>
  <si>
    <t xml:space="preserve">https://www.reddit.com/comments/1scgt1s</t>
  </si>
  <si>
    <t xml:space="preserve">Song recommendations being in a way different genre than song chosen, anyway to turn this off?. Im a non-premium user and I find that this only happen</t>
  </si>
  <si>
    <t xml:space="preserve">https://www.reddit.com/comments/1scq4qf</t>
  </si>
  <si>
    <t xml:space="preserve">Looking for album recommendations — I’ll listen to one new album every week. I love discovering new music and I’m starting a thing where I listen to o</t>
  </si>
  <si>
    <t xml:space="preserve">https://www.reddit.com/comments/1scsb12</t>
  </si>
  <si>
    <t xml:space="preserve">Spotify AI features are a cool idea if the AI wasn’t so trash.. How is it that they have the best music algorithm in the game but on the same hand hav</t>
  </si>
  <si>
    <t xml:space="preserve">https://www.reddit.com/comments/1sd51la</t>
  </si>
  <si>
    <t xml:space="preserve">Rate and recommend albums this playlist might be missing.</t>
  </si>
  <si>
    <t xml:space="preserve">https://www.reddit.com/comments/1sdj5ab</t>
  </si>
  <si>
    <t xml:space="preserve">I started creating playlists and a couple of radio people told me Im really good.. Some friends encouraged me to get busy doing some playlists. I have</t>
  </si>
  <si>
    <t xml:space="preserve">https://www.reddit.com/comments/1sdosy2</t>
  </si>
  <si>
    <t xml:space="preserve">Is Spotify listening to me?. Yesterday I had my phone aside to charge while I was cooking dinner, and I started singing some random lines from the son</t>
  </si>
  <si>
    <t xml:space="preserve">https://www.reddit.com/comments/1sdqqp9</t>
  </si>
  <si>
    <t xml:space="preserve">Digging through thousands of new releases for you - the best discoveries I find land here.. The theme is discovery, new artists that fly under your ra</t>
  </si>
  <si>
    <t xml:space="preserve">https://www.reddit.com/comments/1se3zw3</t>
  </si>
  <si>
    <t xml:space="preserve">Shortest Discover Weekly ever? Not sure what happened, but it only gave me 11 songs.</t>
  </si>
  <si>
    <t xml:space="preserve">https://www.reddit.com/comments/1se7eot</t>
  </si>
  <si>
    <t xml:space="preserve">Research shows Spotify's algorithm narrows your music taste after 6 months of heavy use.</t>
  </si>
  <si>
    <t xml:space="preserve">https://www.reddit.com/comments/1seegvw</t>
  </si>
  <si>
    <t xml:space="preserve">Need recommendations for songs to listen to.</t>
  </si>
  <si>
    <t xml:space="preserve">https://www.reddit.com/comments/1seofpw</t>
  </si>
  <si>
    <t xml:space="preserve">Spotify has recently gotten slow, laggy and buggy on my iphone.. I don't understand why keeping this app simple and useable is so hard. I'm seriously </t>
  </si>
  <si>
    <t xml:space="preserve">https://www.reddit.com/comments/1sfh16p</t>
  </si>
  <si>
    <t xml:space="preserve">need EDM recs similar to “across the room x falls” - ODESZA live remix. Examples of songs that touch my soul are: “Falls” - Odesza “Heaven takes you h</t>
  </si>
  <si>
    <t xml:space="preserve">https://www.reddit.com/comments/1sfhpej</t>
  </si>
  <si>
    <t xml:space="preserve">Why does Spotify sometimes just hit me with back-to-back songs I’ve never heard but are super bangers?. Sometimes when im listening on spotify, it’ll </t>
  </si>
  <si>
    <t xml:space="preserve">https://www.reddit.com/comments/1sfq3ap</t>
  </si>
  <si>
    <t xml:space="preserve">Smart shuffle in 'Liked Songs' question. it has been bugging me for a while. Smart Shuffle enables and disables itself whenever it damn feels like it,</t>
  </si>
  <si>
    <t xml:space="preserve">https://www.reddit.com/comments/1sg54zp</t>
  </si>
  <si>
    <t xml:space="preserve">I swear Spotify is up to some weird stuff. Okay so I’m on Spotify as is a normal day I start playing the dj that’s been in beta for years now. And I g</t>
  </si>
  <si>
    <t xml:space="preserve">https://www.reddit.com/comments/1sgsem1</t>
  </si>
  <si>
    <t xml:space="preserve">spotify on repeat not logging songs correctly. so i know people have been having this problem for months. i listened to less than half of a 5 minute s</t>
  </si>
  <si>
    <t xml:space="preserve">https://www.reddit.com/comments/1sgw654</t>
  </si>
  <si>
    <t xml:space="preserve">Top 10 hip-hop tracks right now, pulled from fan voting instead of algorithm picks. [ Some really strong tracks in here right now.</t>
  </si>
  <si>
    <t xml:space="preserve">https://www.reddit.com/comments/1sgxjcb</t>
  </si>
  <si>
    <t xml:space="preserve">Spotify UI Concept Design. Recently, I noticed discussions on Twitter (now X) comparing Apple Music and Spotify's user interfaces. The consensus seems</t>
  </si>
  <si>
    <t xml:space="preserve">https://www.reddit.com/comments/1sgzf2m</t>
  </si>
  <si>
    <t xml:space="preserve">on repeat playlist. anyone else’s “on repeat” playlist showing only 15 songs? this used to be 30, right? not really big of a deal and it was not that </t>
  </si>
  <si>
    <t xml:space="preserve">https://www.reddit.com/comments/1sh39j7</t>
  </si>
  <si>
    <t xml:space="preserve">songs with “change” in the title?. i’m building a [playlist]( centered around songs with “change” in the title — kind of inspired by *“au pays du coca</t>
  </si>
  <si>
    <t xml:space="preserve">https://www.reddit.com/comments/1sh9j1g</t>
  </si>
  <si>
    <t xml:space="preserve">Auto play not working anymore. My favourite part about Spotify is that you can search a song - play it and what it’s done you’ll get other random song</t>
  </si>
  <si>
    <t xml:space="preserve">https://www.reddit.com/comments/1shj3y6</t>
  </si>
  <si>
    <t xml:space="preserve">Spotify recommendations showing unrelated things. Im trying to listen on Spotify but it keeps playing these god awful songs, i do not listen to any of</t>
  </si>
  <si>
    <t xml:space="preserve">https://www.reddit.com/comments/1shnnyv</t>
  </si>
  <si>
    <t xml:space="preserve">How do I get rid of these recommendations?. I keep getting NPR and Joe Rogan recommended to me.. There is no option to dismiss or to select “don’t sho</t>
  </si>
  <si>
    <t xml:space="preserve">https://www.reddit.com/comments/1shpxlf</t>
  </si>
  <si>
    <t xml:space="preserve">Successor of TV and Radio during the 2020s (and AI Slop too). So, I said that television and the radio have 2 sucessors: Netflix for the TV, and Spoti</t>
  </si>
  <si>
    <t xml:space="preserve">https://www.reddit.com/comments/1shwo9o</t>
  </si>
  <si>
    <t xml:space="preserve">103.5 Dawn FM (Mixed). 96 Songs which prominently feature The Weeknd. All the songs here are either mostly his songs, with a few exceptions in which h</t>
  </si>
  <si>
    <t xml:space="preserve">https://www.reddit.com/comments/1sigjr9</t>
  </si>
  <si>
    <t xml:space="preserve">Got the Bruno Mars infection. Never listened to this dude, I was listening to a generated radio from one of my liked song, nothing in common with Mars</t>
  </si>
  <si>
    <t xml:space="preserve">https://www.reddit.com/comments/1sj0tht</t>
  </si>
  <si>
    <t xml:space="preserve">This is on my on repeat but I've never listened to this once.. I do listen to Elvis, and I used to listen to The Marcels version of this song pretty r</t>
  </si>
  <si>
    <t xml:space="preserve">https://www.reddit.com/comments/1sje5vb</t>
  </si>
  <si>
    <t xml:space="preserve">Spotify broken. Dealing with an issue with the shuffle button. It does not work at all. Ill list the things ive done to solve this issue: Clear cache </t>
  </si>
  <si>
    <t xml:space="preserve">https://www.reddit.com/comments/1sjf92a</t>
  </si>
  <si>
    <t xml:space="preserve">First time coming across randomly recommended AI music on Spotify. AI album cover, artist artwork AND music video. Bunch of singles released in 2026. </t>
  </si>
  <si>
    <t xml:space="preserve">https://www.reddit.com/comments/1sjziqt</t>
  </si>
  <si>
    <t xml:space="preserve">Club Sweat (DJ Mix). Club Sweat is my modern and tech house workout mix built for sweat and steady momentum. I have used the DJ mix feature, so listen</t>
  </si>
  <si>
    <t xml:space="preserve">https://www.reddit.com/comments/1sk581g</t>
  </si>
  <si>
    <t xml:space="preserve">Is shuffle mode truly shuffle mode? (Even with smart shuffle turned off). So I’m convinced that even with all the smart shuffle settings turned off, i</t>
  </si>
  <si>
    <t xml:space="preserve">https://www.reddit.com/comments/1skche1</t>
  </si>
  <si>
    <t xml:space="preserve">Each day, more than 100,000 songs are uploaded, but Spotify doesn't have anything to help filtering it down to the best new stuff.. Discover Weekly, a</t>
  </si>
  <si>
    <t xml:space="preserve">https://www.reddit.com/comments/1skdbdd</t>
  </si>
  <si>
    <t xml:space="preserve">Whats up with these AI accounts crediting other artists in their AI slop?. Ive had 4 of these in my release radar, and they are all the same thing, it</t>
  </si>
  <si>
    <t xml:space="preserve">https://www.reddit.com/comments/1skl0ik</t>
  </si>
  <si>
    <t xml:space="preserve">How do I get rid of these AI slop suggestions??. I made the mistake of listening to a Warhammer podcast once and now my home page is beeing bombarded </t>
  </si>
  <si>
    <t xml:space="preserve">https://www.reddit.com/comments/1sktnz4</t>
  </si>
  <si>
    <t xml:space="preserve">Your coworkers will think you're cool if you play this at work. Also, recommendations please!.</t>
  </si>
  <si>
    <t xml:space="preserve">https://www.reddit.com/comments/1sl2h90</t>
  </si>
  <si>
    <t xml:space="preserve">Why is my "Discover Weekly" trying to push German music on me?. I was a big fan of the "Discover Weekly" feature for a long time because it served its</t>
  </si>
  <si>
    <t xml:space="preserve">https://www.reddit.com/comments/1sl52o4</t>
  </si>
  <si>
    <t xml:space="preserve">Ai music needs to stop.. Is there any way to get them to stop recommending/playing me Ai music?… I could finish listening to Tank, Sabrina Carpenter..</t>
  </si>
  <si>
    <t xml:space="preserve">https://www.reddit.com/comments/1slj9px</t>
  </si>
  <si>
    <t xml:space="preserve">My favourite Discover Weekly sub genre is 24 minutes long, all the others are 2 hours plus.. For the last few months, discover weekly has been winding</t>
  </si>
  <si>
    <t xml:space="preserve">https://www.reddit.com/comments/1slsybs</t>
  </si>
  <si>
    <t xml:space="preserve">Do you like mainstream hits but get tired of hearing them everywhere?. got tired of the same overplayed tracks from the radio and Spotify algorithms, </t>
  </si>
  <si>
    <t xml:space="preserve">https://www.reddit.com/comments/1sluink</t>
  </si>
  <si>
    <t xml:space="preserve">Please stop adding video features!. I'm going to look for an alternative to Spotify if it keeps adding video features. Spotify does not compete with Y</t>
  </si>
  <si>
    <t xml:space="preserve">https://www.reddit.com/comments/1sm4pfh</t>
  </si>
  <si>
    <t xml:space="preserve">Got tired of Spotify recommending the same surface level “underground” stuff, so I started digging myself.... Theme is dark, grimy boom bap. Undergrou</t>
  </si>
  <si>
    <t xml:space="preserve">https://www.reddit.com/comments/1sm8csn</t>
  </si>
  <si>
    <t xml:space="preserve">Whats up with these recommendations?. WHY AM I GETTING RECOMMENDED A LULLABY WHILE LISTENING TO INFANT ANNIHILATOR</t>
  </si>
  <si>
    <t xml:space="preserve">https://www.reddit.com/comments/1smxith</t>
  </si>
  <si>
    <t xml:space="preserve">Way too many ads. Simply way too many of them. I've had about 5 ad breaks in the past half an hour, each one about a minute or two in total. a ratio o</t>
  </si>
  <si>
    <t xml:space="preserve">https://www.reddit.com/comments/1sn1la8</t>
  </si>
  <si>
    <t xml:space="preserve">modern emo / shoegaze / sad indie (sad comfort playlist). playlist i’ve been adding to for months mostly emo / sad indie / screamo type stuff if you l</t>
  </si>
  <si>
    <t xml:space="preserve">https://www.reddit.com/comments/1snincg</t>
  </si>
  <si>
    <t xml:space="preserve">Is “New Music Friday” officially broken?. I know new music Friday is loosely based off your listening interests, but lately I feel its recommendations</t>
  </si>
  <si>
    <t xml:space="preserve">https://www.reddit.com/comments/1so4pam</t>
  </si>
  <si>
    <t xml:space="preserve">spotify's regional lock feature.. i'm in central asia. i pay more than russia and get half the features. tbh i'm so done with this company's shit — it</t>
  </si>
  <si>
    <t xml:space="preserve">https://www.reddit.com/comments/1sp62bj</t>
  </si>
  <si>
    <t xml:space="preserve">Why is the recommendations queue feature so... Bad?. So, I've noticed that when I'm online Spotify will queue random songs that aren't even relevant t</t>
  </si>
  <si>
    <t xml:space="preserve">https://www.reddit.com/comments/1spha09</t>
  </si>
  <si>
    <t xml:space="preserve">Does changing a Spotify playlist cover or adding songs make it more recommended/likely to get saved?. I was just curious if the algorithm like pushes </t>
  </si>
  <si>
    <t xml:space="preserve">https://www.reddit.com/comments/1sphhat</t>
  </si>
  <si>
    <t xml:space="preserve">Clean Spotify for car use?. How can I disable everything in Spotify except the search function and Playlists? I use Spotify in the car and I want it t</t>
  </si>
  <si>
    <t xml:space="preserve">https://www.reddit.com/comments/1spl7xa</t>
  </si>
  <si>
    <t xml:space="preserve">recommendations (im into pop, indie, rock etc every kind of music). my fav artists: 1st chase atlantic, next justin bieber, then id say the neighborho</t>
  </si>
  <si>
    <t xml:space="preserve">https://www.reddit.com/comments/1sq1dk4</t>
  </si>
  <si>
    <t xml:space="preserve">10+ year Spotify user needs an alternative. I literally don't care about Trump or US politics. Well yes, Spotify could say that their algorithm is lea</t>
  </si>
  <si>
    <t xml:space="preserve">https://www.reddit.com/comments/1sq5c02</t>
  </si>
  <si>
    <t xml:space="preserve">song recommendations. looking for songs similar to these!!</t>
  </si>
  <si>
    <t xml:space="preserve">https://www.reddit.com/comments/1sqf09l</t>
  </si>
  <si>
    <t xml:space="preserve">Getting my liked songs outside of Spotify?. I don't really wanna listen to any of the new fake stuff, if I rly like something I can always find the mp</t>
  </si>
  <si>
    <t xml:space="preserve">https://www.reddit.com/comments/1sqha2j</t>
  </si>
  <si>
    <t xml:space="preserve">Discover weekly sub genre 26mins short? Close to cancelling.. This is about the 6th week in a row where the subgenre of my most listened to genre is t</t>
  </si>
  <si>
    <t xml:space="preserve">https://www.reddit.com/comments/1sqrnqt</t>
  </si>
  <si>
    <t xml:space="preserve">WHO'S READY FOR THE WORLD CUP 2026? Playlist Spotify by CallMeThe PSYCHO X.. Welcome to my new playlist filled with the Official Songs of Word Cup 202</t>
  </si>
  <si>
    <t xml:space="preserve">https://www.reddit.com/comments/1sr8a7o</t>
  </si>
  <si>
    <t xml:space="preserve">If I listen to a song just once, it ends up as my top track and artist for the month if I listen to it on my laptop. How to fix this?. If I listen to </t>
  </si>
  <si>
    <t xml:space="preserve">https://www.reddit.com/comments/1sr8yap</t>
  </si>
  <si>
    <t xml:space="preserve">Anyone know how to remove these unwanted stuff from my library?. I just want to know if there is a way to remove these 3 categories from my library. I</t>
  </si>
  <si>
    <t xml:space="preserve">https://www.reddit.com/comments/1sr9bmd</t>
  </si>
  <si>
    <t xml:space="preserve">Spotify DJ fall off. Anybody else noticed how shit the DJ is recently. I used to use it to find new artists who i would have never found beforehand. I</t>
  </si>
  <si>
    <t xml:space="preserve">https://www.reddit.com/comments/1srlwfl</t>
  </si>
  <si>
    <t xml:space="preserve">What’s a song everyone calls “indie” but is actually incredibly mainstream?. Hey everyone! I’m putting together a "starter pack" playlist capturing th</t>
  </si>
  <si>
    <t xml:space="preserve">https://www.reddit.com/comments/1ss5a6j</t>
  </si>
  <si>
    <t xml:space="preserve">Time Stamped Song Skipping. I'm having an issue that I can only describe as a time stamped skip to the next song exactly 10 seconds in to each track. </t>
  </si>
  <si>
    <t xml:space="preserve">https://www.reddit.com/comments/1ss7zdn</t>
  </si>
  <si>
    <t xml:space="preserve">Personal Radio Station. Hello guys! I would love to come back to Spotify (from Apple Music) because my wife and everyone i know has Spotify and becaus</t>
  </si>
  <si>
    <t xml:space="preserve">https://www.reddit.com/comments/1ssdrye</t>
  </si>
  <si>
    <t xml:space="preserve">Spotify auto-playing music video audio. Y'all I need some help, Spotify has been auto-playing the music video versions of songs. Anything I can do to </t>
  </si>
  <si>
    <t xml:space="preserve">https://www.reddit.com/comments/1sseul0</t>
  </si>
  <si>
    <t xml:space="preserve">Crossfade STINKS change my mind ☕️. I think crossfade ruins beginnings of well made songs. If an artist truly wanted you to not listen to the first 10</t>
  </si>
  <si>
    <t xml:space="preserve">https://www.reddit.com/comments/1ssoh29</t>
  </si>
  <si>
    <t xml:space="preserve">Algorithm for suggested contacts?. My brother was on spotify and my ex from a few years ago popped up as a suggested collaborator for him. They’ve nev</t>
  </si>
  <si>
    <t xml:space="preserve">https://www.reddit.com/comments/1sssofg</t>
  </si>
  <si>
    <t xml:space="preserve">How can I get Spotify to stop recommending revolting podcasts?. I have never listened to Steve fucking Bannon. Nor Candace fucking Owens. Or any of th</t>
  </si>
  <si>
    <t xml:space="preserve">https://www.reddit.com/comments/1sswij5</t>
  </si>
  <si>
    <t xml:space="preserve">How to be able to listen to specific songs without premium. My Spotify recently decided to start only giving me like 10 choices a day and then it give</t>
  </si>
  <si>
    <t xml:space="preserve">https://www.reddit.com/comments/1ssx1nf</t>
  </si>
  <si>
    <t xml:space="preserve">sad melodies/ Heartbreaking songs . Spotify Playlist by CallMeThe PSYCHO X.. Filled with sad songs with heartbreaking melodies. You feel the sad emoti</t>
  </si>
  <si>
    <t xml:space="preserve">https://www.reddit.com/comments/1ssy8aq</t>
  </si>
  <si>
    <t xml:space="preserve">How to remove private playlist. An ex friend blocked me on spotify and two of their playlists still appear in my library, ive tried removing them, but</t>
  </si>
  <si>
    <t xml:space="preserve">https://www.reddit.com/comments/1st491e</t>
  </si>
  <si>
    <t xml:space="preserve">Spotify Feature Ideas. Everyone loves to hate on Spotify, but we gotta give them props on all the new features they have been adding for the past \~2 </t>
  </si>
  <si>
    <t xml:space="preserve">https://www.reddit.com/comments/1stolpo</t>
  </si>
  <si>
    <t xml:space="preserve">Anyone else having an issue with repeating songs while on shuffle?. I keep playing Spotify while working from home, but Spotify will pick one song fro</t>
  </si>
  <si>
    <t xml:space="preserve">https://www.reddit.com/comments/1stro20</t>
  </si>
  <si>
    <t xml:space="preserve">automatically enabling shuffling. is anyone else experiencing spotify (up to date ios, usa) CONSTANTLY enabling shuffle? not smart shuffle, i have tha</t>
  </si>
  <si>
    <t xml:space="preserve">https://www.reddit.com/comments/1strrl7</t>
  </si>
  <si>
    <t xml:space="preserve">Spotify Brings Music and Podcast Recommendations to Claude.</t>
  </si>
  <si>
    <t xml:space="preserve">https://www.reddit.com/comments/1stv6as</t>
  </si>
  <si>
    <t xml:space="preserve">Shady ad on premium song?. Hey so I was listening to music suggestions on spotify, (I have premium) and a song comes up from the band hot chocolate, w</t>
  </si>
  <si>
    <t xml:space="preserve">https://www.reddit.com/comments/1stwsxo</t>
  </si>
  <si>
    <t xml:space="preserve">HIP-HOP ( RAPS ). Spotify Playlist by CallMeThe PSYCHO X.. A playlist filled with all different types of raps ( Ex: Workout Raps or popular raps ). Ho</t>
  </si>
  <si>
    <t xml:space="preserve">https://www.reddit.com/comments/1stxrfb</t>
  </si>
  <si>
    <t xml:space="preserve">how can i get rid of these slop recommendations. its so annoying, ive even gotten kids brainrot videos n shit, pls tell me this can be removed</t>
  </si>
  <si>
    <t xml:space="preserve">https://www.reddit.com/comments/1stxxct</t>
  </si>
  <si>
    <t xml:space="preserve">https://www.reddit.com/comments/1sty476</t>
  </si>
  <si>
    <t xml:space="preserve">What is up with the refresh button?. I'm working on a playlist, and there's the list of suggested songs at the bottom with the refresh button. I use t</t>
  </si>
  <si>
    <t xml:space="preserve">https://www.reddit.com/comments/1su8jss</t>
  </si>
  <si>
    <t xml:space="preserve">Just a little conversation.... As a Spotify user for almost 14 years now (well, maybe 13), I feel like they’ve finally listened to us on something tha</t>
  </si>
  <si>
    <t xml:space="preserve">https://www.reddit.com/comments/1su9l89</t>
  </si>
  <si>
    <t xml:space="preserve">Looking for playlist curator (emotional / atmospheric electronic vibes). Hey everyone, I’m looking for someone who curates a playlist focused on emoti</t>
  </si>
  <si>
    <t xml:space="preserve">https://www.reddit.com/comments/1sucemc</t>
  </si>
  <si>
    <t xml:space="preserve">The DJ does not pronounce Lynyrd Skynyrd properly. The DJ says Leonard sky-nerd It’s a sky instead of instead of skin and I just feel some type of way</t>
  </si>
  <si>
    <t xml:space="preserve">https://www.reddit.com/comments/1sui60d</t>
  </si>
  <si>
    <t xml:space="preserve">Absolute badass Spotify’s DJ. Can we talk about how absolute badass is the new Spotify DJ feature?? I was getting bored with repetitive playlist, but </t>
  </si>
  <si>
    <t xml:space="preserve">https://www.reddit.com/comments/1suo9s0</t>
  </si>
  <si>
    <t xml:space="preserve">MIXED FEATURE SUGGESTIONS!!!!. Love the mix feature! I have mixed a few myself, but I want to see other mixes!</t>
  </si>
  <si>
    <t xml:space="preserve">https://www.reddit.com/comments/1sup9c9</t>
  </si>
  <si>
    <t xml:space="preserve">Been finding a lot of hidden gem indie artists lately… would love more recs. I’ve made a playlist of them that I call: Indie Too Good To Stay Hidden. </t>
  </si>
  <si>
    <t xml:space="preserve">https://www.reddit.com/comments/1sur0u2</t>
  </si>
  <si>
    <t xml:space="preserve">Doing a test. Not really a rant but idk what other tag to use, anyways Over the next 7 days I'm gonna try to heavily use the DJ and see if being picky</t>
  </si>
  <si>
    <t xml:space="preserve">https://www.reddit.com/comments/1suvos0</t>
  </si>
  <si>
    <t xml:space="preserve">sad melodies / Heartbreaking songs. Spotify Playlist by CallMeThe PSYCHO X. A playlist filled with sad songs/ Heartbreaking songs. All from different </t>
  </si>
  <si>
    <t xml:space="preserve">https://www.reddit.com/comments/1svfbgz</t>
  </si>
  <si>
    <t xml:space="preserve">Spotify has a verification problem not an AI problem.. I have been doing a lot of research on AI In music ever since I started to have to click dont p</t>
  </si>
  <si>
    <t xml:space="preserve">https://www.reddit.com/comments/1svt2bq</t>
  </si>
  <si>
    <t xml:space="preserve">Why is Spotify recommend me random Spanish music?. I don't even listen to Spanish music that much and hardly at all this year I've mostly been listeni</t>
  </si>
  <si>
    <t xml:space="preserve">https://www.reddit.com/comments/1svu0l2</t>
  </si>
  <si>
    <t xml:space="preserve">Dj users, how have you made the dj better understand what you like?. I’ve been using it all day and hitting the play something else button or skipping</t>
  </si>
  <si>
    <t xml:space="preserve">https://www.reddit.com/comments/1svy7s0</t>
  </si>
  <si>
    <t xml:space="preserve">Eureka Moment For Overall Sound Quality. The above equalizer settings is the revelatory way to go. Then in the media streaming quality section in sett</t>
  </si>
  <si>
    <t xml:space="preserve">https://www.reddit.com/comments/1swc3a2</t>
  </si>
  <si>
    <t xml:space="preserve">Power Metal Workout. High energy power metal for a gym workout, songs about dragons, warriors, old gods and pumping Iron! If you have power metal sugg</t>
  </si>
  <si>
    <t xml:space="preserve">https://www.reddit.com/comments/1swcueo</t>
  </si>
  <si>
    <t xml:space="preserve">Alternative rock/pop jams. I’ve been curating an alternative playlist and wanted to get some feedback from people who really appreciate the genre. The</t>
  </si>
  <si>
    <t xml:space="preserve">https://www.reddit.com/comments/1swleh6</t>
  </si>
  <si>
    <t xml:space="preserve">I’m looking to add playlist, I’ve been told I have an eclectic taste so you be the judge!. Any recommendations will do be that an album, song, band, s</t>
  </si>
  <si>
    <t xml:space="preserve">https://www.reddit.com/comments/1swvdml</t>
  </si>
  <si>
    <t xml:space="preserve">anyone else’s spotify being laggy??. (i have premium) my spotify keeps making me reopen the app if i skip songs too fast, keeps reshuffling the same s</t>
  </si>
  <si>
    <t xml:space="preserve">https://www.reddit.com/comments/1swwq2s</t>
  </si>
  <si>
    <t xml:space="preserve">Getting back to playlist curation, music suggestions. As the title says, I started the two following playlists at like 3 am and I want to add more but</t>
  </si>
  <si>
    <t xml:space="preserve">https://www.reddit.com/comments/1sx7yk3</t>
  </si>
  <si>
    <t xml:space="preserve">Any recommendations for old phonk?. I’m not talking about any of this new BS, I’m talking “Close Eyes” by DVRST and “Metamorphosis” by INTERWORLD.</t>
  </si>
  <si>
    <t xml:space="preserve">https://www.reddit.com/comments/1sxjmqd</t>
  </si>
  <si>
    <t xml:space="preserve">How to find new music after buying an iPod?. Hey guys. I think I’m finally done with streaming music so I think I’ll buy a second hand iPod. My questi</t>
  </si>
  <si>
    <t xml:space="preserve">https://www.reddit.com/comments/1sxlqn6</t>
  </si>
  <si>
    <t xml:space="preserve">How to delete somebody from here?. I already made my activity not visible to this person, I already deleted the chat, i already made it so this person</t>
  </si>
  <si>
    <t xml:space="preserve">https://www.reddit.com/comments/1sxx000</t>
  </si>
  <si>
    <t xml:space="preserve">How do I dislike a podcast so that Spotify stops playing it when on shuffle?. My friend sent me a podcast I don’t care for and now every time I listen</t>
  </si>
  <si>
    <t xml:space="preserve">https://www.reddit.com/comments/1sy0qjo</t>
  </si>
  <si>
    <t xml:space="preserve">Travel the world through your headphones! POPULAR HITS AROUND THE WORLD . Spotify Playlist created under the name of " CallMeThe PSYCHO X ".. Travel t</t>
  </si>
  <si>
    <t xml:space="preserve">https://www.reddit.com/comments/1syecbp</t>
  </si>
  <si>
    <t xml:space="preserve">song recs? broadway. Any other song recs that i should put in this playlist? NO DEAR EVAN HANSEN</t>
  </si>
  <si>
    <t xml:space="preserve">https://www.reddit.com/comments/1syh74x</t>
  </si>
  <si>
    <t xml:space="preserve">songs that sound like they should be in a videogame but aren't. suggestions of other songs I should add to this?</t>
  </si>
  <si>
    <t xml:space="preserve">https://www.reddit.com/comments/1sz8m1j</t>
  </si>
  <si>
    <t xml:space="preserve">How To Remove Suggestions. First time posting here. Recently, Spotify changed the way their private sessions end. The private sessions end after 6 hou</t>
  </si>
  <si>
    <t xml:space="preserve">https://www.reddit.com/comments/1sz94pq</t>
  </si>
  <si>
    <t xml:space="preserve">assuming I made a playlist that was a copy of an on repeat playlist by Spotify, would the playlist stay on that particular track list or would it upda</t>
  </si>
  <si>
    <t xml:space="preserve">https://www.reddit.com/comments/1szd1m6</t>
  </si>
  <si>
    <t xml:space="preserve">Where is the discover weekly playlist??. Is anyone else’s discover weekly missing? That’s how I found like all my new music :( I don’t like the daylis</t>
  </si>
  <si>
    <t xml:space="preserve">https://www.reddit.com/comments/1szddcg</t>
  </si>
  <si>
    <t xml:space="preserve">What artist did Spotify's algorithm introduce you to that genuinely changed your taste?. We spend a lot of time (rightfully) criticising the algorithm</t>
  </si>
  <si>
    <t xml:space="preserve">https://www.reddit.com/comments/1szv1m2</t>
  </si>
  <si>
    <t xml:space="preserve">Came back after not having spotify for a while, (apparently got banned sometime in between), recovered account and my liked songs are gone?. I have li</t>
  </si>
  <si>
    <t xml:space="preserve">https://www.reddit.com/comments/1t01j9i</t>
  </si>
  <si>
    <t xml:space="preserve">Don’t have an On Repeat playlist. Hi. I have Spotify premium student and to my understanding, I should have an On Repeat playlist but it is nowhere to</t>
  </si>
  <si>
    <t xml:space="preserve">https://www.reddit.com/comments/1t0fggd</t>
  </si>
  <si>
    <t xml:space="preserve">I just published a spotify frontend web app that provides an album-first, focused user experience.. Hey everyone! Spotify has been getting really terr</t>
  </si>
  <si>
    <t xml:space="preserve">https://www.reddit.com/comments/1t0n2uv</t>
  </si>
  <si>
    <t xml:space="preserve">what’s the name of your daylist playlist today?. mine is “goblin mode groovy death metal friday morning”</t>
  </si>
  <si>
    <t xml:space="preserve">https://www.reddit.com/comments/1t0yjn6</t>
  </si>
  <si>
    <t xml:space="preserve">Dance Track. Sharing a dance track that popped up in my suggested and thought I’d share for those interested in this genre. Enjoy!</t>
  </si>
  <si>
    <t xml:space="preserve">https://www.reddit.com/comments/1t1e94p</t>
  </si>
  <si>
    <t xml:space="preserve">Trouble finding playlists. Hi, I like to listen to a lot of pop songs from different eras, and I have found that user playlists are the best way to fi</t>
  </si>
  <si>
    <t xml:space="preserve">https://www.reddit.com/comments/1t1t2sn</t>
  </si>
  <si>
    <t xml:space="preserve">Jam Session Megathread (Find &amp; Share Spotify Jam Session). Start or join a Jam Session in this Megathread. Suggested by user [u/TheHappyNerfHerder]( \</t>
  </si>
  <si>
    <t xml:space="preserve">https://www.reddit.com/comments/1t1uicm</t>
  </si>
  <si>
    <t xml:space="preserve">SmarterPlaylists 3.0 is ready to make playlists. Spotify's algorithm is good at guessing what you might like. But it doesn't let you *tell* it what yo</t>
  </si>
  <si>
    <t xml:space="preserve">https://www.reddit.com/comments/1t2ljpx</t>
  </si>
  <si>
    <t xml:space="preserve">Spotify recommended songs in an album should be in the same genre and country of origin (or sometimes other countries as long as the genre is the same</t>
  </si>
  <si>
    <t xml:space="preserve">https://www.reddit.com/comments/1t3h4cs</t>
  </si>
  <si>
    <t xml:space="preserve">Spotify a.i is not pragmatic. I will legit click “hide this song” several times for a single song that for some reason Spotify wants to keep recommend</t>
  </si>
  <si>
    <t xml:space="preserve">https://www.reddit.com/comments/1t3sugo</t>
  </si>
  <si>
    <t xml:space="preserve">On Repeat troubleshooting. I’ve noticed that my On Repeat playlist hasn’t updated for a few weeks now. I know my top On Repeat song currently is not i</t>
  </si>
  <si>
    <t xml:space="preserve">https://www.reddit.com/comments/1t47fmk</t>
  </si>
  <si>
    <t xml:space="preserve">How to stop Spotify from suggesting and giving me instrumentals?. I adore the discover weekly playlist, I listen to it near enough every week and have</t>
  </si>
  <si>
    <t xml:space="preserve">https://www.reddit.com/comments/1t49h9m</t>
  </si>
  <si>
    <t xml:space="preserve">Spotify really needs a way to make certain songs show up more often in shuffle. I’ve honestly thought about this for a long time and I’m surprised Spo</t>
  </si>
  <si>
    <t xml:space="preserve">https://www.reddit.com/comments/1t4ht7w</t>
  </si>
  <si>
    <t xml:space="preserve">I like more than genre of music Spotify. all 5 of my daily mixes are some variation of the same stuff. i listen to all kinds of genres, but Spotify in</t>
  </si>
  <si>
    <t xml:space="preserve">https://www.reddit.com/comments/1t4tzhl</t>
  </si>
  <si>
    <t xml:space="preserve">Cool Stuff — indie &amp; alternative discoveries, carefully curated. 8 hours of music the algorithm won't find for you. H-Music.</t>
  </si>
  <si>
    <t xml:space="preserve">https://www.reddit.com/comments/1t4wdpc</t>
  </si>
  <si>
    <t xml:space="preserve">Why is Tiffany Day in my Daily Mix #1 when I don't listen to her at all. Don't think I've played her songs yet she's in my daily mix 7 times!! is this</t>
  </si>
  <si>
    <t xml:space="preserve">https://www.reddit.com/comments/1t5lkcn</t>
  </si>
  <si>
    <t xml:space="preserve">Need Spanish song recs!!. [removed]</t>
  </si>
  <si>
    <t xml:space="preserve">https://www.reddit.com/comments/1t5wy0u</t>
  </si>
  <si>
    <t xml:space="preserve">Half-Hour Genres Playlist. A playlist where you can listen to 30 minutes of ambient music, then the vibe switches up to modern rock for the next half-</t>
  </si>
  <si>
    <t xml:space="preserve">https://www.reddit.com/comments/1t5zbxn</t>
  </si>
  <si>
    <t xml:space="preserve">having problems with spotify. so for the past 5 days my spotify has been broken on my phone but somewhat fine on my computer other than some daily mix</t>
  </si>
  <si>
    <t xml:space="preserve">https://www.reddit.com/comments/1t6cm6t</t>
  </si>
  <si>
    <t xml:space="preserve">How do I shake up my daylist?. I love the daylist feature, I’ve discovered a lot of new music with it. When I first started using it it was a lot of f</t>
  </si>
  <si>
    <t xml:space="preserve">https://www.reddit.com/comments/1t6dv0w</t>
  </si>
  <si>
    <t xml:space="preserve">Enable ONLY Smart Shuffle. I know it’s a generally disliked function but I like it because I get multiple great recommendations from it. So is there a</t>
  </si>
  <si>
    <t xml:space="preserve">https://www.reddit.com/comments/1t6izqu</t>
  </si>
  <si>
    <t xml:space="preserve">Spotify is expanding its AI DJ to over 75 new markets and introducing personalized voiceovers in four additional languages—including German, French, a</t>
  </si>
  <si>
    <t xml:space="preserve">https://www.reddit.com/comments/1t6nygw</t>
  </si>
  <si>
    <t xml:space="preserve">Spotify autoplay actually got one right with this progressive house track. Usually I skip through autoplay recommendations pretty fast, but this track</t>
  </si>
  <si>
    <t xml:space="preserve">https://www.reddit.com/comments/1t758lu</t>
  </si>
  <si>
    <t xml:space="preserve">Did they get rid of the section where you could browse music similar to reels or shorts?. There was this section where you could play music that was n</t>
  </si>
  <si>
    <t xml:space="preserve">https://www.reddit.com/comments/1t7731l</t>
  </si>
  <si>
    <t xml:space="preserve">Please give me song suggestions that have the tragic romance vibe of Romeo and Juliet/ reference Romeo and Juliet!.</t>
  </si>
  <si>
    <t xml:space="preserve">https://www.reddit.com/comments/1t7fhs8</t>
  </si>
  <si>
    <t xml:space="preserve">Spotify DJ is now available in others countrys!. Brazil Italia Germany France</t>
  </si>
  <si>
    <t xml:space="preserve">https://www.reddit.com/comments/1t7g00z</t>
  </si>
  <si>
    <t xml:space="preserve">Artist Suggestions!. [removed]</t>
  </si>
  <si>
    <t xml:space="preserve">https://www.reddit.com/comments/1t7k04l</t>
  </si>
  <si>
    <t xml:space="preserve">Is it just me or does spotify just play the same songs every damn day?. I have a playlist of 1,000’s of songs yet I feel like it plays the same songs </t>
  </si>
  <si>
    <t xml:space="preserve">https://www.reddit.com/comments/1t7m99l</t>
  </si>
  <si>
    <t xml:space="preserve">Need help for my beach trip!. Hi! Im going on a beach trip soon and I really need help with some songs that are perfect to the beach! Making a separat</t>
  </si>
  <si>
    <t xml:space="preserve">https://www.reddit.com/comments/1t7u1id</t>
  </si>
  <si>
    <t xml:space="preserve">I recently swapped to non-premium after years of premium, and it's honestly fine. I use Spotify for music maybe 3 times a day, usually to hear a speci</t>
  </si>
  <si>
    <t xml:space="preserve">https://www.reddit.com/comments/1t7x47k</t>
  </si>
  <si>
    <t xml:space="preserve">I made a free tool that turns your favorite Spotify albums into printable posters - would love some feedback. Can't post this on r/spotify due to karm</t>
  </si>
  <si>
    <t xml:space="preserve">https://www.reddit.com/comments/1t8hjoj</t>
  </si>
  <si>
    <t xml:space="preserve">Something went wrong. For the last 3 days everytime I go onto the spotify mobile app it comes up with a message saying "Something went wrong, Have ano</t>
  </si>
  <si>
    <t xml:space="preserve">https://www.reddit.com/comments/1t8jy8e</t>
  </si>
  <si>
    <t xml:space="preserve">Spotify suggestions. You’re welcome</t>
  </si>
  <si>
    <t xml:space="preserve">https://www.reddit.com/comments/1t8u7qn</t>
  </si>
  <si>
    <t xml:space="preserve">My discover weekly was on point....... now it's stuck on ska.. [removed]</t>
  </si>
  <si>
    <t xml:space="preserve">https://www.reddit.com/comments/1t8x3fw</t>
  </si>
  <si>
    <t xml:space="preserve">In a world of Prompted Playlists, does real human curation even matter anymore?. I've been playing around with Spotify's new AI Prompted Playlist feat</t>
  </si>
  <si>
    <t xml:space="preserve">https://www.reddit.com/comments/1t96adl</t>
  </si>
  <si>
    <t xml:space="preserve">In a world of AI Prompted Playlists, does real human curation even matter anymore?. I've been playing around with Spotify's new AI Prompted Playlist f</t>
  </si>
  <si>
    <t xml:space="preserve">https://www.reddit.com/comments/1t96dou</t>
  </si>
  <si>
    <t xml:space="preserve">Been bored of a lot of songs, recommend me one of your playlists.. [removed]</t>
  </si>
  <si>
    <t xml:space="preserve">https://www.reddit.com/comments/1t9im0u</t>
  </si>
  <si>
    <t xml:space="preserve">Cant play searched songs offline (with premium). Been having some sort of issue with Spotify recently. Tried looking it up but most of the relevant po</t>
  </si>
  <si>
    <t xml:space="preserve">https://www.reddit.com/comments/1t9sevf</t>
  </si>
  <si>
    <t xml:space="preserve">The amount of people complaining about Spotify is insane. I’ve switched about two months ago from Apple Music to Spotify and honestly, it has been an </t>
  </si>
  <si>
    <t xml:space="preserve">https://www.reddit.com/comments/1t9y7xa</t>
  </si>
  <si>
    <t xml:space="preserve">Any way to fix Discover Weekly if I don't have the taste profile option?. Ever since they changed how Discover Weekly works, the playlist has been awf</t>
  </si>
  <si>
    <t xml:space="preserve">https://www.reddit.com/comments/1ta008w</t>
  </si>
  <si>
    <t xml:space="preserve">Spotify Not Playing Correct Version of Song. Has anyone else noticed that Spotify will play a different version of the song you liked? For example, le</t>
  </si>
  <si>
    <t xml:space="preserve">https://www.reddit.com/comments/1ta25mq</t>
  </si>
  <si>
    <t xml:space="preserve">How do I get rid of this?. I made a dare with a friend to listen to this crap without laughing, and now Spotify won't stop recommending ts</t>
  </si>
  <si>
    <t xml:space="preserve">https://www.reddit.com/comments/1ta39qj</t>
  </si>
  <si>
    <t xml:space="preserve">“videos you might like” after disabling videos. hey buddy Mr. Kaczynski has a package you might like. autoplaying subtitles btw. home page btw. does a</t>
  </si>
  <si>
    <t xml:space="preserve">https://www.reddit.com/comments/1tah9ic</t>
  </si>
  <si>
    <t xml:space="preserve">did the ai dj cook?.</t>
  </si>
  <si>
    <t xml:space="preserve">https://www.reddit.com/comments/1tan4ii</t>
  </si>
  <si>
    <t xml:space="preserve">My experience with these two streaming platforms. SPOTIFY VS APPLE MUSIC. My Cons and Pros SPOTIFY MUSIC CONS: \- Very Obvious Sound Quality it's feel</t>
  </si>
  <si>
    <t xml:space="preserve">https://www.reddit.com/comments/1tao2jc</t>
  </si>
  <si>
    <t xml:space="preserve">DJs, Daylists and Wrapped, oh my!. I have a question about exactly how Spotify's recommendations are supposed to work. The DJ and my daylists rarely r</t>
  </si>
  <si>
    <t xml:space="preserve">https://www.reddit.com/comments/1tazw2n</t>
  </si>
  <si>
    <t xml:space="preserve">Spotify Blend. Is it possible to get more than 90%? Also how does the algorithm work? Sometimes it has songs that claim I listen to a certain artist e</t>
  </si>
  <si>
    <t xml:space="preserve">https://www.reddit.com/comments/1tb2qgb</t>
  </si>
  <si>
    <t xml:space="preserve">Have you ever imagine the playlist on Spotify that has songs for EVERY type of EDM? That's it! You found it! EDM ( All Type ) - Spotify Playlist creat</t>
  </si>
  <si>
    <t xml:space="preserve">https://www.reddit.com/comments/1tbetlr</t>
  </si>
  <si>
    <t xml:space="preserve">Discover weekly. My discover weekly is dogshit, it either plays genres I only listen to on occasion or it keeps on playing the same bands just differe</t>
  </si>
  <si>
    <t xml:space="preserve">https://www.reddit.com/comments/1tbg000</t>
  </si>
  <si>
    <t xml:space="preserve">Spotify Wrapped is a 12-month surveillance campaign — and you celebrate it every December. Every December you share your Spotify Wrapped. Your top son</t>
  </si>
  <si>
    <t xml:space="preserve">https://www.reddit.com/comments/1tbn3ia</t>
  </si>
  <si>
    <t xml:space="preserve">DJ X is inconsistent as hell. Sometimes I want to listen to EDM. First it plays a bunch of EDM songs that I listen to, then it swaps to some other gen</t>
  </si>
  <si>
    <t xml:space="preserve">https://www.reddit.com/comments/1tbnz1s</t>
  </si>
  <si>
    <t xml:space="preserve">100 plus hours Office Playlist. always expanding, so if there are any suggestions or similar playlists / profiles out there, hit me up ;)</t>
  </si>
  <si>
    <t xml:space="preserve">https://www.reddit.com/comments/1tbu2sr</t>
  </si>
  <si>
    <t xml:space="preserve">BASS HOUSE BEST OF - Spotify Playlist by CallMeThe PSYCHO X.. \#FreshlyCurated #BestOf #BassHouse Any saves are appreciated 👍! Hope you enjoy and send</t>
  </si>
  <si>
    <t xml:space="preserve">https://www.reddit.com/comments/1tcdlbc</t>
  </si>
  <si>
    <t xml:space="preserve">I’m sick of this platform. I’m sick of this platform, just today I was listening to my favorite playlist just to realize basically half of the songs I</t>
  </si>
  <si>
    <t xml:space="preserve">https://www.reddit.com/comments/1tcr9zq</t>
  </si>
  <si>
    <t xml:space="preserve">Spotify on Windows: autoplay seems broken / play and pause are mixed up. I’m using Spotify on Windows, and it won’t automatically play the next song a</t>
  </si>
  <si>
    <t xml:space="preserve">https://www.reddit.com/comments/1tdi6ys</t>
  </si>
  <si>
    <t xml:space="preserve">Artist Mapping Issues (intellectual property meta data squatting / artistic identity theft in the streaming era) - The death of the Wild West internet</t>
  </si>
  <si>
    <t xml:space="preserve">https://www.reddit.com/comments/1te3lyh</t>
  </si>
  <si>
    <t xml:space="preserve">Codependency Playlist Any More Recs?. I made this playlist. It’s by far my favorite playlist. It’s an absurd playlist, 118 songs over 8 hours long. Th</t>
  </si>
  <si>
    <t xml:space="preserve">https://www.reddit.com/comments/1te504d</t>
  </si>
  <si>
    <t xml:space="preserve">Spotify AI prompted playlists. Is it just me or is the newer Spotify AI kinda never doing what is expected? I'm basically asking it to copy-paste some</t>
  </si>
  <si>
    <t xml:space="preserve">https://www.reddit.com/comments/1teh67x</t>
  </si>
  <si>
    <t xml:space="preserve">Ai DJ. Does it work in IOS in Israel?</t>
  </si>
  <si>
    <t xml:space="preserve">https://www.reddit.com/comments/1teqrr0</t>
  </si>
  <si>
    <t xml:space="preserve">recommend songs to include. [removed]</t>
  </si>
  <si>
    <t xml:space="preserve">https://www.reddit.com/comments/1tf3m2b</t>
  </si>
  <si>
    <t xml:space="preserve">Previously removed liked songs suddenly added back into likes?. So Ive literally just noticed this now and I don’t know if this is some bug with the n</t>
  </si>
  <si>
    <t xml:space="preserve">https://www.reddit.com/comments/1tf8jy2</t>
  </si>
  <si>
    <t xml:space="preserve">Wifi Devices has disappeared from Android Spotify.. Hi team, I hope you can help, about a week ago my spotify on my android phone has stopped showing </t>
  </si>
  <si>
    <t xml:space="preserve">https://www.reddit.com/comments/1tfc8id</t>
  </si>
  <si>
    <t xml:space="preserve">Playlist never plays through. I love Spotify. I like the UI design better than YouTube music. But ever since I had it it never played my entire playli</t>
  </si>
  <si>
    <t xml:space="preserve">https://www.reddit.com/comments/1tfned2</t>
  </si>
  <si>
    <t xml:space="preserve">Spotify deep-links opening the "Hang the DJ" app instead. When when we click a Spotify web URL on my iPhone 16 Pro or MacBook Pro M3, it opens "Hang t</t>
  </si>
  <si>
    <t xml:space="preserve">https://www.reddit.com/comments/1tgak7o</t>
  </si>
  <si>
    <t xml:space="preserve">If "Yearning" Were a song, for hopeless romantic. I want to know your song suggestions on this If yearning were a song what are your top go too for a </t>
  </si>
  <si>
    <t xml:space="preserve">https://www.reddit.com/comments/1thdbtu</t>
  </si>
  <si>
    <t xml:space="preserve">I hate how shuffle play works now, can I change it back?. Shuffle play now just shuffles your songs into a different formation and clicking on another</t>
  </si>
  <si>
    <t xml:space="preserve">https://www.reddit.com/comments/1thdwdy</t>
  </si>
  <si>
    <t xml:space="preserve">Has anyone generated an actually exciting playlist yet using the DJ button?.</t>
  </si>
  <si>
    <t xml:space="preserve">https://www.reddit.com/comments/1thfaff</t>
  </si>
  <si>
    <t xml:space="preserve">Is the AI DJ only in english? Can’t find a german version.</t>
  </si>
  <si>
    <t xml:space="preserve">https://www.reddit.com/comments/1thmjdm</t>
  </si>
  <si>
    <t xml:space="preserve">Getting really sick of spotify... It’s not just Spotify. It seems like every single app is becoming extremely glitchy and unusable recently. But I use</t>
  </si>
  <si>
    <t xml:space="preserve">https://www.reddit.com/comments/1thqwh4</t>
  </si>
  <si>
    <t xml:space="preserve">https://www.reddit.com/comments/1thtqaa</t>
  </si>
  <si>
    <t xml:space="preserve">Just found out I got DJ tonight (France). guess its finally starting to roll out in EU, found it in "made for you" (where you have all your mixes)</t>
  </si>
  <si>
    <t xml:space="preserve">https://www.reddit.com/comments/1ti6wdl</t>
  </si>
  <si>
    <t xml:space="preserve">Anyone else's weekly Release Radar playlist just completely disappear?. Hey I know people have been having a whole list of problems with Spotify over </t>
  </si>
  <si>
    <t xml:space="preserve">https://www.reddit.com/comments/1tiepw1</t>
  </si>
  <si>
    <t xml:space="preserve">Has anyone switched from Apple Music to Spotify?. I’m stuck in a bit of a predicament and could really use some insights from anyone who’s been there.</t>
  </si>
  <si>
    <t xml:space="preserve">https://www.reddit.com/comments/1tigoi8</t>
  </si>
  <si>
    <t xml:space="preserve">Dark Brazilian Phonk Playlist. Sharing my dark phonk playlist featuring underground artists mixing traditional folk elements with heavy trap productio</t>
  </si>
  <si>
    <t xml:space="preserve">https://www.reddit.com/comments/1timoka</t>
  </si>
  <si>
    <t xml:space="preserve">Power Metal Workout. High energy power metal for a gym workout, songs about dragons, warriors, old gods and pumping Iron! It's showing up on a bunch o</t>
  </si>
  <si>
    <t xml:space="preserve">https://www.reddit.com/comments/1tipjnd</t>
  </si>
  <si>
    <t xml:space="preserve">I lost the DJ a week after I got it…. I was excited when I saw the news that DJ is finally available in my country (Austria). Shortly after the news, </t>
  </si>
  <si>
    <t xml:space="preserve">https://www.reddit.com/comments/1tjpwjt</t>
  </si>
  <si>
    <t xml:space="preserve">The case for a puritan Spotify: Why it’s time to strip away the bloat. Spotify used to feel like magic. You typed in a song, hit play, and it started </t>
  </si>
  <si>
    <t xml:space="preserve">https://www.reddit.com/comments/1tkh5s2</t>
  </si>
  <si>
    <t xml:space="preserve">Looking for a hip hop/rap/drill playlist.. My top listened too artists are king Von, lil durk, lil loaded, gunna, lil tjay, etc. can anyone recommend </t>
  </si>
  <si>
    <t xml:space="preserve">https://www.reddit.com/comments/1tkj18y</t>
  </si>
  <si>
    <t xml:space="preserve">Need feedback on the vibe of my playlist + any songs I should swap/add?. Comment down your suggestions!</t>
  </si>
  <si>
    <t xml:space="preserve">https://www.reddit.com/comments/1tkv3d2</t>
  </si>
  <si>
    <t xml:space="preserve">Sharing a playlist of indie artists i’ve been listening to lately that deserve more attention…. Been building a low-key indie playlist over the last f</t>
  </si>
  <si>
    <t xml:space="preserve">https://www.reddit.com/comments/1tl07h9</t>
  </si>
  <si>
    <t xml:space="preserve">The OFFICIAL anti-Ai Spotify Blocklist. TLDR; I’m creating a list of Ai artists from A to Z. Comment what Ai artist you’ve come across. I will add it </t>
  </si>
  <si>
    <t xml:space="preserve">https://www.reddit.com/comments/1tl07od</t>
  </si>
  <si>
    <t xml:space="preserve">algorithm got cooked. I only use Spotify to discover new music as I prefer playing MP3 files on my device. When I tried to go to my "Discover Weekly" </t>
  </si>
  <si>
    <t xml:space="preserve">https://www.reddit.com/comments/1tlawmy</t>
  </si>
  <si>
    <t xml:space="preserve">Deep fried albums. Does anyone else gets recommended these albums that you’ve already listened to where the album cover is super saturated? I always f</t>
  </si>
  <si>
    <t xml:space="preserve">https://www.reddit.com/comments/1tlesqw</t>
  </si>
  <si>
    <t xml:space="preserve">Post-hardcore playlist. Completed today, any further band suggestions or songs appreciated to add</t>
  </si>
  <si>
    <t xml:space="preserve">https://www.reddit.com/comments/1tlihpw</t>
  </si>
  <si>
    <t xml:space="preserve">The AI dj is kinda trash 🤷‍♂️. Can’t request him anything without him stating there’s a “technical difficulty”. Does anyone have the same problem or i</t>
  </si>
  <si>
    <t xml:space="preserve">https://www.reddit.com/comments/1tlpyq4</t>
  </si>
  <si>
    <t xml:space="preserve">cant smart shuffle from "your all time top songs" because why would I want to listen to songs like the ones i've loved for years. that is all</t>
  </si>
  <si>
    <t xml:space="preserve">https://www.reddit.com/comments/1tlqurw</t>
  </si>
  <si>
    <t xml:space="preserve">Spotify giving me blatant racist far right "artists" in my release radar. pretty disappointing to be told by Spotify they think i'd be into this stuff</t>
  </si>
  <si>
    <t xml:space="preserve">https://www.reddit.com/comments/1tlrt1m</t>
  </si>
  <si>
    <t xml:space="preserve">Genre-Based Recommendation Algorithm Improvement. [deleted]</t>
  </si>
  <si>
    <t xml:space="preserve">https://www.reddit.com/comments/1tm0r8e</t>
  </si>
  <si>
    <t xml:space="preserve">Genre-Based Recommendation Algorithm Improvement. Since January 1, 2025, Spotify’s recommendation system has become less accurate for many users. Genr</t>
  </si>
  <si>
    <t xml:space="preserve">https://www.reddit.com/comments/1tm0rcs</t>
  </si>
  <si>
    <t xml:space="preserve">Is there any app/website that actually tracks how many times you've listened to a song?. Every app I tried (volt.fm, stats for spotify, stats.fm, last</t>
  </si>
  <si>
    <t xml:space="preserve">https://www.reddit.com/comments/1tmaf3e</t>
  </si>
  <si>
    <t xml:space="preserve">Spotify replaced real artist tracks with (AI) tracks?. I had a lot of Sylvan Esso in my playlists until she removed her music from Spotify (so they sh</t>
  </si>
  <si>
    <t xml:space="preserve">https://www.reddit.com/comments/1tmct3e</t>
  </si>
  <si>
    <t xml:space="preserve">Some of the best vocals on Spotify are hiding in this playlist!. We're through the looking glass here, people! The algorithm won't show you these trac</t>
  </si>
  <si>
    <t xml:space="preserve">https://www.reddit.com/comments/1tmeczn</t>
  </si>
  <si>
    <t xml:space="preserve">Spotify DJ not working?. Hi all, Out of the blue Spotify on my android stopped working. It says it's not available in my country.... I'm in the US and</t>
  </si>
  <si>
    <t xml:space="preserve">https://www.reddit.com/comments/1tmxfx0</t>
  </si>
  <si>
    <t xml:space="preserve">Recommendations for my driving playlist?. Especially looking for some more upbeat/happy music. You can probably see my music tastes by opening the pla</t>
  </si>
  <si>
    <t xml:space="preserve">https://www.reddit.com/comments/1tmynpn</t>
  </si>
  <si>
    <t xml:space="preserve">Spotify Recommendations Queue no longer infinite?. [removed]</t>
  </si>
  <si>
    <t xml:space="preserve">https://www.reddit.com/comments/1tnptf2</t>
  </si>
  <si>
    <t xml:space="preserve">How do you discover new music you like using Spotify?. I've been using Spotify for two years, but it's been difficult to find songs that match my tast</t>
  </si>
  <si>
    <t xml:space="preserve">https://www.reddit.com/comments/1to5rk0</t>
  </si>
  <si>
    <t xml:space="preserve">Discover Weekly Has Been Awful For Months Now. Used to be the beginning of every week, I'd sit down at work, open the desktop app, find the playlist, </t>
  </si>
  <si>
    <t xml:space="preserve">https://www.reddit.com/comments/1to6w33</t>
  </si>
  <si>
    <t xml:space="preserve">Downtempo Daydream [Trip-Hop • Psych-Pop &amp; adjacent/eclectic in flowing mix]. Copypasta from playlist description: \&gt; Down•Tempo, Trip•Hop + adjacent/</t>
  </si>
  <si>
    <t xml:space="preserve">https://www.reddit.com/comments/1tolx4k</t>
  </si>
  <si>
    <t xml:space="preserve">Discover 6 new songs everyday from around the world. Hey everyone. I noticed alot of people only listen to and recommend songs from their country or t</t>
  </si>
  <si>
    <t xml:space="preserve">https://www.reddit.com/comments/1tovp66</t>
  </si>
  <si>
    <t xml:space="preserve">Alternative Hip-Hop Radio 2026 Spotify Playlist.</t>
  </si>
  <si>
    <t xml:space="preserve">https://www.reddit.com/comments/1tovxu8</t>
  </si>
  <si>
    <t xml:space="preserve">Less choice in Radio function. Until this morning you used to be able to choose different genres that at least made sense in Radio function. Now it's </t>
  </si>
  <si>
    <t xml:space="preserve">https://www.reddit.com/comments/1toxo8g</t>
  </si>
  <si>
    <t xml:space="preserve">Go To Song Radio Feature Not Wokring. Today I am getting a Content No Longer Available message when trying to use the feature. It still populates on t</t>
  </si>
  <si>
    <t xml:space="preserve">https://www.reddit.com/comments/1tpm8cu</t>
  </si>
  <si>
    <t xml:space="preserve">Anyone Else Having this issue?. I just tried making a Song Radio, and got this screen. Anyone else? Any way to fix it would be appreciated too.</t>
  </si>
  <si>
    <t xml:space="preserve">https://www.reddit.com/comments/1tpov18</t>
  </si>
  <si>
    <t xml:space="preserve">A new song won't play when previous one finishes.. Usually when I search up a song and play it, it will automatically play a random similar song when </t>
  </si>
  <si>
    <t xml:space="preserve">https://www.reddit.com/comments/1tpyera</t>
  </si>
  <si>
    <t xml:space="preserve">Smart shuffle not working🤡. I have Spotify standard subscription. It's been working perfectly fine till yesterday. But today when I started to listen </t>
  </si>
  <si>
    <t xml:space="preserve">https://www.reddit.com/comments/1tq07xp</t>
  </si>
  <si>
    <t xml:space="preserve">Autoplay not working. Since this morning I've been stuck with this glitch or idk what this is. , my autoplay is not working as soon as the song ends i</t>
  </si>
  <si>
    <t xml:space="preserve">https://www.reddit.com/comments/1tq1tbk</t>
  </si>
  <si>
    <t xml:space="preserve">cancelling after 7 years, archived my library first. with the recent price hikes i finally decided to pull the plug. been paying since college and had</t>
  </si>
  <si>
    <t xml:space="preserve">https://www.reddit.com/comments/1tq4eqk</t>
  </si>
  <si>
    <t xml:space="preserve">Electropop playlist suggestions. It’s pretty diverse but I’m looking for some songs that sound like Imogen Heap, Peggy Gou, William Orbit (Ray of Ligh</t>
  </si>
  <si>
    <t xml:space="preserve">https://www.reddit.com/comments/1tqqfd7</t>
  </si>
  <si>
    <t xml:space="preserve">Get up and do it!. Suggestions open please!! Songs that make you get up and do it anyway, no matter your mood</t>
  </si>
  <si>
    <t xml:space="preserve">https://www.reddit.com/comments/1tqwqlp</t>
  </si>
  <si>
    <t xml:space="preserve">Missing the early 2010s radio era? Curated a playlist of the ultimate EDM &amp; club hits (Levels, Clarity, I Cry, etc.). Hey guys,I missed the golden era</t>
  </si>
  <si>
    <t xml:space="preserve">https://www.reddit.com/comments/1tqzh0n</t>
  </si>
  <si>
    <t xml:space="preserve">Can I transfer my apple music playlists to Spotify with no subscription?. I switched to Spotify to get better song recommendations while actively list</t>
  </si>
  <si>
    <t xml:space="preserve">https://www.reddit.com/comments/1tr1xwy</t>
  </si>
  <si>
    <t xml:space="preserve">Blended. I need new music recs that fit into what I generally listen to so if anyone can join please thanks 🙏</t>
  </si>
  <si>
    <t xml:space="preserve">https://www.reddit.com/comments/1tr2wfh</t>
  </si>
  <si>
    <t xml:space="preserve">Can your Spotify listening style influence which sneaker brands you prefer?. There's a guy whose entire Spotify Wrapped is dense, technical metal. Lot</t>
  </si>
  <si>
    <t xml:space="preserve">https://www.reddit.com/comments/1trea5x</t>
  </si>
  <si>
    <t xml:space="preserve">If you’re looking to find music without algorithms steering you, check out Corus. It’s a place where each song comes from a person, rather than an alg</t>
  </si>
  <si>
    <t xml:space="preserve">https://www.reddit.com/comments/1trgpfe</t>
  </si>
  <si>
    <t xml:space="preserve">STREAMING MAFIA. How streaming *Mafia* network completely revived my dead channel. Hey everyone, I wanted to share a quick milestone and what actually</t>
  </si>
  <si>
    <t xml:space="preserve">https://www.reddit.com/comments/1trtvxw</t>
  </si>
  <si>
    <t xml:space="preserve">Playlist Radio s4s. [removed]</t>
  </si>
  <si>
    <t xml:space="preserve">https://www.reddit.com/comments/1tsa388</t>
  </si>
  <si>
    <t xml:space="preserve">Just hit 5000 songs on my playlist. Just hit 5000 songs on my playlist with all my music MOAP (mother of all playlists). Roughly 290hrs worth of music</t>
  </si>
  <si>
    <t xml:space="preserve">https://www.reddit.com/comments/1tshkx8</t>
  </si>
  <si>
    <t xml:space="preserve">Can anyone recommend songs similar to Baby Jane's - starry night sped up ver. Mainly looking for songs with lyrics but will also take those without ly</t>
  </si>
  <si>
    <t xml:space="preserve">https://www.reddit.com/comments/1tskiqs</t>
  </si>
  <si>
    <t xml:space="preserve">Does anyone listen to hyperpop?. I've been listening to this genre for a year now and created a 7-hour playlist. Can anyone recommend some artists in </t>
  </si>
  <si>
    <t xml:space="preserve">https://www.reddit.com/comments/1tskwuy</t>
  </si>
  <si>
    <t xml:space="preserve">I want duplicates in my playlist, but can’t?. Sometimes I am really into a song and want to listen to it more often. In the past it was possible to ad</t>
  </si>
  <si>
    <t xml:space="preserve">https://www.reddit.com/comments/1tsp6p6</t>
  </si>
  <si>
    <t xml:space="preserve">o7 to my spotify loop. soo for like the past 5yrs maybe, I hav listened to music on spotify with 0 ads by simply playing a song on repeat (where the s</t>
  </si>
  <si>
    <t xml:space="preserve">https://www.reddit.com/comments/1tsq2yx</t>
  </si>
  <si>
    <t xml:space="preserve">App usage. Has the app become completely unusable to others? Podcasts won’t load, music shows the wrong album and artist when a song is playing. Queue</t>
  </si>
  <si>
    <t xml:space="preserve">https://www.reddit.com/comments/1tt0v4a</t>
  </si>
  <si>
    <t xml:space="preserve">Cool Stuff: indie &amp; alternative discoveries, carefully curated. 8 hours of music the algorithm won't find for you. H-Music.</t>
  </si>
  <si>
    <t xml:space="preserve">https://www.reddit.com/comments/1ttaezi</t>
  </si>
  <si>
    <t xml:space="preserve">What the hell is up with the lyrics for Mauro Picotto - Like This Like That (Radio Mix)?. I'm not allowed to link it here, but if you look up the lyri</t>
  </si>
  <si>
    <t xml:space="preserve">https://www.reddit.com/comments/1ttu63i</t>
  </si>
  <si>
    <t xml:space="preserve">Discover weekly has been terrible. For months, my discover weekly has been only suggesting artists I already know and exclusively in one genre. It use</t>
  </si>
  <si>
    <t xml:space="preserve">https://www.reddit.com/comments/1tu5jfe</t>
  </si>
  <si>
    <t xml:space="preserve">What's the point of playlist recommendations?. It just recommends the same limited number of songs and nothing new. Not to mention it gets the wrong s</t>
  </si>
  <si>
    <t xml:space="preserve">https://www.reddit.com/comments/1tu7qhy</t>
  </si>
  <si>
    <t xml:space="preserve">PRIDE PLAYLIST!. I put together a playlist for PRIDE 2026!!!! 🌈 It’s a mix of LGBTQ+ anthems, pop icons, queer artists, dance classics, drag race favo</t>
  </si>
  <si>
    <t xml:space="preserve">https://www.reddit.com/comments/1tuciaa</t>
  </si>
  <si>
    <t xml:space="preserve">Smart Shuffle takes me away from my Playlist. Every time I use smart shuffle this keeps happening. 1. Start playing the playlist I want. 2. Turn on Sm</t>
  </si>
  <si>
    <t xml:space="preserve">https://www.reddit.com/comments/1tucvoj</t>
  </si>
  <si>
    <t xml:space="preserve">How do ads inserted into podcasts work on Spotify?. I’ve noticed 2 kinds of ads while listening to podcasts. One is embedded into the Podcast track th</t>
  </si>
  <si>
    <t xml:space="preserve">https://www.reddit.com/comments/1tuh97w</t>
  </si>
  <si>
    <t xml:space="preserve">I miss the curated playlists. Beyond my main playlist and my favorite albums, I usually keep downloaded a few “mainstream” playlists just to know what</t>
  </si>
  <si>
    <t xml:space="preserve">https://www.reddit.com/comments/1tv6ehx</t>
  </si>
  <si>
    <t xml:space="preserve">Playlist curators and radio hosts: Tired of digging through spam DMs? I've got 3 remix contest winners you might actually want to play.. [removed]</t>
  </si>
  <si>
    <t xml:space="preserve">https://www.reddit.com/comments/1tv8v7x</t>
  </si>
  <si>
    <t xml:space="preserve">Is my spotify algo broken?. Is my algorithm broken, I get the same songs everytime in the exact same order. I tried resetting everything, cache, reins</t>
  </si>
  <si>
    <t xml:space="preserve">https://www.reddit.com/comments/1tvi1x8</t>
  </si>
  <si>
    <t xml:space="preserve">Removed songs from liked playlist keep playing. Frequently happens where songs I unliked months ago stay in playlists, even though the add to playlist</t>
  </si>
  <si>
    <t xml:space="preserve">https://www.reddit.com/comments/1tvmkbx</t>
  </si>
  <si>
    <t xml:space="preserve">In what way is Spotify better than Apple Music?. Been using Spotify since 2020 recently switched to Apple Music Apple Music has a better UI. In your l</t>
  </si>
  <si>
    <t xml:space="preserve">https://www.reddit.com/comments/1tvnp8b</t>
  </si>
  <si>
    <t xml:space="preserve">Playlists Recommendations (no specific genre). Hello everybody, I could really use some new playlists, any genre as long as they are great, I'm exhaus</t>
  </si>
  <si>
    <t xml:space="preserve">https://www.reddit.com/comments/1tvt6gn</t>
  </si>
  <si>
    <t xml:space="preserve">Hello my name is Ted and I'm a spotify user.. I'm being flooded by AI music in all my playlists and my Discover Weekly is just a weekly game of spot t</t>
  </si>
  <si>
    <t xml:space="preserve">https://www.reddit.com/comments/1tvwe7q</t>
  </si>
  <si>
    <t xml:space="preserve">How do I retrain my algorithm to stop it from recommending sleepytime music?. I'm primarily into high-energy genres like punk, nu-metal, electronic, a</t>
  </si>
  <si>
    <t xml:space="preserve">https://www.reddit.com/comments/1tvzop5</t>
  </si>
  <si>
    <t xml:space="preserve">Ultimate Chill. "Ultimate Chill" is the working title of this playlist, with ambient chill as the starting point, I plan to build this playlist like a</t>
  </si>
  <si>
    <t xml:space="preserve">https://www.reddit.com/comments/1tw5a01</t>
  </si>
  <si>
    <t xml:space="preserve">I was playing Indonesian girl group no na via “playing from artists”, but one of the recommended songs I saw wasn’t from Indonesia but from South Kore</t>
  </si>
  <si>
    <t xml:space="preserve">https://www.reddit.com/comments/1twl1nr</t>
  </si>
  <si>
    <t xml:space="preserve">Liked songs. Anyone else having issues with Liked Songs, everytime I click to like a song it never shows up in my liked song playlist...i see the gree</t>
  </si>
  <si>
    <t xml:space="preserve">https://www.reddit.com/comments/1twuqru</t>
  </si>
  <si>
    <t xml:space="preserve">Dear Spotify overlords, what have you done to discover weekly?💔.</t>
  </si>
  <si>
    <t xml:space="preserve">https://www.reddit.com/comments/1twyxce</t>
  </si>
  <si>
    <t xml:space="preserve">Is it normal on Spotify to have recommended songs from outside the country while playing an album from one country?. I’m from the Philippines, and I u</t>
  </si>
  <si>
    <t xml:space="preserve">https://www.reddit.com/comments/1txa9h4</t>
  </si>
  <si>
    <t xml:space="preserve">Songs for a Rainy Night at the Bar. Music for rainy nights at the bar and the morning after. A mix of tracks I used to spin on local radio and rooftop</t>
  </si>
  <si>
    <t xml:space="preserve">https://www.reddit.com/comments/1txc1da</t>
  </si>
  <si>
    <t xml:space="preserve">Finally breaking out of my music bubble! Need banger recommendations to build a new playlist.. Hey everyone, I’ve basically been stuck listening to th</t>
  </si>
  <si>
    <t xml:space="preserve">https://www.reddit.com/comments/1txhftz</t>
  </si>
  <si>
    <t xml:space="preserve">When I try to listen to a song I looked up on repeat it disappears after one listen. Anyone know what's happening? Because I'm confused on what's happ</t>
  </si>
  <si>
    <t xml:space="preserve">https://www.reddit.com/comments/1txjhpm</t>
  </si>
  <si>
    <t xml:space="preserve">GOOD VIBES FOREVER! Multi-genre playlist with this mood! Looking for newer artists suggestions &lt;3.</t>
  </si>
  <si>
    <t xml:space="preserve">https://www.reddit.com/comments/1txsnr9</t>
  </si>
  <si>
    <t xml:space="preserve">Hi i made an app that automates spotify if anyone wants to check it out.. [GameBeats by ssaborr]( Hey everyone, I've been working on a little side pro</t>
  </si>
  <si>
    <t xml:space="preserve">https://www.reddit.com/comments/1txylxo</t>
  </si>
  <si>
    <t xml:space="preserve">A human-curated jazz collection in the making. [ Hey everyone, I wanted to share my jazz playlist that I’ve been slowly building and curating over tim</t>
  </si>
  <si>
    <t xml:space="preserve">https://www.reddit.com/comments/1tyfrtd</t>
  </si>
  <si>
    <t xml:space="preserve">Unknown songs in the playlist "On Repeat". This morning I wanted to listen to the playlist of the most listened-to songs on my profile and songs appea</t>
  </si>
  <si>
    <t xml:space="preserve">https://www.reddit.com/comments/1tyndmn</t>
  </si>
  <si>
    <t xml:space="preserve">Any songs that are good for a girl and guy to sing that aren't romantic?. I'm trying to find a song or two for my friend and me to sing together at ka</t>
  </si>
  <si>
    <t xml:space="preserve">https://www.reddit.com/comments/1tyyygv</t>
  </si>
  <si>
    <t xml:space="preserve">I've been a paid subscriber since the beginning. If you're going to let AI slop flood Discover Weekly and Release Radar — the two features that actual</t>
  </si>
  <si>
    <t xml:space="preserve">https://www.reddit.com/comments/1tyzvmj</t>
  </si>
  <si>
    <t xml:space="preserve">listening on repeat.</t>
  </si>
  <si>
    <t xml:space="preserve">https://www.reddit.com/comments/1tz3cgu</t>
  </si>
  <si>
    <t xml:space="preserve">It was my 36th birthday so I decided to make my top 5 songs of my 36 favorite artists. Some difficult choices but a lot of fun!. 1. The Beatles 2 Geor</t>
  </si>
  <si>
    <t xml:space="preserve">https://www.reddit.com/comments/1tz8yi8</t>
  </si>
  <si>
    <t xml:space="preserve">Automating spotify dj. not sure if this is the right place to ask, but i was setting up keybinds and wanted to add a way to call the spotify dj button</t>
  </si>
  <si>
    <t xml:space="preserve">https://www.reddit.com/comments/1tz9f5j</t>
  </si>
  <si>
    <t xml:space="preserve">Does Spotify DJ change based on who’s in the car?. If I’m driving with friends who listen to rock, Spotify DJ will randomly throw in a couple rock son</t>
  </si>
  <si>
    <t xml:space="preserve">https://www.reddit.com/comments/1tzf2j8</t>
  </si>
  <si>
    <t xml:space="preserve">looking for music recs!. hi guys please drop some music recs, i listen to a variety of genres with the exception of most country, kpop, electronic/hyp</t>
  </si>
  <si>
    <t xml:space="preserve">https://www.reddit.com/comments/1tzk11g</t>
  </si>
  <si>
    <t xml:space="preserve">What the hell even is this??. Tonight I was digging through spotify recommendations and found an artist called “Men Creek.” What the hell is this shit</t>
  </si>
  <si>
    <t xml:space="preserve">https://www.reddit.com/comments/1tzq6ok</t>
  </si>
  <si>
    <t xml:space="preserve">Why does Spotify think I want to hear anything other than the Playlist I pushed play on?. I listen to a rain sound Playlist when I sleep. The Playlist</t>
  </si>
  <si>
    <t xml:space="preserve">https://www.reddit.com/comments/1u0c5zy</t>
  </si>
  <si>
    <t xml:space="preserve">Power Metal Workout. High energy power metal for a gym workout. Songs about dragons, warriors, old gods and pumping Iron! It's showing up on over twen</t>
  </si>
  <si>
    <t xml:space="preserve">https://www.reddit.com/comments/1u0jitm</t>
  </si>
  <si>
    <t xml:space="preserve">I built a sacred space on the internet for sincere music recommendations (I just hit 83 weekly users in 5 weeks!). Hi, I'm Julius, a computer science </t>
  </si>
  <si>
    <t xml:space="preserve">https://www.reddit.com/comments/1u0kk1y</t>
  </si>
  <si>
    <t xml:space="preserve">Making a house party playlist. Looking for suggestions on things to add or anything I should remove</t>
  </si>
  <si>
    <t xml:space="preserve">https://www.reddit.com/comments/1u0mug1</t>
  </si>
  <si>
    <t xml:space="preserve">My Daily Mix. [removed]</t>
  </si>
  <si>
    <t xml:space="preserve">https://www.reddit.com/comments/1u0ulks</t>
  </si>
  <si>
    <t xml:space="preserve">1,500 playlists to suit your mood. I made a website with around 1,500 playlists (up to 15 tracks on each). You can select your mood, you activity and </t>
  </si>
  <si>
    <t xml:space="preserve">https://www.reddit.com/comments/1u124m2</t>
  </si>
  <si>
    <t xml:space="preserve">Discover Weekly Slop. Anyone else's DW consisting almost entirely of miscellaneous slop? Either \[potentially\] AI generated or just obviously someone</t>
  </si>
  <si>
    <t xml:space="preserve">https://www.reddit.com/comments/1u13tv5</t>
  </si>
  <si>
    <t xml:space="preserve">I had a dope mix between two songs and Auto algorithm changed with updates, how to revert back to the previous algorithm?. I had Slay by Eternxlkz mix</t>
  </si>
  <si>
    <t xml:space="preserve">https://www.reddit.com/comments/1u15d1h</t>
  </si>
  <si>
    <t xml:space="preserve">daylist genres never actually change for me. i think spotify has given me this whimsigoth daylist for the past six months and i don't even listen to t</t>
  </si>
  <si>
    <t xml:space="preserve">https://www.reddit.com/comments/1u1gq83</t>
  </si>
  <si>
    <t xml:space="preserve">Bored of the recommendations by spotify?. just want your music and no clutter? try using my plugin (actually user-style) [ [home page]( [now playing](</t>
  </si>
  <si>
    <t xml:space="preserve">https://www.reddit.com/comments/1u1hxkw</t>
  </si>
  <si>
    <t xml:space="preserve">Spotify is now creating fake bios and pictures to hide Ai artist and further confuse users. This app has reached a new low and I'm reaching a boiling </t>
  </si>
  <si>
    <t xml:space="preserve">https://www.reddit.com/comments/1u1u2s4</t>
  </si>
  <si>
    <t xml:space="preserve">Sing a long classics. I've created a playlist of sing a long classics, anyone recommend anything to add to this?</t>
  </si>
  <si>
    <t xml:space="preserve">https://www.reddit.com/comments/1u1v0lk</t>
  </si>
  <si>
    <t xml:space="preserve">Any way to reset daylist preferences?. Daylists used to be my favourite feature but for like the half year or so it's just been stuck at 'psychedelic </t>
  </si>
  <si>
    <t xml:space="preserve">https://www.reddit.com/comments/1u1yogt</t>
  </si>
  <si>
    <t xml:space="preserve">Looking for song/artist recommendations. Rate my playlist and tell me what I’m missing!. Hey y’all! I have an indie folk playlist that’s grown a bit o</t>
  </si>
  <si>
    <t xml:space="preserve">https://www.reddit.com/comments/1u23afx</t>
  </si>
  <si>
    <t xml:space="preserve">Spotify Podcasts and Music Suggestions. I’m tired of all the stuff I’ve been listening too on Spotify. PLEEEASE give me some Spotify podcasts suggesti</t>
  </si>
  <si>
    <t xml:space="preserve">https://www.reddit.com/comments/1u29b60</t>
  </si>
  <si>
    <t xml:space="preserve">I really like this vibe and need suggestions that fit it!!!.</t>
  </si>
  <si>
    <t xml:space="preserve">https://www.reddit.com/comments/1u2ai4z</t>
  </si>
  <si>
    <t xml:space="preserve">I hate this smart shuffle, especially on my liked songs.. Smart shuffle is Spotify's worst feature, and it doesn't even make sense to have it for my l</t>
  </si>
  <si>
    <t xml:space="preserve">https://www.reddit.com/comments/1u2cgix</t>
  </si>
  <si>
    <t xml:space="preserve">Will we ever get an Automix or improved Mix feature?. I see people talk so highly about the Apple Music automix feature. Do we think that they will wo</t>
  </si>
  <si>
    <t xml:space="preserve">https://www.reddit.com/comments/1u2e5vg</t>
  </si>
  <si>
    <t xml:space="preserve">100K songs per day are uploaded to Spotify. How do you filter through the mass? Fresh Sprouts can help.. Before the early 2000's, the availability of </t>
  </si>
  <si>
    <t xml:space="preserve">https://www.reddit.com/comments/1u2hcsa</t>
  </si>
  <si>
    <t xml:space="preserve">Another App, but Cooler. A month or two back, I was listening to a song—which I can't currently remember. While listening, I started thinking about ho</t>
  </si>
  <si>
    <t xml:space="preserve">https://www.reddit.com/comments/1u2mrpj</t>
  </si>
  <si>
    <t xml:space="preserve">Is Spotify ever gonna get fixed. The past month at least, the app has run hella slow. The app takes way too long to load into and to open playlists or</t>
  </si>
  <si>
    <t xml:space="preserve">https://www.reddit.com/comments/1u2ong0</t>
  </si>
  <si>
    <t xml:space="preserve">Spotify giving the same recommended songs over and over again. I have a playlist where I am trying to add more songs from the recommended option, and </t>
  </si>
  <si>
    <t xml:space="preserve">https://www.reddit.com/comments/1u2s0kw</t>
  </si>
  <si>
    <t xml:space="preserve">The Spotify Expedition. Part One. Ey Up Friends! Hope you're doing well. You may remember 6 months ago I created this thread in which I promised I'd c</t>
  </si>
  <si>
    <t xml:space="preserve">https://www.reddit.com/comments/1u4ncuq</t>
  </si>
  <si>
    <t xml:space="preserve">What should I do to fix this?. Sometimes this thing appears instead of standart widget (pause, skip, etc.). How would you recommend to get rid of this</t>
  </si>
  <si>
    <t xml:space="preserve">https://www.reddit.com/comments/1u4oo7q</t>
  </si>
  <si>
    <t xml:space="preserve">Smooth night-pop. Recent releases with that sophisticated minor-7th chord sound that was all over the radio in the 80s &amp; 90s. For the fellow music ner</t>
  </si>
  <si>
    <t xml:space="preserve">https://www.reddit.com/comments/1u4zp9x</t>
  </si>
  <si>
    <t xml:space="preserve">After years of no updates, i have a problem. Spotify's eating all of my system data, as far as I can tell. Internet says deleting and reinstalling it </t>
  </si>
  <si>
    <t xml:space="preserve">https://www.reddit.com/comments/1u59ln7</t>
  </si>
  <si>
    <t xml:space="preserve">My 35 Hour Japanese Playlist. A wide variety of Japanese songs that I grew up on or have grown to love over the years. If anyone has other song sugges</t>
  </si>
  <si>
    <t xml:space="preserve">https://www.reddit.com/comments/1u5o3il</t>
  </si>
  <si>
    <t xml:space="preserve">I am tired of this.. Okay so I am tryna listen to a some undertale/deltarune music cuz why not they sound good. Spotify suddenly recommends me sum unr</t>
  </si>
  <si>
    <t xml:space="preserve">https://www.reddit.com/comments/1u5tust</t>
  </si>
  <si>
    <t xml:space="preserve">Suggestions where to find $99 annual card besides Sam's Club?. Walmart and Best Buy used to sell these cards, but both recently removed it on their on</t>
  </si>
  <si>
    <t xml:space="preserve">https://www.reddit.com/comments/1u6aehz</t>
  </si>
  <si>
    <t xml:space="preserve">For the love of god please fix shuffle.. I have 3500 songs, and shuffle keeps playing the same songs.. even with smart shuffle off and the shuffle set</t>
  </si>
  <si>
    <t xml:space="preserve">https://www.reddit.com/comments/1u6dgxl</t>
  </si>
  <si>
    <t xml:space="preserve">DJ X - a mini rant. I loved this feature when it rolled out. There are so many problems though that I can’t even coherently explain them all, though I</t>
  </si>
  <si>
    <t xml:space="preserve">https://www.reddit.com/comments/1u6epni</t>
  </si>
  <si>
    <t xml:space="preserve">https://www.reddit.com/comments/1u6eq6r</t>
  </si>
  <si>
    <t xml:space="preserve">Spotify AI is SO GREAT but it shouldn’t *just* recommend songs. Let me *talk* to it (on mac specifically) “Loop this feeling.” “Go back to the genre f</t>
  </si>
  <si>
    <t xml:space="preserve">https://www.reddit.com/comments/1u6l9zh</t>
  </si>
  <si>
    <t xml:space="preserve">ahhhh. “Add to liked songs“ too close to “remove from playlist”. Sometimes I will make playlists and dump a bunch of songs into, and then curate throu</t>
  </si>
  <si>
    <t xml:space="preserve">https://www.reddit.com/comments/1u702ss</t>
  </si>
  <si>
    <t xml:space="preserve">Spotify DJ AI isnt working on Windows ?. Hi ! I just discovered that there’s a Spotify DJ option (it came out in France pretty "recently"). It works g</t>
  </si>
  <si>
    <t xml:space="preserve">https://www.reddit.com/comments/1u7782t</t>
  </si>
  <si>
    <t xml:space="preserve">First time trying the AI DJ, why is this even a thing?. Not even a fan of AI in the first place, but just wanted to listen to some Jazz songs from my </t>
  </si>
  <si>
    <t xml:space="preserve">https://www.reddit.com/comments/1u77b08</t>
  </si>
  <si>
    <t xml:space="preserve">I NEED ARTIST RECOMMENDATION LIKE RICKY MONTGOMERY. Ricky Montgomery has been on my top list since last year, every month. I literally cannot stop lis</t>
  </si>
  <si>
    <t xml:space="preserve">https://www.reddit.com/comments/1u78reb</t>
  </si>
  <si>
    <t xml:space="preserve">Screamo without the Screamo. A friend I asked for song recommendations based on their liking introduced me to Screamo and I love the sound of the beat</t>
  </si>
  <si>
    <t xml:space="preserve">https://www.reddit.com/comments/1u7b86f</t>
  </si>
  <si>
    <t xml:space="preserve">Smart Shuffle playing the exact same list. This is really starting to piss me off... Smart shuffle has been playing the same "shuffle" of songs and it</t>
  </si>
  <si>
    <t xml:space="preserve">https://www.reddit.com/comments/1u7g10a</t>
  </si>
  <si>
    <t xml:space="preserve">does anyone else experience this with their On Repeat?. this has been happening for forever where most of my on repeat is normal, songs i listen to al</t>
  </si>
  <si>
    <t xml:space="preserve">https://www.reddit.com/comments/1u7ilvj</t>
  </si>
  <si>
    <t xml:space="preserve">Why there is no genre or decades mix in made for you tab?.</t>
  </si>
  <si>
    <t xml:space="preserve">https://www.reddit.com/comments/1u7j750</t>
  </si>
  <si>
    <t xml:space="preserve">Gym Song Recommendations. I’m trying to make the best gym playlist on Spotify and I need some song recommendations</t>
  </si>
  <si>
    <t xml:space="preserve">https://www.reddit.com/comments/1u7lp2m</t>
  </si>
  <si>
    <t xml:space="preserve">metal, rock and punk songs with female vocals. Hi hi, leaving here this playlist with songs that some of you guys recommended me! thank you so much, i</t>
  </si>
  <si>
    <t xml:space="preserve">https://www.reddit.com/comments/1u7wx0d</t>
  </si>
  <si>
    <t xml:space="preserve">Spotify Draining Battery. Starting on Monday of this week, my spotify has been absolutely DRAINING my battery and I don’t know what to do about it or </t>
  </si>
  <si>
    <t xml:space="preserve">https://www.reddit.com/comments/1u7yth6</t>
  </si>
  <si>
    <t xml:space="preserve">What happened with DJ X and voice requests?. I noticed this about a month ago, but I used to be able to press the microphone button on the home screen</t>
  </si>
  <si>
    <t xml:space="preserve">https://www.reddit.com/comments/1u8ic1h</t>
  </si>
  <si>
    <t xml:space="preserve">Songs replaced on Spotify??. Has anyone else experienced like.. going to listen to a song on your playlist you had previously saved, but when you list</t>
  </si>
  <si>
    <t xml:space="preserve">https://www.reddit.com/comments/1u8uprb</t>
  </si>
  <si>
    <t xml:space="preserve">i am in total disbelief. (a LONG rant). so, i made a post previously on this subreddit and somebody gave me the right idea to contact Spotify Support </t>
  </si>
  <si>
    <t xml:space="preserve">https://www.reddit.com/comments/1u8yta2</t>
  </si>
  <si>
    <t xml:space="preserve">What's on your repeat list..here's mine. Give this playlist a listen: On Repeat &amp;#x200B; &amp;#x200B; Also, how do you get music on your repeat playlist? </t>
  </si>
  <si>
    <t xml:space="preserve">https://www.reddit.com/comments/1u98l4t</t>
  </si>
  <si>
    <t xml:space="preserve">Spotify recommended Problem. Hi! I have some random playlists and songs on Spotify that I never heard about. I already changed my email, my password a</t>
  </si>
  <si>
    <t xml:space="preserve">https://www.reddit.com/comments/1u9s8s6</t>
  </si>
  <si>
    <t xml:space="preserve">'Verified artists' includes AI generated music if they released their own music in the past.. I've been getting recommendations for Artists that have </t>
  </si>
  <si>
    <t xml:space="preserve">https://www.reddit.com/comments/1ua8dt9</t>
  </si>
  <si>
    <t xml:space="preserve">SOFT ROCK🍦 — Any suggestions? Close to 3,000 songs.</t>
  </si>
  <si>
    <t xml:space="preserve">https://www.reddit.com/comments/1ua8go5</t>
  </si>
  <si>
    <t xml:space="preserve">How do I clear search history?. Me and this girl are really into Spotify/music in general. We create playlists for each other, we share music and all </t>
  </si>
  <si>
    <t xml:space="preserve">https://www.reddit.com/comments/1uap4e6</t>
  </si>
  <si>
    <t xml:space="preserve">Spotify keeps throwing out completely random songs no matter what I do. No matter what I do, listening to playlists, or albums, or like artists popula</t>
  </si>
  <si>
    <t xml:space="preserve">https://www.reddit.com/comments/1uatyv9</t>
  </si>
  <si>
    <t xml:space="preserve">(Hear me out okay?) I am making this post as a both a compliment and a complaint.. I want to start this on a good note so I will start with great job </t>
  </si>
  <si>
    <t xml:space="preserve">https://www.reddit.com/comments/1ubkree</t>
  </si>
  <si>
    <t xml:space="preserve">What is this recommendation business and how can I turn it off?. Spotify has decided to start playing random songs that aren't on my playlist trying t</t>
  </si>
  <si>
    <t xml:space="preserve">https://www.reddit.com/comments/1ubw1lg</t>
  </si>
  <si>
    <t xml:space="preserve">Does anyone know how I can make my On Repeat playlist public on my profile?.</t>
  </si>
  <si>
    <t xml:space="preserve">https://www.reddit.com/comments/1uc3qq2</t>
  </si>
  <si>
    <t xml:space="preserve">My favorite songs from Per Gessle (mostly Roxette). Lets enjoy this great artist. It is sorted chronologically, shuffle recommended</t>
  </si>
  <si>
    <t xml:space="preserve">https://www.reddit.com/comments/1ucsicr</t>
  </si>
  <si>
    <t xml:space="preserve">Does anyone else get tired of Spotify? Is this a common feeling?. *Lately I've been feeling increasingly frustrated with Spotify. Not because the app </t>
  </si>
  <si>
    <t xml:space="preserve">https://www.reddit.com/comments/1ucup9w</t>
  </si>
  <si>
    <t xml:space="preserve">Why do i get videos on spotify free!?. why do i get spotify videos on spotify free? dj x is not there, i dont have premium, gemini wont help, and its </t>
  </si>
  <si>
    <t xml:space="preserve">https://www.reddit.com/comments/1ud2soh</t>
  </si>
  <si>
    <t xml:space="preserve">slow dance songs. i’ve made a playlist that gives off “romantic, slow dancing with your partner at night in your apartment” vibes. if y’all have time,</t>
  </si>
  <si>
    <t xml:space="preserve">https://www.reddit.com/comments/1udb655</t>
  </si>
  <si>
    <t xml:space="preserve">AI DJ annoyance. I really like Ai DJ, but one little bug that annoys me is if I start listening on a device (e.g. computer) and then when I get off it</t>
  </si>
  <si>
    <t xml:space="preserve">https://www.reddit.com/comments/1ude3or</t>
  </si>
  <si>
    <t xml:space="preserve">is there a way to stop albums being recommended on your homepage?. it keeps showing Bully by Kanye, under ‘albums featuring songs you like’. i don’t t</t>
  </si>
  <si>
    <t xml:space="preserve">https://www.reddit.com/comments/1udhs0h</t>
  </si>
  <si>
    <t xml:space="preserve">“Made for you” playlists with hundreds of thousands of saves. [removed]</t>
  </si>
  <si>
    <t xml:space="preserve">https://www.reddit.com/comments/1udq30s</t>
  </si>
  <si>
    <t xml:space="preserve">Mon Rovîa Radio. [removed]</t>
  </si>
  <si>
    <t xml:space="preserve">https://www.reddit.com/comments/1udu7gt</t>
  </si>
  <si>
    <t xml:space="preserve">Adding random songs to my playlist. Hey, I’ve been using Spotify for awhile (5+ years) and stopped using it since I just got caught up and stopped lis</t>
  </si>
  <si>
    <t xml:space="preserve">https://www.reddit.com/comments/1uduf89</t>
  </si>
  <si>
    <t xml:space="preserve">I feel like I’m going crazy…. So a couple of weeks ago, I was listening to one of my favorite songs and it just sounded… off? The bass felt like it wa</t>
  </si>
  <si>
    <t xml:space="preserve">https://www.reddit.com/comments/1ue292e</t>
  </si>
  <si>
    <t xml:space="preserve">Spotify finally figured out my exact taste. (Only took 7 years). I genuinely feel like I've hit a milestone with this. Not a single skip in this dayli</t>
  </si>
  <si>
    <t xml:space="preserve">https://www.reddit.com/comments/1ue532v</t>
  </si>
  <si>
    <t xml:space="preserve">Anyone else’s custom “on repeat” playlist gone downhill?. My personalized “On Repeat” playlist was super accurate for YEARS. Then about \~6 months ago</t>
  </si>
  <si>
    <t xml:space="preserve">https://www.reddit.com/comments/1ue8wzz</t>
  </si>
  <si>
    <t xml:space="preserve">Any song suggestions for this playlist?. Okay so I cant send pictures but im making a playlist for myself and I need help to add more songs. Its a bac</t>
  </si>
  <si>
    <t xml:space="preserve">https://www.reddit.com/comments/1ue96fl</t>
  </si>
  <si>
    <t xml:space="preserve">Looking for new music, and sick of the algorithm's repetitive suggestions?. Discover Weekly, DJ, Release Radar, Radio... It's all the same algorithmic</t>
  </si>
  <si>
    <t xml:space="preserve">https://www.reddit.com/comments/1uerl3l</t>
  </si>
  <si>
    <t xml:space="preserve">Electronic Essentials | Independent Electronic Artists. I've been putting together an electronic playlist focused on independent artists and lesser-kn</t>
  </si>
  <si>
    <t xml:space="preserve">https://www.reddit.com/comments/1ufbuvx</t>
  </si>
  <si>
    <t xml:space="preserve">Spotify DJ drifts away from request. "hey, play some soft classical music to be in the background while my baby drifts off to sleep" It wasn't bad, bu</t>
  </si>
  <si>
    <t xml:space="preserve">https://www.reddit.com/comments/1ufcdfn</t>
  </si>
  <si>
    <t xml:space="preserve">Safari / Spotify Web Player Bug: Audio automatically plays in fast-forward with standard address bar audio icon appearing without user interaction. Hi</t>
  </si>
  <si>
    <t xml:space="preserve">https://www.reddit.com/comments/1ufftdt</t>
  </si>
  <si>
    <t xml:space="preserve">I'm sure I'm dumb ... I'm fairly certain I just don't have the prompts right...... How in the HËLL do I get this to show my most liked songs from when</t>
  </si>
  <si>
    <t xml:space="preserve">https://www.reddit.com/comments/1ufokcx</t>
  </si>
  <si>
    <t xml:space="preserve">ai dj. Why is Spotify contributing to the destruction of the creative industry? Originally Spotify was a place for creative people to get a reach for </t>
  </si>
  <si>
    <t xml:space="preserve">https://www.reddit.com/comments/1ufp1cq</t>
  </si>
  <si>
    <t xml:space="preserve">https://www.reddit.com/comments/1ufpn0c</t>
  </si>
  <si>
    <t xml:space="preserve">Saddest most gut wrenching songs you know?. Sad music is my happy place (yes sounds weird, iykyk). I havent been able to find any new good songs could</t>
  </si>
  <si>
    <t xml:space="preserve">https://www.reddit.com/comments/1ufxcr7</t>
  </si>
  <si>
    <t xml:space="preserve">My first ever character playlist!. So I have never made a character playlist before but I was bored today and figured I tried this out and I actually </t>
  </si>
  <si>
    <t xml:space="preserve">https://www.reddit.com/comments/1ugjta4</t>
  </si>
  <si>
    <t xml:space="preserve">Album covers disappearing in my library. Can anyone help me fix album covers flickering in half of my library on my IPad? I tried contacting support b</t>
  </si>
  <si>
    <t xml:space="preserve">https://www.reddit.com/comments/1uh21bc</t>
  </si>
  <si>
    <t xml:space="preserve">Looking for suggestions on my playlist transitions and song choices. Looking for feedback so I can improve some things.</t>
  </si>
  <si>
    <t xml:space="preserve">https://www.reddit.com/comments/1uhdlz4</t>
  </si>
  <si>
    <t xml:space="preserve">If the AI DJ plays me Imagine Dragons' "Friction" once again, I'm finally moving back to my 20-yo MP3 player. So, today I tried the AI DJ's beta versi</t>
  </si>
  <si>
    <t xml:space="preserve">https://www.reddit.com/comments/1uhgw69</t>
  </si>
  <si>
    <t xml:space="preserve">https://www.reddit.com/comments/1uhhr5o</t>
  </si>
  <si>
    <t xml:space="preserve">im so annoyed by the AI DJ. okay i would curse alot here and i have cursed the bot alot already but im literally fuming. basically, im a person who li</t>
  </si>
  <si>
    <t xml:space="preserve">https://www.reddit.com/comments/1uhv1wa</t>
  </si>
  <si>
    <t xml:space="preserve">any way to disable the Spotify DJ from providing commentary?. I mostly use Spotify while doing other things (ie games or work) and it frustrates me wh</t>
  </si>
  <si>
    <t xml:space="preserve">https://www.reddit.com/comments/1uhv5cb</t>
  </si>
  <si>
    <t xml:space="preserve">Song playing fast in Liked songs playlist?. Not sure what those 2 arrows are, only shows up on this song, and it plays SUPER fast. But If I go to the </t>
  </si>
  <si>
    <t xml:space="preserve">https://www.reddit.com/comments/1ui6vcg</t>
  </si>
  <si>
    <t xml:space="preserve">Song playing with Today's date. I opened the app and the screen went dark and started playing 28th of June by Megan Moroney. I have never heard of her</t>
  </si>
  <si>
    <t xml:space="preserve">https://www.reddit.com/comments/1ui9y88</t>
  </si>
  <si>
    <t xml:space="preserve">Bug: Playback Speed Reduces Audio Quality. Hello Spotify team, Today I received the new playback speed feature, and I noticed a problem. When I change</t>
  </si>
  <si>
    <t xml:space="preserve">https://www.reddit.com/comments/1uivlra</t>
  </si>
  <si>
    <t xml:space="preserve">Any recommendations for my playlist?. [removed]</t>
  </si>
  <si>
    <t xml:space="preserve">https://www.reddit.com/comments/1uiyp8h</t>
  </si>
  <si>
    <t xml:space="preserve">Radio station like Apple Music. [removed]</t>
  </si>
  <si>
    <t xml:space="preserve">https://www.reddit.com/comments/1uj2b2f</t>
  </si>
  <si>
    <t xml:space="preserve">4th of July playlist Help?. I'm yet again in charge of the neighborhood/family and friends 4th of July bbq/pool party. I deleted my old 4th of July mu</t>
  </si>
  <si>
    <t xml:space="preserve">https://www.reddit.com/comments/1uj5l66</t>
  </si>
  <si>
    <t xml:space="preserve">give me song recommendations based on my playlist. im too bored of listening of the same songs [</t>
  </si>
  <si>
    <t xml:space="preserve">https://www.reddit.com/comments/1ujjuvy</t>
  </si>
  <si>
    <t xml:space="preserve">Tool for Spotify playlist organising. I built a web app called **TrackFinder** to solve a few Spotify playlist problems that I couldn't find good tool</t>
  </si>
  <si>
    <t xml:space="preserve">https://www.reddit.com/comments/1ujtf4t</t>
  </si>
  <si>
    <t xml:space="preserve">Opinions about new ai dj?.</t>
  </si>
  <si>
    <t xml:space="preserve">https://www.reddit.com/comments/1ujul7e</t>
  </si>
  <si>
    <t xml:space="preserve">Free instant music recommendations. [removed]</t>
  </si>
  <si>
    <t xml:space="preserve">https://www.reddit.com/comments/1uk9d76</t>
  </si>
  <si>
    <t xml:space="preserve">One album is unplayable/un-downloaded. Just a quick example playlist where songs from Oracular Spectacular are unavailable offline. I've tried redownl</t>
  </si>
  <si>
    <t xml:space="preserve">https://www.reddit.com/comments/1ukij4k</t>
  </si>
  <si>
    <t xml:space="preserve">FINDING SUGGESTIONS. Can you suggest a sad song that will definitely make me cry on the first listen?</t>
  </si>
  <si>
    <t xml:space="preserve">https://www.reddit.com/comments/1uknrfp</t>
  </si>
  <si>
    <t xml:space="preserve">Made for you changes. Did spotify change how the made for you playlist were made. Because before I remeber it would be majority songs I liked and list</t>
  </si>
  <si>
    <t xml:space="preserve">https://www.reddit.com/comments/1ul6g3g</t>
  </si>
  <si>
    <t xml:space="preserve">Songs changing?. It's bad enough that Spotify constantly cuts out multiple times during a song lately but in the last two weeks, songs I've been liste</t>
  </si>
  <si>
    <t xml:space="preserve">https://www.reddit.com/comments/1ulf93f</t>
  </si>
  <si>
    <t xml:space="preserve">cyberpunk radio. [removed]</t>
  </si>
  <si>
    <t xml:space="preserve">https://www.reddit.com/comments/1ulsse1</t>
  </si>
  <si>
    <t xml:space="preserve">A suggestion for discovering music genres. There are so many music genres. **Finding the genre of music you like** can be frustrating. It’s something </t>
  </si>
  <si>
    <t xml:space="preserve">https://www.reddit.com/comments/1um91x7</t>
  </si>
  <si>
    <t xml:space="preserve">Spotify streams don’t make sense. I released a new song a week ago and it only has 45 streams total… I have some meta/tiktok ads on it, my friends all</t>
  </si>
  <si>
    <t xml:space="preserve">https://www.reddit.com/comments/1ume90s</t>
  </si>
  <si>
    <t xml:space="preserve">How are we to locate ‘similar songs’ anymore?. Hi there. This was on mobile, and there was a function with any song you’d play, if you scrolled down p</t>
  </si>
  <si>
    <t xml:space="preserve">https://www.reddit.com/comments/1umfdkd</t>
  </si>
  <si>
    <t xml:space="preserve">Smart Shuffle makes the iOS App REALLY slow. I noticed that the Spotify app on iOS was super slow to load practically everything, before the app opene</t>
  </si>
  <si>
    <t xml:space="preserve">https://www.reddit.com/comments/1umk3q9</t>
  </si>
  <si>
    <t xml:space="preserve">Rain Sounds for sleeping ruined my Discover Weekly. I used to love checking out my Discover Weekly playlist, but since I’ve started listening to rain </t>
  </si>
  <si>
    <t xml:space="preserve">https://www.reddit.com/comments/1umpwo5</t>
  </si>
  <si>
    <t xml:space="preserve">playlists headache. Hi, recently i've been going through my spotify playlists, trying to make playlists with different artists genres moods etc. And i</t>
  </si>
  <si>
    <t xml:space="preserve">https://www.reddit.com/comments/1umttdo</t>
  </si>
  <si>
    <t xml:space="preserve">TrackOrTrash - the best way to sort your playlists. Hey guys! Like most of you, I have playlists with 500+ songs that are full of songs I've been skip</t>
  </si>
  <si>
    <t xml:space="preserve">https://www.reddit.com/comments/1unbfz1</t>
  </si>
  <si>
    <t xml:space="preserve">Xennial 80's 90's Kid Millenial RADIO (Clean) Hand-Picked Nostalgia. Big playlist with the radio edit/clean versions so it can be played around kids. </t>
  </si>
  <si>
    <t xml:space="preserve">https://www.reddit.com/comments/1und6fz</t>
  </si>
  <si>
    <t xml:space="preserve">Thousands of new songs drop every week. I filter the standaouts.. If you want to break from the algorithm, this is for you. Every Friday I wake up to </t>
  </si>
  <si>
    <t xml:space="preserve">https://www.reddit.com/comments/1undrd9</t>
  </si>
  <si>
    <t xml:space="preserve">We're Being Sad Today!. Not feeling myself tonight so I made a pretty short, slow alt playlist that I'm honestly pretty proud of. Pass any suggestions</t>
  </si>
  <si>
    <t xml:space="preserve">https://www.reddit.com/comments/1unnh6x</t>
  </si>
  <si>
    <t xml:space="preserve">aaaaand they never brought back the playlist radio feature. bring it back! it's been three years man...</t>
  </si>
  <si>
    <t xml:space="preserve">https://www.reddit.com/comments/1unqjli</t>
  </si>
  <si>
    <t xml:space="preserve">Where’s the ai radio?. So I came back after months of being with yt music ,and I came back for the Ai tool that helped you search new songs , I don’t </t>
  </si>
  <si>
    <t xml:space="preserve">https://www.reddit.com/comments/1unsg6e</t>
  </si>
  <si>
    <t xml:space="preserve">I have a very scarce music taste. Can anyone be willing to share me some playlists or recommendations for music I might like to listen to, I really ne</t>
  </si>
  <si>
    <t xml:space="preserve">https://www.reddit.com/comments/1unxn5o</t>
  </si>
  <si>
    <t xml:space="preserve">My spotify got hacked and they listened to over 600 songs in different languages. Is there any way i can remove them from my profile or recommendation</t>
  </si>
  <si>
    <t xml:space="preserve">https://www.reddit.com/comments/1uo3os0</t>
  </si>
  <si>
    <t xml:space="preserve">Spotify dj. does anyone else remember being able to like call out to spotifys DJ by saying “hey DJ” or like “hey aj” since it was aj the dj, this was </t>
  </si>
  <si>
    <t xml:space="preserve">https://www.reddit.com/comments/1up47eq</t>
  </si>
  <si>
    <t xml:space="preserve">Spotify Main Playlists. How do you end up listening to new music without the AI on Spotify? I always told myself that growing up, I'd never really lis</t>
  </si>
  <si>
    <t xml:space="preserve">https://www.reddit.com/comments/1upbsa4</t>
  </si>
  <si>
    <t xml:space="preserve">If you like hyper romantic Mexican alternative music, this playlist is for you. My favorite corner of Mexican alternative music. Sad corridos, indie u</t>
  </si>
  <si>
    <t xml:space="preserve">https://www.reddit.com/comments/1updikr</t>
  </si>
  <si>
    <t xml:space="preserve">Recommended is pretty bad tbh. I keep refreshing and keep getting specific songs consistently and I just noticed some more bs LOOOL</t>
  </si>
  <si>
    <t xml:space="preserve">https://www.reddit.com/comments/1upx8p3</t>
  </si>
  <si>
    <t xml:space="preserve">can play every mix except liked songs. so any mix or radio or anything like happy mix etc plays fine. but only 1 singular song plays on my liked songs</t>
  </si>
  <si>
    <t xml:space="preserve">https://www.reddit.com/comments/1uq0tau</t>
  </si>
  <si>
    <t xml:space="preserve">Spotify Issue. Not sure where else to post this, but Ive been having an issue where the music will out of nowhere and at random pause and then play pl</t>
  </si>
  <si>
    <t xml:space="preserve">https://www.reddit.com/comments/1uqg6zk</t>
  </si>
  <si>
    <t xml:space="preserve">Is it impossible to just play a few songs and have spotify stop playing?. I was just trying to play a few songs I had added to my queue, and I couldn'</t>
  </si>
  <si>
    <t xml:space="preserve">https://www.reddit.com/comments/1uqtrfo</t>
  </si>
  <si>
    <t xml:space="preserve">autoplay/recommended songs. when im playing songs by themselves, it isnt added recommended songs after its just cutting it off i have premium, i have </t>
  </si>
  <si>
    <t xml:space="preserve">https://www.reddit.com/comments/1urttoq</t>
  </si>
  <si>
    <t xml:space="preserve">Are you searching for something new, and bored with the algorithm serving up the same thing over and over? Try Fresh Sprouts.. [Fresh Sprouts]( is a p</t>
  </si>
  <si>
    <t xml:space="preserve">https://www.reddit.com/comments/1us2y40</t>
  </si>
  <si>
    <t xml:space="preserve">100 Alternative New Wave Songs (Enjoy!). If you guys have any suggestions for more songs so I can maybe make it 250, I wanna hear them!</t>
  </si>
  <si>
    <t xml:space="preserve">https://www.reddit.com/comments/1usdsq0</t>
  </si>
  <si>
    <t xml:space="preserve">How is it legal for companies to post slowed / covers without crediting original artists?. I had this song pop up on my release radar today and it’s b</t>
  </si>
  <si>
    <t xml:space="preserve">https://www.reddit.com/comments/1ussemx</t>
  </si>
  <si>
    <t xml:space="preserve">Built a smarter playlist generator. I've posted this one before, but let's try again, cause I've added some new features. I got tired from the repetit</t>
  </si>
  <si>
    <t xml:space="preserve">https://www.reddit.com/comments/1usvf1p</t>
  </si>
  <si>
    <t xml:space="preserve">Need help with a local files bug. To cut to the chase, I cannot use the bar to skim through any of my local files. If I do, then Spotify completely st</t>
  </si>
  <si>
    <t xml:space="preserve">https://www.reddit.com/comments/1utbk0r</t>
  </si>
  <si>
    <t xml:space="preserve">Spotify UI keeps switching between the green checkmark and the radio icon after the latest update. Hi! I'm experiencing a strange issue with Spotify s</t>
  </si>
  <si>
    <t xml:space="preserve">https://www.reddit.com/comments/1utg7yd</t>
  </si>
  <si>
    <t xml:space="preserve">Discover Tile not working. On my Spotify every time I go to the discover tile to see the hub of my suggestions it just says “something went wrong”. Wh</t>
  </si>
  <si>
    <t xml:space="preserve">https://www.reddit.com/comments/1utxs9m</t>
  </si>
  <si>
    <t xml:space="preserve">looking for spotify moots!!. hii! i’m looking for more spotify moots! i listen to almost everything but i LOVE indie rock. some of my favs are mitski,</t>
  </si>
  <si>
    <t xml:space="preserve">https://www.reddit.com/comments/1uv2hry</t>
  </si>
  <si>
    <t xml:space="preserve">What on earth happened to discover weekly?. Discover weekly used to be a pretty good way to find *good* new songs, now it's just the same slowed down </t>
  </si>
  <si>
    <t xml:space="preserve">https://www.reddit.com/comments/1uv4rl3</t>
  </si>
  <si>
    <t xml:space="preserve">Random Album Listening!. Hello everyone! Over a year and a half ago, I began a project where I would listen to a different album each week, with no co</t>
  </si>
  <si>
    <t xml:space="preserve">https://www.reddit.com/comments/1uvg8gb</t>
  </si>
  <si>
    <t xml:space="preserve">discover weekly no longer playing new music. anyone else's discover weekly suddenly playing mostly music you already listen to? like not even "redisco</t>
  </si>
  <si>
    <t xml:space="preserve">https://www.reddit.com/comments/1uvxclx</t>
  </si>
  <si>
    <t xml:space="preserve">Spotify needs a way to filter out AI music.. I come across so many songs that are AI and I'm so disappointed because they legit sound awesome. But I'm</t>
  </si>
  <si>
    <t xml:space="preserve">https://www.reddit.com/comments/1uw864f</t>
  </si>
  <si>
    <t xml:space="preserve">Cauldron R&amp;B Top 10. I've been listening to a lot more independent R&amp;B lately and found some really good artists along the way. Put some of my favorit</t>
  </si>
  <si>
    <t xml:space="preserve">https://www.reddit.com/comments/1uwbejg</t>
  </si>
  <si>
    <t xml:space="preserve">Have they removed niche mixes from the search bar?. On the search bar, I used to be able to search for mixes made by Spotify such as 'Teen Pop Mix', '</t>
  </si>
  <si>
    <t xml:space="preserve">https://www.reddit.com/comments/1uweu8d</t>
  </si>
  <si>
    <t xml:space="preserve">[Help] Autoplay queue sometimes fails. Model: OnePlus 10 Pro OS version: 16.0.3 Spotify version: 9.1.64 At the end of a song it will just stop playing</t>
  </si>
  <si>
    <t xml:space="preserve">https://www.reddit.com/comments/1uwfc6q</t>
  </si>
  <si>
    <t xml:space="preserve">Spotify recommended tracks won’t refresh. I am losing my mind over this. But I made a new playlist yesterday, and no matter how many songs I added to </t>
  </si>
  <si>
    <t xml:space="preserve">https://www.reddit.com/comments/1uwfs6m</t>
  </si>
  <si>
    <t xml:space="preserve">Listening to a song twice does not constitute it being on my Repeat list. I have noticed odd, random songs showing up on my Repeat Playlist. Okay, som</t>
  </si>
  <si>
    <t xml:space="preserve">https://www.reddit.com/comments/1uws0zx</t>
  </si>
  <si>
    <t xml:space="preserve">does spotify have anything like tunefalls for personal radio?. I mainly use spotify for streaming, but I also keep a fairly large local music library.</t>
  </si>
  <si>
    <t xml:space="preserve">https://www.reddit.com/comments/1uxwpiz</t>
  </si>
  <si>
    <t xml:space="preserve">Cauldron Alternative Top 10. I've been digging through a lot of independent alternative music lately and found some artists that deserve a much bigger</t>
  </si>
  <si>
    <t xml:space="preserve">https://www.reddit.com/comments/1uy7g6u</t>
  </si>
  <si>
    <t xml:space="preserve">Who's your favorite house artist?. I'm building mixes that explore different house subgenres, old and new. Please help me get out of my algorithm loop</t>
  </si>
  <si>
    <t xml:space="preserve">https://www.reddit.com/comments/1uyddv2</t>
  </si>
  <si>
    <t xml:space="preserve">it just smart shuffles dogwater indian songs. im not even indian. its just annoying. their songs, no offense, are pure bollocks and not only that but </t>
  </si>
  <si>
    <t xml:space="preserve">https://www.reddit.com/comments/1uyhsfe</t>
  </si>
  <si>
    <t xml:space="preserve">Spotify listening to me at work. Hey so I haven't used Spotify for several months, just kind of depressed/burned out and haven't been listening to mus</t>
  </si>
  <si>
    <t xml:space="preserve">https://www.reddit.com/comments/1uyj7mu</t>
  </si>
  <si>
    <t xml:space="preserve">Unliked Spotify Songs. Does anyone know if Spotify have fixed that issue where a song gets completely removed from your liked songs list when the song</t>
  </si>
  <si>
    <t xml:space="preserve">https://www.reddit.com/comments/1uyp9h9</t>
  </si>
  <si>
    <t xml:space="preserve">Discover weekly fails. [removed]</t>
  </si>
  <si>
    <t xml:space="preserve">https://www.reddit.com/comments/1uyu9h3</t>
  </si>
  <si>
    <t xml:space="preserve">Independent artists worth discovering. I've been spending a lot of time digging through independent music and put together a playlist of some of my fa</t>
  </si>
  <si>
    <t xml:space="preserve">https://www.reddit.com/comments/1uz6tev</t>
  </si>
  <si>
    <t xml:space="preserve">blue conversations - a melancholic playlist I made for those deep, sad moods (Indie / Dream Pop / Alt). Hey everyone, I just finished putting together</t>
  </si>
  <si>
    <t xml:space="preserve">https://www.reddit.com/comments/1v0f0g8</t>
  </si>
  <si>
    <t xml:space="preserve">Through The Wire.. Thanks to the Spotify user community for helping me finish this contemporary jazz and jazz fusion playlist. Your suggestions, recom</t>
  </si>
  <si>
    <t xml:space="preserve">https://www.reddit.com/comments/1v13mgr</t>
  </si>
  <si>
    <t xml:space="preserve">My recommended shuffle is giving me music genres I am not interested in. Is there a way to reset the algorithm somehow?. Most of the music I have been</t>
  </si>
  <si>
    <t xml:space="preserve">https://www.reddit.com/comments/1v2785n</t>
  </si>
  <si>
    <t xml:space="preserve">Looking for thrash/groove/heavy/industrial metal songs recommendations. [removed]</t>
  </si>
  <si>
    <t xml:space="preserve">https://www.reddit.com/comments/1v2gjgl</t>
  </si>
  <si>
    <t xml:space="preserve">Looking music for my playlist!!!. I'm looking for some new music recommendations because I honestly don't know how to describe my music taste 😭. I mos</t>
  </si>
  <si>
    <t xml:space="preserve">https://www.reddit.com/comments/1v2q7r0</t>
  </si>
  <si>
    <t xml:space="preserve">spotify suggested song bug?. so i made a new playlist a few weeks ago and after i add my usual songs i already have in mind for it i like to check the</t>
  </si>
  <si>
    <t xml:space="preserve">https://www.reddit.com/comments/1v2qnjw</t>
  </si>
  <si>
    <t xml:space="preserve">So Spotify completely becomes unusable when you download many songs. This is less of a question but more of a way to let you know that Spotify apparen</t>
  </si>
  <si>
    <t xml:space="preserve">https://www.reddit.com/comments/1v2ttjq</t>
  </si>
  <si>
    <t xml:space="preserve">Discover Weekly stuck on one genre after losing Premium. Anyone else?. When I had Spotify Premium, my **Discover Weekly** had those genre filter butto</t>
  </si>
  <si>
    <t xml:space="preserve">https://www.reddit.com/comments/1v3kra9</t>
  </si>
  <si>
    <t xml:space="preserve">Music recommendations - want to give it a try?. Most people just sign up for a music streaming service, and the service starts making recommendations </t>
  </si>
  <si>
    <t xml:space="preserve">https://www.reddit.com/comments/1v3ostr</t>
  </si>
  <si>
    <t xml:space="preserve">Question about radio. Hello everyone, IDK if I'm bugging out or if somehow the feature got removed, but when I used to search a song and play it, it w</t>
  </si>
  <si>
    <t xml:space="preserve">https://www.reddit.com/comments/1v3ptxc</t>
  </si>
  <si>
    <t xml:space="preserve">Inviting collaborators to enhance the mixtape I made. [removed]</t>
  </si>
  <si>
    <t xml:space="preserve">https://www.reddit.com/comments/1v3sxol</t>
  </si>
  <si>
    <t xml:space="preserve">What the heck happened to Discovery Weekly???. I used to discover soooo many gems on the weekly playlist curated for my taste. But the last year or tw</t>
  </si>
  <si>
    <t xml:space="preserve">https://www.reddit.com/comments/1v6ciid</t>
  </si>
  <si>
    <t xml:space="preserve">What do you listen to when you need to let it all out?. Hi guys! Whenever I’m feeling emotionally overwhelmed, listening to nu metal, punk, rock, and </t>
  </si>
  <si>
    <t xml:space="preserve">https://www.reddit.com/comments/1v73om3</t>
  </si>
  <si>
    <t xml:space="preserve">Spotify - Time Machine (Idea). I had an idea that I think would be a really fun feature for Spotify (or any streaming service). **Imagine being able t</t>
  </si>
  <si>
    <t xml:space="preserve">https://www.reddit.com/comments/1v7g4u2</t>
  </si>
  <si>
    <t xml:space="preserve">frank ocean themed playlist. [ recently made this playlist surrounding frank ocean and similar themed songs. if you have any suggestions drop them dow</t>
  </si>
  <si>
    <t xml:space="preserve">https://www.reddit.com/comments/1v84xok</t>
  </si>
  <si>
    <t xml:space="preserve">ERRO AO ACESSAR A CONTA DO SPOTIFY NO DESKTOP. Olá, tudo bem? Me chamo Felipe Paiva. Uso o Spotify nesta conta desde 2015. A minha conta oficial do Sp</t>
  </si>
  <si>
    <t xml:space="preserve">https://www.reddit.com/comments/1v8cgh3</t>
  </si>
  <si>
    <t xml:space="preserve">Spotify is a modern BMW, but Apple Music is a classic Ford Mustang. Here's why.. I was thinking about how these two streaming services feel, and this </t>
  </si>
  <si>
    <t xml:space="preserve">https://www.reddit.com/comments/1v93j2n</t>
  </si>
  <si>
    <t xml:space="preserve">Spotify’s ad problem🫩. Yo everyday Spotify user here. I’ve been using Spotify for over 4 years now and I think that it’s a good music app with a wide </t>
  </si>
  <si>
    <t xml:space="preserve">https://www.reddit.com/comments/1v96s4s</t>
  </si>
  <si>
    <t xml:space="preserve">Viewer from Twitch Reccomended my Song?. So a weird thing happened: A viewer from my twitch was listening to Spotify and they ended up coming across m</t>
  </si>
  <si>
    <t xml:space="preserve">https://www.reddit.com/comments/1v9l0az</t>
  </si>
  <si>
    <t xml:space="preserve">Fever on the Dancefloor (mixed playlist). Hi! I've been experimenting with the mixed playlist feature, so here's "A gapless, continuous mixed playlist</t>
  </si>
  <si>
    <t xml:space="preserve">https://www.reddit.com/comments/1v9lbs2</t>
  </si>
  <si>
    <t xml:space="preserve">Playlist suggestions. Hi all, I have crested a playlist I use to help me concentrate at work and want to add to it. The theme is a little weird. I rea</t>
  </si>
  <si>
    <t xml:space="preserve">https://www.reddit.com/comments/1varffw</t>
  </si>
  <si>
    <t xml:space="preserve">songs stop playing after 3 minutes. wondering if anyone else is having this issue because i feel like a crazy person. and no, not talking about the sl</t>
  </si>
  <si>
    <t xml:space="preserve">https://www.reddit.com/comments/1vatopo</t>
  </si>
  <si>
    <t xml:space="preserve">Spotify old ui or gui. Any way to get rid of the dj and ai? Ideally id like to revert my spotify ios app to what i had like 3 years ago- getting rid o</t>
  </si>
  <si>
    <t xml:space="preserve">https://www.reddit.com/comments/1vbguyd</t>
  </si>
  <si>
    <t xml:space="preserve">Can we return to a well-organised UI?. This year, so many changes have been made to the beloved UI, and yesterday the last updates came through for me</t>
  </si>
  <si>
    <t xml:space="preserve">https://www.reddit.com/comments/1vbt0np</t>
  </si>
  <si>
    <t xml:space="preserve">If you're tired of the algorithm, give this playlist a try. I love finding artists before they blow up, so I started following a playlist where the co</t>
  </si>
  <si>
    <t xml:space="preserve">https://www.reddit.com/comments/1vbv3o4</t>
  </si>
  <si>
    <t xml:space="preserve">House Hunting Vol. 13. &amp;#x200B; Tech house, afro house, minimal techno, funky house, melodic house, idm, French house, Chicago house, disco house, Mel</t>
  </si>
  <si>
    <t xml:space="preserve">https://www.reddit.com/comments/1vbvdsx</t>
  </si>
  <si>
    <t xml:space="preserve">How to remove things from front page (urgent!). So i was trying to search for a song but instead Spotify recommended a podcast that had an interesting</t>
  </si>
  <si>
    <t xml:space="preserve">https://www.reddit.com/comments/1vc1x8v</t>
  </si>
  <si>
    <t xml:space="preserve">Downgrading iOS Spotify app to get rid of lag - Guide. **Mods, this is NOT Piracy/VPN/Account sharing! This is downloading an earlier OFFICIAL SIGNED </t>
  </si>
  <si>
    <t xml:space="preserve">https://www.reddit.com/comments/1vc3152</t>
  </si>
  <si>
    <t xml:space="preserve">Opinion about Ariana's new album "Petal". I have this album on repeat since it dropped. It's so good. I love its aesthetic. It has me ascending 💫 I fe</t>
  </si>
  <si>
    <t xml:space="preserve">https://www.reddit.com/comments/1vcif0x</t>
  </si>
  <si>
    <t xml:space="preserve">Rate My Playlist. Same as title, song recommendations are appreciated. Thanks! [</t>
  </si>
  <si>
    <t xml:space="preserve">https://www.reddit.com/comments/1vcuseo</t>
  </si>
  <si>
    <t xml:space="preserve">Rate my playlist. Also wouldn’t mind recommendations if you have similar stuff</t>
  </si>
  <si>
    <t xml:space="preserve">https://www.reddit.com/comments/1vdjeu2</t>
  </si>
  <si>
    <t xml:space="preserve">Rate my playlist. Recommendations also welcome. It’s a moody pop playlist I listen to a lottttt these days, but it’s a little hard to find new songs f</t>
  </si>
  <si>
    <t xml:space="preserve">https://www.reddit.com/comments/1vdjhsg</t>
  </si>
  <si>
    <t xml:space="preserve">Building a massive Community Playlist! Add your favorite tracks &amp; join the vibe!. Hey everyone! I’m starting a fun music project on Spotify, and I wan</t>
  </si>
  <si>
    <t xml:space="preserve">https://www.reddit.com/comments/1vdjrou</t>
  </si>
  <si>
    <t xml:space="preserve">Rate my Daily Mix playlist.</t>
  </si>
  <si>
    <t xml:space="preserve">https://www.reddit.com/comments/1ved68m</t>
  </si>
  <si>
    <t xml:space="preserve">Help me out please Apple music vs Spotify.. See the point is that, I'm literally stuck between apple music and spotify, help me out please I'm using S</t>
  </si>
  <si>
    <t xml:space="preserve">https://www.reddit.com/comments/1vef7tk</t>
  </si>
  <si>
    <t xml:space="preserve">Spotify randomly skips tracks during album playback on Android (Premium Student). Dear Reddit, hello! For some time now, I’ve been experiencing a recu</t>
  </si>
  <si>
    <t xml:space="preserve">https://www.reddit.com/comments/1vefb7c</t>
  </si>
  <si>
    <t xml:space="preserve">I HATE “MADE FOR YOU” PLAYLISTS. THIS IS EASILY THE WORST FEATURE ADDED TO SPOTIFY! Making me want to get rid of my premium. I wish there was a way to</t>
  </si>
  <si>
    <t xml:space="preserve">https://www.reddit.com/comments/1ves75h</t>
  </si>
  <si>
    <t xml:space="preserve">Looking for new Christian music? Give this playlist a listen.. I've been building playlists to help people discover independent artists, and today I'm</t>
  </si>
  <si>
    <t xml:space="preserve">https://www.reddit.com/comments/1vfeusc</t>
  </si>
  <si>
    <t xml:space="preserve">Why is Spotify repetitive. I feel like spotify's recommendations have become way too repetitive. Every time I open the app, it's the same songs I've a</t>
  </si>
  <si>
    <t xml:space="preserve">https://www.reddit.com/comments/1vfne9j</t>
  </si>
  <si>
    <t xml:space="preserve">Mix button gone on liked songs playlist. So I accidentally mixed my whole liked songs &amp; now the button has disappeared, incredibly frustrating since I</t>
  </si>
  <si>
    <t xml:space="preserve">https://www.reddit.com/comments/1vfwniv</t>
  </si>
  <si>
    <t xml:space="preserve">Is there a way to block a song without blocking the artist?. I know you can block songs by clicking that hide option but the songs can still play when</t>
  </si>
  <si>
    <t xml:space="preserve">https://www.reddit.com/comments/1vgijkn</t>
  </si>
  <si>
    <t xml:space="preserve">Looking for underrated songs with incredible production or meaningful lyrics. I'm in the mood to discover new music. I enjoy alternative, indie pop, R</t>
  </si>
  <si>
    <t xml:space="preserve">https://www.reddit.com/comments/1vgk5vo</t>
  </si>
  <si>
    <t xml:space="preserve">DJ sounds uneducated. how can i either get rid of the DJ feature or at least change the voice from some back alley loser voice to something a little m</t>
  </si>
  <si>
    <t xml:space="preserve">https://www.reddit.com/comments/1vgp4il</t>
  </si>
  <si>
    <t xml:space="preserve">The changes with Spotify this past year have been… bad. I don’t know if I like the social aspect it seems to be pushing, I spent a few months tinkerin</t>
  </si>
  <si>
    <t xml:space="preserve">https://www.reddit.com/comments/1vh4nls</t>
  </si>
  <si>
    <t xml:space="preserve">I built a Spotify client with real Liquid Glass, speed/pitch/reverb, and Connect support. Square is an unofficial Android client for Spotify Premium. </t>
  </si>
  <si>
    <t xml:space="preserve">https://www.reddit.com/comments/1vh70ak</t>
  </si>
  <si>
    <t xml:space="preserve">Independent electronic artists worth discovering. I've been listening to a lot of independent electronic music lately, and I wanted to share one playl</t>
  </si>
  <si>
    <t xml:space="preserve">https://www.reddit.com/comments/1vh9mzd</t>
  </si>
  <si>
    <t xml:space="preserve">i bookmark music reccs reels but never go back to them, so i built this. i often find banger music reccs on instagram and maybe save them as bookmarks</t>
  </si>
  <si>
    <t xml:space="preserve">https://www.reddit.com/comments/1vhagno</t>
  </si>
  <si>
    <t xml:space="preserve">Stoner metal. Let me hear your recommendations and I will add them.</t>
  </si>
  <si>
    <t xml:space="preserve">https://www.reddit.com/comments/1vhdy5e</t>
  </si>
  <si>
    <t xml:space="preserve">Between Tidal and Spotify. I am in a bit of a conundrum on what to do here. I switched from Spotify to Tidal about a year ago and I am debating whethe</t>
  </si>
  <si>
    <t xml:space="preserve">https://www.reddit.com/comments/1vi10pm</t>
  </si>
  <si>
    <t xml:space="preserve">Independent hip-hop artists worth discovering. I've been listening to a lot of independent hip-hop lately, and I wanted to share a playlist that's int</t>
  </si>
  <si>
    <t xml:space="preserve">https://www.reddit.com/comments/1vi6z37</t>
  </si>
  <si>
    <t xml:space="preserve">random songs playing ??. I have a premium subscription and I do not have smart shuffle or autoplay on. I have one single playlist that i have been lst</t>
  </si>
  <si>
    <t xml:space="preserve">https://www.reddit.com/comments/1vicuj5</t>
  </si>
  <si>
    <t xml:space="preserve">Can I play random songs from the albums in my library from this screen?. Or do I have to create a playlist or radio station or something</t>
  </si>
  <si>
    <t xml:space="preserve">https://www.reddit.com/comments/1viomkz</t>
  </si>
  <si>
    <t xml:space="preserve">Re-activated subscription after few months. Liked playlist count now has gone from 2700 songs to 2100 songs.. Any idea as to what might've happened? F</t>
  </si>
  <si>
    <t xml:space="preserve">https://www.reddit.com/comments/1viow3h</t>
  </si>
  <si>
    <t xml:space="preserve">Anybody else have this recommended songs problem??. Every time I search a song, it will play recommended songs, which is what I want. HOWEVER, if I le</t>
  </si>
  <si>
    <t xml:space="preserve">https://www.reddit.com/comments/1vj1bgl</t>
  </si>
  <si>
    <t xml:space="preserve">{{{ Playlist Spotlight: A Listening Recommendation }}} Playlist: "My Ultimate '80s Alt-Music Mix" / Total Runtime: 20 hours &amp; 6 minutes / Curated by: </t>
  </si>
  <si>
    <t xml:space="preserve">https://www.reddit.com/comments/1vj22ys</t>
  </si>
  <si>
    <t xml:space="preserve">Spotify Support/Complaint Megathread. This subreddit is mainly for SHARING PLAYLISTS. This sub was created in 2008 with the purpose of sharing music t</t>
  </si>
  <si>
    <t xml:space="preserve">https://www.reddit.com/comments/1vj8jss</t>
  </si>
  <si>
    <t xml:space="preserve">102.7 The Spice. A fantasy FM station where eclectic variety is the "spice" with tracks primarily sourced from my Discover Weekly, this playlist is an</t>
  </si>
  <si>
    <t xml:space="preserve">https://www.reddit.com/comments/1vjhxhm</t>
  </si>
  <si>
    <t xml:space="preserve">My summer playlist 2016/26. Feel free to save and leave me some recommendations (adding and removing songs)</t>
  </si>
  <si>
    <t xml:space="preserve">https://www.reddit.com/comments/1vjledf</t>
  </si>
  <si>
    <t xml:space="preserve">I made a free now-playing widget that lives in the Windows 11 taskbar — now with themes &amp; a visualizer. A few weeks ago I shared a small app I built: </t>
  </si>
  <si>
    <t xml:space="preserve">https://www.reddit.com/comments/1vkgph0</t>
  </si>
  <si>
    <t xml:space="preserve">Patchwork: 40 hours of everything | Any song suggestions to add?.</t>
  </si>
  <si>
    <t xml:space="preserve">https://www.reddit.com/comments/1vkli7l</t>
  </si>
  <si>
    <t xml:space="preserve">Annoyed rant. I truly, with a passion, hate spotify. Audio quality aside. I have used spotify since it was new. At that point i was downloading mp3's </t>
  </si>
  <si>
    <t xml:space="preserve">https://www.reddit.com/comments/1vkufp7</t>
  </si>
  <si>
    <t xml:space="preserve">need new music. MUSIC HAS BECOME SO BORING!!!! and repetitive im tired from hearing the same 100 songs every day.. i need recommendations, ill listen </t>
  </si>
  <si>
    <t xml:space="preserve">https://www.reddit.com/comments/1vld5kq</t>
  </si>
  <si>
    <t xml:space="preserve">Gen Z Spotify users (16-27) got 5-8 mins for a quick survey on AI features? (marketing and AI). Hey everyone, I'm doing my Master's dissertation on ho</t>
  </si>
  <si>
    <t xml:space="preserve">https://www.reddit.com/comments/1vlfzec</t>
  </si>
  <si>
    <t xml:space="preserve">Introducing a New Label for AI-Generated Artist Identities on Spotify. Listeners have been clear in telling us that they don’t like seeing an artist p</t>
  </si>
  <si>
    <t xml:space="preserve">https://www.reddit.com/comments/1vli3lc</t>
  </si>
  <si>
    <t xml:space="preserve">My 400+ songs "Recession Pop" playlist. Hey y'all, I've been curating this playlist about late 2000s/early 2010s pop music for a couple of months by n</t>
  </si>
  <si>
    <t xml:space="preserve">https://www.reddit.com/comments/1vlkefy</t>
  </si>
  <si>
    <t xml:space="preserve">Can I turn off the in-app screenshot detection?. This is might be a question better suited for some sort of tech sub, but I thought I'd start here. Th</t>
  </si>
  <si>
    <t xml:space="preserve">https://www.reddit.com/comments/1vlw3dp</t>
  </si>
  <si>
    <t xml:space="preserve">DJ Rant. This dude continuously plays random 80s music and spanish music even after i skip every single song. Does this “ai” never learn that maybe i </t>
  </si>
  <si>
    <t xml:space="preserve">https://www.reddit.com/comments/1vlzx00</t>
  </si>
  <si>
    <t xml:space="preserve">Musician Yutaka Hirasaka Old and Deleted EP "Hope" linked to a completely different artist and album. I found ***Yukata Hirasaka's Bright*** from a ma</t>
  </si>
  <si>
    <t xml:space="preserve">https://www.reddit.com/comments/1vmih5c</t>
  </si>
  <si>
    <t xml:space="preserve">What make the algorithm prioritize a song above others? number of plays? how many playlists it is in etc??. Hey all, been a Spotify user now for 10 ye</t>
  </si>
  <si>
    <t xml:space="preserve">https://www.reddit.com/comments/1vmm6pb</t>
  </si>
  <si>
    <t xml:space="preserve">Is there a way to give the "Automix" feature more freedom?. I'm using Automix, but it's only blending the very ends of the songs and it sounds bad. It</t>
  </si>
  <si>
    <t xml:space="preserve">https://www.reddit.com/comments/1vn1fl9</t>
  </si>
  <si>
    <t xml:space="preserve">Spotify is drawing the line on AI music. AI-generated artists are about to get a very different treatment on Spotify. Starting in September, Spotify p</t>
  </si>
  <si>
    <t xml:space="preserve">https://www.reddit.com/comments/1vn8zth</t>
  </si>
  <si>
    <t xml:space="preserve">Confused between Apple music and Spotify, help me out. So the point is that I am using Spotify from like around 6 years but I switched to Apple music,</t>
  </si>
  <si>
    <t xml:space="preserve">https://www.reddit.com/comments/1vn99ud</t>
  </si>
  <si>
    <t xml:space="preserve">BRING BACK PLAYLIST RADIO!!!!. [removed]</t>
  </si>
  <si>
    <t xml:space="preserve">https://www.reddit.com/comments/1vn9ovj</t>
  </si>
  <si>
    <t xml:space="preserve">Help me out please Apple music vs Spotify. See the point is that, I'm literally stuck between apple music and spotify, help me out please I'm using Sp</t>
  </si>
  <si>
    <t xml:space="preserve">https://www.reddit.com/comments/1vndl30</t>
  </si>
  <si>
    <t xml:space="preserve">Unnecessary AI features have been causing Spotify to be slow and unresponsive.. Ever since they started adding features such as “AI recommended search</t>
  </si>
  <si>
    <t xml:space="preserve">https://www.reddit.com/comments/1vnncbh</t>
  </si>
  <si>
    <t xml:space="preserve">nineties alt playlist. i curated a 90s playlist if anyone’s interested you can definitely check it out! if u like radiohead, jeff buckley, mazzy star,</t>
  </si>
  <si>
    <t xml:space="preserve">https://www.reddit.com/comments/1vnqa4s</t>
  </si>
  <si>
    <t xml:space="preserve">Large playlists increasingly unusable on desktop app. Hi folks - have those of you with large playlists been noticing that Spotify is increasingly una</t>
  </si>
  <si>
    <t xml:space="preserve">https://www.reddit.com/comments/1vnqfwx</t>
  </si>
  <si>
    <t xml:space="preserve">Making a playlist, looking for song recomendations. Making a playlist for songs that make me feel like I’m the mc in a movie, looking for suggestions </t>
  </si>
  <si>
    <t xml:space="preserve">https://www.reddit.com/comments/1vnzlmq</t>
  </si>
  <si>
    <t xml:space="preserve">Recommendation bs overall experience: Apple Music vs Spotify?. So the point is that on Spotify which has the best algorithm and best recommendation bu</t>
  </si>
  <si>
    <t xml:space="preserve">https://www.reddit.com/comments/1vo0i6i</t>
  </si>
  <si>
    <t xml:space="preserve">Just tell me your opinion Recommendation bs overall experience: Apple Music vs Spotify?. So the point is that on Spotify which has the best algorithm </t>
  </si>
  <si>
    <t xml:space="preserve">https://www.reddit.com/comments/1vo2m9m</t>
  </si>
  <si>
    <t xml:space="preserve">Are there any promoted tracks on “Discover Weekly”?. Hi everyone, got Spotify premium recently.. and trying to fully switch from Apple Music.. just wa</t>
  </si>
  <si>
    <t xml:space="preserve">https://www.reddit.com/comments/1vo4j1f</t>
  </si>
  <si>
    <t xml:space="preserve">Just tell me your opinion Recommendation bs overall experience: Apple Music vs Spotify??. So the point is that on Spotify which has the best algorithm</t>
  </si>
  <si>
    <t xml:space="preserve">https://www.reddit.com/comments/1voabxf</t>
  </si>
  <si>
    <t xml:space="preserve">Finding the song you Liked but you don't remember the title!. Just looking for an idea, or what works for you. Scenario: you want to find that song yo</t>
  </si>
  <si>
    <t xml:space="preserve">https://www.reddit.com/comments/1vobyze</t>
  </si>
  <si>
    <t xml:space="preserve">How do you guys discover NEW music on Spotify?. Hello, I was curious about how everyone else here finds fresh songs or podcasts on Spotify. Do you rel</t>
  </si>
  <si>
    <t xml:space="preserve">https://www.reddit.com/comments/1voedqr</t>
  </si>
  <si>
    <t xml:space="preserve">Life hack: You can use Spotify’s AI DJ feature to let you know how your Spotify Wrapped is going so far.</t>
  </si>
  <si>
    <t xml:space="preserve">https://www.reddit.com/comments/1vpdj9w</t>
  </si>
  <si>
    <t xml:space="preserve">Spotify. I've been building this playlist called Red Light Club Mix (2am) around the idea of being in a dark, red lit club at 2 in the morning. It's m</t>
  </si>
  <si>
    <t xml:space="preserve">https://www.reddit.com/comments/1vpltvt</t>
  </si>
  <si>
    <t xml:space="preserve">Did they update the way search within playlist works?. I swear when you searched within a playlist and played one of the songs it would only queue and</t>
  </si>
  <si>
    <t xml:space="preserve">https://www.reddit.com/comments/1vpvuyl</t>
  </si>
  <si>
    <t xml:space="preserve">How do you check what playlist a song has been added to?. I was recommended an album, and when I looked it up I realized a few songs had a check mark </t>
  </si>
  <si>
    <t xml:space="preserve">https://www.reddit.com/comments/1vq3i0p</t>
  </si>
  <si>
    <t xml:space="preserve">how to tell if someone's blocked me on spotify?. say I had a playlist where we were both collaboraters, but when I click their name it's no longer the</t>
  </si>
  <si>
    <t xml:space="preserve">https://www.reddit.com/comments/1vq4fan</t>
  </si>
  <si>
    <t xml:space="preserve">Late Night Bollywood Playlist. A collection of Bollywood songs for late night listening. I am looking for suggestions to improve the playlist. Which s</t>
  </si>
  <si>
    <t xml:space="preserve">https://www.reddit.com/comments/1vq4qc2</t>
  </si>
  <si>
    <t xml:space="preserve">Looking for music recs that fit this all over the place playlist. [removed]</t>
  </si>
  <si>
    <t xml:space="preserve">https://www.reddit.com/comments/1vqar41</t>
  </si>
  <si>
    <t xml:space="preserve">I brought Toastify back to life — Toastify Reloaded, a modern Windows companion for Spotify. **Some of you may remember Toastify, the lightweight Wind</t>
  </si>
  <si>
    <t xml:space="preserve">https://www.reddit.com/comments/1vqknc3</t>
  </si>
  <si>
    <t xml:space="preserve">Spotify playing random songs that dont appear in recently played. Recently i was suspecting a security incident on my phone and just as i was chaning </t>
  </si>
  <si>
    <t xml:space="preserve">https://www.reddit.com/comments/1vqtcf5</t>
  </si>
  <si>
    <t xml:space="preserve">Discover weekly. Anyone's discover weekly has gotten any better over the the last couple of months? Banger after banger!</t>
  </si>
  <si>
    <t xml:space="preserve">https://www.reddit.com/comments/1vr2rb2</t>
  </si>
  <si>
    <t xml:space="preserve">Songs that have been with me since 2019. I started this back in my first year of college in 2019, and I've been adding to it ever since. At this point</t>
  </si>
  <si>
    <t xml:space="preserve">https://www.reddit.com/comments/1vrm6qf</t>
  </si>
  <si>
    <t xml:space="preserve">Not so smart shuffle?. I don’t know if anyone else is experiencing this but my smart shuffle keeps trying to force the same few songs on me even after</t>
  </si>
  <si>
    <t xml:space="preserve">https://www.reddit.com/comments/1vrmjlr</t>
  </si>
  <si>
    <t xml:space="preserve">Replacement for Spotlistr. It looks like Spotlistr has started to charge to convert a textbox to a playlist. I've been using this service for many yea</t>
  </si>
  <si>
    <t xml:space="preserve">https://www.reddit.com/comments/1vrqlhk</t>
  </si>
  <si>
    <t xml:space="preserve">Trying to grow a song from zero. I started releasing music a little under two months ago and have basically been treating the whole thing like an expe</t>
  </si>
  <si>
    <t xml:space="preserve">https://www.reddit.com/comments/1vrstp7</t>
  </si>
  <si>
    <t xml:space="preserve">Tips for reorganizing. I never moved beyond the iTunes phase of having a giant library of music. For years I’ve added songs and albums to my liked son</t>
  </si>
  <si>
    <t xml:space="preserve">https://www.reddit.com/comments/1vrtxly</t>
  </si>
  <si>
    <t xml:space="preserve">My daylist is giving music that I never listened to. I normally listen to Visual Kei artists like Buck-Tick with a tiny bit of Die Ärzte \&gt;this happen</t>
  </si>
  <si>
    <t xml:space="preserve">https://www.reddit.com/comments/1vs66et</t>
  </si>
  <si>
    <t xml:space="preserve">how to stop spotify from showing me asmr suggestions. i once searched for asmr and now i am constnalty having it as suggestions on my home page and se</t>
  </si>
  <si>
    <t xml:space="preserve">https://www.reddit.com/comments/1vsnq9b</t>
  </si>
  <si>
    <t xml:space="preserve">Help me figure out Spotify, coming from Pandora. I have been an avid Pandora user ever since it launched. I love Pandora. I love that I can have an un</t>
  </si>
  <si>
    <t xml:space="preserve">https://www.reddit.com/comments/1vstqpv</t>
  </si>
  <si>
    <t xml:space="preserve">Car bluetooth (Ford SYNC) causes my Spotify to only repeat. Hi! I have a 2016 Ford Fusion. When I connect my Spotify to SYNC with my phone, it automat</t>
  </si>
  <si>
    <t xml:space="preserve">https://www.reddit.com/comments/1vsu44k</t>
  </si>
  <si>
    <t xml:space="preserve">Why did we remove the ability to just "hit the DJ button" on mobile?. DJ now requires you to basically tell it what to play, which defeats the purpose</t>
  </si>
  <si>
    <t xml:space="preserve">https://www.reddit.com/comments/1vsxqml</t>
  </si>
  <si>
    <t xml:space="preserve">Tentei migrar para o Apple Music de coração aberto, mas voltei correndo pro Spotify. Minha experiência.. Com tanta gente elogiando o Apple Music (áudi</t>
  </si>
  <si>
    <t xml:space="preserve">https://www.reddit.com/comments/1vt1jsh</t>
  </si>
  <si>
    <t xml:space="preserve">Why can't I listen to anything other than recommended songs now?!. Yes, I'm on the free tier, I don't pay for it. But for the past week if I'm playing</t>
  </si>
  <si>
    <t xml:space="preserve">https://www.reddit.com/comments/1vtc2s1</t>
  </si>
  <si>
    <t xml:space="preserve">Spotify account seemingly compromised despite changing password. This is a problem that has happened to me several times, and I’m running out of ideas</t>
  </si>
  <si>
    <t xml:space="preserve">https://www.reddit.com/comments/1vtesl5</t>
  </si>
  <si>
    <t xml:space="preserve">Spotify autoplayed ‘I Eat My Boyfriend’s Poop And Pee’ on my Android Auto screen infront of workmates after listening to NPR — why can’t I block a pod</t>
  </si>
  <si>
    <t xml:space="preserve">https://www.reddit.com/comments/1vtkgtx</t>
  </si>
  <si>
    <t xml:space="preserve">Question about mixing. How do I remove a song in a playlist to try out the mixing? Can I build my own playlist to mix or are the mixable playlists suc</t>
  </si>
  <si>
    <t xml:space="preserve">https://www.reddit.com/comments/1vtv660</t>
  </si>
  <si>
    <t xml:space="preserve">Discover Weekly x Release Radar. [removed]</t>
  </si>
  <si>
    <t xml:space="preserve">https://www.reddit.com/comments/1vu4n2s</t>
  </si>
  <si>
    <t xml:space="preserve">Suddenly unusable. I wanted to explore more albums from people I only have one or two songs saved of, why can’t I look at artist profiles or play song</t>
  </si>
  <si>
    <t xml:space="preserve">https://www.reddit.com/comments/1vu5rx8</t>
  </si>
  <si>
    <t xml:space="preserve">Daylist now lets you pick from multiple mixes whenever it updates. Idk if this has already been reported but this is my first time noticing it. Instea</t>
  </si>
  <si>
    <t xml:space="preserve">https://www.reddit.com/comments/1vu70g1</t>
  </si>
  <si>
    <t xml:space="preserve">Encountered the 'Can't Play Current Song' and this could be the Reason. I've been encounter the 'Can't Play Current Song' error since the last updated</t>
  </si>
  <si>
    <t xml:space="preserve">https://www.reddit.com/comments/1vu8ib7</t>
  </si>
  <si>
    <t xml:space="preserve">Bug where i cannot add any songs to playlists.. On my desktop is 100% fine. But the past 6 months it has been going on like this. I have to add its 6 </t>
  </si>
  <si>
    <t xml:space="preserve">https://www.reddit.com/comments/1vucrr1</t>
  </si>
  <si>
    <t xml:space="preserve">Confused between Apple music and Spotify. Help me out. The point is that I am using spotify from last 6 or 7 years and recommendation and algorithm is</t>
  </si>
  <si>
    <t xml:space="preserve">https://www.reddit.com/comments/1vuk6p6</t>
  </si>
  <si>
    <t xml:space="preserve">What's the point of creating a 78 hour long playlist of music when it now only plays songs NOT on the playlist with smart shuffling?. I got in my car </t>
  </si>
  <si>
    <t xml:space="preserve">https://www.reddit.com/comments/1vv0917</t>
  </si>
  <si>
    <t xml:space="preserve">preciso de recomendações. Can anyone recommend albums that feel dramatic, orchestral, cinematic, and emotionally intense? Some songs that give me that</t>
  </si>
  <si>
    <t xml:space="preserve">https://www.reddit.com/comments/1vvbmi1</t>
  </si>
  <si>
    <t xml:space="preserve">Spotify vs Apple Music. I've been using Spotify for more than 4 years and recently switched to Apple Music Student to try it out. I'm a student until </t>
  </si>
  <si>
    <t xml:space="preserve">https://www.reddit.com/comments/1vw1qle</t>
  </si>
  <si>
    <t xml:space="preserve">Lumière / candle music request. Howdy, I use this playlist when I light candles or incense in my house. It has some contemporary classical, experiment</t>
  </si>
  <si>
    <t xml:space="preserve">https://www.reddit.com/comments/1vw63bg</t>
  </si>
  <si>
    <t xml:space="preserve">[Rock] 2008 Billboard Mainstream Rock. This playlist contains every song that peaked in 2008 on the Billboard Mainstream Rock chart. They are in order</t>
  </si>
  <si>
    <t xml:space="preserve">https://www.reddit.com/comments/1vwdsuh</t>
  </si>
  <si>
    <t xml:space="preserve">90s 2000s and new-retro looking for suggestions too. Check it out its a vibe for sure</t>
  </si>
  <si>
    <t xml:space="preserve">https://www.reddit.com/comments/1vwpnr9</t>
  </si>
  <si>
    <t xml:space="preserve">My release radar is empty. I have a premium subscription. My release radar list is still there, but it's empty. No artists or nothing. It's like that </t>
  </si>
  <si>
    <t xml:space="preserve">https://www.reddit.com/comments/1vxelqz</t>
  </si>
  <si>
    <t xml:space="preserve">Discover weekly algorithm sucks, but ‘playing recommended songs’ seems to be great. I don’t get it. In the past two years my discover weekly playlist </t>
  </si>
  <si>
    <t xml:space="preserve">https://www.reddit.com/comments/1vxh0wl</t>
  </si>
  <si>
    <t xml:space="preserve">What could be causing my "Recommended Songs" function to go haywire? All I want to do is bring Jerry Garcia and friends to Olympic National Park with </t>
  </si>
  <si>
    <t xml:space="preserve">https://www.reddit.com/comments/1vyccpa</t>
  </si>
  <si>
    <t xml:space="preserve">5 completely different songs that I was searching for came up under ONE search?. I was watching an Instagram reel and this lady was giving music recom</t>
  </si>
  <si>
    <t xml:space="preserve">https://www.reddit.com/comments/1vyfw9c</t>
  </si>
  <si>
    <t xml:space="preserve">Songs about being the recipient of unrequited love. So as the title suggests I'm looking for songs about unrequited love. However, I want one from the</t>
  </si>
  <si>
    <t xml:space="preserve">https://www.reddit.com/comments/1vyt8n0</t>
  </si>
  <si>
    <t xml:space="preserve">Does anyone know how to have the DJ refresh?. It seems that the DJ takes forever to update its playlist for me.</t>
  </si>
  <si>
    <t xml:space="preserve">https://www.reddit.com/comments/1vz5ags</t>
  </si>
  <si>
    <t xml:space="preserve">Thanks for the suggestions Spotify.</t>
  </si>
  <si>
    <t xml:space="preserve">https://www.reddit.com/comments/1vza086</t>
  </si>
  <si>
    <t xml:space="preserve">Spotify shuffle algorithm sucks. lets say I just added several songs to the playlist, and spotify shuffle will just play all of them. And sometimes le</t>
  </si>
  <si>
    <t xml:space="preserve">https://www.reddit.com/comments/1vzc17p</t>
  </si>
  <si>
    <t xml:space="preserve">Emo playlist (feel free to leave suggestions and advice in the comments).</t>
  </si>
  <si>
    <t xml:space="preserve">https://www.reddit.com/comments/1vzcptz</t>
  </si>
  <si>
    <t xml:space="preserve">Is there a way to get Spotify to stop suggesting me videos?. I'm a premium user. I've looked in settings, I've clicked "not interested" in every singl</t>
  </si>
  <si>
    <t xml:space="preserve">https://www.reddit.com/comments/1vzlyw8</t>
  </si>
  <si>
    <t xml:space="preserve">Smart shuffle turning itself on??. I've only noticed it on one of my playlists so far but I've noticed Spotify turning smart shuffle on by default and</t>
  </si>
  <si>
    <t xml:space="preserve">https://www.reddit.com/comments/1vznj7y</t>
  </si>
  <si>
    <t xml:space="preserve">Playlist names suggestions. [removed]</t>
  </si>
  <si>
    <t xml:space="preserve">https://www.reddit.com/comments/1w0ot0o</t>
  </si>
  <si>
    <t xml:space="preserve">Is there ANY music platform that doesn’t use AI?. I don’t know if this is the right place to post this, but Spotify has been consistently pushing out </t>
  </si>
  <si>
    <t xml:space="preserve">https://www.reddit.com/comments/1w0sfof</t>
  </si>
  <si>
    <t xml:space="preserve">Are you a small artist? Recommend me one of your songs!. I really enjoy discovering new music and I know a lot of good artists must be lurking here, s</t>
  </si>
  <si>
    <t xml:space="preserve">https://www.reddit.com/comments/1w110ij</t>
  </si>
  <si>
    <t xml:space="preserve">You have to pay to PICK a song?. I am completely stunned, like this isn’t just a minor change, does this not make the app literally unusable?? I actua</t>
  </si>
  <si>
    <t xml:space="preserve">https://www.reddit.com/comments/1w1a7b9</t>
  </si>
  <si>
    <t xml:space="preserve">A 90s 2000s and retro-sounding list perfectly curated and balanced you don’t wanna miss out. Genuinely such a vibe check it out if you like this music</t>
  </si>
  <si>
    <t xml:space="preserve">https://www.reddit.com/comments/1w1sman</t>
  </si>
  <si>
    <t xml:space="preserve">Why is my smart shuffle different from PC and Mobile??. When i'm driving I turn on smart shuffle to listen to some new music. Sometimes it plays 2 or </t>
  </si>
  <si>
    <t xml:space="preserve">https://www.reddit.com/comments/1w1v1ev</t>
  </si>
  <si>
    <t xml:space="preserve">Why I Prefer Spotify. I used to use Apple Music, but for me, Spotify is definitely the better choice. The biggest difference is the algorithm. With Ap</t>
  </si>
  <si>
    <t xml:space="preserve">https://www.reddit.com/comments/1w1wvow</t>
  </si>
  <si>
    <t xml:space="preserve">The big Swedish music app is still the superior music app. Credit where it’s due: Apple Music does some things extremely well. Lossless and Atmos are </t>
  </si>
  <si>
    <t xml:space="preserve">https://www.reddit.com/comments/1w216ae</t>
  </si>
  <si>
    <t xml:space="preserve">If you could add 5 features to Spotify, what would they be?. Mine in no specific order • ability to rearrange albums in the library - I’m very particu</t>
  </si>
  <si>
    <t xml:space="preserve">https://www.reddit.com/comments/1w22l92</t>
  </si>
  <si>
    <t xml:space="preserve">Please bring the old DJ back. They are doing way too much to the DJ. Ever since I updated it never plays anything like it used to and the recommendati</t>
  </si>
  <si>
    <t xml:space="preserve">https://www.reddit.com/comments/1w2683c</t>
  </si>
  <si>
    <t xml:space="preserve">Pickleball. Today my Spotify algorithm suddenly thinks that I need to have Pickleball mentioned in my Daylist playlists. It’s happened in a couple of </t>
  </si>
  <si>
    <t xml:space="preserve">https://www.reddit.com/comments/1w2x1lg</t>
  </si>
  <si>
    <t xml:space="preserve">Got any African Deep House / Garage House music you can share?. I’m back in Cape Town, South Africa and am looking to add to my growing playlist. I ha</t>
  </si>
  <si>
    <t xml:space="preserve">https://www.reddit.com/comments/1w3ns9g</t>
  </si>
  <si>
    <t xml:space="preserve">Dolly Parton Tribute via DJ X. Not sure if anyone has come across it yet, but DJ X had a long and beautiful tribute message to Dolly Parton that made </t>
  </si>
  <si>
    <t xml:space="preserve">https://www.reddit.com/comments/1w43cht</t>
  </si>
  <si>
    <t xml:space="preserve">Anyone else find the AI DJ's voice irritating?. Was it designed to be unpalatable - everything about, the tone, accent, pacing. Is there a way to chan</t>
  </si>
  <si>
    <t xml:space="preserve">https://www.reddit.com/comments/1w4qmbz</t>
  </si>
  <si>
    <t xml:space="preserve">Has Spotify DJ been changed for all users to use?. [removed]</t>
  </si>
  <si>
    <t xml:space="preserve">https://www.reddit.com/comments/1w5k90b</t>
  </si>
  <si>
    <t xml:space="preserve">Bad Uncle: Seamless African Multi-Genre Playlist (100 - 240BPM, 77 Custom-Transitions). Bad Uncle is a seamless African/South-African multi-genre play</t>
  </si>
  <si>
    <t xml:space="preserve">https://www.reddit.com/comments/1w65jiu</t>
  </si>
  <si>
    <t xml:space="preserve">New release from the Bee Gees apparently. Listening to the release radar playlist and was very confused when this came on</t>
  </si>
  <si>
    <t xml:space="preserve">https://www.reddit.com/comments/1w6w80h</t>
  </si>
  <si>
    <t xml:space="preserve">Switched back after a long time and discovered so many new songs on day one. I recently jumped on a one-year promo offer for Spotify, figured I’d give</t>
  </si>
  <si>
    <t xml:space="preserve">https://www.reddit.com/comments/1w7an6j</t>
  </si>
  <si>
    <t xml:space="preserve">A better New Music Friday. A Release Radar that's full of new artists for you.... 200+ new releases. More than 96% independent artists. 3 Release Rada</t>
  </si>
  <si>
    <t xml:space="preserve">https://www.reddit.com/comments/1w8aw38</t>
  </si>
  <si>
    <t xml:space="preserve">2026 Mega Mix - Organic - Progressive - Melodic. I’ve been mixing this throughout the year. It starts on the warmer/organic side of house, moves into </t>
  </si>
  <si>
    <t xml:space="preserve">https://www.reddit.com/comments/1w93f0e</t>
  </si>
  <si>
    <t xml:space="preserve">Song suggestions for my playlist. I want to add more Sons to this playlist, pls suggest songs which have a similar vibe (a sort of happy-sad vibe )</t>
  </si>
  <si>
    <t xml:space="preserve">https://www.reddit.com/comments/1w9x10i</t>
  </si>
  <si>
    <t xml:space="preserve">Smart shuffle. So recently my spotify premium ended and I wanna turn smart shuffle on I'm not sure if it's only for premium but I'm just looking for m</t>
  </si>
  <si>
    <t xml:space="preserve">https://www.reddit.com/comments/1wag5yc</t>
  </si>
  <si>
    <t xml:space="preserve">Recommend me Songs that feel Yellow. I'm am doing a series of playlist based on songs that feel a certain and I am going to start with Yellow 💛. So re</t>
  </si>
  <si>
    <t xml:space="preserve">https://www.reddit.com/comments/1wahyh0</t>
  </si>
  <si>
    <t xml:space="preserve">Am I just old or is this layout intolerable?. I feel like every time I open up Spotify. It's more videos and podcasts when I just want. Is there a way</t>
  </si>
  <si>
    <t xml:space="preserve">https://www.reddit.com/comments/1wam8ie</t>
  </si>
  <si>
    <t xml:space="preserve">Can someone tell me what this is. Ok so I might be dumb af for asking this but I just noticed this in my on repeat and I don't exactly know what its f</t>
  </si>
  <si>
    <t xml:space="preserve">https://www.reddit.com/comments/1wbc823</t>
  </si>
  <si>
    <t xml:space="preserve">Data from AI DJ?. Has anybody got any good data from querying the spotify dj? For example, the listener percentage stats. The AI DJ will tell you your</t>
  </si>
  <si>
    <t xml:space="preserve">https://www.reddit.com/comments/1wbcall</t>
  </si>
  <si>
    <t xml:space="preserve">https://www.reddit.com/comments/1wbdv68</t>
  </si>
  <si>
    <t xml:space="preserve">Middle school (6-8 grade) dance song recommendations?. I’m in charge of the middle school dance music this year, and I have several songs already, but</t>
  </si>
  <si>
    <t xml:space="preserve">https://www.reddit.com/comments/1wcqsqc</t>
  </si>
  <si>
    <t xml:space="preserve">I live in the US specifically in Pennsylvania and just renewed my premium and now I can't access my AI DJ!!! And no I don't use a VPN!!.</t>
  </si>
  <si>
    <t xml:space="preserve">https://www.reddit.com/comments/1wdfdb3</t>
  </si>
  <si>
    <t xml:space="preserve">Your Mandopop / Cpop bangers?. Hello beautiful people! Can you share your favorite Mandopop or C-pop bangers? Lately i have been studying Chinese agai</t>
  </si>
  <si>
    <t xml:space="preserve">https://www.reddit.com/comments/1wdugan</t>
  </si>
  <si>
    <t xml:space="preserve">Never letting dj x pick again ✌️🫩💔.</t>
  </si>
  <si>
    <t xml:space="preserve">https://www.reddit.com/comments/1wdy86e</t>
  </si>
  <si>
    <t xml:space="preserve">Is it just me or are free users getting limited to 16 songs in every playlist?. I just opened Spotify today only to find out that i have recommended s</t>
  </si>
  <si>
    <t xml:space="preserve">https://www.reddit.com/comments/1wegfu9</t>
  </si>
  <si>
    <t xml:space="preserve">A better New Music Friday. A Release Radar that's full of new artists for you.... Contains mostly independent artists. My genuine Release Radar, tuned</t>
  </si>
  <si>
    <t xml:space="preserve">https://www.reddit.com/comments/1wej1fi</t>
  </si>
  <si>
    <t xml:space="preserve">Are there bands/songs that you want me to check out based on this playlist? I'm old and slowing down, looking for acoustic now.. These songs hit me ha</t>
  </si>
  <si>
    <t xml:space="preserve">https://www.reddit.com/comments/1wet59h</t>
  </si>
  <si>
    <t xml:space="preserve">Recommend me songs that feel like the color Blue /without blue in title pls /. Hey Y'all, it's time for part 4 to My series of playlists of "Songs tha</t>
  </si>
  <si>
    <t xml:space="preserve">https://www.reddit.com/comments/1weuf3p</t>
  </si>
  <si>
    <t xml:space="preserve">dj x simply cannot pronounce xxxtentacion. This is almost a meme at this point, but I wonder if anyone else has noticed that dj x pronounces xxxtentac</t>
  </si>
  <si>
    <t xml:space="preserve">https://www.reddit.com/comments/1wfep53</t>
  </si>
  <si>
    <t xml:space="preserve">First song of the queue starts playing again after the queue ends. I've search for this on Google and Reddit multiple times but I've never seen anyone</t>
  </si>
  <si>
    <t xml:space="preserve">https://www.reddit.com/comments/1wfh35v</t>
  </si>
  <si>
    <t xml:space="preserve">Has the issue ever actually been resolved?. So for the longest time I thought the queue replay was only an issue on the phone (where you know you star</t>
  </si>
  <si>
    <t xml:space="preserve">https://www.reddit.com/comments/1wfld5u</t>
  </si>
  <si>
    <t xml:space="preserve">What setting is it to turn off these autoplay videos in the home feed?. Last time I asked, I was told “look in the settings” Yes, okay, which setting?</t>
  </si>
  <si>
    <t xml:space="preserve">https://www.reddit.com/comments/1wfu7sh</t>
  </si>
  <si>
    <t xml:space="preserve">Anyone's smart shuffle not working?. Hi all, I usually play music with smart shuffle on so I can add songs I've never heard of I like them but the las</t>
  </si>
  <si>
    <t xml:space="preserve">https://www.reddit.com/comments/1wgbhz2</t>
  </si>
  <si>
    <t xml:space="preserve">New recommendation section in Now Playing. In my opinion, best recommendation feature they’ve added in a while since it’s actually pushes albums and a</t>
  </si>
  <si>
    <t xml:space="preserve">https://www.reddit.com/comments/1wgm647</t>
  </si>
  <si>
    <t xml:space="preserve">Recommend me Songs that feel like the color pink (without pink in the title pls). Hi everyone 👋🏻, It's time again for another part of my series of pla</t>
  </si>
  <si>
    <t xml:space="preserve">https://www.reddit.com/comments/1wgnue2</t>
  </si>
  <si>
    <t xml:space="preserve">It's so bad even discover weekly has given up. The app is now so unreliable and barely functional that it's own discover weekly isn't even working.</t>
  </si>
  <si>
    <t xml:space="preserve">https://www.reddit.com/comments/1wgznln</t>
  </si>
  <si>
    <t xml:space="preserve">First mixed playlist. Hi! I made my first mixed playlist a little while ago and would like to have people’s opinions/criticism. I like to add differen</t>
  </si>
  <si>
    <t xml:space="preserve">https://www.reddit.com/comments/1whvjwc</t>
  </si>
  <si>
    <t xml:space="preserve">6 months of using Apple Music after 12 years of Spotify (blame AI). After noticing one too many crappy ai features in Spotify and the increase of of A</t>
  </si>
  <si>
    <t xml:space="preserve">https://www.reddit.com/comments/1wi1xlk</t>
  </si>
  <si>
    <t xml:space="preserve">help with blocking feature!!. recently, i blocked an ex on spotify. however, a few hours later, i got a notification that he followed me... im not sur</t>
  </si>
  <si>
    <t xml:space="preserve">https://www.reddit.com/comments/1wihnvp</t>
  </si>
  <si>
    <t xml:space="preserve">Slow AF.. Thoughts?. Been a Spotify pro account for 10+ years, so much love over the years… Why TF is it so slow now? I feel like it takes sometimes 1</t>
  </si>
  <si>
    <t xml:space="preserve">https://www.reddit.com/comments/1wikbxk</t>
  </si>
  <si>
    <t xml:space="preserve">About my personal DJ. I asked the DJ to play the most recent liked songs and similar songs and vibes to those, and it just kept playing bossa nova and</t>
  </si>
  <si>
    <t xml:space="preserve">https://www.reddit.com/comments/1wj9x3f</t>
  </si>
  <si>
    <t xml:space="preserve">Loop One plays ads now. I'm not sure why I'm having to dig through the bowels of the internet to find anything remotely mentioning this (I can't post </t>
  </si>
  <si>
    <t xml:space="preserve">https://www.reddit.com/comments/1wjy42f</t>
  </si>
  <si>
    <t xml:space="preserve">Looking for “shows” like Sound Radio by Alex Delaney. [removed]</t>
  </si>
  <si>
    <t xml:space="preserve">https://www.reddit.com/comments/1wkgknh</t>
  </si>
  <si>
    <t xml:space="preserve">Recommended songs broken?. self explanatory, watch the video</t>
  </si>
  <si>
    <t xml:space="preserve">https://www.reddit.com/comments/1wkwlom</t>
  </si>
  <si>
    <t xml:space="preserve">Recommend me songs that feel like the color Beige. Hello Guys , gals and pals 👋🏻. I'm sorry I didn't post yesterday, I honestly have been pretty tired</t>
  </si>
  <si>
    <t xml:space="preserve">https://www.reddit.com/comments/1wl3o9y</t>
  </si>
  <si>
    <t xml:space="preserve">PLEASE..Recommend some chill soothing Spotify playlists. Got bored of the songs in my playlist, need some goated music, something chill, not much over</t>
  </si>
  <si>
    <t xml:space="preserve">https://www.reddit.com/comments/1wlan1t</t>
  </si>
  <si>
    <t xml:space="preserve">Weekly Rotation (Updated Weekly). Playlist I update each week of 10 songs that fit the vibe I’m feeling for the week or have had on repeat Enjoy! Feel</t>
  </si>
  <si>
    <t xml:space="preserve">https://www.reddit.com/comments/1wmez58</t>
  </si>
  <si>
    <t xml:space="preserve">Video song recommendations for playlist. Has anyone seen the video slideshow where there are songs for a playlist like when u go to a playlist there i</t>
  </si>
  <si>
    <t xml:space="preserve">https://www.reddit.com/comments/1wmlo8r</t>
  </si>
  <si>
    <t xml:space="preserve">Spinnin' Some Tunes!. The radio station in my mind! 📻 Featuring the best up and coming new artists with a sequence of 3 exceptional new tracks, then a</t>
  </si>
  <si>
    <t xml:space="preserve">https://www.reddit.com/comments/1wnik8z</t>
  </si>
  <si>
    <t xml:space="preserve">DJ X is possibly the least appealing feature I've ever seen on any platform. Some days its ok if I just want to put something on but I have to skip a </t>
  </si>
  <si>
    <t xml:space="preserve">https://www.reddit.com/comments/1wntpnd</t>
  </si>
  <si>
    <t xml:space="preserve">Could you make a fake "radio" playlist on Spotify with comedy interludes?. I think it's mad that you can't set up a Spotify radio station, it would be</t>
  </si>
  <si>
    <t xml:space="preserve">https://www.reddit.com/comments/1wnxy3v</t>
  </si>
  <si>
    <t xml:space="preserve">A alguien le ha desaparecido de golpe Spotify Radio, Autoplay y recomendaciones?. Hola! Quería saber si a algún artista o sello le ha ocurrido algo pa</t>
  </si>
  <si>
    <t xml:space="preserve">https://www.reddit.com/comments/1wo38g3</t>
  </si>
  <si>
    <t xml:space="preserve">https://www.reddit.com/comments/1wo39jd</t>
  </si>
  <si>
    <t xml:space="preserve">Daylist has been same genre for days. Hey all, Let me lead by saying I really enjoy the daylist changing every few hours. It's one of the few features</t>
  </si>
  <si>
    <t xml:space="preserve">https://www.reddit.com/comments/1wo9ef9</t>
  </si>
  <si>
    <t xml:space="preserve">Recommend me songs that feel like the color white /without the color white in the title pls/. Hello Y'all 🤗 Once again sorry for not posting in a whil</t>
  </si>
  <si>
    <t xml:space="preserve">https://www.reddit.com/comments/1wohax2</t>
  </si>
  <si>
    <t xml:space="preserve">Any suggestions to add?. If you know any other songs that talk about kissing someone’s neck and turning purple or simply the world being purple lmk👍</t>
  </si>
  <si>
    <t xml:space="preserve">https://www.reddit.com/comments/1woker8</t>
  </si>
  <si>
    <t xml:space="preserve">Lift Heavy Metal - looking for suggestions. Putting a new heavy metal playlist together for the gym but I want it to be mostly 'traditional' heavy met</t>
  </si>
  <si>
    <t xml:space="preserve">https://www.reddit.com/comments/1wolx2u</t>
  </si>
  <si>
    <t xml:space="preserve">Song &amp; Artist Recommendations for my playlist?. I have a playlist that I love and is my common playlist I throw on daily. It consists of so many songs</t>
  </si>
  <si>
    <t xml:space="preserve">https://www.reddit.com/comments/1wqgqrm</t>
  </si>
  <si>
    <t xml:space="preserve">Spent a while making a Frutiger Aero inspired playlist mostly focusing on breaks!. Would love any cool recommendations if you have some!</t>
  </si>
  <si>
    <t xml:space="preserve">https://www.reddit.com/comments/1wqmgdo</t>
  </si>
  <si>
    <t xml:space="preserve">If you don't like your Release Radar... do you wanna new one. A sample of fresh releases from 10,000 artists I follow. Find out which tracks are being</t>
  </si>
  <si>
    <t xml:space="preserve">https://www.reddit.com/comments/1wqwswf</t>
  </si>
  <si>
    <t xml:space="preserve">Need specific breakup song recommendations. This is my way of coping so does anyone have song suggestions about first-time breakups and you having to </t>
  </si>
  <si>
    <t xml:space="preserve">https://www.reddit.com/comments/1wree7e</t>
  </si>
  <si>
    <t xml:space="preserve">Looking for a playlist organiser. Hi all. I hope you can help me. I use Spotify and am looking for a PC app to organise my playlists. I add a mixture </t>
  </si>
  <si>
    <t xml:space="preserve">https://www.reddit.com/comments/1wri4p9</t>
  </si>
  <si>
    <t xml:space="preserve">How do you steer algorithm into the right direction?. [removed]</t>
  </si>
  <si>
    <t xml:space="preserve">https://www.reddit.com/comments/1ws8frq</t>
  </si>
  <si>
    <t xml:space="preserve">spotify DJ sucks so much. im tired of hearing the same damn 100 songs every fucking time i click DJ. i prompt him? STILL SHIT IVE LISTENED TO over &amp; o</t>
  </si>
  <si>
    <t xml:space="preserve">https://www.reddit.com/comments/1wssr4n</t>
  </si>
  <si>
    <t xml:space="preserve">Spotify is up again. Proof, DJ X is working + Lyrics loaded. Amazing!</t>
  </si>
  <si>
    <t xml:space="preserve">https://www.reddit.com/comments/1wtgra5</t>
  </si>
  <si>
    <t xml:space="preserve">My release radar is cooler than yours. Deal with it kid.</t>
  </si>
  <si>
    <t xml:space="preserve">https://www.reddit.com/comments/1wu4mhp</t>
  </si>
  <si>
    <t xml:space="preserve">Auto-generated playlist recommendations. [removed]</t>
  </si>
  <si>
    <t xml:space="preserve">https://www.reddit.com/comments/1wuayki</t>
  </si>
  <si>
    <t xml:space="preserve">Alternative Rap &amp; Hip Hop playlist. always taking suggestions to add songs 🙏🏼🙏🏼 Would love to hear your thoughts if you have the chance to give it a l</t>
  </si>
  <si>
    <t xml:space="preserve">https://www.reddit.com/comments/1wujvfi</t>
  </si>
  <si>
    <t xml:space="preserve">looking for some more indie folk artists!!. i'm really enjoying artists like the Something Specials, Willie J. Healy, curiosity shop, and the classic,</t>
  </si>
  <si>
    <t xml:space="preserve">https://www.reddit.com/comments/1wulsq2</t>
  </si>
  <si>
    <t xml:space="preserve">Spotify will no longer play recommended songs after my playlist is over?. In the past when I would finish a playlist it would start recommended songs </t>
  </si>
  <si>
    <t xml:space="preserve">https://www.reddit.com/comments/1wulwo9</t>
  </si>
  <si>
    <t xml:space="preserve">Spotify is seriously making Premium trials harder and harder to abuse.... &amp;#x200B; So guys, I’m a Spotify user and, as someone who likes testing thing</t>
  </si>
  <si>
    <t xml:space="preserve">https://www.reddit.com/comments/1wuw9se</t>
  </si>
  <si>
    <t xml:space="preserve">Is there a way to forever banish covers from recommended songs?. It truly irks me that many of my discover weekly tracks are covers by artists I've ne</t>
  </si>
  <si>
    <t xml:space="preserve">https://www.reddit.com/comments/1wv0cpc</t>
  </si>
  <si>
    <t xml:space="preserve">Hexes &amp; Howls- Happy Halloween. Happy Halloween!!!! Built a playlist for full moons, hexes, and midnight howling (Season of the Witch: Hexes &amp; Howls) </t>
  </si>
  <si>
    <t xml:space="preserve">https://www.reddit.com/comments/1wvckq1</t>
  </si>
  <si>
    <t xml:space="preserve">I made a 6+ hour Halloween playlist for spooky season. October is officially here, so I’ve been putting together a Halloween playlist that actually fe</t>
  </si>
  <si>
    <t xml:space="preserve">https://www.reddit.com/comments/1wvif9z</t>
  </si>
  <si>
    <t xml:space="preserve">Spotify for Artists Campaign Reports: Discovery Mode-context Streams, Before vs During</t>
  </si>
  <si>
    <t xml:space="preserve">Campaign</t>
  </si>
  <si>
    <t xml:space="preserve">Month</t>
  </si>
  <si>
    <t xml:space="preserve">Source (r/musicmarketing id)</t>
  </si>
  <si>
    <t xml:space="preserve">Songs enrolled</t>
  </si>
  <si>
    <t xml:space="preserve">DM-context streams, campaign</t>
  </si>
  <si>
    <t xml:space="preserve">DM-context streams, prior 28 days</t>
  </si>
  <si>
    <t xml:space="preserve">Reported lift</t>
  </si>
  <si>
    <t xml:space="preserve">Era</t>
  </si>
  <si>
    <t xml:space="preserve">Campaign listeners</t>
  </si>
  <si>
    <t xml:space="preserve">New listeners</t>
  </si>
  <si>
    <t xml:space="preserve">Saves + adds per listener</t>
  </si>
  <si>
    <t xml:space="preserve">Songs that gained</t>
  </si>
  <si>
    <t xml:space="preserve">Songs reported</t>
  </si>
  <si>
    <t xml:space="preserve">Note</t>
  </si>
  <si>
    <t xml:space="preserve">Aug 2023</t>
  </si>
  <si>
    <t xml:space="preserve">15woi7w</t>
  </si>
  <si>
    <t xml:space="preserve">Aug 1-20 only; 'results insane'</t>
  </si>
  <si>
    <t xml:space="preserve">Oct 2024 (a)</t>
  </si>
  <si>
    <t xml:space="preserve">1g1fk0o</t>
  </si>
  <si>
    <t xml:space="preserve">Oct 2024 (b)</t>
  </si>
  <si>
    <t xml:space="preserve">1geig0k</t>
  </si>
  <si>
    <t xml:space="preserve">Nov 2024</t>
  </si>
  <si>
    <t xml:space="preserve">1h46nzy</t>
  </si>
  <si>
    <t xml:space="preserve">~25k monthly listeners</t>
  </si>
  <si>
    <t xml:space="preserve">Jan 2025</t>
  </si>
  <si>
    <t xml:space="preserve">1ig7963 (text)</t>
  </si>
  <si>
    <t xml:space="preserve">Spotify reported +55% lift, but the same song's TOTAL streams fell from ~46k/month (Oct-Dec) to 43k in Jan</t>
  </si>
  <si>
    <t xml:space="preserve">Oct 2025</t>
  </si>
  <si>
    <t xml:space="preserve">1omcbrg</t>
  </si>
  <si>
    <t xml:space="preserve">Jul 2026</t>
  </si>
  <si>
    <t xml:space="preserve">1uy70w1 (text)</t>
  </si>
  <si>
    <t xml:space="preserve">Dec 2023</t>
  </si>
  <si>
    <t xml:space="preserve">18lveoc</t>
  </si>
  <si>
    <t xml:space="preserve">4 of 6 songs got 0 DM streams (incl. top songs)</t>
  </si>
  <si>
    <t xml:space="preserve">Sep 2026</t>
  </si>
  <si>
    <t xml:space="preserve">1wu7cam</t>
  </si>
  <si>
    <t xml:space="preserve">Intent 0.19-1.10% per song</t>
  </si>
  <si>
    <t xml:space="preserve">Median reported lift, campaigns Aug 2023 - Nov 2024</t>
  </si>
  <si>
    <t xml:space="preserve">n = 4 vs 3: not statistically meaningful (rank test p ~ 0.1) and the metric rewards songs with a tiny prior base (the 7.4x campaign had 359 prior streams). Direction, not magnitude.</t>
  </si>
  <si>
    <t xml:space="preserve">Median reported lift, campaigns Jan 2025 - Jul 2026</t>
  </si>
  <si>
    <t xml:space="preserve">Median reported lift, all campaigns with a before figure</t>
  </si>
  <si>
    <t xml:space="preserve">Latest campaign lift as a share of the earliest</t>
  </si>
  <si>
    <t xml:space="preserve">Median saves + adds per Discovery Mode listener (all campaign reports)</t>
  </si>
  <si>
    <t xml:space="preserve">Spotify's own 'intent' measure for a Discovery Mode song: (saves + playlist adds) / campaign listeners.</t>
  </si>
  <si>
    <t xml:space="preserve">Reported lift = campaign streams / prior-28-day streams - 1. Where the screenshot showed only the lift, the prior figure is streams / (1 + lift). Counts cover Radio, Autoplay and Mixes only: they do not show whether total streams rose (the Jan 2025 artist checked: Spotify reported +55%, total streams fell). Source: screenshots posted to r/musicmarketing, read by hand.</t>
  </si>
  <si>
    <t xml:space="preserve">Artists' overall audience: saves per listener (Spotify for Artists dashboards)</t>
  </si>
  <si>
    <t xml:space="preserve">Artist</t>
  </si>
  <si>
    <t xml:space="preserve">Source</t>
  </si>
  <si>
    <t xml:space="preserve">Saves per listener</t>
  </si>
  <si>
    <t xml:space="preserve">Artist 17gqiej, 12 months</t>
  </si>
  <si>
    <t xml:space="preserve">17gqiej</t>
  </si>
  <si>
    <t xml:space="preserve">Artist 1q4bb7s, all time</t>
  </si>
  <si>
    <t xml:space="preserve">1q4bb7s</t>
  </si>
  <si>
    <t xml:space="preserve">Artist 1rvflj9, 12 months</t>
  </si>
  <si>
    <t xml:space="preserve">1rvflj9</t>
  </si>
  <si>
    <t xml:space="preserve">Kublaii (1hn3dhf), 12 months</t>
  </si>
  <si>
    <t xml:space="preserve">1hn3dhf</t>
  </si>
  <si>
    <t xml:space="preserve">Median saves per listener, overall audience</t>
  </si>
  <si>
    <t xml:space="preserve">Saves only, 12 months, different artists: read against the campaign rate as an order of magnitude, not a like-for-like.</t>
  </si>
  <si>
    <t xml:space="preserve">What happened when Discovery Mode was switched on or off (artists' own graphs)</t>
  </si>
  <si>
    <t xml:space="preserve">Change</t>
  </si>
  <si>
    <t xml:space="preserve">Measure</t>
  </si>
  <si>
    <t xml:space="preserve">Before</t>
  </si>
  <si>
    <t xml:space="preserve">After</t>
  </si>
  <si>
    <t xml:space="preserve">What happened</t>
  </si>
  <si>
    <t xml:space="preserve">1and042</t>
  </si>
  <si>
    <t xml:space="preserve">DM on (Apr 2023)</t>
  </si>
  <si>
    <t xml:space="preserve">Radio &amp; autoplay listeners / day</t>
  </si>
  <si>
    <t xml:space="preserve">~70/day before -&gt; ~400 right after -&gt; ~900-1,200 a year later; weekly releases throughout.</t>
  </si>
  <si>
    <t xml:space="preserve">DM on (Dec 1, 2025)</t>
  </si>
  <si>
    <t xml:space="preserve">Artist streams / month</t>
  </si>
  <si>
    <t xml:space="preserve">Nov ~195k -&gt; Dec ~280k (back to Oct level). Song-level daily streams: 2,646 -&gt; ~4,500; 270 -&gt; ~900; 553 -&gt; ~1,300. Popularity of 4 promoted songs +4-6 points, top song -2. Followers/day unchanged.</t>
  </si>
  <si>
    <t xml:space="preserve">DM off (Oct 2025) then on</t>
  </si>
  <si>
    <t xml:space="preserve">Radio &amp; autoplay streams / day</t>
  </si>
  <si>
    <t xml:space="preserve">~6-9k/day Jul-Sep with DM -&gt; ~2k/day in October with DM off -&gt; 6-11k/day after re-enrolling. Then an ~80% collapse in Mar 2026 with DM on.</t>
  </si>
  <si>
    <t xml:space="preserve">1r4op37 (text)</t>
  </si>
  <si>
    <t xml:space="preserve">DM off</t>
  </si>
  <si>
    <t xml:space="preserve">Song streams / day</t>
  </si>
  <si>
    <t xml:space="preserve">Spotify flagged the song 'not recommended'; removing it halved daily streams.</t>
  </si>
  <si>
    <t xml:space="preserve">ksx3w9s (text)</t>
  </si>
  <si>
    <t xml:space="preserve">Radio streams / month</t>
  </si>
  <si>
    <t xml:space="preserve">Opposite case: 150 DM streams in last DM month; 4k radio the month after leaving.</t>
  </si>
  <si>
    <t xml:space="preserve">1t81jjd</t>
  </si>
  <si>
    <t xml:space="preserve">DM off + Meta ads</t>
  </si>
  <si>
    <t xml:space="preserve">Song radio streams (28 days)</t>
  </si>
  <si>
    <t xml:space="preserve">7 of 12 songs had fallen to 0-100 radio streams in DM; after opting out, radio stayed at 74 even with ads (saves +270%).</t>
  </si>
  <si>
    <t xml:space="preserve">Average change when switched off, the two charted radio / autoplay cases</t>
  </si>
  <si>
    <t xml:space="preserve">Artists who stay enrolled describe it as defensive (re-enrolled out of fear; 'would not take it out again'). For a first-time enrollee the pitch has become 'pay 30% to avoid losing ground'.</t>
  </si>
  <si>
    <t xml:space="preserve">Artists' Own Before / After Numbers and Hand-coded Corpus (r/musicmarketing, Oct 2020 - Oct 2026)</t>
  </si>
  <si>
    <t xml:space="preserve">Date posted</t>
  </si>
  <si>
    <t xml:space="preserve">Monthly listeners at start</t>
  </si>
  <si>
    <t xml:space="preserve">Size band</t>
  </si>
  <si>
    <t xml:space="preserve">Direction</t>
  </si>
  <si>
    <t xml:space="preserve">What the artist said</t>
  </si>
  <si>
    <t xml:space="preserve">Monthly listeners</t>
  </si>
  <si>
    <t xml:space="preserve">176v311/k2zctt7/k3tx6dh</t>
  </si>
  <si>
    <t xml:space="preserve">Organic 35-40k listeners; after 3 months of DM down to 19k, no follows/saves from DM, Fans Also Like 'destroyed'.</t>
  </si>
  <si>
    <t xml:space="preserve">k4ox17o</t>
  </si>
  <si>
    <t xml:space="preserve">Discover Weekly streams fell, radio rose; saves/adds from DM 'terrible'.</t>
  </si>
  <si>
    <t xml:space="preserve">k4pk3ug</t>
  </si>
  <si>
    <t xml:space="preserve">Blames Spotify pushing Discover Weekly less after DM.</t>
  </si>
  <si>
    <t xml:space="preserve">k6lhdlu</t>
  </si>
  <si>
    <t xml:space="preserve">Radio ~1,800/month before DM -&gt; ~20,000/month after several months (releases weekly).</t>
  </si>
  <si>
    <t xml:space="preserve">k79yvek</t>
  </si>
  <si>
    <t xml:space="preserve">One song on DM in Sept (0.90% intent); skipped Oct and Discover Weekly 'suppressed'; re-enrolled out of fear.</t>
  </si>
  <si>
    <t xml:space="preserve">kbb4arn</t>
  </si>
  <si>
    <t xml:space="preserve">Beta: first campaign gave a bump; second campaign listeners fell 30k -&gt; 5k (normal range 10-20k).</t>
  </si>
  <si>
    <t xml:space="preserve">Streams / month</t>
  </si>
  <si>
    <t xml:space="preserve">kspq2mj</t>
  </si>
  <si>
    <t xml:space="preserve">'Totally down to discovery mode'; not every song works.</t>
  </si>
  <si>
    <t xml:space="preserve">Streams / day</t>
  </si>
  <si>
    <t xml:space="preserve">1b43vbm</t>
  </si>
  <si>
    <t xml:space="preserve">Song at ~40k/day; fell the month it was enrolled and never recovered; also pulled from Discover Weekly.</t>
  </si>
  <si>
    <t xml:space="preserve">ksx3w9s</t>
  </si>
  <si>
    <t xml:space="preserve">Last DM month: 150 streams; month without DM: 4k on radio alone.</t>
  </si>
  <si>
    <t xml:space="preserve">kszo2zz</t>
  </si>
  <si>
    <t xml:space="preserve">ktmj79o</t>
  </si>
  <si>
    <t xml:space="preserve">~1M streams/month -&gt; 300k 'literally overnight'; never came back after stopping.</t>
  </si>
  <si>
    <t xml:space="preserve">Discover Weekly streams / week</t>
  </si>
  <si>
    <t xml:space="preserve">li52lv4/lve66bg</t>
  </si>
  <si>
    <t xml:space="preserve">Best track ~5k DW streams/week; 3 weeks on DM = 567 DW streams total; took 4 months to recover.</t>
  </si>
  <si>
    <t xml:space="preserve">m3i1jez</t>
  </si>
  <si>
    <t xml:space="preserve">~30k DM streams month 1, 40k month 2.</t>
  </si>
  <si>
    <t xml:space="preserve">m3ys1wz</t>
  </si>
  <si>
    <t xml:space="preserve">Meta ads + DM; much of growth via radio.</t>
  </si>
  <si>
    <t xml:space="preserve">1ig7963</t>
  </si>
  <si>
    <t xml:space="preserve">Song A: Dec 36,655 streams -&gt; Jan 36,549 while Spotify reported +69% lift. Song B: ~46k/month -&gt; 43k while Spotify credited 7,404 DM streams (+55%).</t>
  </si>
  <si>
    <t xml:space="preserve">nd42847</t>
  </si>
  <si>
    <t xml:space="preserve">nd5w63f</t>
  </si>
  <si>
    <t xml:space="preserve">One track on DM ~800 streams/month; fans at shows cite it.</t>
  </si>
  <si>
    <t xml:space="preserve">1r4op37</t>
  </si>
  <si>
    <t xml:space="preserve">Taking the song OUT of DM cut it from ~1,000 to ~500 streams/day; 'would not take it out again'.</t>
  </si>
  <si>
    <t xml:space="preserve">Direction by year posted (these 18 numeric pairs)</t>
  </si>
  <si>
    <t xml:space="preserve">Up</t>
  </si>
  <si>
    <t xml:space="preserve">Down</t>
  </si>
  <si>
    <t xml:space="preserve">Flat</t>
  </si>
  <si>
    <t xml:space="preserve">Total</t>
  </si>
  <si>
    <t xml:space="preserve">Avg listeners at start, Down cases</t>
  </si>
  <si>
    <t xml:space="preserve">Caveat: by year these pairs trend toward 'Up', not away from it. The 2023 losers were all 30k-80k-listener artists in the early rollout; most later winners are small artists. Read it as a change in who posts, not proof the program improved.</t>
  </si>
  <si>
    <t xml:space="preserve">Direction by audience size at the start (all first-hand reports that stated a size, n = 26; hand-coded)</t>
  </si>
  <si>
    <t xml:space="preserve">Mixed / flat</t>
  </si>
  <si>
    <t xml:space="preserve">Share up</t>
  </si>
  <si>
    <t xml:space="preserve">Under 10k</t>
  </si>
  <si>
    <t xml:space="preserve">10k-50k</t>
  </si>
  <si>
    <t xml:space="preserve">50k+</t>
  </si>
  <si>
    <t xml:space="preserve">10k and above</t>
  </si>
  <si>
    <t xml:space="preserve">Corpus (hand-coded from 130 Discovery Mode threads and 1,953 comments; second-hand stories excluded; repeat comments by one person merged)</t>
  </si>
  <si>
    <t xml:space="preserve">r/musicmarketing posts since Oct 2020 (Arctic Shift archive)</t>
  </si>
  <si>
    <t xml:space="preserve">Posts mentioning Discovery Mode</t>
  </si>
  <si>
    <t xml:space="preserve">Comments in those threads</t>
  </si>
  <si>
    <t xml:space="preserve">Artist experiences coded</t>
  </si>
  <si>
    <t xml:space="preserve">  of which first-hand</t>
  </si>
  <si>
    <t xml:space="preserve">  first-hand: streams went up</t>
  </si>
  <si>
    <t xml:space="preserve">  first-hand: streams went down</t>
  </si>
  <si>
    <t xml:space="preserve">  first-hand: mixed</t>
  </si>
  <si>
    <t xml:space="preserve">  first-hand: flat</t>
  </si>
  <si>
    <t xml:space="preserve">Spotify for Artists screenshots read (7 more had been deleted)</t>
  </si>
  <si>
    <t xml:space="preserve">Share of first-hand reports that went up</t>
  </si>
  <si>
    <t xml:space="preserve">Discovery Mode share of an artist's monthly streams (as reported)</t>
  </si>
  <si>
    <t xml:space="preserve">Source id</t>
  </si>
  <si>
    <t xml:space="preserve">Artist type</t>
  </si>
  <si>
    <t xml:space="preserve">Share</t>
  </si>
  <si>
    <t xml:space="preserve">m8up79g</t>
  </si>
  <si>
    <t xml:space="preserve">Established (500k+ monthly streams)</t>
  </si>
  <si>
    <t xml:space="preserve">lzx6qd3</t>
  </si>
  <si>
    <t xml:space="preserve">m3ivdij</t>
  </si>
  <si>
    <t xml:space="preserve">m49nghw</t>
  </si>
  <si>
    <t xml:space="preserve">1deqxiz (range 5-15%)</t>
  </si>
  <si>
    <t xml:space="preserve">Range 5-15%</t>
  </si>
  <si>
    <t xml:space="preserve">mkxt4r8</t>
  </si>
  <si>
    <t xml:space="preserve">Catalog-heavy or small</t>
  </si>
  <si>
    <t xml:space="preserve">m3suhdk</t>
  </si>
  <si>
    <t xml:space="preserve">m3su5uz (best month)</t>
  </si>
  <si>
    <t xml:space="preserve">Median, established artists only</t>
  </si>
  <si>
    <t xml:space="preserve">The source workbook's 7.5% 'median' mixes both groups; use this for an enrolled established artist.</t>
  </si>
  <si>
    <t xml:space="preserve">Median, all reports</t>
  </si>
  <si>
    <t xml:space="preserve">Intent rate per song quoted by artists (saves + adds / listeners), order as extracted</t>
  </si>
  <si>
    <t xml:space="preserve">Intent 1</t>
  </si>
  <si>
    <t xml:space="preserve">Intent 2</t>
  </si>
  <si>
    <t xml:space="preserve">Intent 3</t>
  </si>
  <si>
    <t xml:space="preserve">Intent 4</t>
  </si>
  <si>
    <t xml:space="preserve">Intent 5</t>
  </si>
  <si>
    <t xml:space="preserve">Intent 6</t>
  </si>
  <si>
    <t xml:space="preserve">Intent 7</t>
  </si>
  <si>
    <t xml:space="preserve">Intent 8</t>
  </si>
  <si>
    <t xml:space="preserve">Intent 9</t>
  </si>
  <si>
    <t xml:space="preserve">Intent 10</t>
  </si>
  <si>
    <t xml:space="preserve">Intent 11</t>
  </si>
  <si>
    <t xml:space="preserve">Median</t>
  </si>
  <si>
    <t xml:space="preserve">Spotify-reported 'stream lift' figures quoted in posts (order as extracted; undated; the list mixes multiples such as 2.77 with percentages such as 20, so no median is taken)</t>
  </si>
  <si>
    <t xml:space="preserve">Lift 1</t>
  </si>
  <si>
    <t xml:space="preserve">Lift 2</t>
  </si>
  <si>
    <t xml:space="preserve">Lift 3</t>
  </si>
  <si>
    <t xml:space="preserve">Lift 4</t>
  </si>
  <si>
    <t xml:space="preserve">Lift 5</t>
  </si>
  <si>
    <t xml:space="preserve">Lift 6</t>
  </si>
  <si>
    <t xml:space="preserve">Lift 7</t>
  </si>
  <si>
    <t xml:space="preserve">Lift 8</t>
  </si>
  <si>
    <t xml:space="preserve">Lift 9</t>
  </si>
  <si>
    <t xml:space="preserve">Lift 10</t>
  </si>
  <si>
    <t xml:space="preserve">Lift 11</t>
  </si>
  <si>
    <t xml:space="preserve">Lift 12</t>
  </si>
  <si>
    <t xml:space="preserve">Lift 13</t>
  </si>
  <si>
    <t xml:space="preserve">Self-selected stories: people post when results surprise. Discovery Mode's start often coincides with releases, ads or TikTok moments, and the algorithm changes over time (several artists report platform-wide drops in 2026). Not a controlled experiment; 35 screenshots read (7 deleted).</t>
  </si>
</sst>
</file>

<file path=xl/styles.xml><?xml version="1.0" encoding="utf-8"?>
<styleSheet xmlns="http://schemas.openxmlformats.org/spreadsheetml/2006/main">
  <numFmts count="13">
    <numFmt numFmtId="164" formatCode="General"/>
    <numFmt numFmtId="165" formatCode="#,##0_);\(#,##0\)"/>
    <numFmt numFmtId="166" formatCode="0.0%"/>
    <numFmt numFmtId="167" formatCode="0%"/>
    <numFmt numFmtId="168" formatCode="0_);\(0\)"/>
    <numFmt numFmtId="169" formatCode="0.00\x"/>
    <numFmt numFmtId="170" formatCode="\+0.0%;\-0.0%;0.0%"/>
    <numFmt numFmtId="171" formatCode="0.0"/>
    <numFmt numFmtId="172" formatCode="0"/>
    <numFmt numFmtId="173" formatCode="0.00%"/>
    <numFmt numFmtId="174" formatCode="yyyy\-mm\-dd"/>
    <numFmt numFmtId="175" formatCode="0.00"/>
    <numFmt numFmtId="176" formatCode="mmm\-yy"/>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1"/>
      <name val="Calibri"/>
      <family val="0"/>
      <charset val="1"/>
    </font>
    <font>
      <sz val="11"/>
      <color rgb="FF0070C0"/>
      <name val="Calibri"/>
      <family val="0"/>
      <charset val="1"/>
    </font>
    <font>
      <i val="true"/>
      <sz val="11"/>
      <name val="Calibri"/>
      <family val="0"/>
      <charset val="1"/>
    </font>
    <font>
      <b val="true"/>
      <sz val="11"/>
      <name val="Calibri"/>
      <family val="0"/>
      <charset val="1"/>
    </font>
    <font>
      <b val="true"/>
      <sz val="11"/>
      <color rgb="FF0070C0"/>
      <name val="Calibri"/>
      <family val="0"/>
      <charset val="1"/>
    </font>
  </fonts>
  <fills count="6">
    <fill>
      <patternFill patternType="none"/>
    </fill>
    <fill>
      <patternFill patternType="gray125"/>
    </fill>
    <fill>
      <patternFill patternType="solid">
        <fgColor rgb="FF002060"/>
        <bgColor rgb="FF000080"/>
      </patternFill>
    </fill>
    <fill>
      <patternFill patternType="solid">
        <fgColor rgb="FFE7E6E6"/>
        <bgColor rgb="FFFFF2CC"/>
      </patternFill>
    </fill>
    <fill>
      <patternFill patternType="solid">
        <fgColor rgb="FFFFF2CC"/>
        <bgColor rgb="FFE7E6E6"/>
      </patternFill>
    </fill>
    <fill>
      <patternFill patternType="solid">
        <fgColor rgb="FFFFFF00"/>
        <bgColor rgb="FFFFFF00"/>
      </patternFill>
    </fill>
  </fills>
  <borders count="8">
    <border diagonalUp="false" diagonalDown="false">
      <left/>
      <right/>
      <top/>
      <bottom/>
      <diagonal/>
    </border>
    <border diagonalUp="false" diagonalDown="false">
      <left style="thin"/>
      <right/>
      <top style="thin"/>
      <bottom/>
      <diagonal/>
    </border>
    <border diagonalUp="false" diagonalDown="false">
      <left style="thin"/>
      <right/>
      <top/>
      <bottom/>
      <diagonal/>
    </border>
    <border diagonalUp="false" diagonalDown="false">
      <left style="thin"/>
      <right/>
      <top/>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top style="thin"/>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5" fontId="6" fillId="4"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6" fontId="5" fillId="0" borderId="0" xfId="0" applyFont="true" applyBorder="false" applyAlignment="true" applyProtection="false">
      <alignment horizontal="center"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6" fontId="6" fillId="4" borderId="0" xfId="0" applyFont="true" applyBorder="fals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xf numFmtId="168" fontId="6" fillId="4" borderId="0" xfId="0" applyFont="true" applyBorder="false" applyAlignment="true" applyProtection="false">
      <alignment horizontal="center"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7" fontId="6" fillId="5" borderId="0" xfId="0" applyFont="true" applyBorder="false" applyAlignment="true" applyProtection="false">
      <alignment horizontal="center" vertical="bottom" textRotation="0" wrapText="false" indent="0" shrinkToFit="false"/>
      <protection locked="true" hidden="false"/>
    </xf>
    <xf numFmtId="166" fontId="5" fillId="4" borderId="0" xfId="0" applyFont="true" applyBorder="fals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center"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6" fontId="5" fillId="5" borderId="0" xfId="0" applyFont="true" applyBorder="false" applyAlignment="true" applyProtection="false">
      <alignment horizontal="center" vertical="bottom" textRotation="0" wrapText="false" indent="0" shrinkToFit="false"/>
      <protection locked="true" hidden="false"/>
    </xf>
    <xf numFmtId="167" fontId="5" fillId="4"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center" vertical="bottom" textRotation="0" wrapText="false" indent="0" shrinkToFit="false"/>
      <protection locked="true" hidden="false"/>
    </xf>
    <xf numFmtId="164" fontId="8" fillId="5" borderId="4" xfId="0" applyFont="true" applyBorder="true" applyAlignment="false" applyProtection="false">
      <alignment horizontal="general" vertical="bottom" textRotation="0" wrapText="false" indent="0" shrinkToFit="false"/>
      <protection locked="true" hidden="false"/>
    </xf>
    <xf numFmtId="164" fontId="0" fillId="5" borderId="5" xfId="0" applyFont="false" applyBorder="true" applyAlignment="false" applyProtection="false">
      <alignment horizontal="general" vertical="bottom" textRotation="0" wrapText="false" indent="0" shrinkToFit="false"/>
      <protection locked="true" hidden="false"/>
    </xf>
    <xf numFmtId="166" fontId="8" fillId="5" borderId="5" xfId="0" applyFont="true" applyBorder="true" applyAlignment="true" applyProtection="false">
      <alignment horizontal="center" vertical="bottom" textRotation="0" wrapText="false" indent="0" shrinkToFit="false"/>
      <protection locked="true" hidden="false"/>
    </xf>
    <xf numFmtId="168" fontId="5" fillId="0" borderId="0" xfId="0" applyFont="true" applyBorder="false" applyAlignment="true" applyProtection="false">
      <alignment horizontal="center" vertical="bottom" textRotation="0" wrapText="false" indent="0" shrinkToFit="false"/>
      <protection locked="true" hidden="false"/>
    </xf>
    <xf numFmtId="164" fontId="8" fillId="0" borderId="6" xfId="0" applyFont="true" applyBorder="true" applyAlignment="false" applyProtection="false">
      <alignment horizontal="general" vertical="bottom" textRotation="0" wrapText="false" indent="0" shrinkToFit="false"/>
      <protection locked="true" hidden="false"/>
    </xf>
    <xf numFmtId="165" fontId="8" fillId="0" borderId="6" xfId="0" applyFont="true" applyBorder="true" applyAlignment="true" applyProtection="false">
      <alignment horizontal="center" vertical="bottom" textRotation="0" wrapText="false" indent="0" shrinkToFit="false"/>
      <protection locked="true" hidden="false"/>
    </xf>
    <xf numFmtId="165" fontId="8" fillId="5" borderId="5" xfId="0" applyFont="true" applyBorder="true" applyAlignment="true" applyProtection="false">
      <alignment horizontal="center" vertical="bottom" textRotation="0" wrapText="false" indent="0" shrinkToFit="false"/>
      <protection locked="true" hidden="false"/>
    </xf>
    <xf numFmtId="168" fontId="8" fillId="5" borderId="5" xfId="0" applyFont="true" applyBorder="true" applyAlignment="true" applyProtection="false">
      <alignment horizontal="center" vertical="bottom" textRotation="0" wrapText="false" indent="0" shrinkToFit="false"/>
      <protection locked="true" hidden="false"/>
    </xf>
    <xf numFmtId="166" fontId="8" fillId="0" borderId="6" xfId="0" applyFont="true" applyBorder="true" applyAlignment="true" applyProtection="false">
      <alignment horizontal="center" vertical="bottom" textRotation="0" wrapText="false" indent="0" shrinkToFit="false"/>
      <protection locked="true" hidden="false"/>
    </xf>
    <xf numFmtId="168" fontId="8" fillId="0" borderId="0" xfId="0" applyFont="true" applyBorder="false" applyAlignment="true" applyProtection="false">
      <alignment horizontal="center" vertical="bottom" textRotation="0" wrapText="false" indent="0" shrinkToFit="false"/>
      <protection locked="true" hidden="false"/>
    </xf>
    <xf numFmtId="167" fontId="9" fillId="0" borderId="7" xfId="0" applyFont="true" applyBorder="tru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left" vertical="bottom" textRotation="0" wrapText="false" indent="0" shrinkToFit="false"/>
      <protection locked="true" hidden="false"/>
    </xf>
    <xf numFmtId="171" fontId="5" fillId="0" borderId="0" xfId="0" applyFont="true" applyBorder="false" applyAlignment="true" applyProtection="false">
      <alignment horizontal="center"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9" fontId="5" fillId="0" borderId="0" xfId="0" applyFont="true" applyBorder="false" applyAlignment="true" applyProtection="false">
      <alignment horizontal="center" vertical="bottom" textRotation="0" wrapText="false" indent="0" shrinkToFit="false"/>
      <protection locked="true" hidden="false"/>
    </xf>
    <xf numFmtId="172" fontId="5"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73" fontId="5" fillId="0" borderId="0" xfId="0" applyFont="true" applyBorder="false" applyAlignment="true" applyProtection="false">
      <alignment horizontal="center" vertical="bottom" textRotation="0" wrapText="false" indent="0" shrinkToFit="false"/>
      <protection locked="true" hidden="false"/>
    </xf>
    <xf numFmtId="171" fontId="6" fillId="0" borderId="0" xfId="0" applyFont="true" applyBorder="false" applyAlignment="true" applyProtection="false">
      <alignment horizontal="center" vertical="bottom" textRotation="0" wrapText="false" indent="0" shrinkToFit="false"/>
      <protection locked="true" hidden="false"/>
    </xf>
    <xf numFmtId="164" fontId="8" fillId="3" borderId="0" xfId="0" applyFont="true" applyBorder="false" applyAlignment="true" applyProtection="false">
      <alignment horizontal="center" vertical="center" textRotation="0" wrapText="tru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75"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76" fontId="6" fillId="0" borderId="0" xfId="0" applyFont="tru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73" fontId="6" fillId="0" borderId="0" xfId="0" applyFont="true" applyBorder="false" applyAlignment="true" applyProtection="false">
      <alignment horizontal="center"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9" fontId="8" fillId="0" borderId="6" xfId="0" applyFont="true" applyBorder="tru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73" fontId="8" fillId="0" borderId="0" xfId="0" applyFont="true" applyBorder="false" applyAlignment="true" applyProtection="false">
      <alignment horizontal="center" vertical="bottom" textRotation="0" wrapText="false" indent="0" shrinkToFit="false"/>
      <protection locked="true" hidden="false"/>
    </xf>
    <xf numFmtId="164" fontId="8" fillId="0" borderId="7" xfId="0" applyFont="true" applyBorder="true" applyAlignment="true" applyProtection="false">
      <alignment horizontal="left" vertical="bottom" textRotation="0" wrapText="false" indent="0" shrinkToFit="false"/>
      <protection locked="true" hidden="false"/>
    </xf>
    <xf numFmtId="167" fontId="8" fillId="0" borderId="6" xfId="0" applyFont="true" applyBorder="true" applyAlignment="true" applyProtection="false">
      <alignment horizontal="center" vertical="bottom" textRotation="0" wrapText="false" indent="0" shrinkToFit="false"/>
      <protection locked="true" hidden="false"/>
    </xf>
    <xf numFmtId="174" fontId="6" fillId="0" borderId="0" xfId="0" applyFont="true" applyBorder="false" applyAlignment="true" applyProtection="false">
      <alignment horizontal="center"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true" indent="0" shrinkToFit="false"/>
      <protection locked="true" hidden="false"/>
    </xf>
    <xf numFmtId="164" fontId="8" fillId="0" borderId="6" xfId="0" applyFont="true" applyBorder="true" applyAlignment="true" applyProtection="false">
      <alignment horizontal="center" vertical="bottom" textRotation="0" wrapText="false" indent="0" shrinkToFit="false"/>
      <protection locked="true" hidden="false"/>
    </xf>
    <xf numFmtId="173" fontId="8" fillId="0" borderId="6" xfId="0" applyFont="true" applyBorder="true" applyAlignment="true" applyProtection="false">
      <alignment horizontal="center" vertical="bottom" textRotation="0" wrapText="false" indent="0" shrinkToFit="false"/>
      <protection locked="true" hidden="false"/>
    </xf>
    <xf numFmtId="175" fontId="6"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7E6E6"/>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9"/>
    <col collapsed="false" customWidth="true" hidden="false" outlineLevel="0" max="2" min="2" style="0" width="58"/>
    <col collapsed="false" customWidth="true" hidden="false" outlineLevel="0" max="7" min="3" style="0" width="13"/>
    <col collapsed="false" customWidth="true" hidden="false" outlineLevel="0" max="8" min="8" style="0" width="78"/>
  </cols>
  <sheetData>
    <row r="2" customFormat="false" ht="15" hidden="false" customHeight="false" outlineLevel="0" collapsed="false">
      <c r="B2" s="1" t="s">
        <v>0</v>
      </c>
      <c r="C2" s="2" t="s">
        <v>1</v>
      </c>
      <c r="D2" s="2" t="s">
        <v>2</v>
      </c>
      <c r="E2" s="2" t="s">
        <v>3</v>
      </c>
      <c r="F2" s="2" t="s">
        <v>4</v>
      </c>
      <c r="G2" s="1"/>
      <c r="H2" s="1" t="s">
        <v>5</v>
      </c>
    </row>
    <row r="3" customFormat="false" ht="15" hidden="false" customHeight="false" outlineLevel="0" collapsed="false">
      <c r="B3" s="3"/>
      <c r="C3" s="3"/>
      <c r="D3" s="3"/>
      <c r="E3" s="3"/>
      <c r="F3" s="3"/>
      <c r="G3" s="3"/>
      <c r="H3" s="3"/>
    </row>
    <row r="4" customFormat="false" ht="28.35" hidden="false" customHeight="false" outlineLevel="0" collapsed="false">
      <c r="B4" s="4" t="s">
        <v>6</v>
      </c>
      <c r="C4" s="5" t="s">
        <v>7</v>
      </c>
      <c r="H4" s="6" t="s">
        <v>8</v>
      </c>
    </row>
    <row r="6" customFormat="false" ht="15" hidden="false" customHeight="false" outlineLevel="0" collapsed="false">
      <c r="B6" s="7" t="s">
        <v>9</v>
      </c>
    </row>
    <row r="7" customFormat="false" ht="28.35" hidden="false" customHeight="false" outlineLevel="0" collapsed="false">
      <c r="B7" s="4" t="s">
        <v>10</v>
      </c>
      <c r="C7" s="8" t="n">
        <v>15673</v>
      </c>
      <c r="D7" s="8" t="n">
        <v>17186</v>
      </c>
      <c r="E7" s="9" t="n">
        <v>19500</v>
      </c>
      <c r="F7" s="9" t="n">
        <v>21300</v>
      </c>
      <c r="H7" s="6" t="s">
        <v>11</v>
      </c>
    </row>
    <row r="8" customFormat="false" ht="15" hidden="false" customHeight="false" outlineLevel="0" collapsed="false">
      <c r="B8" s="10" t="s">
        <v>12</v>
      </c>
      <c r="D8" s="11" t="n">
        <f aca="false">D7/C7-1</f>
        <v>0.0965354431187393</v>
      </c>
      <c r="E8" s="11" t="n">
        <f aca="false">E7/D7-1</f>
        <v>0.13464447806354</v>
      </c>
      <c r="F8" s="11" t="n">
        <f aca="false">F7/E7-1</f>
        <v>0.0923076923076922</v>
      </c>
      <c r="H8" s="6" t="s">
        <v>13</v>
      </c>
    </row>
    <row r="10" customFormat="false" ht="15" hidden="false" customHeight="false" outlineLevel="0" collapsed="false">
      <c r="B10" s="7" t="s">
        <v>14</v>
      </c>
    </row>
    <row r="11" customFormat="false" ht="28.35" hidden="false" customHeight="false" outlineLevel="0" collapsed="false">
      <c r="B11" s="4" t="s">
        <v>15</v>
      </c>
      <c r="C11" s="12" t="n">
        <v>0.301</v>
      </c>
      <c r="D11" s="12" t="n">
        <v>0.32</v>
      </c>
      <c r="E11" s="13" t="n">
        <v>0.332</v>
      </c>
      <c r="F11" s="13" t="n">
        <v>0.345</v>
      </c>
      <c r="H11" s="6" t="s">
        <v>16</v>
      </c>
    </row>
    <row r="12" customFormat="false" ht="28.35" hidden="false" customHeight="false" outlineLevel="0" collapsed="false">
      <c r="B12" s="4" t="s">
        <v>17</v>
      </c>
      <c r="C12" s="14" t="n">
        <v>0.33</v>
      </c>
      <c r="D12" s="14" t="n">
        <v>0.34</v>
      </c>
      <c r="H12" s="6" t="s">
        <v>18</v>
      </c>
    </row>
    <row r="13" customFormat="false" ht="15" hidden="false" customHeight="false" outlineLevel="0" collapsed="false">
      <c r="B13" s="4" t="s">
        <v>19</v>
      </c>
      <c r="E13" s="12" t="n">
        <v>0.334</v>
      </c>
      <c r="F13" s="12" t="n">
        <v>0.329</v>
      </c>
      <c r="H13" s="6" t="s">
        <v>20</v>
      </c>
    </row>
    <row r="14" customFormat="false" ht="28.35" hidden="false" customHeight="false" outlineLevel="0" collapsed="false">
      <c r="B14" s="4" t="s">
        <v>21</v>
      </c>
      <c r="C14" s="14" t="n">
        <v>0.35</v>
      </c>
      <c r="D14" s="14" t="n">
        <v>0.4</v>
      </c>
      <c r="H14" s="6" t="s">
        <v>22</v>
      </c>
    </row>
    <row r="15" customFormat="false" ht="28.35" hidden="false" customHeight="false" outlineLevel="0" collapsed="false">
      <c r="B15" s="4" t="s">
        <v>23</v>
      </c>
      <c r="E15" s="15" t="n">
        <v>120</v>
      </c>
      <c r="F15" s="15" t="n">
        <v>130</v>
      </c>
      <c r="H15" s="6" t="s">
        <v>24</v>
      </c>
    </row>
    <row r="16" customFormat="false" ht="41.75" hidden="false" customHeight="false" outlineLevel="0" collapsed="false">
      <c r="B16" s="4" t="s">
        <v>25</v>
      </c>
      <c r="E16" s="15" t="n">
        <v>100</v>
      </c>
      <c r="F16" s="15" t="n">
        <v>80</v>
      </c>
      <c r="H16" s="6" t="s">
        <v>26</v>
      </c>
    </row>
    <row r="18" customFormat="false" ht="15" hidden="false" customHeight="false" outlineLevel="0" collapsed="false">
      <c r="B18" s="7" t="s">
        <v>27</v>
      </c>
    </row>
    <row r="19" customFormat="false" ht="28.35" hidden="false" customHeight="false" outlineLevel="0" collapsed="false">
      <c r="B19" s="4" t="s">
        <v>28</v>
      </c>
      <c r="C19" s="8" t="n">
        <v>160</v>
      </c>
      <c r="H19" s="6" t="s">
        <v>29</v>
      </c>
    </row>
    <row r="20" customFormat="false" ht="28.35" hidden="false" customHeight="false" outlineLevel="0" collapsed="false">
      <c r="B20" s="4" t="s">
        <v>30</v>
      </c>
      <c r="C20" s="16" t="n">
        <v>4</v>
      </c>
      <c r="H20" s="6" t="s">
        <v>31</v>
      </c>
    </row>
    <row r="21" customFormat="false" ht="28.35" hidden="false" customHeight="false" outlineLevel="0" collapsed="false">
      <c r="B21" s="4" t="s">
        <v>32</v>
      </c>
      <c r="C21" s="17" t="n">
        <f aca="false">'DM Inputs'!$C$19*'DM Inputs'!$C$20^(3/4)</f>
        <v>452.54833995939</v>
      </c>
      <c r="D21" s="17" t="n">
        <f aca="false">'DM Inputs'!$C$19*'DM Inputs'!$C$20</f>
        <v>640</v>
      </c>
      <c r="H21" s="6" t="s">
        <v>33</v>
      </c>
    </row>
    <row r="22" customFormat="false" ht="55.2" hidden="false" customHeight="false" outlineLevel="0" collapsed="false">
      <c r="B22" s="4" t="s">
        <v>34</v>
      </c>
      <c r="D22" s="18" t="n">
        <v>0.8</v>
      </c>
      <c r="H22" s="6" t="s">
        <v>35</v>
      </c>
    </row>
    <row r="23" customFormat="false" ht="41.75" hidden="false" customHeight="false" outlineLevel="0" collapsed="false">
      <c r="B23" s="4" t="s">
        <v>36</v>
      </c>
      <c r="D23" s="5" t="s">
        <v>37</v>
      </c>
      <c r="H23" s="6" t="s">
        <v>38</v>
      </c>
    </row>
    <row r="25" customFormat="false" ht="15" hidden="false" customHeight="false" outlineLevel="0" collapsed="false">
      <c r="B25" s="7" t="s">
        <v>39</v>
      </c>
    </row>
    <row r="26" customFormat="false" ht="41.75" hidden="false" customHeight="false" outlineLevel="0" collapsed="false">
      <c r="B26" s="4" t="s">
        <v>40</v>
      </c>
      <c r="C26" s="8" t="n">
        <v>9250</v>
      </c>
      <c r="D26" s="8" t="n">
        <v>10100</v>
      </c>
      <c r="E26" s="17" t="n">
        <f aca="false">'DM Inputs'!$E$7*$D$27</f>
        <v>11459.9092284418</v>
      </c>
      <c r="F26" s="17" t="n">
        <f aca="false">'DM Inputs'!$F$7*$D$27</f>
        <v>12517.7470033748</v>
      </c>
      <c r="H26" s="6" t="s">
        <v>41</v>
      </c>
    </row>
    <row r="27" customFormat="false" ht="15" hidden="false" customHeight="false" outlineLevel="0" collapsed="false">
      <c r="B27" s="10" t="s">
        <v>42</v>
      </c>
      <c r="C27" s="11" t="n">
        <f aca="false">C26/'DM Inputs'!$C$7</f>
        <v>0.590186945702801</v>
      </c>
      <c r="D27" s="11" t="n">
        <f aca="false">D26/'DM Inputs'!$D$7</f>
        <v>0.587687652740603</v>
      </c>
      <c r="E27" s="11" t="n">
        <f aca="false">E26/'DM Inputs'!$E$7</f>
        <v>0.587687652740603</v>
      </c>
      <c r="F27" s="11" t="n">
        <f aca="false">F26/'DM Inputs'!$F$7</f>
        <v>0.587687652740603</v>
      </c>
    </row>
    <row r="29" customFormat="false" ht="15" hidden="false" customHeight="false" outlineLevel="0" collapsed="false">
      <c r="B29" s="7" t="s">
        <v>43</v>
      </c>
    </row>
    <row r="30" customFormat="false" ht="41.75" hidden="false" customHeight="false" outlineLevel="0" collapsed="false">
      <c r="B30" s="4" t="s">
        <v>44</v>
      </c>
      <c r="C30" s="14" t="n">
        <v>0.3</v>
      </c>
      <c r="D30" s="14" t="n">
        <v>0.3</v>
      </c>
      <c r="E30" s="14" t="n">
        <v>0.3</v>
      </c>
      <c r="F30" s="14" t="n">
        <v>0.3</v>
      </c>
      <c r="H30" s="6" t="s">
        <v>45</v>
      </c>
    </row>
    <row r="31" customFormat="false" ht="55.2" hidden="false" customHeight="false" outlineLevel="0" collapsed="false">
      <c r="B31" s="4" t="s">
        <v>46</v>
      </c>
      <c r="D31" s="18" t="n">
        <v>0.33</v>
      </c>
      <c r="H31" s="6" t="s">
        <v>47</v>
      </c>
    </row>
    <row r="32" customFormat="false" ht="68.65" hidden="false" customHeight="false" outlineLevel="0" collapsed="false">
      <c r="B32" s="4" t="s">
        <v>48</v>
      </c>
      <c r="E32" s="19" t="n">
        <f aca="false">$D$31+IF('DM Inputs'!$C$4="Bear",E33,IF('DM Inputs'!$C$4="Bull",E35,E34))</f>
        <v>0.335</v>
      </c>
      <c r="F32" s="19" t="n">
        <f aca="false">$D$31+IF('DM Inputs'!$C$4="Bear",F33,IF('DM Inputs'!$C$4="Bull",F35,F34))</f>
        <v>0.34</v>
      </c>
      <c r="H32" s="6" t="s">
        <v>49</v>
      </c>
    </row>
    <row r="33" customFormat="false" ht="15" hidden="false" customHeight="false" outlineLevel="0" collapsed="false">
      <c r="B33" s="20" t="s">
        <v>50</v>
      </c>
      <c r="E33" s="21" t="n">
        <v>0</v>
      </c>
      <c r="F33" s="21" t="n">
        <v>0.01</v>
      </c>
    </row>
    <row r="34" customFormat="false" ht="15" hidden="false" customHeight="false" outlineLevel="0" collapsed="false">
      <c r="B34" s="22" t="s">
        <v>7</v>
      </c>
      <c r="E34" s="21" t="n">
        <v>0.005</v>
      </c>
      <c r="F34" s="21" t="n">
        <v>0.01</v>
      </c>
    </row>
    <row r="35" customFormat="false" ht="15" hidden="false" customHeight="false" outlineLevel="0" collapsed="false">
      <c r="B35" s="23" t="s">
        <v>51</v>
      </c>
      <c r="E35" s="21" t="n">
        <v>0.015</v>
      </c>
      <c r="F35" s="21" t="n">
        <v>0.02</v>
      </c>
    </row>
    <row r="36" customFormat="false" ht="55.2" hidden="false" customHeight="false" outlineLevel="0" collapsed="false">
      <c r="B36" s="4" t="s">
        <v>52</v>
      </c>
      <c r="D36" s="12" t="n">
        <v>0.33</v>
      </c>
      <c r="H36" s="6" t="s">
        <v>53</v>
      </c>
    </row>
    <row r="37" customFormat="false" ht="41.75" hidden="false" customHeight="false" outlineLevel="0" collapsed="false">
      <c r="B37" s="4" t="s">
        <v>54</v>
      </c>
      <c r="D37" s="24" t="n">
        <f aca="false">'DM GM Bridge'!$D$12</f>
        <v>0.512051205120512</v>
      </c>
      <c r="H37" s="6" t="s">
        <v>55</v>
      </c>
    </row>
    <row r="38" customFormat="false" ht="55.2" hidden="false" customHeight="false" outlineLevel="0" collapsed="false">
      <c r="B38" s="4" t="s">
        <v>56</v>
      </c>
      <c r="E38" s="19" t="n">
        <f aca="false">$D$37+IF('DM Inputs'!$C$4="Bear",E39,IF('DM Inputs'!$C$4="Bull",E41,E40))</f>
        <v>0.512051205120512</v>
      </c>
      <c r="F38" s="19" t="n">
        <f aca="false">$D$37+IF('DM Inputs'!$C$4="Bear",F39,IF('DM Inputs'!$C$4="Bull",F41,F40))</f>
        <v>0.522051205120512</v>
      </c>
      <c r="H38" s="6" t="s">
        <v>57</v>
      </c>
    </row>
    <row r="39" customFormat="false" ht="15" hidden="false" customHeight="false" outlineLevel="0" collapsed="false">
      <c r="B39" s="20" t="s">
        <v>50</v>
      </c>
      <c r="E39" s="21" t="n">
        <v>-0.01</v>
      </c>
      <c r="F39" s="21" t="n">
        <v>-0.005</v>
      </c>
    </row>
    <row r="40" customFormat="false" ht="15" hidden="false" customHeight="false" outlineLevel="0" collapsed="false">
      <c r="B40" s="22" t="s">
        <v>7</v>
      </c>
      <c r="E40" s="21" t="n">
        <v>0</v>
      </c>
      <c r="F40" s="21" t="n">
        <v>0.01</v>
      </c>
    </row>
    <row r="41" customFormat="false" ht="15" hidden="false" customHeight="false" outlineLevel="0" collapsed="false">
      <c r="B41" s="23" t="s">
        <v>51</v>
      </c>
      <c r="E41" s="21" t="n">
        <v>0.01</v>
      </c>
      <c r="F41" s="21" t="n">
        <v>0.025</v>
      </c>
    </row>
    <row r="42" customFormat="false" ht="41.75" hidden="false" customHeight="false" outlineLevel="0" collapsed="false">
      <c r="B42" s="4" t="s">
        <v>58</v>
      </c>
      <c r="E42" s="25" t="n">
        <f aca="false">IF('DM Inputs'!$C$4="Bear",E43,IF('DM Inputs'!$C$4="Bull",E45,E44))</f>
        <v>0.1</v>
      </c>
      <c r="F42" s="25" t="n">
        <f aca="false">IF('DM Inputs'!$C$4="Bear",F43,IF('DM Inputs'!$C$4="Bull",F45,F44))</f>
        <v>0.1</v>
      </c>
      <c r="H42" s="6" t="s">
        <v>59</v>
      </c>
    </row>
    <row r="43" customFormat="false" ht="15" hidden="false" customHeight="false" outlineLevel="0" collapsed="false">
      <c r="B43" s="20" t="s">
        <v>50</v>
      </c>
      <c r="E43" s="14" t="n">
        <v>0</v>
      </c>
      <c r="F43" s="14" t="n">
        <v>0</v>
      </c>
    </row>
    <row r="44" customFormat="false" ht="15" hidden="false" customHeight="false" outlineLevel="0" collapsed="false">
      <c r="B44" s="22" t="s">
        <v>7</v>
      </c>
      <c r="E44" s="14" t="n">
        <v>0.1</v>
      </c>
      <c r="F44" s="14" t="n">
        <v>0.1</v>
      </c>
    </row>
    <row r="45" customFormat="false" ht="15" hidden="false" customHeight="false" outlineLevel="0" collapsed="false">
      <c r="B45" s="23" t="s">
        <v>51</v>
      </c>
      <c r="E45" s="14" t="n">
        <v>0.2</v>
      </c>
      <c r="F45" s="14" t="n">
        <v>0.2</v>
      </c>
    </row>
    <row r="47" customFormat="false" ht="15" hidden="false" customHeight="false" outlineLevel="0" collapsed="false">
      <c r="B47" s="26"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9"/>
    <col collapsed="false" customWidth="true" hidden="false" outlineLevel="0" max="2" min="2" style="0" width="58"/>
    <col collapsed="false" customWidth="true" hidden="false" outlineLevel="0" max="7" min="3" style="0" width="13"/>
    <col collapsed="false" customWidth="true" hidden="false" outlineLevel="0" max="8" min="8" style="0" width="78"/>
  </cols>
  <sheetData>
    <row r="2" customFormat="false" ht="15" hidden="false" customHeight="false" outlineLevel="0" collapsed="false">
      <c r="B2" s="1" t="s">
        <v>61</v>
      </c>
      <c r="C2" s="2" t="s">
        <v>1</v>
      </c>
      <c r="D2" s="2" t="s">
        <v>2</v>
      </c>
      <c r="E2" s="2" t="s">
        <v>3</v>
      </c>
      <c r="F2" s="2" t="s">
        <v>4</v>
      </c>
      <c r="G2" s="1"/>
      <c r="H2" s="1" t="s">
        <v>5</v>
      </c>
    </row>
    <row r="3" customFormat="false" ht="15" hidden="false" customHeight="false" outlineLevel="0" collapsed="false">
      <c r="B3" s="3"/>
      <c r="C3" s="3"/>
      <c r="D3" s="3"/>
      <c r="E3" s="3"/>
      <c r="F3" s="3"/>
      <c r="G3" s="3"/>
      <c r="H3" s="3"/>
    </row>
    <row r="4" customFormat="false" ht="15" hidden="false" customHeight="false" outlineLevel="0" collapsed="false">
      <c r="B4" s="26" t="s">
        <v>62</v>
      </c>
    </row>
    <row r="6" customFormat="false" ht="15" hidden="false" customHeight="false" outlineLevel="0" collapsed="false">
      <c r="B6" s="7" t="s">
        <v>63</v>
      </c>
    </row>
    <row r="7" customFormat="false" ht="15" hidden="false" customHeight="false" outlineLevel="0" collapsed="false">
      <c r="B7" s="4" t="s">
        <v>64</v>
      </c>
      <c r="C7" s="17" t="n">
        <f aca="false">'DM Inputs'!$C$21</f>
        <v>452.54833995939</v>
      </c>
      <c r="D7" s="17" t="n">
        <f aca="false">'DM Inputs'!$D$21</f>
        <v>640</v>
      </c>
      <c r="H7" s="6" t="s">
        <v>65</v>
      </c>
    </row>
    <row r="8" customFormat="false" ht="28.35" hidden="false" customHeight="false" outlineLevel="0" collapsed="false">
      <c r="B8" s="4" t="s">
        <v>66</v>
      </c>
      <c r="D8" s="27" t="n">
        <f aca="false">IF('DM Inputs'!$D$23="Measured s",IF(D7=0,0,'DM Inputs'!$D$26*'DM Inputs'!$D$31*'DM Inputs'!$D$36*'DM Inputs'!$D$30/D7),'DM Inputs'!$D$22)</f>
        <v>0.8</v>
      </c>
      <c r="H8" s="6" t="s">
        <v>67</v>
      </c>
    </row>
    <row r="9" customFormat="false" ht="15" hidden="false" customHeight="false" outlineLevel="0" collapsed="false">
      <c r="B9" s="4" t="s">
        <v>68</v>
      </c>
      <c r="C9" s="17" t="n">
        <f aca="false">C7*D8</f>
        <v>362.038671967512</v>
      </c>
      <c r="D9" s="17" t="n">
        <f aca="false">D7*D8</f>
        <v>512</v>
      </c>
      <c r="H9" s="6" t="s">
        <v>69</v>
      </c>
    </row>
    <row r="10" customFormat="false" ht="15" hidden="false" customHeight="false" outlineLevel="0" collapsed="false">
      <c r="B10" s="4" t="s">
        <v>70</v>
      </c>
      <c r="C10" s="17" t="n">
        <f aca="false">C7-C9</f>
        <v>90.5096679918781</v>
      </c>
      <c r="D10" s="17" t="n">
        <f aca="false">D7-D9</f>
        <v>128</v>
      </c>
    </row>
    <row r="11" customFormat="false" ht="15" hidden="false" customHeight="false" outlineLevel="0" collapsed="false">
      <c r="B11" s="4" t="s">
        <v>71</v>
      </c>
      <c r="D11" s="17" t="n">
        <f aca="false">'DM Inputs'!$D$26*'DM Inputs'!$D$31</f>
        <v>3333</v>
      </c>
    </row>
    <row r="12" customFormat="false" ht="28.35" hidden="false" customHeight="false" outlineLevel="0" collapsed="false">
      <c r="B12" s="28" t="s">
        <v>72</v>
      </c>
      <c r="C12" s="29"/>
      <c r="D12" s="30" t="n">
        <f aca="false">IF('DM Inputs'!$D$23="Measured s",'DM Inputs'!$D$36,IF(D11*'DM Inputs'!$D$30=0,0,D9/(D11*'DM Inputs'!$D$30)))</f>
        <v>0.512051205120512</v>
      </c>
      <c r="E12" s="29"/>
      <c r="F12" s="29"/>
      <c r="H12" s="6" t="s">
        <v>73</v>
      </c>
    </row>
    <row r="13" customFormat="false" ht="15" hidden="false" customHeight="false" outlineLevel="0" collapsed="false">
      <c r="B13" s="4" t="s">
        <v>74</v>
      </c>
      <c r="D13" s="11" t="n">
        <f aca="false">'DM Inputs'!$D$31*D12</f>
        <v>0.168976897689769</v>
      </c>
      <c r="H13" s="6" t="s">
        <v>75</v>
      </c>
    </row>
    <row r="14" customFormat="false" ht="15" hidden="false" customHeight="false" outlineLevel="0" collapsed="false">
      <c r="B14" s="4" t="s">
        <v>76</v>
      </c>
      <c r="D14" s="17" t="n">
        <f aca="false">D11*'DM Inputs'!$D$30</f>
        <v>999.9</v>
      </c>
    </row>
    <row r="15" customFormat="false" ht="15" hidden="false" customHeight="false" outlineLevel="0" collapsed="false">
      <c r="B15" s="4" t="s">
        <v>77</v>
      </c>
      <c r="D15" s="17" t="n">
        <f aca="false">D14-D9</f>
        <v>487.9</v>
      </c>
      <c r="H15" s="6" t="s">
        <v>78</v>
      </c>
    </row>
    <row r="16" customFormat="false" ht="15" hidden="false" customHeight="false" outlineLevel="0" collapsed="false">
      <c r="B16" s="10" t="s">
        <v>79</v>
      </c>
      <c r="D16" s="31" t="n">
        <f aca="false">D15/'DM Inputs'!$D$7*10000</f>
        <v>283.893867101129</v>
      </c>
    </row>
    <row r="18" customFormat="false" ht="15" hidden="false" customHeight="false" outlineLevel="0" collapsed="false">
      <c r="B18" s="7" t="s">
        <v>80</v>
      </c>
    </row>
    <row r="19" customFormat="false" ht="15" hidden="false" customHeight="false" outlineLevel="0" collapsed="false">
      <c r="B19" s="4" t="s">
        <v>81</v>
      </c>
      <c r="D19" s="11" t="n">
        <f aca="false">'DM Inputs'!$D$31</f>
        <v>0.33</v>
      </c>
      <c r="E19" s="11" t="n">
        <f aca="false">'DM Inputs'!$E$32</f>
        <v>0.335</v>
      </c>
      <c r="F19" s="11" t="n">
        <f aca="false">'DM Inputs'!$F$32</f>
        <v>0.34</v>
      </c>
      <c r="H19" s="6" t="s">
        <v>82</v>
      </c>
    </row>
    <row r="20" customFormat="false" ht="15" hidden="false" customHeight="false" outlineLevel="0" collapsed="false">
      <c r="B20" s="4" t="s">
        <v>83</v>
      </c>
      <c r="D20" s="11" t="n">
        <f aca="false">D12</f>
        <v>0.512051205120512</v>
      </c>
      <c r="E20" s="11" t="n">
        <f aca="false">'DM Inputs'!$E$38</f>
        <v>0.512051205120512</v>
      </c>
      <c r="F20" s="11" t="n">
        <f aca="false">'DM Inputs'!$F$38</f>
        <v>0.522051205120512</v>
      </c>
    </row>
    <row r="21" customFormat="false" ht="15" hidden="false" customHeight="false" outlineLevel="0" collapsed="false">
      <c r="B21" s="10" t="s">
        <v>84</v>
      </c>
      <c r="D21" s="11" t="n">
        <f aca="false">D19*D20</f>
        <v>0.168976897689769</v>
      </c>
      <c r="E21" s="11" t="n">
        <f aca="false">E19*E20</f>
        <v>0.171537153715372</v>
      </c>
      <c r="F21" s="11" t="n">
        <f aca="false">F19*F20</f>
        <v>0.177497409740974</v>
      </c>
    </row>
    <row r="22" customFormat="false" ht="15" hidden="false" customHeight="false" outlineLevel="0" collapsed="false">
      <c r="B22" s="4" t="s">
        <v>85</v>
      </c>
      <c r="C22" s="17" t="n">
        <f aca="false">'DM Inputs'!$C$26</f>
        <v>9250</v>
      </c>
      <c r="D22" s="17" t="n">
        <f aca="false">'DM Inputs'!$D$26</f>
        <v>10100</v>
      </c>
      <c r="E22" s="17" t="n">
        <f aca="false">'DM Inputs'!$E$26</f>
        <v>11459.9092284418</v>
      </c>
      <c r="F22" s="17" t="n">
        <f aca="false">'DM Inputs'!$F$26</f>
        <v>12517.7470033748</v>
      </c>
    </row>
    <row r="23" customFormat="false" ht="15" hidden="false" customHeight="false" outlineLevel="0" collapsed="false">
      <c r="B23" s="4" t="s">
        <v>86</v>
      </c>
      <c r="C23" s="27" t="n">
        <f aca="false">'DM Inputs'!$C$30</f>
        <v>0.3</v>
      </c>
      <c r="D23" s="27" t="n">
        <f aca="false">'DM Inputs'!$D$30</f>
        <v>0.3</v>
      </c>
      <c r="E23" s="27" t="n">
        <f aca="false">'DM Inputs'!$E$30</f>
        <v>0.3</v>
      </c>
      <c r="F23" s="27" t="n">
        <f aca="false">'DM Inputs'!$F$30</f>
        <v>0.3</v>
      </c>
    </row>
    <row r="24" customFormat="false" ht="28.35" hidden="false" customHeight="false" outlineLevel="0" collapsed="false">
      <c r="B24" s="32" t="s">
        <v>87</v>
      </c>
      <c r="C24" s="33" t="n">
        <f aca="false">C9</f>
        <v>362.038671967512</v>
      </c>
      <c r="D24" s="33" t="n">
        <f aca="false">D22*D21*D23</f>
        <v>512</v>
      </c>
      <c r="E24" s="33" t="n">
        <f aca="false">E22*E21*E23</f>
        <v>589.740063265026</v>
      </c>
      <c r="F24" s="33" t="n">
        <f aca="false">F22*F21*F23</f>
        <v>666.560300667563</v>
      </c>
      <c r="H24" s="6" t="s">
        <v>88</v>
      </c>
    </row>
    <row r="26" customFormat="false" ht="15" hidden="false" customHeight="false" outlineLevel="0" collapsed="false">
      <c r="B26" s="7" t="s">
        <v>89</v>
      </c>
    </row>
    <row r="27" customFormat="false" ht="15" hidden="false" customHeight="false" outlineLevel="0" collapsed="false">
      <c r="B27" s="10" t="s">
        <v>90</v>
      </c>
      <c r="D27" s="27" t="n">
        <f aca="false">D10/C10-1</f>
        <v>0.414213562373095</v>
      </c>
      <c r="E27" s="27" t="n">
        <f aca="false">'DM Inputs'!$E$42</f>
        <v>0.1</v>
      </c>
      <c r="F27" s="27" t="n">
        <f aca="false">'DM Inputs'!$F$42</f>
        <v>0.1</v>
      </c>
      <c r="H27" s="6" t="s">
        <v>91</v>
      </c>
    </row>
    <row r="28" customFormat="false" ht="15" hidden="false" customHeight="false" outlineLevel="0" collapsed="false">
      <c r="B28" s="32" t="s">
        <v>70</v>
      </c>
      <c r="C28" s="33" t="n">
        <f aca="false">C10</f>
        <v>90.5096679918781</v>
      </c>
      <c r="D28" s="33" t="n">
        <f aca="false">D10</f>
        <v>128</v>
      </c>
      <c r="E28" s="33" t="n">
        <f aca="false">D28*(1+E27)</f>
        <v>140.8</v>
      </c>
      <c r="F28" s="33" t="n">
        <f aca="false">E28*(1+F27)</f>
        <v>154.88</v>
      </c>
    </row>
    <row r="30" customFormat="false" ht="15" hidden="false" customHeight="false" outlineLevel="0" collapsed="false">
      <c r="B30" s="7" t="s">
        <v>92</v>
      </c>
    </row>
    <row r="31" customFormat="false" ht="15" hidden="false" customHeight="false" outlineLevel="0" collapsed="false">
      <c r="B31" s="4" t="s">
        <v>68</v>
      </c>
      <c r="C31" s="17" t="n">
        <f aca="false">C24</f>
        <v>362.038671967512</v>
      </c>
      <c r="D31" s="17" t="n">
        <f aca="false">D24</f>
        <v>512</v>
      </c>
      <c r="E31" s="17" t="n">
        <f aca="false">E24</f>
        <v>589.740063265026</v>
      </c>
      <c r="F31" s="17" t="n">
        <f aca="false">F24</f>
        <v>666.560300667563</v>
      </c>
    </row>
    <row r="32" customFormat="false" ht="15" hidden="false" customHeight="false" outlineLevel="0" collapsed="false">
      <c r="B32" s="4" t="s">
        <v>70</v>
      </c>
      <c r="C32" s="17" t="n">
        <f aca="false">C28</f>
        <v>90.5096679918781</v>
      </c>
      <c r="D32" s="17" t="n">
        <f aca="false">D28</f>
        <v>128</v>
      </c>
      <c r="E32" s="17" t="n">
        <f aca="false">E28</f>
        <v>140.8</v>
      </c>
      <c r="F32" s="17" t="n">
        <f aca="false">F28</f>
        <v>154.88</v>
      </c>
    </row>
    <row r="33" customFormat="false" ht="28.35" hidden="false" customHeight="false" outlineLevel="0" collapsed="false">
      <c r="B33" s="28" t="s">
        <v>93</v>
      </c>
      <c r="C33" s="34" t="n">
        <f aca="false">C31+C32</f>
        <v>452.54833995939</v>
      </c>
      <c r="D33" s="34" t="n">
        <f aca="false">D31+D32</f>
        <v>640</v>
      </c>
      <c r="E33" s="34" t="n">
        <f aca="false">E31+E32</f>
        <v>730.540063265026</v>
      </c>
      <c r="F33" s="34" t="n">
        <f aca="false">F31+F32</f>
        <v>821.440300667563</v>
      </c>
      <c r="H33" s="6" t="s">
        <v>94</v>
      </c>
    </row>
    <row r="34" customFormat="false" ht="15" hidden="false" customHeight="false" outlineLevel="0" collapsed="false">
      <c r="B34" s="4" t="s">
        <v>95</v>
      </c>
      <c r="C34" s="17" t="n">
        <f aca="false">'DM Inputs'!$C$7</f>
        <v>15673</v>
      </c>
      <c r="D34" s="17" t="n">
        <f aca="false">'DM Inputs'!$D$7</f>
        <v>17186</v>
      </c>
      <c r="E34" s="17" t="n">
        <f aca="false">'DM Inputs'!$E$7</f>
        <v>19500</v>
      </c>
      <c r="F34" s="17" t="n">
        <f aca="false">'DM Inputs'!$F$7</f>
        <v>21300</v>
      </c>
    </row>
    <row r="35" customFormat="false" ht="15" hidden="false" customHeight="false" outlineLevel="0" collapsed="false">
      <c r="B35" s="10" t="s">
        <v>96</v>
      </c>
      <c r="C35" s="31" t="n">
        <f aca="false">C33/C34*10000</f>
        <v>288.743916263249</v>
      </c>
      <c r="D35" s="31" t="n">
        <f aca="false">D33/D34*10000</f>
        <v>372.396136390085</v>
      </c>
      <c r="E35" s="31" t="n">
        <f aca="false">E33/E34*10000</f>
        <v>374.6359298795</v>
      </c>
      <c r="F35" s="31" t="n">
        <f aca="false">F33/F34*10000</f>
        <v>385.652723318104</v>
      </c>
      <c r="H35" s="6" t="s">
        <v>97</v>
      </c>
    </row>
    <row r="36" customFormat="false" ht="15" hidden="false" customHeight="false" outlineLevel="0" collapsed="false">
      <c r="B36" s="4" t="s">
        <v>98</v>
      </c>
      <c r="D36" s="17" t="n">
        <f aca="false">D33-C33</f>
        <v>187.45166004061</v>
      </c>
      <c r="E36" s="17" t="n">
        <f aca="false">E33-D33</f>
        <v>90.5400632650255</v>
      </c>
      <c r="F36" s="17" t="n">
        <f aca="false">F33-E33</f>
        <v>90.900237402537</v>
      </c>
    </row>
    <row r="37" customFormat="false" ht="41.75" hidden="false" customHeight="false" outlineLevel="0" collapsed="false">
      <c r="B37" s="28" t="s">
        <v>99</v>
      </c>
      <c r="C37" s="29"/>
      <c r="D37" s="35" t="n">
        <f aca="false">D35-C35</f>
        <v>83.6522201268358</v>
      </c>
      <c r="E37" s="35" t="n">
        <f aca="false">E35-D35</f>
        <v>2.23979348941526</v>
      </c>
      <c r="F37" s="35" t="n">
        <f aca="false">F35-E35</f>
        <v>11.0167934386042</v>
      </c>
      <c r="H37" s="6" t="s">
        <v>100</v>
      </c>
    </row>
    <row r="38" customFormat="false" ht="15" hidden="false" customHeight="false" outlineLevel="0" collapsed="false">
      <c r="B38" s="10" t="s">
        <v>101</v>
      </c>
      <c r="D38" s="31" t="n">
        <f aca="false">(D31/D34-C31/C34)*10000</f>
        <v>66.9217761014686</v>
      </c>
      <c r="E38" s="31" t="n">
        <f aca="false">(E31/E34-D31/D34)*10000</f>
        <v>4.51389256230408</v>
      </c>
      <c r="F38" s="31" t="n">
        <f aca="false">(F31/F34-E31/E34)*10000</f>
        <v>10.5083066202582</v>
      </c>
    </row>
    <row r="39" customFormat="false" ht="15" hidden="false" customHeight="false" outlineLevel="0" collapsed="false">
      <c r="B39" s="10" t="s">
        <v>102</v>
      </c>
      <c r="D39" s="31" t="n">
        <f aca="false">D37-D38</f>
        <v>16.7304440253672</v>
      </c>
      <c r="E39" s="31" t="n">
        <f aca="false">E37-E38</f>
        <v>-2.27409907288882</v>
      </c>
      <c r="F39" s="31" t="n">
        <f aca="false">F37-F38</f>
        <v>0.508486818346004</v>
      </c>
    </row>
    <row r="40" customFormat="false" ht="15" hidden="false" customHeight="false" outlineLevel="0" collapsed="false">
      <c r="B40" s="4" t="s">
        <v>103</v>
      </c>
      <c r="D40" s="27" t="n">
        <f aca="false">D33/C33-1</f>
        <v>0.414213562373095</v>
      </c>
      <c r="E40" s="27" t="n">
        <f aca="false">E33/D33-1</f>
        <v>0.141468848851603</v>
      </c>
      <c r="F40" s="27" t="n">
        <f aca="false">F33/E33-1</f>
        <v>0.124428819134537</v>
      </c>
      <c r="H40" s="6" t="s">
        <v>104</v>
      </c>
    </row>
    <row r="41" customFormat="false" ht="28.35" hidden="false" customHeight="false" outlineLevel="0" collapsed="false">
      <c r="B41" s="10" t="s">
        <v>105</v>
      </c>
      <c r="D41" s="11" t="n">
        <f aca="false">'DM Inputs'!$D$8</f>
        <v>0.0965354431187393</v>
      </c>
      <c r="E41" s="11" t="n">
        <f aca="false">'DM Inputs'!$E$8</f>
        <v>0.13464447806354</v>
      </c>
      <c r="F41" s="11" t="n">
        <f aca="false">'DM Inputs'!$F$8</f>
        <v>0.0923076923076922</v>
      </c>
      <c r="H41" s="6" t="s">
        <v>106</v>
      </c>
    </row>
    <row r="42" customFormat="false" ht="15" hidden="false" customHeight="false" outlineLevel="0" collapsed="false">
      <c r="B42" s="4" t="s">
        <v>23</v>
      </c>
      <c r="E42" s="31" t="n">
        <f aca="false">'DM Inputs'!$E$15</f>
        <v>120</v>
      </c>
      <c r="F42" s="31" t="n">
        <f aca="false">'DM Inputs'!$F$15</f>
        <v>130</v>
      </c>
    </row>
    <row r="43" customFormat="false" ht="28.35" hidden="false" customHeight="false" outlineLevel="0" collapsed="false">
      <c r="B43" s="10" t="s">
        <v>107</v>
      </c>
      <c r="E43" s="27" t="n">
        <f aca="false">IF(E42=0,0,E37/E42)</f>
        <v>0.0186649457451272</v>
      </c>
      <c r="F43" s="27" t="n">
        <f aca="false">IF(F42=0,0,F37/F42)</f>
        <v>0.0847445649123402</v>
      </c>
      <c r="H43" s="6" t="s">
        <v>108</v>
      </c>
    </row>
    <row r="45" customFormat="false" ht="15" hidden="false" customHeight="false" outlineLevel="0" collapsed="false">
      <c r="B45" s="7" t="s">
        <v>109</v>
      </c>
    </row>
    <row r="46" customFormat="false" ht="15" hidden="false" customHeight="false" outlineLevel="0" collapsed="false">
      <c r="B46" s="4" t="s">
        <v>110</v>
      </c>
      <c r="C46" s="11" t="n">
        <f aca="false">'DM Inputs'!$C$11</f>
        <v>0.301</v>
      </c>
      <c r="D46" s="11" t="n">
        <f aca="false">'DM Inputs'!$D$11</f>
        <v>0.32</v>
      </c>
      <c r="E46" s="11" t="n">
        <f aca="false">'DM Inputs'!$E$11</f>
        <v>0.332</v>
      </c>
      <c r="F46" s="11" t="n">
        <f aca="false">'DM Inputs'!$F$11</f>
        <v>0.345</v>
      </c>
    </row>
    <row r="47" customFormat="false" ht="15" hidden="false" customHeight="false" outlineLevel="0" collapsed="false">
      <c r="B47" s="4" t="s">
        <v>111</v>
      </c>
      <c r="E47" s="31" t="n">
        <f aca="false">'DM Inputs'!$E$16</f>
        <v>100</v>
      </c>
      <c r="F47" s="31" t="n">
        <f aca="false">'DM Inputs'!$F$16</f>
        <v>80</v>
      </c>
    </row>
    <row r="48" customFormat="false" ht="15" hidden="false" customHeight="false" outlineLevel="0" collapsed="false">
      <c r="B48" s="32" t="s">
        <v>112</v>
      </c>
      <c r="C48" s="36" t="n">
        <f aca="false">'DM Inputs'!$C$11</f>
        <v>0.301</v>
      </c>
      <c r="D48" s="36" t="n">
        <f aca="false">'DM Inputs'!$D$11</f>
        <v>0.32</v>
      </c>
      <c r="E48" s="36" t="n">
        <f aca="false">D48+(E47+E37)/10000</f>
        <v>0.330223979348942</v>
      </c>
      <c r="F48" s="36" t="n">
        <f aca="false">E48+(F47+F37)/10000</f>
        <v>0.339325658692802</v>
      </c>
    </row>
    <row r="49" customFormat="false" ht="15" hidden="false" customHeight="false" outlineLevel="0" collapsed="false">
      <c r="B49" s="10" t="s">
        <v>113</v>
      </c>
      <c r="E49" s="31" t="n">
        <f aca="false">(E48-E46)*10000</f>
        <v>-17.7602065105847</v>
      </c>
      <c r="F49" s="31" t="n">
        <f aca="false">(F48-F46)*10000</f>
        <v>-56.7434130719802</v>
      </c>
    </row>
    <row r="50" customFormat="false" ht="15" hidden="false" customHeight="false" outlineLevel="0" collapsed="false">
      <c r="B50" s="10" t="s">
        <v>114</v>
      </c>
      <c r="C50" s="27" t="n">
        <f aca="false">'DM Inputs'!$C$14</f>
        <v>0.35</v>
      </c>
      <c r="D50" s="27" t="n">
        <f aca="false">'DM Inputs'!$D$14</f>
        <v>0.4</v>
      </c>
      <c r="H50" s="6" t="s">
        <v>115</v>
      </c>
    </row>
    <row r="52" customFormat="false" ht="15" hidden="false" customHeight="false" outlineLevel="0" collapsed="false">
      <c r="B52" s="7" t="s">
        <v>116</v>
      </c>
    </row>
    <row r="53" customFormat="false" ht="15" hidden="false" customHeight="false" outlineLevel="0" collapsed="false">
      <c r="B53" s="4" t="s">
        <v>117</v>
      </c>
      <c r="C53" s="17" t="n">
        <f aca="false">C24</f>
        <v>362.038671967512</v>
      </c>
      <c r="D53" s="17" t="n">
        <f aca="false">D24</f>
        <v>512</v>
      </c>
      <c r="E53" s="17" t="n">
        <f aca="false">E22*(D19+'DM Inputs'!$E$35)*(D20+'DM Inputs'!$E$41)*E23</f>
        <v>619.205250309449</v>
      </c>
      <c r="F53" s="17" t="n">
        <f aca="false">F22*(D19+'DM Inputs'!$F$35)*(D20+'DM Inputs'!$F$41)*F23</f>
        <v>705.880466923395</v>
      </c>
    </row>
    <row r="54" customFormat="false" ht="15" hidden="false" customHeight="false" outlineLevel="0" collapsed="false">
      <c r="B54" s="4" t="s">
        <v>118</v>
      </c>
      <c r="C54" s="17" t="n">
        <f aca="false">C28</f>
        <v>90.5096679918781</v>
      </c>
      <c r="D54" s="17" t="n">
        <f aca="false">D28</f>
        <v>128</v>
      </c>
      <c r="E54" s="17" t="n">
        <f aca="false">D54*(1+'DM Inputs'!$E$45)</f>
        <v>153.6</v>
      </c>
      <c r="F54" s="17" t="n">
        <f aca="false">E54*(1+'DM Inputs'!$F$45)</f>
        <v>184.32</v>
      </c>
    </row>
    <row r="55" customFormat="false" ht="15" hidden="false" customHeight="false" outlineLevel="0" collapsed="false">
      <c r="B55" s="4" t="s">
        <v>119</v>
      </c>
      <c r="C55" s="17" t="n">
        <f aca="false">C53+C54</f>
        <v>452.54833995939</v>
      </c>
      <c r="D55" s="17" t="n">
        <f aca="false">D53+D54</f>
        <v>640</v>
      </c>
      <c r="E55" s="17" t="n">
        <f aca="false">E53+E54</f>
        <v>772.805250309449</v>
      </c>
      <c r="F55" s="17" t="n">
        <f aca="false">F53+F54</f>
        <v>890.200466923395</v>
      </c>
    </row>
    <row r="56" customFormat="false" ht="15" hidden="false" customHeight="false" outlineLevel="0" collapsed="false">
      <c r="B56" s="7" t="s">
        <v>120</v>
      </c>
      <c r="D56" s="37" t="n">
        <f aca="false">D37</f>
        <v>83.6522201268358</v>
      </c>
      <c r="E56" s="37" t="n">
        <f aca="false">(E55/E34-D55/D34)*10000</f>
        <v>23.9142483839912</v>
      </c>
      <c r="F56" s="37" t="n">
        <f aca="false">(F55/F34-E55/E34)*10000</f>
        <v>21.6241067392545</v>
      </c>
    </row>
    <row r="57" customFormat="false" ht="15" hidden="false" customHeight="false" outlineLevel="0" collapsed="false">
      <c r="B57" s="32" t="s">
        <v>121</v>
      </c>
      <c r="C57" s="36" t="n">
        <f aca="false">'DM Inputs'!$C$11</f>
        <v>0.301</v>
      </c>
      <c r="D57" s="36" t="n">
        <f aca="false">'DM Inputs'!$D$11</f>
        <v>0.32</v>
      </c>
      <c r="E57" s="36" t="n">
        <f aca="false">D57+(E47+E56)/10000</f>
        <v>0.332391424838399</v>
      </c>
      <c r="F57" s="36" t="n">
        <f aca="false">E57+(F47+F56)/10000</f>
        <v>0.342553835512325</v>
      </c>
      <c r="H57" s="6" t="s">
        <v>122</v>
      </c>
    </row>
    <row r="59" customFormat="false" ht="15" hidden="false" customHeight="false" outlineLevel="0" collapsed="false">
      <c r="B59" s="4" t="s">
        <v>123</v>
      </c>
      <c r="C59" s="17" t="n">
        <f aca="false">C24</f>
        <v>362.038671967512</v>
      </c>
      <c r="D59" s="17" t="n">
        <f aca="false">D24</f>
        <v>512</v>
      </c>
      <c r="E59" s="17" t="n">
        <f aca="false">E22*(D19+'DM Inputs'!$E$34)*(D20+'DM Inputs'!$E$40)*E23</f>
        <v>589.740063265026</v>
      </c>
      <c r="F59" s="17" t="n">
        <f aca="false">F22*(D19+'DM Inputs'!$F$34)*(D20+'DM Inputs'!$F$40)*F23</f>
        <v>666.560300667563</v>
      </c>
    </row>
    <row r="60" customFormat="false" ht="15" hidden="false" customHeight="false" outlineLevel="0" collapsed="false">
      <c r="B60" s="4" t="s">
        <v>124</v>
      </c>
      <c r="C60" s="17" t="n">
        <f aca="false">C28</f>
        <v>90.5096679918781</v>
      </c>
      <c r="D60" s="17" t="n">
        <f aca="false">D28</f>
        <v>128</v>
      </c>
      <c r="E60" s="17" t="n">
        <f aca="false">D60*(1+'DM Inputs'!$E$44)</f>
        <v>140.8</v>
      </c>
      <c r="F60" s="17" t="n">
        <f aca="false">E60*(1+'DM Inputs'!$F$44)</f>
        <v>154.88</v>
      </c>
    </row>
    <row r="61" customFormat="false" ht="15" hidden="false" customHeight="false" outlineLevel="0" collapsed="false">
      <c r="B61" s="4" t="s">
        <v>125</v>
      </c>
      <c r="C61" s="17" t="n">
        <f aca="false">C59+C60</f>
        <v>452.54833995939</v>
      </c>
      <c r="D61" s="17" t="n">
        <f aca="false">D59+D60</f>
        <v>640</v>
      </c>
      <c r="E61" s="17" t="n">
        <f aca="false">E59+E60</f>
        <v>730.540063265026</v>
      </c>
      <c r="F61" s="17" t="n">
        <f aca="false">F59+F60</f>
        <v>821.440300667563</v>
      </c>
    </row>
    <row r="62" customFormat="false" ht="15" hidden="false" customHeight="false" outlineLevel="0" collapsed="false">
      <c r="B62" s="7" t="s">
        <v>126</v>
      </c>
      <c r="D62" s="37" t="n">
        <f aca="false">D37</f>
        <v>83.6522201268358</v>
      </c>
      <c r="E62" s="37" t="n">
        <f aca="false">(E61/E34-D61/D34)*10000</f>
        <v>2.23979348941528</v>
      </c>
      <c r="F62" s="37" t="n">
        <f aca="false">(F61/F34-E61/E34)*10000</f>
        <v>11.0167934386042</v>
      </c>
    </row>
    <row r="63" customFormat="false" ht="28.35" hidden="false" customHeight="false" outlineLevel="0" collapsed="false">
      <c r="B63" s="32" t="s">
        <v>127</v>
      </c>
      <c r="C63" s="36" t="n">
        <f aca="false">'DM Inputs'!$C$11</f>
        <v>0.301</v>
      </c>
      <c r="D63" s="36" t="n">
        <f aca="false">'DM Inputs'!$D$11</f>
        <v>0.32</v>
      </c>
      <c r="E63" s="36" t="n">
        <f aca="false">D63+(E47+E62)/10000</f>
        <v>0.330223979348942</v>
      </c>
      <c r="F63" s="36" t="n">
        <f aca="false">E63+(F47+F62)/10000</f>
        <v>0.339325658692802</v>
      </c>
      <c r="H63" s="6" t="s">
        <v>128</v>
      </c>
    </row>
    <row r="65" customFormat="false" ht="15" hidden="false" customHeight="false" outlineLevel="0" collapsed="false">
      <c r="B65" s="4" t="s">
        <v>129</v>
      </c>
      <c r="C65" s="17" t="n">
        <f aca="false">C24</f>
        <v>362.038671967512</v>
      </c>
      <c r="D65" s="17" t="n">
        <f aca="false">D24</f>
        <v>512</v>
      </c>
      <c r="E65" s="17" t="n">
        <f aca="false">E22*(D19+'DM Inputs'!$E$33)*(D20+'DM Inputs'!$E$39)*E23</f>
        <v>569.592662632375</v>
      </c>
      <c r="F65" s="17" t="n">
        <f aca="false">F22*(D19+'DM Inputs'!$F$33)*(D20+'DM Inputs'!$F$39)*F23</f>
        <v>647.408147752399</v>
      </c>
    </row>
    <row r="66" customFormat="false" ht="15" hidden="false" customHeight="false" outlineLevel="0" collapsed="false">
      <c r="B66" s="4" t="s">
        <v>130</v>
      </c>
      <c r="C66" s="17" t="n">
        <f aca="false">C28</f>
        <v>90.5096679918781</v>
      </c>
      <c r="D66" s="17" t="n">
        <f aca="false">D28</f>
        <v>128</v>
      </c>
      <c r="E66" s="17" t="n">
        <f aca="false">D66*(1+'DM Inputs'!$E$43)</f>
        <v>128</v>
      </c>
      <c r="F66" s="17" t="n">
        <f aca="false">E66*(1+'DM Inputs'!$F$43)</f>
        <v>128</v>
      </c>
    </row>
    <row r="67" customFormat="false" ht="15" hidden="false" customHeight="false" outlineLevel="0" collapsed="false">
      <c r="B67" s="4" t="s">
        <v>131</v>
      </c>
      <c r="C67" s="17" t="n">
        <f aca="false">C65+C66</f>
        <v>452.54833995939</v>
      </c>
      <c r="D67" s="17" t="n">
        <f aca="false">D65+D66</f>
        <v>640</v>
      </c>
      <c r="E67" s="17" t="n">
        <f aca="false">E65+E66</f>
        <v>697.592662632375</v>
      </c>
      <c r="F67" s="17" t="n">
        <f aca="false">F65+F66</f>
        <v>775.408147752399</v>
      </c>
    </row>
    <row r="68" customFormat="false" ht="15" hidden="false" customHeight="false" outlineLevel="0" collapsed="false">
      <c r="B68" s="7" t="s">
        <v>132</v>
      </c>
      <c r="D68" s="37" t="n">
        <f aca="false">D37</f>
        <v>83.6522201268358</v>
      </c>
      <c r="E68" s="37" t="n">
        <f aca="false">(E67/E34-D67/D34)*10000</f>
        <v>-14.6563093991233</v>
      </c>
      <c r="F68" s="37" t="n">
        <f aca="false">(F67/F34-E67/E34)*10000</f>
        <v>6.30155693035241</v>
      </c>
    </row>
    <row r="69" customFormat="false" ht="28.35" hidden="false" customHeight="false" outlineLevel="0" collapsed="false">
      <c r="B69" s="32" t="s">
        <v>133</v>
      </c>
      <c r="C69" s="36" t="n">
        <f aca="false">'DM Inputs'!$C$11</f>
        <v>0.301</v>
      </c>
      <c r="D69" s="36" t="n">
        <f aca="false">'DM Inputs'!$D$11</f>
        <v>0.32</v>
      </c>
      <c r="E69" s="36" t="n">
        <f aca="false">D69+(E47+E68)/10000</f>
        <v>0.328534369060088</v>
      </c>
      <c r="F69" s="36" t="n">
        <f aca="false">E69+(F47+F68)/10000</f>
        <v>0.337164524753123</v>
      </c>
      <c r="H69" s="6" t="s">
        <v>134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9"/>
    <col collapsed="false" customWidth="true" hidden="false" outlineLevel="0" max="2" min="2" style="0" width="46"/>
    <col collapsed="false" customWidth="true" hidden="false" outlineLevel="0" max="10" min="3" style="0" width="12"/>
  </cols>
  <sheetData>
    <row r="2" customFormat="false" ht="15" hidden="false" customHeight="false" outlineLevel="0" collapsed="false">
      <c r="B2" s="1" t="s">
        <v>135</v>
      </c>
      <c r="C2" s="2"/>
      <c r="D2" s="2"/>
      <c r="E2" s="2"/>
      <c r="F2" s="2"/>
      <c r="G2" s="1"/>
      <c r="H2" s="1"/>
      <c r="I2" s="1"/>
      <c r="J2" s="1"/>
    </row>
    <row r="3" customFormat="false" ht="15" hidden="false" customHeight="false" outlineLevel="0" collapsed="false">
      <c r="B3" s="3"/>
      <c r="C3" s="3"/>
      <c r="D3" s="3"/>
      <c r="E3" s="3"/>
      <c r="F3" s="3"/>
      <c r="G3" s="3"/>
      <c r="H3" s="3"/>
      <c r="I3" s="3"/>
      <c r="J3" s="3"/>
    </row>
    <row r="4" customFormat="false" ht="15" hidden="false" customHeight="false" outlineLevel="0" collapsed="false">
      <c r="B4" s="26" t="s">
        <v>136</v>
      </c>
    </row>
    <row r="5" customFormat="false" ht="15" hidden="false" customHeight="false" outlineLevel="0" collapsed="false">
      <c r="B5" s="7" t="s">
        <v>137</v>
      </c>
      <c r="C5" s="38" t="n">
        <v>0.4</v>
      </c>
      <c r="D5" s="38" t="n">
        <v>0.5</v>
      </c>
      <c r="E5" s="38" t="n">
        <v>0.6</v>
      </c>
      <c r="F5" s="38" t="n">
        <v>0.7</v>
      </c>
      <c r="G5" s="38" t="n">
        <v>0.8</v>
      </c>
      <c r="H5" s="38" t="n">
        <v>0.9</v>
      </c>
      <c r="I5" s="38" t="n">
        <v>1</v>
      </c>
    </row>
    <row r="6" customFormat="false" ht="15" hidden="false" customHeight="false" outlineLevel="0" collapsed="false">
      <c r="B6" s="39" t="n">
        <v>0.12</v>
      </c>
      <c r="C6" s="31" t="n">
        <f aca="false">'DM GM Bridge'!$F$22*$B6*C$5*'DM GM Bridge'!$F$23/'DM GM Bridge'!$F$34*10000</f>
        <v>84.6270219946468</v>
      </c>
      <c r="D6" s="31" t="n">
        <f aca="false">'DM GM Bridge'!$F$22*$B6*D$5*'DM GM Bridge'!$F$23/'DM GM Bridge'!$F$34*10000</f>
        <v>105.783777493309</v>
      </c>
      <c r="E6" s="31" t="n">
        <f aca="false">'DM GM Bridge'!$F$22*$B6*E$5*'DM GM Bridge'!$F$23/'DM GM Bridge'!$F$34*10000</f>
        <v>126.94053299197</v>
      </c>
      <c r="F6" s="31" t="n">
        <f aca="false">'DM GM Bridge'!$F$22*$B6*F$5*'DM GM Bridge'!$F$23/'DM GM Bridge'!$F$34*10000</f>
        <v>148.097288490632</v>
      </c>
      <c r="G6" s="31" t="n">
        <f aca="false">'DM GM Bridge'!$F$22*$B6*G$5*'DM GM Bridge'!$F$23/'DM GM Bridge'!$F$34*10000</f>
        <v>169.254043989294</v>
      </c>
      <c r="H6" s="31" t="n">
        <f aca="false">'DM GM Bridge'!$F$22*$B6*H$5*'DM GM Bridge'!$F$23/'DM GM Bridge'!$F$34*10000</f>
        <v>190.410799487955</v>
      </c>
      <c r="I6" s="31" t="n">
        <f aca="false">'DM GM Bridge'!$F$22*$B6*I$5*'DM GM Bridge'!$F$23/'DM GM Bridge'!$F$34*10000</f>
        <v>211.567554986617</v>
      </c>
    </row>
    <row r="7" customFormat="false" ht="15" hidden="false" customHeight="false" outlineLevel="0" collapsed="false">
      <c r="B7" s="39" t="n">
        <v>0.15</v>
      </c>
      <c r="C7" s="31" t="n">
        <f aca="false">'DM GM Bridge'!$F$22*$B7*C$5*'DM GM Bridge'!$F$23/'DM GM Bridge'!$F$34*10000</f>
        <v>105.783777493309</v>
      </c>
      <c r="D7" s="31" t="n">
        <f aca="false">'DM GM Bridge'!$F$22*$B7*D$5*'DM GM Bridge'!$F$23/'DM GM Bridge'!$F$34*10000</f>
        <v>132.229721866636</v>
      </c>
      <c r="E7" s="31" t="n">
        <f aca="false">'DM GM Bridge'!$F$22*$B7*E$5*'DM GM Bridge'!$F$23/'DM GM Bridge'!$F$34*10000</f>
        <v>158.675666239963</v>
      </c>
      <c r="F7" s="31" t="n">
        <f aca="false">'DM GM Bridge'!$F$22*$B7*F$5*'DM GM Bridge'!$F$23/'DM GM Bridge'!$F$34*10000</f>
        <v>185.12161061329</v>
      </c>
      <c r="G7" s="31" t="n">
        <f aca="false">'DM GM Bridge'!$F$22*$B7*G$5*'DM GM Bridge'!$F$23/'DM GM Bridge'!$F$34*10000</f>
        <v>211.567554986617</v>
      </c>
      <c r="H7" s="31" t="n">
        <f aca="false">'DM GM Bridge'!$F$22*$B7*H$5*'DM GM Bridge'!$F$23/'DM GM Bridge'!$F$34*10000</f>
        <v>238.013499359944</v>
      </c>
      <c r="I7" s="31" t="n">
        <f aca="false">'DM GM Bridge'!$F$22*$B7*I$5*'DM GM Bridge'!$F$23/'DM GM Bridge'!$F$34*10000</f>
        <v>264.459443733271</v>
      </c>
    </row>
    <row r="8" customFormat="false" ht="15" hidden="false" customHeight="false" outlineLevel="0" collapsed="false">
      <c r="B8" s="39" t="n">
        <v>0.18</v>
      </c>
      <c r="C8" s="31" t="n">
        <f aca="false">'DM GM Bridge'!$F$22*$B8*C$5*'DM GM Bridge'!$F$23/'DM GM Bridge'!$F$34*10000</f>
        <v>126.94053299197</v>
      </c>
      <c r="D8" s="31" t="n">
        <f aca="false">'DM GM Bridge'!$F$22*$B8*D$5*'DM GM Bridge'!$F$23/'DM GM Bridge'!$F$34*10000</f>
        <v>158.675666239963</v>
      </c>
      <c r="E8" s="31" t="n">
        <f aca="false">'DM GM Bridge'!$F$22*$B8*E$5*'DM GM Bridge'!$F$23/'DM GM Bridge'!$F$34*10000</f>
        <v>190.410799487955</v>
      </c>
      <c r="F8" s="31" t="n">
        <f aca="false">'DM GM Bridge'!$F$22*$B8*F$5*'DM GM Bridge'!$F$23/'DM GM Bridge'!$F$34*10000</f>
        <v>222.145932735948</v>
      </c>
      <c r="G8" s="31" t="n">
        <f aca="false">'DM GM Bridge'!$F$22*$B8*G$5*'DM GM Bridge'!$F$23/'DM GM Bridge'!$F$34*10000</f>
        <v>253.88106598394</v>
      </c>
      <c r="H8" s="31" t="n">
        <f aca="false">'DM GM Bridge'!$F$22*$B8*H$5*'DM GM Bridge'!$F$23/'DM GM Bridge'!$F$34*10000</f>
        <v>285.616199231933</v>
      </c>
      <c r="I8" s="31" t="n">
        <f aca="false">'DM GM Bridge'!$F$22*$B8*I$5*'DM GM Bridge'!$F$23/'DM GM Bridge'!$F$34*10000</f>
        <v>317.351332479926</v>
      </c>
    </row>
    <row r="9" customFormat="false" ht="15" hidden="false" customHeight="false" outlineLevel="0" collapsed="false">
      <c r="B9" s="39" t="n">
        <v>0.21</v>
      </c>
      <c r="C9" s="31" t="n">
        <f aca="false">'DM GM Bridge'!$F$22*$B9*C$5*'DM GM Bridge'!$F$23/'DM GM Bridge'!$F$34*10000</f>
        <v>148.097288490632</v>
      </c>
      <c r="D9" s="31" t="n">
        <f aca="false">'DM GM Bridge'!$F$22*$B9*D$5*'DM GM Bridge'!$F$23/'DM GM Bridge'!$F$34*10000</f>
        <v>185.12161061329</v>
      </c>
      <c r="E9" s="31" t="n">
        <f aca="false">'DM GM Bridge'!$F$22*$B9*E$5*'DM GM Bridge'!$F$23/'DM GM Bridge'!$F$34*10000</f>
        <v>222.145932735948</v>
      </c>
      <c r="F9" s="31" t="n">
        <f aca="false">'DM GM Bridge'!$F$22*$B9*F$5*'DM GM Bridge'!$F$23/'DM GM Bridge'!$F$34*10000</f>
        <v>259.170254858606</v>
      </c>
      <c r="G9" s="31" t="n">
        <f aca="false">'DM GM Bridge'!$F$22*$B9*G$5*'DM GM Bridge'!$F$23/'DM GM Bridge'!$F$34*10000</f>
        <v>296.194576981264</v>
      </c>
      <c r="H9" s="31" t="n">
        <f aca="false">'DM GM Bridge'!$F$22*$B9*H$5*'DM GM Bridge'!$F$23/'DM GM Bridge'!$F$34*10000</f>
        <v>333.218899103922</v>
      </c>
      <c r="I9" s="31" t="n">
        <f aca="false">'DM GM Bridge'!$F$22*$B9*I$5*'DM GM Bridge'!$F$23/'DM GM Bridge'!$F$34*10000</f>
        <v>370.24322122658</v>
      </c>
    </row>
    <row r="10" customFormat="false" ht="15" hidden="false" customHeight="false" outlineLevel="0" collapsed="false">
      <c r="B10" s="39" t="n">
        <v>0.24</v>
      </c>
      <c r="C10" s="31" t="n">
        <f aca="false">'DM GM Bridge'!$F$22*$B10*C$5*'DM GM Bridge'!$F$23/'DM GM Bridge'!$F$34*10000</f>
        <v>169.254043989294</v>
      </c>
      <c r="D10" s="31" t="n">
        <f aca="false">'DM GM Bridge'!$F$22*$B10*D$5*'DM GM Bridge'!$F$23/'DM GM Bridge'!$F$34*10000</f>
        <v>211.567554986617</v>
      </c>
      <c r="E10" s="31" t="n">
        <f aca="false">'DM GM Bridge'!$F$22*$B10*E$5*'DM GM Bridge'!$F$23/'DM GM Bridge'!$F$34*10000</f>
        <v>253.88106598394</v>
      </c>
      <c r="F10" s="31" t="n">
        <f aca="false">'DM GM Bridge'!$F$22*$B10*F$5*'DM GM Bridge'!$F$23/'DM GM Bridge'!$F$34*10000</f>
        <v>296.194576981264</v>
      </c>
      <c r="G10" s="31" t="n">
        <f aca="false">'DM GM Bridge'!$F$22*$B10*G$5*'DM GM Bridge'!$F$23/'DM GM Bridge'!$F$34*10000</f>
        <v>338.508087978587</v>
      </c>
      <c r="H10" s="31" t="n">
        <f aca="false">'DM GM Bridge'!$F$22*$B10*H$5*'DM GM Bridge'!$F$23/'DM GM Bridge'!$F$34*10000</f>
        <v>380.821598975911</v>
      </c>
      <c r="I10" s="31" t="n">
        <f aca="false">'DM GM Bridge'!$F$22*$B10*I$5*'DM GM Bridge'!$F$23/'DM GM Bridge'!$F$34*10000</f>
        <v>423.135109973234</v>
      </c>
    </row>
    <row r="11" customFormat="false" ht="15" hidden="false" customHeight="false" outlineLevel="0" collapsed="false">
      <c r="B11" s="4" t="s">
        <v>138</v>
      </c>
      <c r="C11" s="31" t="n">
        <f aca="false">'DM GM Bridge'!D24/'DM GM Bridge'!D34*10000</f>
        <v>297.916909112068</v>
      </c>
    </row>
    <row r="12" customFormat="false" ht="15" hidden="false" customHeight="false" outlineLevel="0" collapsed="false">
      <c r="B12" s="4" t="s">
        <v>139</v>
      </c>
      <c r="C12" s="11" t="n">
        <f aca="false">'DM GM Bridge'!D19</f>
        <v>0.33</v>
      </c>
      <c r="D12" s="11" t="n">
        <f aca="false">'DM GM Bridge'!D20</f>
        <v>0.512051205120512</v>
      </c>
    </row>
    <row r="13" customFormat="false" ht="15" hidden="false" customHeight="false" outlineLevel="0" collapsed="false">
      <c r="B13" s="26" t="s">
        <v>140</v>
      </c>
    </row>
    <row r="15" customFormat="false" ht="15" hidden="false" customHeight="false" outlineLevel="0" collapsed="false">
      <c r="B15" s="26" t="s">
        <v>141</v>
      </c>
    </row>
    <row r="16" customFormat="false" ht="15" hidden="false" customHeight="false" outlineLevel="0" collapsed="false">
      <c r="B16" s="7" t="s">
        <v>142</v>
      </c>
      <c r="C16" s="38" t="n">
        <v>0.35</v>
      </c>
      <c r="D16" s="38" t="n">
        <v>0.45</v>
      </c>
      <c r="E16" s="38" t="n">
        <v>0.55</v>
      </c>
      <c r="F16" s="38" t="n">
        <v>0.65</v>
      </c>
    </row>
    <row r="17" customFormat="false" ht="15" hidden="false" customHeight="false" outlineLevel="0" collapsed="false">
      <c r="B17" s="39" t="n">
        <v>0.12</v>
      </c>
      <c r="C17" s="27" t="n">
        <f aca="false">IF($B17*'DM Inputs'!$D$30=0,0,('DM Inputs'!$D$21*C$16)/('DM Inputs'!$D$26*$B17*'DM Inputs'!$D$30))</f>
        <v>0.616061606160616</v>
      </c>
      <c r="D17" s="27" t="n">
        <f aca="false">IF($B17*'DM Inputs'!$D$30=0,0,('DM Inputs'!$D$21*D$16)/('DM Inputs'!$D$26*$B17*'DM Inputs'!$D$30))</f>
        <v>0.792079207920792</v>
      </c>
      <c r="E17" s="27" t="n">
        <f aca="false">IF($B17*'DM Inputs'!$D$30=0,0,('DM Inputs'!$D$21*E$16)/('DM Inputs'!$D$26*$B17*'DM Inputs'!$D$30))</f>
        <v>0.968096809680968</v>
      </c>
      <c r="F17" s="27" t="n">
        <f aca="false">IF($B17*'DM Inputs'!$D$30=0,0,('DM Inputs'!$D$21*F$16)/('DM Inputs'!$D$26*$B17*'DM Inputs'!$D$30))</f>
        <v>1.14411441144114</v>
      </c>
    </row>
    <row r="18" customFormat="false" ht="15" hidden="false" customHeight="false" outlineLevel="0" collapsed="false">
      <c r="B18" s="39" t="n">
        <v>0.15</v>
      </c>
      <c r="C18" s="27" t="n">
        <f aca="false">IF($B18*'DM Inputs'!$D$30=0,0,('DM Inputs'!$D$21*C$16)/('DM Inputs'!$D$26*$B18*'DM Inputs'!$D$30))</f>
        <v>0.492849284928493</v>
      </c>
      <c r="D18" s="27" t="n">
        <f aca="false">IF($B18*'DM Inputs'!$D$30=0,0,('DM Inputs'!$D$21*D$16)/('DM Inputs'!$D$26*$B18*'DM Inputs'!$D$30))</f>
        <v>0.633663366336634</v>
      </c>
      <c r="E18" s="27" t="n">
        <f aca="false">IF($B18*'DM Inputs'!$D$30=0,0,('DM Inputs'!$D$21*E$16)/('DM Inputs'!$D$26*$B18*'DM Inputs'!$D$30))</f>
        <v>0.774477447744774</v>
      </c>
      <c r="F18" s="27" t="n">
        <f aca="false">IF($B18*'DM Inputs'!$D$30=0,0,('DM Inputs'!$D$21*F$16)/('DM Inputs'!$D$26*$B18*'DM Inputs'!$D$30))</f>
        <v>0.915291529152915</v>
      </c>
    </row>
    <row r="19" customFormat="false" ht="15" hidden="false" customHeight="false" outlineLevel="0" collapsed="false">
      <c r="B19" s="39" t="n">
        <v>0.18</v>
      </c>
      <c r="C19" s="27" t="n">
        <f aca="false">IF($B19*'DM Inputs'!$D$30=0,0,('DM Inputs'!$D$21*C$16)/('DM Inputs'!$D$26*$B19*'DM Inputs'!$D$30))</f>
        <v>0.410707737440411</v>
      </c>
      <c r="D19" s="27" t="n">
        <f aca="false">IF($B19*'DM Inputs'!$D$30=0,0,('DM Inputs'!$D$21*D$16)/('DM Inputs'!$D$26*$B19*'DM Inputs'!$D$30))</f>
        <v>0.528052805280528</v>
      </c>
      <c r="E19" s="27" t="n">
        <f aca="false">IF($B19*'DM Inputs'!$D$30=0,0,('DM Inputs'!$D$21*E$16)/('DM Inputs'!$D$26*$B19*'DM Inputs'!$D$30))</f>
        <v>0.645397873120645</v>
      </c>
      <c r="F19" s="27" t="n">
        <f aca="false">IF($B19*'DM Inputs'!$D$30=0,0,('DM Inputs'!$D$21*F$16)/('DM Inputs'!$D$26*$B19*'DM Inputs'!$D$30))</f>
        <v>0.762742940960763</v>
      </c>
    </row>
    <row r="20" customFormat="false" ht="15" hidden="false" customHeight="false" outlineLevel="0" collapsed="false">
      <c r="B20" s="39" t="n">
        <v>0.21</v>
      </c>
      <c r="C20" s="27" t="n">
        <f aca="false">IF($B20*'DM Inputs'!$D$30=0,0,('DM Inputs'!$D$21*C$16)/('DM Inputs'!$D$26*$B20*'DM Inputs'!$D$30))</f>
        <v>0.352035203520352</v>
      </c>
      <c r="D20" s="27" t="n">
        <f aca="false">IF($B20*'DM Inputs'!$D$30=0,0,('DM Inputs'!$D$21*D$16)/('DM Inputs'!$D$26*$B20*'DM Inputs'!$D$30))</f>
        <v>0.452616690240453</v>
      </c>
      <c r="E20" s="27" t="n">
        <f aca="false">IF($B20*'DM Inputs'!$D$30=0,0,('DM Inputs'!$D$21*E$16)/('DM Inputs'!$D$26*$B20*'DM Inputs'!$D$30))</f>
        <v>0.553198176960553</v>
      </c>
      <c r="F20" s="27" t="n">
        <f aca="false">IF($B20*'DM Inputs'!$D$30=0,0,('DM Inputs'!$D$21*F$16)/('DM Inputs'!$D$26*$B20*'DM Inputs'!$D$30))</f>
        <v>0.653779663680654</v>
      </c>
    </row>
    <row r="21" customFormat="false" ht="15" hidden="false" customHeight="false" outlineLevel="0" collapsed="false">
      <c r="B21" s="39" t="n">
        <v>0.24</v>
      </c>
      <c r="C21" s="27" t="n">
        <f aca="false">IF($B21*'DM Inputs'!$D$30=0,0,('DM Inputs'!$D$21*C$16)/('DM Inputs'!$D$26*$B21*'DM Inputs'!$D$30))</f>
        <v>0.308030803080308</v>
      </c>
      <c r="D21" s="27" t="n">
        <f aca="false">IF($B21*'DM Inputs'!$D$30=0,0,('DM Inputs'!$D$21*D$16)/('DM Inputs'!$D$26*$B21*'DM Inputs'!$D$30))</f>
        <v>0.396039603960396</v>
      </c>
      <c r="E21" s="27" t="n">
        <f aca="false">IF($B21*'DM Inputs'!$D$30=0,0,('DM Inputs'!$D$21*E$16)/('DM Inputs'!$D$26*$B21*'DM Inputs'!$D$30))</f>
        <v>0.484048404840484</v>
      </c>
      <c r="F21" s="27" t="n">
        <f aca="false">IF($B21*'DM Inputs'!$D$30=0,0,('DM Inputs'!$D$21*F$16)/('DM Inputs'!$D$26*$B21*'DM Inputs'!$D$30))</f>
        <v>0.572057205720572</v>
      </c>
    </row>
    <row r="23" customFormat="false" ht="15" hidden="false" customHeight="false" outlineLevel="0" collapsed="false">
      <c r="B23" s="26" t="s">
        <v>143</v>
      </c>
    </row>
    <row r="24" customFormat="false" ht="15" hidden="false" customHeight="false" outlineLevel="0" collapsed="false">
      <c r="B24" s="7" t="s">
        <v>137</v>
      </c>
      <c r="C24" s="38" t="n">
        <v>0.4</v>
      </c>
      <c r="D24" s="38" t="n">
        <v>0.5</v>
      </c>
      <c r="E24" s="38" t="n">
        <v>0.6</v>
      </c>
      <c r="F24" s="38" t="n">
        <v>0.7</v>
      </c>
      <c r="G24" s="38" t="n">
        <v>0.8</v>
      </c>
      <c r="H24" s="38" t="n">
        <v>0.9</v>
      </c>
      <c r="I24" s="38" t="n">
        <v>1</v>
      </c>
    </row>
    <row r="25" customFormat="false" ht="15" hidden="false" customHeight="false" outlineLevel="0" collapsed="false">
      <c r="B25" s="39" t="n">
        <v>0.12</v>
      </c>
      <c r="C25" s="31" t="n">
        <f aca="false">(('DM GM Bridge'!$F$22*$B25*C$24*'DM GM Bridge'!$F$23+'DM GM Bridge'!$F$28)/'DM GM Bridge'!$F$34-'DM GM Bridge'!$E$35/10000)*10000</f>
        <v>-217.295292861379</v>
      </c>
      <c r="D25" s="31" t="n">
        <f aca="false">(('DM GM Bridge'!$F$22*$B25*D$24*'DM GM Bridge'!$F$23+'DM GM Bridge'!$F$28)/'DM GM Bridge'!$F$34-'DM GM Bridge'!$E$35/10000)*10000</f>
        <v>-196.138537362718</v>
      </c>
      <c r="E25" s="31" t="n">
        <f aca="false">(('DM GM Bridge'!$F$22*$B25*E$24*'DM GM Bridge'!$F$23+'DM GM Bridge'!$F$28)/'DM GM Bridge'!$F$34-'DM GM Bridge'!$E$35/10000)*10000</f>
        <v>-174.981781864056</v>
      </c>
      <c r="F25" s="31" t="n">
        <f aca="false">(('DM GM Bridge'!$F$22*$B25*F$24*'DM GM Bridge'!$F$23+'DM GM Bridge'!$F$28)/'DM GM Bridge'!$F$34-'DM GM Bridge'!$E$35/10000)*10000</f>
        <v>-153.825026365394</v>
      </c>
      <c r="G25" s="31" t="n">
        <f aca="false">(('DM GM Bridge'!$F$22*$B25*G$24*'DM GM Bridge'!$F$23+'DM GM Bridge'!$F$28)/'DM GM Bridge'!$F$34-'DM GM Bridge'!$E$35/10000)*10000</f>
        <v>-132.668270866732</v>
      </c>
      <c r="H25" s="31" t="n">
        <f aca="false">(('DM GM Bridge'!$F$22*$B25*H$24*'DM GM Bridge'!$F$23+'DM GM Bridge'!$F$28)/'DM GM Bridge'!$F$34-'DM GM Bridge'!$E$35/10000)*10000</f>
        <v>-111.511515368071</v>
      </c>
      <c r="I25" s="31" t="n">
        <f aca="false">(('DM GM Bridge'!$F$22*$B25*I$24*'DM GM Bridge'!$F$23+'DM GM Bridge'!$F$28)/'DM GM Bridge'!$F$34-'DM GM Bridge'!$E$35/10000)*10000</f>
        <v>-90.3547598694091</v>
      </c>
    </row>
    <row r="26" customFormat="false" ht="15" hidden="false" customHeight="false" outlineLevel="0" collapsed="false">
      <c r="B26" s="39" t="n">
        <v>0.15</v>
      </c>
      <c r="C26" s="31" t="n">
        <f aca="false">(('DM GM Bridge'!$F$22*$B26*C$24*'DM GM Bridge'!$F$23+'DM GM Bridge'!$F$28)/'DM GM Bridge'!$F$34-'DM GM Bridge'!$E$35/10000)*10000</f>
        <v>-196.138537362718</v>
      </c>
      <c r="D26" s="31" t="n">
        <f aca="false">(('DM GM Bridge'!$F$22*$B26*D$24*'DM GM Bridge'!$F$23+'DM GM Bridge'!$F$28)/'DM GM Bridge'!$F$34-'DM GM Bridge'!$E$35/10000)*10000</f>
        <v>-169.69259298939</v>
      </c>
      <c r="E26" s="31" t="n">
        <f aca="false">(('DM GM Bridge'!$F$22*$B26*E$24*'DM GM Bridge'!$F$23+'DM GM Bridge'!$F$28)/'DM GM Bridge'!$F$34-'DM GM Bridge'!$E$35/10000)*10000</f>
        <v>-143.246648616063</v>
      </c>
      <c r="F26" s="31" t="n">
        <f aca="false">(('DM GM Bridge'!$F$22*$B26*F$24*'DM GM Bridge'!$F$23+'DM GM Bridge'!$F$28)/'DM GM Bridge'!$F$34-'DM GM Bridge'!$E$35/10000)*10000</f>
        <v>-116.800704242736</v>
      </c>
      <c r="G26" s="31" t="n">
        <f aca="false">(('DM GM Bridge'!$F$22*$B26*G$24*'DM GM Bridge'!$F$23+'DM GM Bridge'!$F$28)/'DM GM Bridge'!$F$34-'DM GM Bridge'!$E$35/10000)*10000</f>
        <v>-90.3547598694091</v>
      </c>
      <c r="H26" s="31" t="n">
        <f aca="false">(('DM GM Bridge'!$F$22*$B26*H$24*'DM GM Bridge'!$F$23+'DM GM Bridge'!$F$28)/'DM GM Bridge'!$F$34-'DM GM Bridge'!$E$35/10000)*10000</f>
        <v>-63.9088154960819</v>
      </c>
      <c r="I26" s="31" t="n">
        <f aca="false">(('DM GM Bridge'!$F$22*$B26*I$24*'DM GM Bridge'!$F$23+'DM GM Bridge'!$F$28)/'DM GM Bridge'!$F$34-'DM GM Bridge'!$E$35/10000)*10000</f>
        <v>-37.4628711227548</v>
      </c>
    </row>
    <row r="27" customFormat="false" ht="15" hidden="false" customHeight="false" outlineLevel="0" collapsed="false">
      <c r="B27" s="39" t="n">
        <v>0.18</v>
      </c>
      <c r="C27" s="31" t="n">
        <f aca="false">(('DM GM Bridge'!$F$22*$B27*C$24*'DM GM Bridge'!$F$23+'DM GM Bridge'!$F$28)/'DM GM Bridge'!$F$34-'DM GM Bridge'!$E$35/10000)*10000</f>
        <v>-174.981781864056</v>
      </c>
      <c r="D27" s="31" t="n">
        <f aca="false">(('DM GM Bridge'!$F$22*$B27*D$24*'DM GM Bridge'!$F$23+'DM GM Bridge'!$F$28)/'DM GM Bridge'!$F$34-'DM GM Bridge'!$E$35/10000)*10000</f>
        <v>-143.246648616063</v>
      </c>
      <c r="E27" s="31" t="n">
        <f aca="false">(('DM GM Bridge'!$F$22*$B27*E$24*'DM GM Bridge'!$F$23+'DM GM Bridge'!$F$28)/'DM GM Bridge'!$F$34-'DM GM Bridge'!$E$35/10000)*10000</f>
        <v>-111.511515368071</v>
      </c>
      <c r="F27" s="31" t="n">
        <f aca="false">(('DM GM Bridge'!$F$22*$B27*F$24*'DM GM Bridge'!$F$23+'DM GM Bridge'!$F$28)/'DM GM Bridge'!$F$34-'DM GM Bridge'!$E$35/10000)*10000</f>
        <v>-79.7763821200782</v>
      </c>
      <c r="G27" s="31" t="n">
        <f aca="false">(('DM GM Bridge'!$F$22*$B27*G$24*'DM GM Bridge'!$F$23+'DM GM Bridge'!$F$28)/'DM GM Bridge'!$F$34-'DM GM Bridge'!$E$35/10000)*10000</f>
        <v>-48.0412488720856</v>
      </c>
      <c r="H27" s="31" t="n">
        <f aca="false">(('DM GM Bridge'!$F$22*$B27*H$24*'DM GM Bridge'!$F$23+'DM GM Bridge'!$F$28)/'DM GM Bridge'!$F$34-'DM GM Bridge'!$E$35/10000)*10000</f>
        <v>-16.3061156240931</v>
      </c>
      <c r="I27" s="31" t="n">
        <f aca="false">(('DM GM Bridge'!$F$22*$B27*I$24*'DM GM Bridge'!$F$23+'DM GM Bridge'!$F$28)/'DM GM Bridge'!$F$34-'DM GM Bridge'!$E$35/10000)*10000</f>
        <v>15.4290176238995</v>
      </c>
    </row>
    <row r="28" customFormat="false" ht="15" hidden="false" customHeight="false" outlineLevel="0" collapsed="false">
      <c r="B28" s="39" t="n">
        <v>0.21</v>
      </c>
      <c r="C28" s="31" t="n">
        <f aca="false">(('DM GM Bridge'!$F$22*$B28*C$24*'DM GM Bridge'!$F$23+'DM GM Bridge'!$F$28)/'DM GM Bridge'!$F$34-'DM GM Bridge'!$E$35/10000)*10000</f>
        <v>-153.825026365394</v>
      </c>
      <c r="D28" s="31" t="n">
        <f aca="false">(('DM GM Bridge'!$F$22*$B28*D$24*'DM GM Bridge'!$F$23+'DM GM Bridge'!$F$28)/'DM GM Bridge'!$F$34-'DM GM Bridge'!$E$35/10000)*10000</f>
        <v>-116.800704242736</v>
      </c>
      <c r="E28" s="31" t="n">
        <f aca="false">(('DM GM Bridge'!$F$22*$B28*E$24*'DM GM Bridge'!$F$23+'DM GM Bridge'!$F$28)/'DM GM Bridge'!$F$34-'DM GM Bridge'!$E$35/10000)*10000</f>
        <v>-79.7763821200782</v>
      </c>
      <c r="F28" s="31" t="n">
        <f aca="false">(('DM GM Bridge'!$F$22*$B28*F$24*'DM GM Bridge'!$F$23+'DM GM Bridge'!$F$28)/'DM GM Bridge'!$F$34-'DM GM Bridge'!$E$35/10000)*10000</f>
        <v>-42.7520599974202</v>
      </c>
      <c r="G28" s="31" t="n">
        <f aca="false">(('DM GM Bridge'!$F$22*$B28*G$24*'DM GM Bridge'!$F$23+'DM GM Bridge'!$F$28)/'DM GM Bridge'!$F$34-'DM GM Bridge'!$E$35/10000)*10000</f>
        <v>-5.72773787476222</v>
      </c>
      <c r="H28" s="31" t="n">
        <f aca="false">(('DM GM Bridge'!$F$22*$B28*H$24*'DM GM Bridge'!$F$23+'DM GM Bridge'!$F$28)/'DM GM Bridge'!$F$34-'DM GM Bridge'!$E$35/10000)*10000</f>
        <v>31.2965842478957</v>
      </c>
      <c r="I28" s="31" t="n">
        <f aca="false">(('DM GM Bridge'!$F$22*$B28*I$24*'DM GM Bridge'!$F$23+'DM GM Bridge'!$F$28)/'DM GM Bridge'!$F$34-'DM GM Bridge'!$E$35/10000)*10000</f>
        <v>68.3209063705537</v>
      </c>
    </row>
    <row r="29" customFormat="false" ht="15" hidden="false" customHeight="false" outlineLevel="0" collapsed="false">
      <c r="B29" s="39" t="n">
        <v>0.24</v>
      </c>
      <c r="C29" s="31" t="n">
        <f aca="false">(('DM GM Bridge'!$F$22*$B29*C$24*'DM GM Bridge'!$F$23+'DM GM Bridge'!$F$28)/'DM GM Bridge'!$F$34-'DM GM Bridge'!$E$35/10000)*10000</f>
        <v>-132.668270866732</v>
      </c>
      <c r="D29" s="31" t="n">
        <f aca="false">(('DM GM Bridge'!$F$22*$B29*D$24*'DM GM Bridge'!$F$23+'DM GM Bridge'!$F$28)/'DM GM Bridge'!$F$34-'DM GM Bridge'!$E$35/10000)*10000</f>
        <v>-90.3547598694091</v>
      </c>
      <c r="E29" s="31" t="n">
        <f aca="false">(('DM GM Bridge'!$F$22*$B29*E$24*'DM GM Bridge'!$F$23+'DM GM Bridge'!$F$28)/'DM GM Bridge'!$F$34-'DM GM Bridge'!$E$35/10000)*10000</f>
        <v>-48.0412488720856</v>
      </c>
      <c r="F29" s="31" t="n">
        <f aca="false">(('DM GM Bridge'!$F$22*$B29*F$24*'DM GM Bridge'!$F$23+'DM GM Bridge'!$F$28)/'DM GM Bridge'!$F$34-'DM GM Bridge'!$E$35/10000)*10000</f>
        <v>-5.72773787476229</v>
      </c>
      <c r="G29" s="31" t="n">
        <f aca="false">(('DM GM Bridge'!$F$22*$B29*G$24*'DM GM Bridge'!$F$23+'DM GM Bridge'!$F$28)/'DM GM Bridge'!$F$34-'DM GM Bridge'!$E$35/10000)*10000</f>
        <v>36.5857731225612</v>
      </c>
      <c r="H29" s="31" t="n">
        <f aca="false">(('DM GM Bridge'!$F$22*$B29*H$24*'DM GM Bridge'!$F$23+'DM GM Bridge'!$F$28)/'DM GM Bridge'!$F$34-'DM GM Bridge'!$E$35/10000)*10000</f>
        <v>78.8992841198846</v>
      </c>
      <c r="I29" s="31" t="n">
        <f aca="false">(('DM GM Bridge'!$F$22*$B29*I$24*'DM GM Bridge'!$F$23+'DM GM Bridge'!$F$28)/'DM GM Bridge'!$F$34-'DM GM Bridge'!$E$35/10000)*10000</f>
        <v>121.212795117208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9"/>
    <col collapsed="false" customWidth="true" hidden="false" outlineLevel="0" max="2" min="2" style="0" width="58"/>
    <col collapsed="false" customWidth="true" hidden="false" outlineLevel="0" max="6" min="3" style="0" width="13"/>
    <col collapsed="false" customWidth="true" hidden="false" outlineLevel="0" max="7" min="7" style="0" width="14"/>
    <col collapsed="false" customWidth="true" hidden="false" outlineLevel="0" max="8" min="8" style="0" width="78"/>
  </cols>
  <sheetData>
    <row r="2" customFormat="false" ht="15" hidden="false" customHeight="false" outlineLevel="0" collapsed="false">
      <c r="B2" s="1" t="s">
        <v>144</v>
      </c>
      <c r="C2" s="2" t="s">
        <v>145</v>
      </c>
      <c r="D2" s="2" t="s">
        <v>146</v>
      </c>
      <c r="E2" s="2" t="s">
        <v>147</v>
      </c>
      <c r="F2" s="2" t="s">
        <v>148</v>
      </c>
      <c r="G2" s="1"/>
      <c r="H2" s="1" t="s">
        <v>5</v>
      </c>
    </row>
    <row r="3" customFormat="false" ht="15" hidden="false" customHeight="false" outlineLevel="0" collapsed="false">
      <c r="B3" s="3"/>
      <c r="C3" s="3"/>
      <c r="D3" s="3"/>
      <c r="E3" s="3"/>
      <c r="F3" s="3"/>
      <c r="G3" s="3"/>
      <c r="H3" s="3"/>
    </row>
    <row r="4" customFormat="false" ht="15" hidden="false" customHeight="false" outlineLevel="0" collapsed="false">
      <c r="B4" s="26" t="s">
        <v>149</v>
      </c>
    </row>
    <row r="6" customFormat="false" ht="15" hidden="false" customHeight="false" outlineLevel="0" collapsed="false">
      <c r="B6" s="7" t="s">
        <v>150</v>
      </c>
    </row>
    <row r="7" customFormat="false" ht="28.35" hidden="false" customHeight="false" outlineLevel="0" collapsed="false">
      <c r="B7" s="4" t="s">
        <v>151</v>
      </c>
      <c r="C7" s="11" t="n">
        <f aca="false">'DM Data Sentiment'!C9</f>
        <v>0.0711190907202422</v>
      </c>
      <c r="D7" s="11" t="n">
        <f aca="false">'DM Data Sentiment'!D9</f>
        <v>0.0992317719166875</v>
      </c>
      <c r="E7" s="11" t="n">
        <f aca="false">'DM Data Sentiment'!E9</f>
        <v>0.118369662455543</v>
      </c>
      <c r="F7" s="11" t="n">
        <f aca="false">'DM Data Sentiment'!F9</f>
        <v>0.10285303284584</v>
      </c>
      <c r="G7" s="12" t="s">
        <v>152</v>
      </c>
      <c r="H7" s="6" t="s">
        <v>153</v>
      </c>
    </row>
    <row r="8" customFormat="false" ht="28.35" hidden="false" customHeight="false" outlineLevel="0" collapsed="false">
      <c r="B8" s="4" t="s">
        <v>154</v>
      </c>
      <c r="C8" s="11" t="n">
        <f aca="false">'DM Data Sentiment'!C27</f>
        <v>0.197579803880659</v>
      </c>
      <c r="D8" s="11" t="n">
        <f aca="false">'DM Data Sentiment'!D27</f>
        <v>0.172023476802683</v>
      </c>
      <c r="E8" s="11" t="n">
        <f aca="false">'DM Data Sentiment'!E27</f>
        <v>0.143410138248848</v>
      </c>
      <c r="F8" s="11" t="n">
        <f aca="false">'DM Data Sentiment'!F27</f>
        <v>0.15967365967366</v>
      </c>
      <c r="G8" s="12" t="s">
        <v>152</v>
      </c>
      <c r="H8" s="6" t="s">
        <v>155</v>
      </c>
    </row>
    <row r="9" customFormat="false" ht="15" hidden="false" customHeight="false" outlineLevel="0" collapsed="false">
      <c r="B9" s="4" t="s">
        <v>156</v>
      </c>
      <c r="C9" s="11" t="n">
        <f aca="false">'DM Data Sentiment'!C25</f>
        <v>0.076569997913624</v>
      </c>
      <c r="D9" s="11" t="n">
        <f aca="false">'DM Data Sentiment'!D25</f>
        <v>0.0799329234209055</v>
      </c>
      <c r="E9" s="11" t="n">
        <f aca="false">'DM Data Sentiment'!E25</f>
        <v>0.104516129032258</v>
      </c>
      <c r="F9" s="11" t="n">
        <f aca="false">'DM Data Sentiment'!F25</f>
        <v>0.0998445998445998</v>
      </c>
      <c r="G9" s="12" t="s">
        <v>152</v>
      </c>
    </row>
    <row r="10" customFormat="false" ht="28.35" hidden="false" customHeight="false" outlineLevel="0" collapsed="false">
      <c r="B10" s="4" t="s">
        <v>157</v>
      </c>
      <c r="C10" s="11" t="n">
        <f aca="false">'DM Data Sentiment'!C17</f>
        <v>0.00312956394742333</v>
      </c>
      <c r="D10" s="11" t="n">
        <f aca="false">'DM Data Sentiment'!D17</f>
        <v>0.00600894354387926</v>
      </c>
      <c r="E10" s="11" t="n">
        <f aca="false">'DM Data Sentiment'!E17</f>
        <v>0.0311520737327189</v>
      </c>
      <c r="F10" s="11" t="n">
        <f aca="false">'DM Data Sentiment'!F17</f>
        <v>0.0462315462315462</v>
      </c>
      <c r="G10" s="12" t="s">
        <v>158</v>
      </c>
      <c r="H10" s="6" t="s">
        <v>159</v>
      </c>
    </row>
    <row r="11" customFormat="false" ht="15" hidden="false" customHeight="false" outlineLevel="0" collapsed="false">
      <c r="B11" s="4" t="s">
        <v>160</v>
      </c>
      <c r="C11" s="11" t="n">
        <f aca="false">'DM Data Sentiment'!C13</f>
        <v>0.0538284998956812</v>
      </c>
      <c r="D11" s="11" t="n">
        <f aca="false">'DM Data Sentiment'!D13</f>
        <v>0.0676355505869201</v>
      </c>
      <c r="E11" s="11" t="n">
        <f aca="false">'DM Data Sentiment'!E13</f>
        <v>0.0715207373271889</v>
      </c>
      <c r="F11" s="11" t="n">
        <f aca="false">'DM Data Sentiment'!F13</f>
        <v>0.0909090909090909</v>
      </c>
      <c r="G11" s="12" t="s">
        <v>161</v>
      </c>
      <c r="H11" s="6" t="s">
        <v>162</v>
      </c>
    </row>
    <row r="12" customFormat="false" ht="28.35" hidden="false" customHeight="false" outlineLevel="0" collapsed="false">
      <c r="B12" s="4" t="s">
        <v>163</v>
      </c>
      <c r="C12" s="11" t="n">
        <f aca="false">'DM Data Sentiment'!C21</f>
        <v>0.00500730231587732</v>
      </c>
      <c r="D12" s="11" t="n">
        <f aca="false">'DM Data Sentiment'!D21</f>
        <v>0.0124371157070989</v>
      </c>
      <c r="E12" s="11" t="n">
        <f aca="false">'DM Data Sentiment'!E21</f>
        <v>0.0101382488479263</v>
      </c>
      <c r="F12" s="11" t="n">
        <f aca="false">'DM Data Sentiment'!F21</f>
        <v>0.0182595182595183</v>
      </c>
      <c r="G12" s="12" t="s">
        <v>164</v>
      </c>
      <c r="H12" s="6" t="s">
        <v>165</v>
      </c>
    </row>
    <row r="14" customFormat="false" ht="15" hidden="false" customHeight="false" outlineLevel="0" collapsed="false">
      <c r="B14" s="7" t="s">
        <v>166</v>
      </c>
    </row>
    <row r="15" customFormat="false" ht="15" hidden="false" customHeight="false" outlineLevel="0" collapsed="false">
      <c r="B15" s="4" t="s">
        <v>167</v>
      </c>
      <c r="C15" s="11" t="n">
        <f aca="false">'DM Data Sentiment'!C34</f>
        <v>0.34</v>
      </c>
      <c r="D15" s="11" t="n">
        <f aca="false">'DM Data Sentiment'!D34</f>
        <v>0.366</v>
      </c>
      <c r="E15" s="11" t="n">
        <f aca="false">'DM Data Sentiment'!E34</f>
        <v>0.391</v>
      </c>
      <c r="F15" s="11" t="n">
        <f aca="false">'DM Data Sentiment'!F34</f>
        <v>0.424</v>
      </c>
    </row>
    <row r="16" customFormat="false" ht="41.75" hidden="false" customHeight="false" outlineLevel="0" collapsed="false">
      <c r="B16" s="4" t="s">
        <v>168</v>
      </c>
      <c r="C16" s="11" t="n">
        <f aca="false">'DM Data Sentiment'!C40</f>
        <v>0.37940379403794</v>
      </c>
      <c r="D16" s="11" t="n">
        <f aca="false">'DM Data Sentiment'!D40</f>
        <v>0.392065344224037</v>
      </c>
      <c r="E16" s="11" t="n">
        <f aca="false">'DM Data Sentiment'!E40</f>
        <v>0.398543184183143</v>
      </c>
      <c r="F16" s="11" t="n">
        <f aca="false">'DM Data Sentiment'!F40</f>
        <v>0.435466946484785</v>
      </c>
      <c r="G16" s="12" t="s">
        <v>169</v>
      </c>
      <c r="H16" s="6" t="s">
        <v>170</v>
      </c>
    </row>
    <row r="17" customFormat="false" ht="15" hidden="false" customHeight="false" outlineLevel="0" collapsed="false">
      <c r="B17" s="4" t="s">
        <v>171</v>
      </c>
      <c r="C17" s="40" t="n">
        <f aca="false">'DM Data Sentiment'!C36</f>
        <v>-10.8</v>
      </c>
      <c r="D17" s="40" t="n">
        <f aca="false">'DM Data Sentiment'!D36</f>
        <v>-12</v>
      </c>
      <c r="E17" s="40" t="n">
        <f aca="false">'DM Data Sentiment'!E36</f>
        <v>-11.2</v>
      </c>
      <c r="F17" s="40" t="n">
        <f aca="false">'DM Data Sentiment'!F36</f>
        <v>-18.2</v>
      </c>
    </row>
    <row r="18" customFormat="false" ht="15" hidden="false" customHeight="false" outlineLevel="0" collapsed="false">
      <c r="B18" s="4" t="s">
        <v>172</v>
      </c>
      <c r="C18" s="11" t="n">
        <f aca="false">'DM Data Sentiment'!C42</f>
        <v>0.006</v>
      </c>
      <c r="D18" s="11" t="n">
        <f aca="false">'DM Data Sentiment'!D42</f>
        <v>0.014</v>
      </c>
      <c r="E18" s="11" t="n">
        <f aca="false">'DM Data Sentiment'!E42</f>
        <v>0.012</v>
      </c>
      <c r="F18" s="11" t="n">
        <f aca="false">'DM Data Sentiment'!F42</f>
        <v>0.024</v>
      </c>
      <c r="G18" s="12" t="s">
        <v>173</v>
      </c>
      <c r="H18" s="6" t="s">
        <v>174</v>
      </c>
    </row>
    <row r="19" customFormat="false" ht="15" hidden="false" customHeight="false" outlineLevel="0" collapsed="false">
      <c r="B19" s="4" t="s">
        <v>175</v>
      </c>
      <c r="C19" s="11" t="n">
        <f aca="false">'DM Data Sentiment'!C61</f>
        <v>0.714285714285714</v>
      </c>
      <c r="D19" s="11" t="n">
        <f aca="false">'DM Data Sentiment'!D61</f>
        <v>0.444444444444444</v>
      </c>
      <c r="E19" s="11" t="n">
        <f aca="false">'DM Data Sentiment'!E61</f>
        <v>0.705882352941177</v>
      </c>
      <c r="F19" s="11" t="n">
        <f aca="false">'DM Data Sentiment'!F61</f>
        <v>0.68</v>
      </c>
      <c r="H19" s="6" t="s">
        <v>176</v>
      </c>
    </row>
    <row r="20" customFormat="false" ht="15" hidden="false" customHeight="false" outlineLevel="0" collapsed="false">
      <c r="B20" s="4" t="s">
        <v>177</v>
      </c>
      <c r="C20" s="11" t="n">
        <f aca="false">'DM Data Sentiment'!C60</f>
        <v>0.512437810945274</v>
      </c>
      <c r="D20" s="11" t="n">
        <f aca="false">'DM Data Sentiment'!D60</f>
        <v>0.53448275862069</v>
      </c>
      <c r="E20" s="11" t="n">
        <f aca="false">'DM Data Sentiment'!E60</f>
        <v>0.569444444444444</v>
      </c>
      <c r="F20" s="11" t="n">
        <f aca="false">'DM Data Sentiment'!F60</f>
        <v>0.592814371257485</v>
      </c>
    </row>
    <row r="21" customFormat="false" ht="15" hidden="false" customHeight="false" outlineLevel="0" collapsed="false">
      <c r="B21" s="4" t="s">
        <v>178</v>
      </c>
      <c r="C21" s="11" t="n">
        <f aca="false">'DM Data Sentiment'!C58</f>
        <v>0.4375</v>
      </c>
      <c r="D21" s="11" t="n">
        <f aca="false">'DM Data Sentiment'!D58</f>
        <v>0.539473684210526</v>
      </c>
      <c r="E21" s="11" t="n">
        <f aca="false">'DM Data Sentiment'!E58</f>
        <v>0.586206896551724</v>
      </c>
      <c r="F21" s="11" t="n">
        <f aca="false">'DM Data Sentiment'!F58</f>
        <v>0.601851851851852</v>
      </c>
    </row>
    <row r="23" customFormat="false" ht="15" hidden="false" customHeight="false" outlineLevel="0" collapsed="false">
      <c r="B23" s="26" t="s">
        <v>179</v>
      </c>
      <c r="C23" s="41" t="s">
        <v>180</v>
      </c>
      <c r="D23" s="41" t="s">
        <v>181</v>
      </c>
      <c r="E23" s="41"/>
      <c r="F23" s="41"/>
      <c r="G23" s="41" t="s">
        <v>182</v>
      </c>
    </row>
    <row r="24" customFormat="false" ht="28.35" hidden="false" customHeight="false" outlineLevel="0" collapsed="false">
      <c r="B24" s="4" t="s">
        <v>183</v>
      </c>
      <c r="C24" s="42" t="n">
        <f aca="false">'DM Data Campaigns'!H14</f>
        <v>4.05916950094411</v>
      </c>
      <c r="D24" s="43" t="n">
        <f aca="false">COUNT('DM Data Campaigns'!H4:H7)</f>
        <v>4</v>
      </c>
      <c r="G24" s="44" t="s">
        <v>184</v>
      </c>
      <c r="H24" s="6" t="s">
        <v>185</v>
      </c>
    </row>
    <row r="25" customFormat="false" ht="15" hidden="false" customHeight="false" outlineLevel="0" collapsed="false">
      <c r="B25" s="4" t="s">
        <v>186</v>
      </c>
      <c r="C25" s="42" t="n">
        <f aca="false">'DM Data Campaigns'!H15</f>
        <v>0.779916512059369</v>
      </c>
      <c r="D25" s="43" t="n">
        <f aca="false">COUNT('DM Data Campaigns'!H8:H10)</f>
        <v>3</v>
      </c>
      <c r="G25" s="44" t="s">
        <v>184</v>
      </c>
      <c r="H25" s="6" t="s">
        <v>187</v>
      </c>
    </row>
    <row r="26" customFormat="false" ht="15" hidden="false" customHeight="false" outlineLevel="0" collapsed="false">
      <c r="B26" s="4" t="s">
        <v>188</v>
      </c>
      <c r="C26" s="45" t="n">
        <f aca="false">'DM Data Campaigns'!L18</f>
        <v>0.0124223831203867</v>
      </c>
      <c r="D26" s="43" t="n">
        <f aca="false">COUNT('DM Data Campaigns'!L4:L12)</f>
        <v>8</v>
      </c>
      <c r="G26" s="44" t="s">
        <v>161</v>
      </c>
      <c r="H26" s="6" t="s">
        <v>189</v>
      </c>
    </row>
    <row r="27" customFormat="false" ht="28.35" hidden="false" customHeight="false" outlineLevel="0" collapsed="false">
      <c r="B27" s="4" t="s">
        <v>190</v>
      </c>
      <c r="C27" s="11" t="n">
        <f aca="false">'DM Data Campaigns'!L28</f>
        <v>0.1985495366677</v>
      </c>
      <c r="D27" s="43" t="n">
        <f aca="false">COUNT('DM Data Campaigns'!L24:L27)</f>
        <v>4</v>
      </c>
      <c r="G27" s="44" t="s">
        <v>161</v>
      </c>
      <c r="H27" s="6" t="s">
        <v>191</v>
      </c>
    </row>
    <row r="28" customFormat="false" ht="15" hidden="false" customHeight="false" outlineLevel="0" collapsed="false">
      <c r="B28" s="4" t="s">
        <v>192</v>
      </c>
      <c r="C28" s="40" t="n">
        <f aca="false">'DM Data Campaigns'!L29</f>
        <v>15.9832082736086</v>
      </c>
      <c r="G28" s="46" t="s">
        <v>161</v>
      </c>
    </row>
    <row r="29" customFormat="false" ht="15" hidden="false" customHeight="false" outlineLevel="0" collapsed="false">
      <c r="B29" s="4" t="s">
        <v>193</v>
      </c>
      <c r="C29" s="27" t="n">
        <f aca="false">'DM Data Artist Reports'!H33</f>
        <v>1</v>
      </c>
      <c r="D29" s="43" t="n">
        <f aca="false">'DM Data Artist Reports'!G33</f>
        <v>8</v>
      </c>
      <c r="G29" s="44" t="s">
        <v>184</v>
      </c>
      <c r="H29" s="6" t="s">
        <v>194</v>
      </c>
    </row>
    <row r="30" customFormat="false" ht="15" hidden="false" customHeight="false" outlineLevel="0" collapsed="false">
      <c r="B30" s="4" t="s">
        <v>195</v>
      </c>
      <c r="C30" s="27" t="n">
        <f aca="false">'DM Data Artist Reports'!H36</f>
        <v>0.388888888888889</v>
      </c>
      <c r="D30" s="43" t="n">
        <f aca="false">'DM Data Artist Reports'!G36</f>
        <v>18</v>
      </c>
      <c r="G30" s="44" t="s">
        <v>184</v>
      </c>
      <c r="H30" s="6" t="s">
        <v>196</v>
      </c>
    </row>
    <row r="31" customFormat="false" ht="15" hidden="false" customHeight="false" outlineLevel="0" collapsed="false">
      <c r="B31" s="4" t="s">
        <v>197</v>
      </c>
      <c r="C31" s="27" t="n">
        <f aca="false">'DM Data Artist Reports'!H50</f>
        <v>0.557142857142857</v>
      </c>
      <c r="D31" s="43" t="n">
        <f aca="false">'DM Data Artist Reports'!H43</f>
        <v>70</v>
      </c>
      <c r="G31" s="44" t="s">
        <v>184</v>
      </c>
    </row>
    <row r="32" customFormat="false" ht="28.35" hidden="false" customHeight="false" outlineLevel="0" collapsed="false">
      <c r="B32" s="4" t="s">
        <v>198</v>
      </c>
      <c r="C32" s="43" t="n">
        <f aca="false">'DM Data Artist Reports'!H48</f>
        <v>12</v>
      </c>
      <c r="D32" s="43" t="n">
        <f aca="false">'DM Data Artist Reports'!H43</f>
        <v>70</v>
      </c>
      <c r="G32" s="44" t="s">
        <v>184</v>
      </c>
      <c r="H32" s="6" t="s">
        <v>199</v>
      </c>
    </row>
    <row r="33" customFormat="false" ht="15" hidden="false" customHeight="false" outlineLevel="0" collapsed="false">
      <c r="B33" s="4" t="s">
        <v>200</v>
      </c>
      <c r="C33" s="11" t="n">
        <f aca="false">'DM Data Artist Reports'!H62</f>
        <v>0.0393965517241379</v>
      </c>
      <c r="D33" s="43" t="n">
        <f aca="false">COUNT('DM Data Artist Reports'!H54:H57)</f>
        <v>4</v>
      </c>
      <c r="G33" s="44" t="s">
        <v>152</v>
      </c>
      <c r="H33" s="6" t="s">
        <v>201</v>
      </c>
    </row>
    <row r="34" customFormat="false" ht="28.35" hidden="false" customHeight="false" outlineLevel="0" collapsed="false">
      <c r="B34" s="4" t="s">
        <v>202</v>
      </c>
      <c r="C34" s="27" t="n">
        <f aca="false">'DM Data Campaigns'!H39</f>
        <v>-0.607142857142857</v>
      </c>
      <c r="D34" s="43" t="n">
        <f aca="false">COUNT('DM Data Campaigns'!H35,'DM Data Campaigns'!H36)</f>
        <v>2</v>
      </c>
      <c r="G34" s="44" t="s">
        <v>203</v>
      </c>
      <c r="H34" s="6" t="s">
        <v>204</v>
      </c>
    </row>
    <row r="35" customFormat="false" ht="28.35" hidden="false" customHeight="false" outlineLevel="0" collapsed="false">
      <c r="B35" s="4" t="s">
        <v>205</v>
      </c>
      <c r="C35" s="43" t="n">
        <f aca="false">'DM Data Artist Reports'!D25</f>
        <v>1</v>
      </c>
      <c r="D35" s="43" t="n">
        <f aca="false">'DM Data Artist Reports'!E25</f>
        <v>5</v>
      </c>
      <c r="G35" s="44" t="s">
        <v>184</v>
      </c>
      <c r="H35" s="6" t="s">
        <v>206</v>
      </c>
    </row>
    <row r="36" customFormat="false" ht="15" hidden="false" customHeight="false" outlineLevel="0" collapsed="false">
      <c r="B36" s="4" t="s">
        <v>207</v>
      </c>
      <c r="C36" s="43" t="n">
        <f aca="false">'DM Data Artist Reports'!D27+'DM Data Artist Reports'!D28</f>
        <v>3</v>
      </c>
      <c r="D36" s="43" t="n">
        <f aca="false">'DM Data Artist Reports'!E27+'DM Data Artist Reports'!E28</f>
        <v>0</v>
      </c>
      <c r="G36" s="44" t="s">
        <v>184</v>
      </c>
    </row>
    <row r="38" customFormat="false" ht="15" hidden="false" customHeight="false" outlineLevel="0" collapsed="false">
      <c r="B38" s="26" t="s">
        <v>208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9"/>
    <col collapsed="false" customWidth="true" hidden="false" outlineLevel="0" max="2" min="2" style="0" width="58"/>
    <col collapsed="false" customWidth="true" hidden="false" outlineLevel="0" max="7" min="3" style="0" width="13"/>
    <col collapsed="false" customWidth="true" hidden="false" outlineLevel="0" max="8" min="8" style="0" width="78"/>
  </cols>
  <sheetData>
    <row r="2" customFormat="false" ht="15" hidden="false" customHeight="false" outlineLevel="0" collapsed="false">
      <c r="B2" s="1" t="s">
        <v>209</v>
      </c>
      <c r="C2" s="2" t="s">
        <v>145</v>
      </c>
      <c r="D2" s="2" t="s">
        <v>146</v>
      </c>
      <c r="E2" s="2" t="s">
        <v>147</v>
      </c>
      <c r="F2" s="2" t="s">
        <v>148</v>
      </c>
      <c r="G2" s="1"/>
      <c r="H2" s="1" t="s">
        <v>5</v>
      </c>
    </row>
    <row r="3" customFormat="false" ht="15" hidden="false" customHeight="false" outlineLevel="0" collapsed="false">
      <c r="B3" s="3"/>
      <c r="C3" s="3"/>
      <c r="D3" s="3"/>
      <c r="E3" s="3"/>
      <c r="F3" s="3"/>
      <c r="G3" s="3"/>
      <c r="H3" s="3"/>
    </row>
    <row r="4" customFormat="false" ht="15" hidden="false" customHeight="false" outlineLevel="0" collapsed="false">
      <c r="B4" s="26" t="s">
        <v>210</v>
      </c>
    </row>
    <row r="6" customFormat="false" ht="15" hidden="false" customHeight="false" outlineLevel="0" collapsed="false">
      <c r="B6" s="7" t="s">
        <v>211</v>
      </c>
    </row>
    <row r="7" customFormat="false" ht="15" hidden="false" customHeight="false" outlineLevel="0" collapsed="false">
      <c r="B7" s="4" t="s">
        <v>212</v>
      </c>
      <c r="C7" s="8" t="n">
        <v>67394</v>
      </c>
      <c r="D7" s="8" t="n">
        <v>72114</v>
      </c>
      <c r="E7" s="8" t="n">
        <v>45831</v>
      </c>
      <c r="F7" s="8" t="n">
        <v>25026</v>
      </c>
      <c r="H7" s="6" t="s">
        <v>213</v>
      </c>
    </row>
    <row r="8" customFormat="false" ht="41.75" hidden="false" customHeight="false" outlineLevel="0" collapsed="false">
      <c r="B8" s="4" t="s">
        <v>214</v>
      </c>
      <c r="C8" s="8" t="n">
        <v>4793</v>
      </c>
      <c r="D8" s="8" t="n">
        <v>7156</v>
      </c>
      <c r="E8" s="8" t="n">
        <v>5425</v>
      </c>
      <c r="F8" s="8" t="n">
        <v>2574</v>
      </c>
      <c r="H8" s="6" t="s">
        <v>215</v>
      </c>
    </row>
    <row r="9" customFormat="false" ht="15" hidden="false" customHeight="false" outlineLevel="0" collapsed="false">
      <c r="B9" s="10" t="s">
        <v>216</v>
      </c>
      <c r="C9" s="11" t="n">
        <f aca="false">C8/C7</f>
        <v>0.0711190907202422</v>
      </c>
      <c r="D9" s="11" t="n">
        <f aca="false">D8/D7</f>
        <v>0.0992317719166875</v>
      </c>
      <c r="E9" s="11" t="n">
        <f aca="false">E8/E7</f>
        <v>0.118369662455543</v>
      </c>
      <c r="F9" s="11" t="n">
        <f aca="false">F8/F7</f>
        <v>0.10285303284584</v>
      </c>
    </row>
    <row r="11" customFormat="false" ht="15" hidden="false" customHeight="false" outlineLevel="0" collapsed="false">
      <c r="B11" s="7" t="s">
        <v>217</v>
      </c>
    </row>
    <row r="12" customFormat="false" ht="28.35" hidden="false" customHeight="false" outlineLevel="0" collapsed="false">
      <c r="B12" s="4" t="s">
        <v>218</v>
      </c>
      <c r="C12" s="8" t="n">
        <v>258</v>
      </c>
      <c r="D12" s="8" t="n">
        <v>484</v>
      </c>
      <c r="E12" s="8" t="n">
        <v>388</v>
      </c>
      <c r="F12" s="8" t="n">
        <v>234</v>
      </c>
      <c r="H12" s="6" t="s">
        <v>219</v>
      </c>
    </row>
    <row r="13" customFormat="false" ht="15" hidden="false" customHeight="false" outlineLevel="0" collapsed="false">
      <c r="B13" s="10" t="s">
        <v>220</v>
      </c>
      <c r="C13" s="11" t="n">
        <f aca="false">C12/C8</f>
        <v>0.0538284998956812</v>
      </c>
      <c r="D13" s="11" t="n">
        <f aca="false">D12/D8</f>
        <v>0.0676355505869201</v>
      </c>
      <c r="E13" s="11" t="n">
        <f aca="false">E12/E8</f>
        <v>0.0715207373271889</v>
      </c>
      <c r="F13" s="11" t="n">
        <f aca="false">F12/F8</f>
        <v>0.0909090909090909</v>
      </c>
    </row>
    <row r="14" customFormat="false" ht="41.75" hidden="false" customHeight="false" outlineLevel="0" collapsed="false">
      <c r="B14" s="4" t="s">
        <v>221</v>
      </c>
      <c r="C14" s="8" t="n">
        <v>40</v>
      </c>
      <c r="D14" s="8" t="n">
        <v>54</v>
      </c>
      <c r="E14" s="8" t="n">
        <v>47</v>
      </c>
      <c r="F14" s="8" t="n">
        <v>19</v>
      </c>
      <c r="H14" s="6" t="s">
        <v>222</v>
      </c>
    </row>
    <row r="15" customFormat="false" ht="15" hidden="false" customHeight="false" outlineLevel="0" collapsed="false">
      <c r="B15" s="10" t="s">
        <v>220</v>
      </c>
      <c r="C15" s="11" t="n">
        <f aca="false">C14/C8</f>
        <v>0.00834550385979554</v>
      </c>
      <c r="D15" s="11" t="n">
        <f aca="false">D14/D8</f>
        <v>0.00754611514812745</v>
      </c>
      <c r="E15" s="11" t="n">
        <f aca="false">E14/E8</f>
        <v>0.00866359447004608</v>
      </c>
      <c r="F15" s="11" t="n">
        <f aca="false">F14/F8</f>
        <v>0.00738150738150738</v>
      </c>
    </row>
    <row r="16" customFormat="false" ht="28.35" hidden="false" customHeight="false" outlineLevel="0" collapsed="false">
      <c r="B16" s="4" t="s">
        <v>223</v>
      </c>
      <c r="C16" s="8" t="n">
        <v>15</v>
      </c>
      <c r="D16" s="8" t="n">
        <v>43</v>
      </c>
      <c r="E16" s="8" t="n">
        <v>169</v>
      </c>
      <c r="F16" s="8" t="n">
        <v>119</v>
      </c>
      <c r="H16" s="6" t="s">
        <v>224</v>
      </c>
    </row>
    <row r="17" customFormat="false" ht="15" hidden="false" customHeight="false" outlineLevel="0" collapsed="false">
      <c r="B17" s="10" t="s">
        <v>220</v>
      </c>
      <c r="C17" s="11" t="n">
        <f aca="false">C16/C8</f>
        <v>0.00312956394742333</v>
      </c>
      <c r="D17" s="11" t="n">
        <f aca="false">D16/D8</f>
        <v>0.00600894354387926</v>
      </c>
      <c r="E17" s="11" t="n">
        <f aca="false">E16/E8</f>
        <v>0.0311520737327189</v>
      </c>
      <c r="F17" s="11" t="n">
        <f aca="false">F16/F8</f>
        <v>0.0462315462315462</v>
      </c>
    </row>
    <row r="18" customFormat="false" ht="28.35" hidden="false" customHeight="false" outlineLevel="0" collapsed="false">
      <c r="B18" s="4" t="s">
        <v>225</v>
      </c>
      <c r="C18" s="8" t="n">
        <v>21</v>
      </c>
      <c r="D18" s="8" t="n">
        <v>29</v>
      </c>
      <c r="E18" s="8" t="n">
        <v>23</v>
      </c>
      <c r="F18" s="8" t="n">
        <v>7</v>
      </c>
      <c r="H18" s="6" t="s">
        <v>226</v>
      </c>
    </row>
    <row r="19" customFormat="false" ht="15" hidden="false" customHeight="false" outlineLevel="0" collapsed="false">
      <c r="B19" s="10" t="s">
        <v>220</v>
      </c>
      <c r="C19" s="11" t="n">
        <f aca="false">C18/C8</f>
        <v>0.00438138952639266</v>
      </c>
      <c r="D19" s="11" t="n">
        <f aca="false">D18/D8</f>
        <v>0.00405254332029067</v>
      </c>
      <c r="E19" s="11" t="n">
        <f aca="false">E18/E8</f>
        <v>0.00423963133640553</v>
      </c>
      <c r="F19" s="11" t="n">
        <f aca="false">F18/F8</f>
        <v>0.00271950271950272</v>
      </c>
    </row>
    <row r="20" customFormat="false" ht="28.35" hidden="false" customHeight="false" outlineLevel="0" collapsed="false">
      <c r="B20" s="4" t="s">
        <v>227</v>
      </c>
      <c r="C20" s="8" t="n">
        <v>24</v>
      </c>
      <c r="D20" s="8" t="n">
        <v>89</v>
      </c>
      <c r="E20" s="8" t="n">
        <v>55</v>
      </c>
      <c r="F20" s="8" t="n">
        <v>47</v>
      </c>
      <c r="H20" s="6" t="s">
        <v>228</v>
      </c>
    </row>
    <row r="21" customFormat="false" ht="15" hidden="false" customHeight="false" outlineLevel="0" collapsed="false">
      <c r="B21" s="10" t="s">
        <v>220</v>
      </c>
      <c r="C21" s="11" t="n">
        <f aca="false">C20/C8</f>
        <v>0.00500730231587732</v>
      </c>
      <c r="D21" s="11" t="n">
        <f aca="false">D20/D8</f>
        <v>0.0124371157070989</v>
      </c>
      <c r="E21" s="11" t="n">
        <f aca="false">E20/E8</f>
        <v>0.0101382488479263</v>
      </c>
      <c r="F21" s="11" t="n">
        <f aca="false">F20/F8</f>
        <v>0.0182595182595183</v>
      </c>
    </row>
    <row r="22" customFormat="false" ht="41.75" hidden="false" customHeight="false" outlineLevel="0" collapsed="false">
      <c r="B22" s="4" t="s">
        <v>229</v>
      </c>
      <c r="C22" s="8" t="n">
        <v>58</v>
      </c>
      <c r="D22" s="8" t="n">
        <v>81</v>
      </c>
      <c r="E22" s="8" t="n">
        <v>104</v>
      </c>
      <c r="F22" s="8" t="n">
        <v>52</v>
      </c>
      <c r="H22" s="6" t="s">
        <v>230</v>
      </c>
    </row>
    <row r="23" customFormat="false" ht="15" hidden="false" customHeight="false" outlineLevel="0" collapsed="false">
      <c r="B23" s="10" t="s">
        <v>220</v>
      </c>
      <c r="C23" s="11" t="n">
        <f aca="false">C22/C8</f>
        <v>0.0121009805967035</v>
      </c>
      <c r="D23" s="11" t="n">
        <f aca="false">D22/D8</f>
        <v>0.0113191727221912</v>
      </c>
      <c r="E23" s="11" t="n">
        <f aca="false">E22/E8</f>
        <v>0.0191705069124424</v>
      </c>
      <c r="F23" s="11" t="n">
        <f aca="false">F22/F8</f>
        <v>0.0202020202020202</v>
      </c>
    </row>
    <row r="24" customFormat="false" ht="15" hidden="false" customHeight="false" outlineLevel="0" collapsed="false">
      <c r="B24" s="4" t="s">
        <v>231</v>
      </c>
      <c r="C24" s="8" t="n">
        <v>367</v>
      </c>
      <c r="D24" s="8" t="n">
        <v>572</v>
      </c>
      <c r="E24" s="8" t="n">
        <v>567</v>
      </c>
      <c r="F24" s="8" t="n">
        <v>257</v>
      </c>
      <c r="H24" s="6" t="s">
        <v>232</v>
      </c>
    </row>
    <row r="25" customFormat="false" ht="15" hidden="false" customHeight="false" outlineLevel="0" collapsed="false">
      <c r="B25" s="10" t="s">
        <v>220</v>
      </c>
      <c r="C25" s="11" t="n">
        <f aca="false">C24/C8</f>
        <v>0.076569997913624</v>
      </c>
      <c r="D25" s="11" t="n">
        <f aca="false">D24/D8</f>
        <v>0.0799329234209055</v>
      </c>
      <c r="E25" s="11" t="n">
        <f aca="false">E24/E8</f>
        <v>0.104516129032258</v>
      </c>
      <c r="F25" s="11" t="n">
        <f aca="false">F24/F8</f>
        <v>0.0998445998445998</v>
      </c>
    </row>
    <row r="26" customFormat="false" ht="15" hidden="false" customHeight="false" outlineLevel="0" collapsed="false">
      <c r="B26" s="4" t="s">
        <v>233</v>
      </c>
      <c r="C26" s="8" t="n">
        <v>947</v>
      </c>
      <c r="D26" s="8" t="n">
        <v>1231</v>
      </c>
      <c r="E26" s="8" t="n">
        <v>778</v>
      </c>
      <c r="F26" s="8" t="n">
        <v>411</v>
      </c>
      <c r="H26" s="6" t="s">
        <v>234</v>
      </c>
    </row>
    <row r="27" customFormat="false" ht="15" hidden="false" customHeight="false" outlineLevel="0" collapsed="false">
      <c r="B27" s="10" t="s">
        <v>220</v>
      </c>
      <c r="C27" s="11" t="n">
        <f aca="false">C26/C8</f>
        <v>0.197579803880659</v>
      </c>
      <c r="D27" s="11" t="n">
        <f aca="false">D26/D8</f>
        <v>0.172023476802683</v>
      </c>
      <c r="E27" s="11" t="n">
        <f aca="false">E26/E8</f>
        <v>0.143410138248848</v>
      </c>
      <c r="F27" s="11" t="n">
        <f aca="false">F26/F8</f>
        <v>0.15967365967366</v>
      </c>
    </row>
    <row r="29" customFormat="false" ht="15" hidden="false" customHeight="false" outlineLevel="0" collapsed="false">
      <c r="B29" s="7" t="s">
        <v>235</v>
      </c>
    </row>
    <row r="30" customFormat="false" ht="15" hidden="false" customHeight="false" outlineLevel="0" collapsed="false">
      <c r="B30" s="4" t="s">
        <v>236</v>
      </c>
      <c r="C30" s="17" t="n">
        <f aca="false">COUNTIFS('DM Data Scored Posts'!$C$4:$C$4003,2023)</f>
        <v>1000</v>
      </c>
      <c r="D30" s="17" t="n">
        <f aca="false">COUNTIFS('DM Data Scored Posts'!$C$4:$C$4003,2024)</f>
        <v>1000</v>
      </c>
      <c r="E30" s="17" t="n">
        <f aca="false">COUNTIFS('DM Data Scored Posts'!$C$4:$C$4003,2025)</f>
        <v>1000</v>
      </c>
      <c r="F30" s="17" t="n">
        <f aca="false">COUNTIFS('DM Data Scored Posts'!$C$4:$C$4003,2026)</f>
        <v>1000</v>
      </c>
    </row>
    <row r="31" customFormat="false" ht="15" hidden="false" customHeight="false" outlineLevel="0" collapsed="false">
      <c r="B31" s="4" t="s">
        <v>237</v>
      </c>
      <c r="C31" s="17" t="n">
        <f aca="false">COUNTIFS('DM Data Scored Posts'!$C$4:$C$4003,2023,'DM Data Scored Posts'!$G$4:$G$4003,"negative")</f>
        <v>340</v>
      </c>
      <c r="D31" s="17" t="n">
        <f aca="false">COUNTIFS('DM Data Scored Posts'!$C$4:$C$4003,2024,'DM Data Scored Posts'!$G$4:$G$4003,"negative")</f>
        <v>366</v>
      </c>
      <c r="E31" s="17" t="n">
        <f aca="false">COUNTIFS('DM Data Scored Posts'!$C$4:$C$4003,2025,'DM Data Scored Posts'!$G$4:$G$4003,"negative")</f>
        <v>391</v>
      </c>
      <c r="F31" s="17" t="n">
        <f aca="false">COUNTIFS('DM Data Scored Posts'!$C$4:$C$4003,2026,'DM Data Scored Posts'!$G$4:$G$4003,"negative")</f>
        <v>424</v>
      </c>
    </row>
    <row r="32" customFormat="false" ht="15" hidden="false" customHeight="false" outlineLevel="0" collapsed="false">
      <c r="B32" s="4" t="s">
        <v>238</v>
      </c>
      <c r="C32" s="17" t="n">
        <f aca="false">COUNTIFS('DM Data Scored Posts'!$C$4:$C$4003,2023,'DM Data Scored Posts'!$G$4:$G$4003,"neutral")</f>
        <v>428</v>
      </c>
      <c r="D32" s="17" t="n">
        <f aca="false">COUNTIFS('DM Data Scored Posts'!$C$4:$C$4003,2024,'DM Data Scored Posts'!$G$4:$G$4003,"neutral")</f>
        <v>388</v>
      </c>
      <c r="E32" s="17" t="n">
        <f aca="false">COUNTIFS('DM Data Scored Posts'!$C$4:$C$4003,2025,'DM Data Scored Posts'!$G$4:$G$4003,"neutral")</f>
        <v>330</v>
      </c>
      <c r="F32" s="17" t="n">
        <f aca="false">COUNTIFS('DM Data Scored Posts'!$C$4:$C$4003,2026,'DM Data Scored Posts'!$G$4:$G$4003,"neutral")</f>
        <v>334</v>
      </c>
    </row>
    <row r="33" customFormat="false" ht="15" hidden="false" customHeight="false" outlineLevel="0" collapsed="false">
      <c r="B33" s="4" t="s">
        <v>239</v>
      </c>
      <c r="C33" s="17" t="n">
        <f aca="false">COUNTIFS('DM Data Scored Posts'!$C$4:$C$4003,2023,'DM Data Scored Posts'!$G$4:$G$4003,"positive")</f>
        <v>232</v>
      </c>
      <c r="D33" s="17" t="n">
        <f aca="false">COUNTIFS('DM Data Scored Posts'!$C$4:$C$4003,2024,'DM Data Scored Posts'!$G$4:$G$4003,"positive")</f>
        <v>246</v>
      </c>
      <c r="E33" s="17" t="n">
        <f aca="false">COUNTIFS('DM Data Scored Posts'!$C$4:$C$4003,2025,'DM Data Scored Posts'!$G$4:$G$4003,"positive")</f>
        <v>279</v>
      </c>
      <c r="F33" s="17" t="n">
        <f aca="false">COUNTIFS('DM Data Scored Posts'!$C$4:$C$4003,2026,'DM Data Scored Posts'!$G$4:$G$4003,"positive")</f>
        <v>242</v>
      </c>
    </row>
    <row r="34" customFormat="false" ht="15" hidden="false" customHeight="false" outlineLevel="0" collapsed="false">
      <c r="B34" s="4" t="s">
        <v>240</v>
      </c>
      <c r="C34" s="11" t="n">
        <f aca="false">C31/C30</f>
        <v>0.34</v>
      </c>
      <c r="D34" s="11" t="n">
        <f aca="false">D31/D30</f>
        <v>0.366</v>
      </c>
      <c r="E34" s="11" t="n">
        <f aca="false">E31/E30</f>
        <v>0.391</v>
      </c>
      <c r="F34" s="11" t="n">
        <f aca="false">F31/F30</f>
        <v>0.424</v>
      </c>
    </row>
    <row r="35" customFormat="false" ht="15" hidden="false" customHeight="false" outlineLevel="0" collapsed="false">
      <c r="B35" s="4" t="s">
        <v>241</v>
      </c>
      <c r="C35" s="11" t="n">
        <f aca="false">C33/C30</f>
        <v>0.232</v>
      </c>
      <c r="D35" s="11" t="n">
        <f aca="false">D33/D30</f>
        <v>0.246</v>
      </c>
      <c r="E35" s="11" t="n">
        <f aca="false">E33/E30</f>
        <v>0.279</v>
      </c>
      <c r="F35" s="11" t="n">
        <f aca="false">F33/F30</f>
        <v>0.242</v>
      </c>
    </row>
    <row r="36" customFormat="false" ht="15" hidden="false" customHeight="false" outlineLevel="0" collapsed="false">
      <c r="B36" s="4" t="s">
        <v>242</v>
      </c>
      <c r="C36" s="40" t="n">
        <f aca="false">(C33-C31)/C30*100</f>
        <v>-10.8</v>
      </c>
      <c r="D36" s="40" t="n">
        <f aca="false">(D33-D31)/D30*100</f>
        <v>-12</v>
      </c>
      <c r="E36" s="40" t="n">
        <f aca="false">(E33-E31)/E30*100</f>
        <v>-11.2</v>
      </c>
      <c r="F36" s="40" t="n">
        <f aca="false">(F33-F31)/F30*100</f>
        <v>-18.2</v>
      </c>
    </row>
    <row r="37" customFormat="false" ht="15" hidden="false" customHeight="false" outlineLevel="0" collapsed="false">
      <c r="B37" s="4" t="s">
        <v>243</v>
      </c>
      <c r="C37" s="17" t="n">
        <f aca="false">COUNTIFS('DM Data Scored Posts'!$C$4:$C$4003,2023,'DM Data Scored Posts'!$S$4:$S$4003,1)</f>
        <v>262</v>
      </c>
      <c r="D37" s="17" t="n">
        <f aca="false">COUNTIFS('DM Data Scored Posts'!$C$4:$C$4003,2024,'DM Data Scored Posts'!$S$4:$S$4003,1)</f>
        <v>143</v>
      </c>
      <c r="E37" s="17" t="n">
        <f aca="false">COUNTIFS('DM Data Scored Posts'!$C$4:$C$4003,2025,'DM Data Scored Posts'!$S$4:$S$4003,1)</f>
        <v>39</v>
      </c>
      <c r="F37" s="17" t="n">
        <f aca="false">COUNTIFS('DM Data Scored Posts'!$C$4:$C$4003,2026,'DM Data Scored Posts'!$S$4:$S$4003,1)</f>
        <v>47</v>
      </c>
      <c r="H37" s="6" t="s">
        <v>244</v>
      </c>
    </row>
    <row r="38" customFormat="false" ht="15" hidden="false" customHeight="false" outlineLevel="0" collapsed="false">
      <c r="B38" s="4" t="s">
        <v>245</v>
      </c>
      <c r="C38" s="17" t="n">
        <f aca="false">COUNTIFS('DM Data Scored Posts'!$C$4:$C$4003,2023,'DM Data Scored Posts'!$S$4:$S$4003,1,'DM Data Scored Posts'!$G$4:$G$4003,"negative")</f>
        <v>60</v>
      </c>
      <c r="D38" s="17" t="n">
        <f aca="false">COUNTIFS('DM Data Scored Posts'!$C$4:$C$4003,2024,'DM Data Scored Posts'!$S$4:$S$4003,1,'DM Data Scored Posts'!$G$4:$G$4003,"negative")</f>
        <v>30</v>
      </c>
      <c r="E38" s="17" t="n">
        <f aca="false">COUNTIFS('DM Data Scored Posts'!$C$4:$C$4003,2025,'DM Data Scored Posts'!$S$4:$S$4003,1,'DM Data Scored Posts'!$G$4:$G$4003,"negative")</f>
        <v>8</v>
      </c>
      <c r="F38" s="17" t="n">
        <f aca="false">COUNTIFS('DM Data Scored Posts'!$C$4:$C$4003,2026,'DM Data Scored Posts'!$S$4:$S$4003,1,'DM Data Scored Posts'!$G$4:$G$4003,"negative")</f>
        <v>9</v>
      </c>
    </row>
    <row r="39" customFormat="false" ht="15" hidden="false" customHeight="false" outlineLevel="0" collapsed="false">
      <c r="B39" s="10" t="s">
        <v>246</v>
      </c>
      <c r="C39" s="11" t="n">
        <f aca="false">IF(C37=0,0,C38/C37)</f>
        <v>0.229007633587786</v>
      </c>
      <c r="D39" s="11" t="n">
        <f aca="false">IF(D37=0,0,D38/D37)</f>
        <v>0.20979020979021</v>
      </c>
      <c r="E39" s="11" t="n">
        <f aca="false">IF(E37=0,0,E38/E37)</f>
        <v>0.205128205128205</v>
      </c>
      <c r="F39" s="11" t="n">
        <f aca="false">IF(F37=0,0,F38/F37)</f>
        <v>0.191489361702128</v>
      </c>
    </row>
    <row r="40" customFormat="false" ht="28.35" hidden="false" customHeight="false" outlineLevel="0" collapsed="false">
      <c r="B40" s="4" t="s">
        <v>247</v>
      </c>
      <c r="C40" s="11" t="n">
        <f aca="false">(C31-C38)/(C30-C37)</f>
        <v>0.37940379403794</v>
      </c>
      <c r="D40" s="11" t="n">
        <f aca="false">(D31-D38)/(D30-D37)</f>
        <v>0.392065344224037</v>
      </c>
      <c r="E40" s="11" t="n">
        <f aca="false">(E31-E38)/(E30-E37)</f>
        <v>0.398543184183143</v>
      </c>
      <c r="F40" s="11" t="n">
        <f aca="false">(F31-F38)/(F30-F37)</f>
        <v>0.435466946484785</v>
      </c>
      <c r="H40" s="6" t="s">
        <v>248</v>
      </c>
    </row>
    <row r="41" customFormat="false" ht="41.75" hidden="false" customHeight="false" outlineLevel="0" collapsed="false">
      <c r="B41" s="4" t="s">
        <v>249</v>
      </c>
      <c r="C41" s="17" t="n">
        <f aca="false">COUNTIFS('DM Data Scored Posts'!$C$4:$C$4003,2023,'DM Data Scored Posts'!$T$4:$T$4003,1)</f>
        <v>6</v>
      </c>
      <c r="D41" s="17" t="n">
        <f aca="false">COUNTIFS('DM Data Scored Posts'!$C$4:$C$4003,2024,'DM Data Scored Posts'!$T$4:$T$4003,1)</f>
        <v>14</v>
      </c>
      <c r="E41" s="17" t="n">
        <f aca="false">COUNTIFS('DM Data Scored Posts'!$C$4:$C$4003,2025,'DM Data Scored Posts'!$T$4:$T$4003,1)</f>
        <v>12</v>
      </c>
      <c r="F41" s="17" t="n">
        <f aca="false">COUNTIFS('DM Data Scored Posts'!$C$4:$C$4003,2026,'DM Data Scored Posts'!$T$4:$T$4003,1)</f>
        <v>24</v>
      </c>
      <c r="H41" s="6" t="s">
        <v>250</v>
      </c>
    </row>
    <row r="42" customFormat="false" ht="15" hidden="false" customHeight="false" outlineLevel="0" collapsed="false">
      <c r="B42" s="10" t="s">
        <v>251</v>
      </c>
      <c r="C42" s="11" t="n">
        <f aca="false">C41/C30</f>
        <v>0.006</v>
      </c>
      <c r="D42" s="11" t="n">
        <f aca="false">D41/D30</f>
        <v>0.014</v>
      </c>
      <c r="E42" s="11" t="n">
        <f aca="false">E41/E30</f>
        <v>0.012</v>
      </c>
      <c r="F42" s="11" t="n">
        <f aca="false">F41/F30</f>
        <v>0.024</v>
      </c>
    </row>
    <row r="44" customFormat="false" ht="15" hidden="false" customHeight="false" outlineLevel="0" collapsed="false">
      <c r="B44" s="26" t="s">
        <v>252</v>
      </c>
      <c r="C44" s="41" t="s">
        <v>145</v>
      </c>
      <c r="D44" s="41" t="s">
        <v>146</v>
      </c>
      <c r="E44" s="41" t="s">
        <v>147</v>
      </c>
      <c r="F44" s="41" t="s">
        <v>148</v>
      </c>
    </row>
    <row r="45" customFormat="false" ht="15" hidden="false" customHeight="false" outlineLevel="0" collapsed="false">
      <c r="B45" s="4" t="s">
        <v>253</v>
      </c>
      <c r="C45" s="17" t="n">
        <f aca="false">COUNTIFS('DM Data Scored Posts'!$C$4:$C$4003,2023,'DM Data Scored Posts'!$K$4:$K$4003,"Yes")</f>
        <v>54</v>
      </c>
      <c r="D45" s="17" t="n">
        <f aca="false">COUNTIFS('DM Data Scored Posts'!$C$4:$C$4003,2024,'DM Data Scored Posts'!$K$4:$K$4003,"Yes")</f>
        <v>57</v>
      </c>
      <c r="E45" s="17" t="n">
        <f aca="false">COUNTIFS('DM Data Scored Posts'!$C$4:$C$4003,2025,'DM Data Scored Posts'!$K$4:$K$4003,"Yes")</f>
        <v>81</v>
      </c>
      <c r="F45" s="17" t="n">
        <f aca="false">COUNTIFS('DM Data Scored Posts'!$C$4:$C$4003,2026,'DM Data Scored Posts'!$K$4:$K$4003,"Yes")</f>
        <v>89</v>
      </c>
    </row>
    <row r="46" customFormat="false" ht="15" hidden="false" customHeight="false" outlineLevel="0" collapsed="false">
      <c r="B46" s="10" t="s">
        <v>254</v>
      </c>
      <c r="C46" s="11" t="n">
        <f aca="false">IF(C45=0,0,COUNTIFS('DM Data Scored Posts'!$C$4:$C$4003,2023,'DM Data Scored Posts'!$K$4:$K$4003,"Yes",'DM Data Scored Posts'!$G$4:$G$4003,"negative")/C45)</f>
        <v>0.62962962962963</v>
      </c>
      <c r="D46" s="11" t="n">
        <f aca="false">IF(D45=0,0,COUNTIFS('DM Data Scored Posts'!$C$4:$C$4003,2024,'DM Data Scored Posts'!$K$4:$K$4003,"Yes",'DM Data Scored Posts'!$G$4:$G$4003,"negative")/D45)</f>
        <v>0.719298245614035</v>
      </c>
      <c r="E46" s="11" t="n">
        <f aca="false">IF(E45=0,0,COUNTIFS('DM Data Scored Posts'!$C$4:$C$4003,2025,'DM Data Scored Posts'!$K$4:$K$4003,"Yes",'DM Data Scored Posts'!$G$4:$G$4003,"negative")/E45)</f>
        <v>0.740740740740741</v>
      </c>
      <c r="F46" s="11" t="n">
        <f aca="false">IF(F45=0,0,COUNTIFS('DM Data Scored Posts'!$C$4:$C$4003,2026,'DM Data Scored Posts'!$K$4:$K$4003,"Yes",'DM Data Scored Posts'!$G$4:$G$4003,"negative")/F45)</f>
        <v>0.651685393258427</v>
      </c>
    </row>
    <row r="47" customFormat="false" ht="15" hidden="false" customHeight="false" outlineLevel="0" collapsed="false">
      <c r="B47" s="4" t="s">
        <v>255</v>
      </c>
      <c r="C47" s="17" t="n">
        <f aca="false">COUNTIFS('DM Data Scored Posts'!$C$4:$C$4003,2023,'DM Data Scored Posts'!$L$4:$L$4003,"Yes")</f>
        <v>10</v>
      </c>
      <c r="D47" s="17" t="n">
        <f aca="false">COUNTIFS('DM Data Scored Posts'!$C$4:$C$4003,2024,'DM Data Scored Posts'!$L$4:$L$4003,"Yes")</f>
        <v>10</v>
      </c>
      <c r="E47" s="17" t="n">
        <f aca="false">COUNTIFS('DM Data Scored Posts'!$C$4:$C$4003,2025,'DM Data Scored Posts'!$L$4:$L$4003,"Yes")</f>
        <v>11</v>
      </c>
      <c r="F47" s="17" t="n">
        <f aca="false">COUNTIFS('DM Data Scored Posts'!$C$4:$C$4003,2026,'DM Data Scored Posts'!$L$4:$L$4003,"Yes")</f>
        <v>4</v>
      </c>
    </row>
    <row r="48" customFormat="false" ht="15" hidden="false" customHeight="false" outlineLevel="0" collapsed="false">
      <c r="B48" s="10" t="s">
        <v>254</v>
      </c>
      <c r="C48" s="11" t="n">
        <f aca="false">IF(C47=0,0,COUNTIFS('DM Data Scored Posts'!$C$4:$C$4003,2023,'DM Data Scored Posts'!$L$4:$L$4003,"Yes",'DM Data Scored Posts'!$G$4:$G$4003,"negative")/C47)</f>
        <v>0.7</v>
      </c>
      <c r="D48" s="11" t="n">
        <f aca="false">IF(D47=0,0,COUNTIFS('DM Data Scored Posts'!$C$4:$C$4003,2024,'DM Data Scored Posts'!$L$4:$L$4003,"Yes",'DM Data Scored Posts'!$G$4:$G$4003,"negative")/D47)</f>
        <v>0.8</v>
      </c>
      <c r="E48" s="11" t="n">
        <f aca="false">IF(E47=0,0,COUNTIFS('DM Data Scored Posts'!$C$4:$C$4003,2025,'DM Data Scored Posts'!$L$4:$L$4003,"Yes",'DM Data Scored Posts'!$G$4:$G$4003,"negative")/E47)</f>
        <v>0.636363636363636</v>
      </c>
      <c r="F48" s="11" t="n">
        <f aca="false">IF(F47=0,0,COUNTIFS('DM Data Scored Posts'!$C$4:$C$4003,2026,'DM Data Scored Posts'!$L$4:$L$4003,"Yes",'DM Data Scored Posts'!$G$4:$G$4003,"negative")/F47)</f>
        <v>1</v>
      </c>
    </row>
    <row r="49" customFormat="false" ht="15" hidden="false" customHeight="false" outlineLevel="0" collapsed="false">
      <c r="B49" s="4" t="s">
        <v>256</v>
      </c>
      <c r="C49" s="17" t="n">
        <f aca="false">COUNTIFS('DM Data Scored Posts'!$C$4:$C$4003,2023,'DM Data Scored Posts'!$M$4:$M$4003,"Yes")</f>
        <v>2</v>
      </c>
      <c r="D49" s="17" t="n">
        <f aca="false">COUNTIFS('DM Data Scored Posts'!$C$4:$C$4003,2024,'DM Data Scored Posts'!$M$4:$M$4003,"Yes")</f>
        <v>8</v>
      </c>
      <c r="E49" s="17" t="n">
        <f aca="false">COUNTIFS('DM Data Scored Posts'!$C$4:$C$4003,2025,'DM Data Scored Posts'!$M$4:$M$4003,"Yes")</f>
        <v>33</v>
      </c>
      <c r="F49" s="17" t="n">
        <f aca="false">COUNTIFS('DM Data Scored Posts'!$C$4:$C$4003,2026,'DM Data Scored Posts'!$M$4:$M$4003,"Yes")</f>
        <v>41</v>
      </c>
    </row>
    <row r="50" customFormat="false" ht="15" hidden="false" customHeight="false" outlineLevel="0" collapsed="false">
      <c r="B50" s="10" t="s">
        <v>254</v>
      </c>
      <c r="C50" s="11" t="n">
        <f aca="false">IF(C49=0,0,COUNTIFS('DM Data Scored Posts'!$C$4:$C$4003,2023,'DM Data Scored Posts'!$M$4:$M$4003,"Yes",'DM Data Scored Posts'!$G$4:$G$4003,"negative")/C49)</f>
        <v>0.5</v>
      </c>
      <c r="D50" s="11" t="n">
        <f aca="false">IF(D49=0,0,COUNTIFS('DM Data Scored Posts'!$C$4:$C$4003,2024,'DM Data Scored Posts'!$M$4:$M$4003,"Yes",'DM Data Scored Posts'!$G$4:$G$4003,"negative")/D49)</f>
        <v>0.75</v>
      </c>
      <c r="E50" s="11" t="n">
        <f aca="false">IF(E49=0,0,COUNTIFS('DM Data Scored Posts'!$C$4:$C$4003,2025,'DM Data Scored Posts'!$M$4:$M$4003,"Yes",'DM Data Scored Posts'!$G$4:$G$4003,"negative")/E49)</f>
        <v>0.666666666666667</v>
      </c>
      <c r="F50" s="11" t="n">
        <f aca="false">IF(F49=0,0,COUNTIFS('DM Data Scored Posts'!$C$4:$C$4003,2026,'DM Data Scored Posts'!$M$4:$M$4003,"Yes",'DM Data Scored Posts'!$G$4:$G$4003,"negative")/F49)</f>
        <v>0.658536585365854</v>
      </c>
    </row>
    <row r="51" customFormat="false" ht="15" hidden="false" customHeight="false" outlineLevel="0" collapsed="false">
      <c r="B51" s="4" t="s">
        <v>257</v>
      </c>
      <c r="C51" s="17" t="n">
        <f aca="false">COUNTIFS('DM Data Scored Posts'!$C$4:$C$4003,2023,'DM Data Scored Posts'!$N$4:$N$4003,"Yes")</f>
        <v>2</v>
      </c>
      <c r="D51" s="17" t="n">
        <f aca="false">COUNTIFS('DM Data Scored Posts'!$C$4:$C$4003,2024,'DM Data Scored Posts'!$N$4:$N$4003,"Yes")</f>
        <v>6</v>
      </c>
      <c r="E51" s="17" t="n">
        <f aca="false">COUNTIFS('DM Data Scored Posts'!$C$4:$C$4003,2025,'DM Data Scored Posts'!$N$4:$N$4003,"Yes")</f>
        <v>6</v>
      </c>
      <c r="F51" s="17" t="n">
        <f aca="false">COUNTIFS('DM Data Scored Posts'!$C$4:$C$4003,2026,'DM Data Scored Posts'!$N$4:$N$4003,"Yes")</f>
        <v>4</v>
      </c>
    </row>
    <row r="52" customFormat="false" ht="15" hidden="false" customHeight="false" outlineLevel="0" collapsed="false">
      <c r="B52" s="10" t="s">
        <v>254</v>
      </c>
      <c r="C52" s="11" t="n">
        <f aca="false">IF(C51=0,0,COUNTIFS('DM Data Scored Posts'!$C$4:$C$4003,2023,'DM Data Scored Posts'!$N$4:$N$4003,"Yes",'DM Data Scored Posts'!$G$4:$G$4003,"negative")/C51)</f>
        <v>0.5</v>
      </c>
      <c r="D52" s="11" t="n">
        <f aca="false">IF(D51=0,0,COUNTIFS('DM Data Scored Posts'!$C$4:$C$4003,2024,'DM Data Scored Posts'!$N$4:$N$4003,"Yes",'DM Data Scored Posts'!$G$4:$G$4003,"negative")/D51)</f>
        <v>0.666666666666667</v>
      </c>
      <c r="E52" s="11" t="n">
        <f aca="false">IF(E51=0,0,COUNTIFS('DM Data Scored Posts'!$C$4:$C$4003,2025,'DM Data Scored Posts'!$N$4:$N$4003,"Yes",'DM Data Scored Posts'!$G$4:$G$4003,"negative")/E51)</f>
        <v>1</v>
      </c>
      <c r="F52" s="11" t="n">
        <f aca="false">IF(F51=0,0,COUNTIFS('DM Data Scored Posts'!$C$4:$C$4003,2026,'DM Data Scored Posts'!$N$4:$N$4003,"Yes",'DM Data Scored Posts'!$G$4:$G$4003,"negative")/F51)</f>
        <v>0.75</v>
      </c>
    </row>
    <row r="53" customFormat="false" ht="15" hidden="false" customHeight="false" outlineLevel="0" collapsed="false">
      <c r="B53" s="4" t="s">
        <v>258</v>
      </c>
      <c r="C53" s="17" t="n">
        <f aca="false">COUNTIFS('DM Data Scored Posts'!$C$4:$C$4003,2023,'DM Data Scored Posts'!$O$4:$O$4003,"Yes")</f>
        <v>5</v>
      </c>
      <c r="D53" s="17" t="n">
        <f aca="false">COUNTIFS('DM Data Scored Posts'!$C$4:$C$4003,2024,'DM Data Scored Posts'!$O$4:$O$4003,"Yes")</f>
        <v>15</v>
      </c>
      <c r="E53" s="17" t="n">
        <f aca="false">COUNTIFS('DM Data Scored Posts'!$C$4:$C$4003,2025,'DM Data Scored Posts'!$O$4:$O$4003,"Yes")</f>
        <v>10</v>
      </c>
      <c r="F53" s="17" t="n">
        <f aca="false">COUNTIFS('DM Data Scored Posts'!$C$4:$C$4003,2026,'DM Data Scored Posts'!$O$4:$O$4003,"Yes")</f>
        <v>19</v>
      </c>
    </row>
    <row r="54" customFormat="false" ht="15" hidden="false" customHeight="false" outlineLevel="0" collapsed="false">
      <c r="B54" s="10" t="s">
        <v>254</v>
      </c>
      <c r="C54" s="11" t="n">
        <f aca="false">IF(C53=0,0,COUNTIFS('DM Data Scored Posts'!$C$4:$C$4003,2023,'DM Data Scored Posts'!$O$4:$O$4003,"Yes",'DM Data Scored Posts'!$G$4:$G$4003,"negative")/C53)</f>
        <v>0.6</v>
      </c>
      <c r="D54" s="11" t="n">
        <f aca="false">IF(D53=0,0,COUNTIFS('DM Data Scored Posts'!$C$4:$C$4003,2024,'DM Data Scored Posts'!$O$4:$O$4003,"Yes",'DM Data Scored Posts'!$G$4:$G$4003,"negative")/D53)</f>
        <v>0.733333333333333</v>
      </c>
      <c r="E54" s="11" t="n">
        <f aca="false">IF(E53=0,0,COUNTIFS('DM Data Scored Posts'!$C$4:$C$4003,2025,'DM Data Scored Posts'!$O$4:$O$4003,"Yes",'DM Data Scored Posts'!$G$4:$G$4003,"negative")/E53)</f>
        <v>0.4</v>
      </c>
      <c r="F54" s="11" t="n">
        <f aca="false">IF(F53=0,0,COUNTIFS('DM Data Scored Posts'!$C$4:$C$4003,2026,'DM Data Scored Posts'!$O$4:$O$4003,"Yes",'DM Data Scored Posts'!$G$4:$G$4003,"negative")/F53)</f>
        <v>0.421052631578947</v>
      </c>
    </row>
    <row r="55" customFormat="false" ht="15" hidden="false" customHeight="false" outlineLevel="0" collapsed="false">
      <c r="B55" s="4" t="s">
        <v>259</v>
      </c>
      <c r="C55" s="17" t="n">
        <f aca="false">COUNTIFS('DM Data Scored Posts'!$C$4:$C$4003,2023,'DM Data Scored Posts'!$P$4:$P$4003,"Yes")</f>
        <v>14</v>
      </c>
      <c r="D55" s="17" t="n">
        <f aca="false">COUNTIFS('DM Data Scored Posts'!$C$4:$C$4003,2024,'DM Data Scored Posts'!$P$4:$P$4003,"Yes")</f>
        <v>9</v>
      </c>
      <c r="E55" s="17" t="n">
        <f aca="false">COUNTIFS('DM Data Scored Posts'!$C$4:$C$4003,2025,'DM Data Scored Posts'!$P$4:$P$4003,"Yes")</f>
        <v>17</v>
      </c>
      <c r="F55" s="17" t="n">
        <f aca="false">COUNTIFS('DM Data Scored Posts'!$C$4:$C$4003,2026,'DM Data Scored Posts'!$P$4:$P$4003,"Yes")</f>
        <v>25</v>
      </c>
    </row>
    <row r="56" customFormat="false" ht="15" hidden="false" customHeight="false" outlineLevel="0" collapsed="false">
      <c r="B56" s="10" t="s">
        <v>254</v>
      </c>
      <c r="C56" s="11" t="n">
        <f aca="false">IF(C55=0,0,COUNTIFS('DM Data Scored Posts'!$C$4:$C$4003,2023,'DM Data Scored Posts'!$P$4:$P$4003,"Yes",'DM Data Scored Posts'!$G$4:$G$4003,"negative")/C55)</f>
        <v>0.142857142857143</v>
      </c>
      <c r="D56" s="11" t="n">
        <f aca="false">IF(D55=0,0,COUNTIFS('DM Data Scored Posts'!$C$4:$C$4003,2024,'DM Data Scored Posts'!$P$4:$P$4003,"Yes",'DM Data Scored Posts'!$G$4:$G$4003,"negative")/D55)</f>
        <v>0.333333333333333</v>
      </c>
      <c r="E56" s="11" t="n">
        <f aca="false">IF(E55=0,0,COUNTIFS('DM Data Scored Posts'!$C$4:$C$4003,2025,'DM Data Scored Posts'!$P$4:$P$4003,"Yes",'DM Data Scored Posts'!$G$4:$G$4003,"negative")/E55)</f>
        <v>0.176470588235294</v>
      </c>
      <c r="F56" s="11" t="n">
        <f aca="false">IF(F55=0,0,COUNTIFS('DM Data Scored Posts'!$C$4:$C$4003,2026,'DM Data Scored Posts'!$P$4:$P$4003,"Yes",'DM Data Scored Posts'!$G$4:$G$4003,"negative")/F55)</f>
        <v>0.2</v>
      </c>
    </row>
    <row r="57" customFormat="false" ht="15" hidden="false" customHeight="false" outlineLevel="0" collapsed="false">
      <c r="B57" s="4" t="s">
        <v>260</v>
      </c>
      <c r="C57" s="17" t="n">
        <f aca="false">COUNTIFS('DM Data Scored Posts'!$C$4:$C$4003,2023,'DM Data Scored Posts'!$Q$4:$Q$4003,"Yes")</f>
        <v>64</v>
      </c>
      <c r="D57" s="17" t="n">
        <f aca="false">COUNTIFS('DM Data Scored Posts'!$C$4:$C$4003,2024,'DM Data Scored Posts'!$Q$4:$Q$4003,"Yes")</f>
        <v>76</v>
      </c>
      <c r="E57" s="17" t="n">
        <f aca="false">COUNTIFS('DM Data Scored Posts'!$C$4:$C$4003,2025,'DM Data Scored Posts'!$Q$4:$Q$4003,"Yes")</f>
        <v>87</v>
      </c>
      <c r="F57" s="17" t="n">
        <f aca="false">COUNTIFS('DM Data Scored Posts'!$C$4:$C$4003,2026,'DM Data Scored Posts'!$Q$4:$Q$4003,"Yes")</f>
        <v>108</v>
      </c>
    </row>
    <row r="58" customFormat="false" ht="15" hidden="false" customHeight="false" outlineLevel="0" collapsed="false">
      <c r="B58" s="10" t="s">
        <v>254</v>
      </c>
      <c r="C58" s="11" t="n">
        <f aca="false">IF(C57=0,0,COUNTIFS('DM Data Scored Posts'!$C$4:$C$4003,2023,'DM Data Scored Posts'!$Q$4:$Q$4003,"Yes",'DM Data Scored Posts'!$G$4:$G$4003,"negative")/C57)</f>
        <v>0.4375</v>
      </c>
      <c r="D58" s="11" t="n">
        <f aca="false">IF(D57=0,0,COUNTIFS('DM Data Scored Posts'!$C$4:$C$4003,2024,'DM Data Scored Posts'!$Q$4:$Q$4003,"Yes",'DM Data Scored Posts'!$G$4:$G$4003,"negative")/D57)</f>
        <v>0.539473684210526</v>
      </c>
      <c r="E58" s="11" t="n">
        <f aca="false">IF(E57=0,0,COUNTIFS('DM Data Scored Posts'!$C$4:$C$4003,2025,'DM Data Scored Posts'!$Q$4:$Q$4003,"Yes",'DM Data Scored Posts'!$G$4:$G$4003,"negative")/E57)</f>
        <v>0.586206896551724</v>
      </c>
      <c r="F58" s="11" t="n">
        <f aca="false">IF(F57=0,0,COUNTIFS('DM Data Scored Posts'!$C$4:$C$4003,2026,'DM Data Scored Posts'!$Q$4:$Q$4003,"Yes",'DM Data Scored Posts'!$G$4:$G$4003,"negative")/F57)</f>
        <v>0.601851851851852</v>
      </c>
    </row>
    <row r="59" customFormat="false" ht="15" hidden="false" customHeight="false" outlineLevel="0" collapsed="false">
      <c r="B59" s="4" t="s">
        <v>261</v>
      </c>
      <c r="C59" s="17" t="n">
        <f aca="false">COUNTIFS('DM Data Scored Posts'!$C$4:$C$4003,2023,'DM Data Scored Posts'!$R$4:$R$4003,"Yes")</f>
        <v>201</v>
      </c>
      <c r="D59" s="17" t="n">
        <f aca="false">COUNTIFS('DM Data Scored Posts'!$C$4:$C$4003,2024,'DM Data Scored Posts'!$R$4:$R$4003,"Yes")</f>
        <v>174</v>
      </c>
      <c r="E59" s="17" t="n">
        <f aca="false">COUNTIFS('DM Data Scored Posts'!$C$4:$C$4003,2025,'DM Data Scored Posts'!$R$4:$R$4003,"Yes")</f>
        <v>144</v>
      </c>
      <c r="F59" s="17" t="n">
        <f aca="false">COUNTIFS('DM Data Scored Posts'!$C$4:$C$4003,2026,'DM Data Scored Posts'!$R$4:$R$4003,"Yes")</f>
        <v>167</v>
      </c>
    </row>
    <row r="60" customFormat="false" ht="15" hidden="false" customHeight="false" outlineLevel="0" collapsed="false">
      <c r="B60" s="10" t="s">
        <v>254</v>
      </c>
      <c r="C60" s="11" t="n">
        <f aca="false">IF(C59=0,0,COUNTIFS('DM Data Scored Posts'!$C$4:$C$4003,2023,'DM Data Scored Posts'!$R$4:$R$4003,"Yes",'DM Data Scored Posts'!$G$4:$G$4003,"negative")/C59)</f>
        <v>0.512437810945274</v>
      </c>
      <c r="D60" s="11" t="n">
        <f aca="false">IF(D59=0,0,COUNTIFS('DM Data Scored Posts'!$C$4:$C$4003,2024,'DM Data Scored Posts'!$R$4:$R$4003,"Yes",'DM Data Scored Posts'!$G$4:$G$4003,"negative")/D59)</f>
        <v>0.53448275862069</v>
      </c>
      <c r="E60" s="11" t="n">
        <f aca="false">IF(E59=0,0,COUNTIFS('DM Data Scored Posts'!$C$4:$C$4003,2025,'DM Data Scored Posts'!$R$4:$R$4003,"Yes",'DM Data Scored Posts'!$G$4:$G$4003,"negative")/E59)</f>
        <v>0.569444444444444</v>
      </c>
      <c r="F60" s="11" t="n">
        <f aca="false">IF(F59=0,0,COUNTIFS('DM Data Scored Posts'!$C$4:$C$4003,2026,'DM Data Scored Posts'!$R$4:$R$4003,"Yes",'DM Data Scored Posts'!$G$4:$G$4003,"negative")/F59)</f>
        <v>0.592814371257485</v>
      </c>
    </row>
    <row r="61" customFormat="false" ht="15" hidden="false" customHeight="false" outlineLevel="0" collapsed="false">
      <c r="B61" s="4" t="s">
        <v>262</v>
      </c>
      <c r="C61" s="11" t="n">
        <f aca="false">IF(C55=0,0,COUNTIFS('DM Data Scored Posts'!$C$4:$C$4003,2023,'DM Data Scored Posts'!$P$4:$P$4003,"Yes",'DM Data Scored Posts'!$G$4:$G$4003,"positive")/C55)</f>
        <v>0.714285714285714</v>
      </c>
      <c r="D61" s="11" t="n">
        <f aca="false">IF(D55=0,0,COUNTIFS('DM Data Scored Posts'!$C$4:$C$4003,2024,'DM Data Scored Posts'!$P$4:$P$4003,"Yes",'DM Data Scored Posts'!$G$4:$G$4003,"positive")/D55)</f>
        <v>0.444444444444444</v>
      </c>
      <c r="E61" s="11" t="n">
        <f aca="false">IF(E55=0,0,COUNTIFS('DM Data Scored Posts'!$C$4:$C$4003,2025,'DM Data Scored Posts'!$P$4:$P$4003,"Yes",'DM Data Scored Posts'!$G$4:$G$4003,"positive")/E55)</f>
        <v>0.705882352941177</v>
      </c>
      <c r="F61" s="11" t="n">
        <f aca="false">IF(F55=0,0,COUNTIFS('DM Data Scored Posts'!$C$4:$C$4003,2026,'DM Data Scored Posts'!$P$4:$P$4003,"Yes",'DM Data Scored Posts'!$G$4:$G$4003,"positive")/F55)</f>
        <v>0.68</v>
      </c>
      <c r="H61" s="6" t="s">
        <v>263</v>
      </c>
    </row>
    <row r="63" customFormat="false" ht="15" hidden="false" customHeight="false" outlineLevel="0" collapsed="false">
      <c r="B63" s="26" t="s">
        <v>264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U40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9"/>
    <col collapsed="false" customWidth="true" hidden="false" outlineLevel="0" max="2" min="2" style="0" width="12"/>
    <col collapsed="false" customWidth="true" hidden="false" outlineLevel="0" max="3" min="3" style="0" width="7"/>
    <col collapsed="false" customWidth="true" hidden="false" outlineLevel="0" max="4" min="4" style="0" width="11"/>
    <col collapsed="false" customWidth="true" hidden="false" outlineLevel="0" max="5" min="5" style="0" width="60"/>
    <col collapsed="false" customWidth="true" hidden="false" outlineLevel="0" max="6" min="6" style="0" width="9"/>
    <col collapsed="false" customWidth="true" hidden="false" outlineLevel="0" max="7" min="7" style="0" width="11"/>
    <col collapsed="false" customWidth="true" hidden="false" outlineLevel="0" max="10" min="8" style="0" width="10"/>
    <col collapsed="false" customWidth="true" hidden="false" outlineLevel="0" max="20" min="11" style="0" width="12"/>
    <col collapsed="false" customWidth="true" hidden="false" outlineLevel="0" max="21" min="21" style="0" width="36"/>
  </cols>
  <sheetData>
    <row r="2" customFormat="false" ht="15" hidden="false" customHeight="false" outlineLevel="0" collapsed="false">
      <c r="B2" s="1" t="s">
        <v>265</v>
      </c>
      <c r="C2" s="1"/>
      <c r="D2" s="1"/>
      <c r="E2" s="1"/>
      <c r="F2" s="1"/>
      <c r="G2" s="1"/>
      <c r="H2" s="1"/>
      <c r="I2" s="1"/>
      <c r="J2" s="1"/>
      <c r="K2" s="1"/>
      <c r="L2" s="1"/>
      <c r="M2" s="1"/>
      <c r="N2" s="1"/>
      <c r="O2" s="1"/>
      <c r="P2" s="1"/>
      <c r="Q2" s="1"/>
      <c r="R2" s="1"/>
      <c r="S2" s="1"/>
      <c r="T2" s="1"/>
      <c r="U2" s="1"/>
    </row>
    <row r="3" customFormat="false" ht="45" hidden="false" customHeight="true" outlineLevel="0" collapsed="false">
      <c r="B3" s="47" t="s">
        <v>266</v>
      </c>
      <c r="C3" s="47" t="s">
        <v>267</v>
      </c>
      <c r="D3" s="47" t="s">
        <v>268</v>
      </c>
      <c r="E3" s="47" t="s">
        <v>269</v>
      </c>
      <c r="F3" s="47" t="s">
        <v>270</v>
      </c>
      <c r="G3" s="47" t="s">
        <v>271</v>
      </c>
      <c r="H3" s="47" t="s">
        <v>272</v>
      </c>
      <c r="I3" s="47" t="s">
        <v>273</v>
      </c>
      <c r="J3" s="47" t="s">
        <v>274</v>
      </c>
      <c r="K3" s="47" t="s">
        <v>218</v>
      </c>
      <c r="L3" s="47" t="s">
        <v>221</v>
      </c>
      <c r="M3" s="47" t="s">
        <v>223</v>
      </c>
      <c r="N3" s="47" t="s">
        <v>225</v>
      </c>
      <c r="O3" s="47" t="s">
        <v>227</v>
      </c>
      <c r="P3" s="47" t="s">
        <v>229</v>
      </c>
      <c r="Q3" s="47" t="s">
        <v>231</v>
      </c>
      <c r="R3" s="47" t="s">
        <v>233</v>
      </c>
      <c r="S3" s="47" t="s">
        <v>275</v>
      </c>
      <c r="T3" s="47" t="s">
        <v>276</v>
      </c>
      <c r="U3" s="47" t="s">
        <v>277</v>
      </c>
    </row>
    <row r="4" customFormat="false" ht="15" hidden="false" customHeight="false" outlineLevel="0" collapsed="false">
      <c r="B4" s="48" t="n">
        <v>44927.3866203704</v>
      </c>
      <c r="C4" s="4" t="n">
        <f aca="false">YEAR(B4)</f>
        <v>2023</v>
      </c>
      <c r="D4" s="49" t="s">
        <v>278</v>
      </c>
      <c r="E4" s="49" t="s">
        <v>279</v>
      </c>
      <c r="F4" s="50" t="n">
        <v>10</v>
      </c>
      <c r="G4" s="49" t="s">
        <v>280</v>
      </c>
      <c r="H4" s="51" t="n">
        <v>0.4884</v>
      </c>
      <c r="I4" s="51" t="n">
        <v>0.4306</v>
      </c>
      <c r="J4" s="51" t="n">
        <v>0.081</v>
      </c>
      <c r="K4" s="49"/>
      <c r="L4" s="49"/>
      <c r="M4" s="49"/>
      <c r="N4" s="49"/>
      <c r="O4" s="49"/>
      <c r="P4" s="49"/>
      <c r="Q4" s="49" t="s">
        <v>281</v>
      </c>
      <c r="R4" s="49"/>
      <c r="S4" s="49" t="n">
        <v>0</v>
      </c>
      <c r="T4" s="49" t="n">
        <v>0</v>
      </c>
      <c r="U4" s="49" t="s">
        <v>282</v>
      </c>
    </row>
    <row r="5" customFormat="false" ht="15" hidden="false" customHeight="false" outlineLevel="0" collapsed="false">
      <c r="B5" s="48" t="n">
        <v>44927.6144791667</v>
      </c>
      <c r="C5" s="4" t="n">
        <f aca="false">YEAR(B5)</f>
        <v>2023</v>
      </c>
      <c r="D5" s="49" t="s">
        <v>283</v>
      </c>
      <c r="E5" s="49" t="s">
        <v>284</v>
      </c>
      <c r="F5" s="50" t="n">
        <v>1</v>
      </c>
      <c r="G5" s="49" t="s">
        <v>280</v>
      </c>
      <c r="H5" s="51" t="n">
        <v>0.6663</v>
      </c>
      <c r="I5" s="51" t="n">
        <v>0.3224</v>
      </c>
      <c r="J5" s="51" t="n">
        <v>0.0114</v>
      </c>
      <c r="K5" s="49"/>
      <c r="L5" s="49"/>
      <c r="M5" s="49"/>
      <c r="N5" s="49"/>
      <c r="O5" s="49"/>
      <c r="P5" s="49"/>
      <c r="Q5" s="49"/>
      <c r="R5" s="49"/>
      <c r="S5" s="49" t="n">
        <v>1</v>
      </c>
      <c r="T5" s="49" t="n">
        <v>0</v>
      </c>
      <c r="U5" s="49" t="s">
        <v>285</v>
      </c>
    </row>
    <row r="6" customFormat="false" ht="15" hidden="false" customHeight="false" outlineLevel="0" collapsed="false">
      <c r="B6" s="48" t="n">
        <v>44929.1819328704</v>
      </c>
      <c r="C6" s="4" t="n">
        <f aca="false">YEAR(B6)</f>
        <v>2023</v>
      </c>
      <c r="D6" s="49" t="s">
        <v>283</v>
      </c>
      <c r="E6" s="49" t="s">
        <v>286</v>
      </c>
      <c r="F6" s="50" t="n">
        <v>3</v>
      </c>
      <c r="G6" s="49" t="s">
        <v>287</v>
      </c>
      <c r="H6" s="51" t="n">
        <v>0.0064</v>
      </c>
      <c r="I6" s="51" t="n">
        <v>0.4817</v>
      </c>
      <c r="J6" s="51" t="n">
        <v>0.5119</v>
      </c>
      <c r="K6" s="49"/>
      <c r="L6" s="49"/>
      <c r="M6" s="49"/>
      <c r="N6" s="49"/>
      <c r="O6" s="49"/>
      <c r="P6" s="49"/>
      <c r="Q6" s="49"/>
      <c r="R6" s="49"/>
      <c r="S6" s="49" t="n">
        <v>0</v>
      </c>
      <c r="T6" s="49" t="n">
        <v>0</v>
      </c>
      <c r="U6" s="49" t="s">
        <v>288</v>
      </c>
    </row>
    <row r="7" customFormat="false" ht="15" hidden="false" customHeight="false" outlineLevel="0" collapsed="false">
      <c r="B7" s="48" t="n">
        <v>44929.23375</v>
      </c>
      <c r="C7" s="4" t="n">
        <f aca="false">YEAR(B7)</f>
        <v>2023</v>
      </c>
      <c r="D7" s="49" t="s">
        <v>283</v>
      </c>
      <c r="E7" s="49" t="s">
        <v>289</v>
      </c>
      <c r="F7" s="50" t="n">
        <v>1</v>
      </c>
      <c r="G7" s="49" t="s">
        <v>290</v>
      </c>
      <c r="H7" s="51" t="n">
        <v>0.0085</v>
      </c>
      <c r="I7" s="51" t="n">
        <v>0.9002</v>
      </c>
      <c r="J7" s="51" t="n">
        <v>0.0914</v>
      </c>
      <c r="K7" s="49"/>
      <c r="L7" s="49"/>
      <c r="M7" s="49"/>
      <c r="N7" s="49"/>
      <c r="O7" s="49"/>
      <c r="P7" s="49"/>
      <c r="Q7" s="49"/>
      <c r="R7" s="49"/>
      <c r="S7" s="49" t="n">
        <v>1</v>
      </c>
      <c r="T7" s="49" t="n">
        <v>0</v>
      </c>
      <c r="U7" s="49" t="s">
        <v>291</v>
      </c>
    </row>
    <row r="8" customFormat="false" ht="15" hidden="false" customHeight="false" outlineLevel="0" collapsed="false">
      <c r="B8" s="48" t="n">
        <v>44930.2091550926</v>
      </c>
      <c r="C8" s="4" t="n">
        <f aca="false">YEAR(B8)</f>
        <v>2023</v>
      </c>
      <c r="D8" s="49" t="s">
        <v>283</v>
      </c>
      <c r="E8" s="49" t="s">
        <v>292</v>
      </c>
      <c r="F8" s="50" t="n">
        <v>1</v>
      </c>
      <c r="G8" s="49" t="s">
        <v>280</v>
      </c>
      <c r="H8" s="51" t="n">
        <v>0.8488</v>
      </c>
      <c r="I8" s="51" t="n">
        <v>0.1425</v>
      </c>
      <c r="J8" s="51" t="n">
        <v>0.0087</v>
      </c>
      <c r="K8" s="49"/>
      <c r="L8" s="49"/>
      <c r="M8" s="49"/>
      <c r="N8" s="49"/>
      <c r="O8" s="49"/>
      <c r="P8" s="49"/>
      <c r="Q8" s="49"/>
      <c r="R8" s="49"/>
      <c r="S8" s="49" t="n">
        <v>1</v>
      </c>
      <c r="T8" s="49" t="n">
        <v>0</v>
      </c>
      <c r="U8" s="49" t="s">
        <v>293</v>
      </c>
    </row>
    <row r="9" customFormat="false" ht="15" hidden="false" customHeight="false" outlineLevel="0" collapsed="false">
      <c r="B9" s="48" t="n">
        <v>44930.6411458333</v>
      </c>
      <c r="C9" s="4" t="n">
        <f aca="false">YEAR(B9)</f>
        <v>2023</v>
      </c>
      <c r="D9" s="49" t="s">
        <v>283</v>
      </c>
      <c r="E9" s="49" t="s">
        <v>294</v>
      </c>
      <c r="F9" s="50" t="n">
        <v>2</v>
      </c>
      <c r="G9" s="49" t="s">
        <v>290</v>
      </c>
      <c r="H9" s="51" t="n">
        <v>0.0084</v>
      </c>
      <c r="I9" s="51" t="n">
        <v>0.7345</v>
      </c>
      <c r="J9" s="51" t="n">
        <v>0.2571</v>
      </c>
      <c r="K9" s="49"/>
      <c r="L9" s="49"/>
      <c r="M9" s="49"/>
      <c r="N9" s="49"/>
      <c r="O9" s="49"/>
      <c r="P9" s="49"/>
      <c r="Q9" s="49"/>
      <c r="R9" s="49"/>
      <c r="S9" s="49" t="n">
        <v>0</v>
      </c>
      <c r="T9" s="49" t="n">
        <v>0</v>
      </c>
      <c r="U9" s="49" t="s">
        <v>295</v>
      </c>
    </row>
    <row r="10" customFormat="false" ht="15" hidden="false" customHeight="false" outlineLevel="0" collapsed="false">
      <c r="B10" s="48" t="n">
        <v>44930.6727777778</v>
      </c>
      <c r="C10" s="4" t="n">
        <f aca="false">YEAR(B10)</f>
        <v>2023</v>
      </c>
      <c r="D10" s="49" t="s">
        <v>283</v>
      </c>
      <c r="E10" s="49" t="s">
        <v>296</v>
      </c>
      <c r="F10" s="50" t="n">
        <v>5</v>
      </c>
      <c r="G10" s="49" t="s">
        <v>280</v>
      </c>
      <c r="H10" s="51" t="n">
        <v>0.8743</v>
      </c>
      <c r="I10" s="51" t="n">
        <v>0.1161</v>
      </c>
      <c r="J10" s="51" t="n">
        <v>0.0096</v>
      </c>
      <c r="K10" s="49"/>
      <c r="L10" s="49"/>
      <c r="M10" s="49"/>
      <c r="N10" s="49"/>
      <c r="O10" s="49"/>
      <c r="P10" s="49"/>
      <c r="Q10" s="49"/>
      <c r="R10" s="49"/>
      <c r="S10" s="49" t="n">
        <v>1</v>
      </c>
      <c r="T10" s="49" t="n">
        <v>0</v>
      </c>
      <c r="U10" s="49" t="s">
        <v>297</v>
      </c>
    </row>
    <row r="11" customFormat="false" ht="15" hidden="false" customHeight="false" outlineLevel="0" collapsed="false">
      <c r="B11" s="48" t="n">
        <v>44932.9266550926</v>
      </c>
      <c r="C11" s="4" t="n">
        <f aca="false">YEAR(B11)</f>
        <v>2023</v>
      </c>
      <c r="D11" s="49" t="s">
        <v>283</v>
      </c>
      <c r="E11" s="49" t="s">
        <v>298</v>
      </c>
      <c r="F11" s="50" t="n">
        <v>1</v>
      </c>
      <c r="G11" s="49" t="s">
        <v>280</v>
      </c>
      <c r="H11" s="51" t="n">
        <v>0.9302</v>
      </c>
      <c r="I11" s="51" t="n">
        <v>0.0609</v>
      </c>
      <c r="J11" s="51" t="n">
        <v>0.0089</v>
      </c>
      <c r="K11" s="49"/>
      <c r="L11" s="49"/>
      <c r="M11" s="49"/>
      <c r="N11" s="49"/>
      <c r="O11" s="49"/>
      <c r="P11" s="49" t="s">
        <v>281</v>
      </c>
      <c r="Q11" s="49"/>
      <c r="R11" s="49"/>
      <c r="S11" s="49" t="n">
        <v>1</v>
      </c>
      <c r="T11" s="49" t="n">
        <v>0</v>
      </c>
      <c r="U11" s="49" t="s">
        <v>299</v>
      </c>
    </row>
    <row r="12" customFormat="false" ht="15" hidden="false" customHeight="false" outlineLevel="0" collapsed="false">
      <c r="B12" s="48" t="n">
        <v>44933.8729398148</v>
      </c>
      <c r="C12" s="4" t="n">
        <f aca="false">YEAR(B12)</f>
        <v>2023</v>
      </c>
      <c r="D12" s="49" t="s">
        <v>283</v>
      </c>
      <c r="E12" s="49" t="s">
        <v>300</v>
      </c>
      <c r="F12" s="50" t="n">
        <v>1</v>
      </c>
      <c r="G12" s="49" t="s">
        <v>280</v>
      </c>
      <c r="H12" s="51" t="n">
        <v>0.7817</v>
      </c>
      <c r="I12" s="51" t="n">
        <v>0.2089</v>
      </c>
      <c r="J12" s="51" t="n">
        <v>0.0094</v>
      </c>
      <c r="K12" s="49"/>
      <c r="L12" s="49"/>
      <c r="M12" s="49"/>
      <c r="N12" s="49"/>
      <c r="O12" s="49"/>
      <c r="P12" s="49"/>
      <c r="Q12" s="49"/>
      <c r="R12" s="49"/>
      <c r="S12" s="49" t="n">
        <v>1</v>
      </c>
      <c r="T12" s="49" t="n">
        <v>0</v>
      </c>
      <c r="U12" s="49" t="s">
        <v>301</v>
      </c>
    </row>
    <row r="13" customFormat="false" ht="15" hidden="false" customHeight="false" outlineLevel="0" collapsed="false">
      <c r="B13" s="48" t="n">
        <v>44935.7322106482</v>
      </c>
      <c r="C13" s="4" t="n">
        <f aca="false">YEAR(B13)</f>
        <v>2023</v>
      </c>
      <c r="D13" s="49" t="s">
        <v>283</v>
      </c>
      <c r="E13" s="49" t="s">
        <v>302</v>
      </c>
      <c r="F13" s="50" t="n">
        <v>1</v>
      </c>
      <c r="G13" s="49" t="s">
        <v>290</v>
      </c>
      <c r="H13" s="51" t="n">
        <v>0.4219</v>
      </c>
      <c r="I13" s="51" t="n">
        <v>0.5596</v>
      </c>
      <c r="J13" s="51" t="n">
        <v>0.0185</v>
      </c>
      <c r="K13" s="49"/>
      <c r="L13" s="49"/>
      <c r="M13" s="49"/>
      <c r="N13" s="49"/>
      <c r="O13" s="49"/>
      <c r="P13" s="49"/>
      <c r="Q13" s="49" t="s">
        <v>281</v>
      </c>
      <c r="R13" s="49"/>
      <c r="S13" s="49" t="n">
        <v>1</v>
      </c>
      <c r="T13" s="49" t="n">
        <v>0</v>
      </c>
      <c r="U13" s="49" t="s">
        <v>303</v>
      </c>
    </row>
    <row r="14" customFormat="false" ht="15" hidden="false" customHeight="false" outlineLevel="0" collapsed="false">
      <c r="B14" s="48" t="n">
        <v>44936.2198032407</v>
      </c>
      <c r="C14" s="4" t="n">
        <f aca="false">YEAR(B14)</f>
        <v>2023</v>
      </c>
      <c r="D14" s="49" t="s">
        <v>283</v>
      </c>
      <c r="E14" s="49" t="s">
        <v>304</v>
      </c>
      <c r="F14" s="50" t="n">
        <v>2</v>
      </c>
      <c r="G14" s="49" t="s">
        <v>290</v>
      </c>
      <c r="H14" s="51" t="n">
        <v>0.3464</v>
      </c>
      <c r="I14" s="51" t="n">
        <v>0.6407</v>
      </c>
      <c r="J14" s="51" t="n">
        <v>0.0129</v>
      </c>
      <c r="K14" s="49"/>
      <c r="L14" s="49"/>
      <c r="M14" s="49"/>
      <c r="N14" s="49"/>
      <c r="O14" s="49"/>
      <c r="P14" s="49"/>
      <c r="Q14" s="49"/>
      <c r="R14" s="49"/>
      <c r="S14" s="49" t="n">
        <v>1</v>
      </c>
      <c r="T14" s="49" t="n">
        <v>0</v>
      </c>
      <c r="U14" s="49" t="s">
        <v>305</v>
      </c>
    </row>
    <row r="15" customFormat="false" ht="15" hidden="false" customHeight="false" outlineLevel="0" collapsed="false">
      <c r="B15" s="48" t="n">
        <v>44936.5705208333</v>
      </c>
      <c r="C15" s="4" t="n">
        <f aca="false">YEAR(B15)</f>
        <v>2023</v>
      </c>
      <c r="D15" s="49" t="s">
        <v>283</v>
      </c>
      <c r="E15" s="49" t="s">
        <v>306</v>
      </c>
      <c r="F15" s="50" t="n">
        <v>1</v>
      </c>
      <c r="G15" s="49" t="s">
        <v>290</v>
      </c>
      <c r="H15" s="51" t="n">
        <v>0.0104</v>
      </c>
      <c r="I15" s="51" t="n">
        <v>0.8672</v>
      </c>
      <c r="J15" s="51" t="n">
        <v>0.1224</v>
      </c>
      <c r="K15" s="49"/>
      <c r="L15" s="49"/>
      <c r="M15" s="49"/>
      <c r="N15" s="49"/>
      <c r="O15" s="49"/>
      <c r="P15" s="49"/>
      <c r="Q15" s="49"/>
      <c r="R15" s="49"/>
      <c r="S15" s="49" t="n">
        <v>1</v>
      </c>
      <c r="T15" s="49" t="n">
        <v>0</v>
      </c>
      <c r="U15" s="49" t="s">
        <v>307</v>
      </c>
    </row>
    <row r="16" customFormat="false" ht="15" hidden="false" customHeight="false" outlineLevel="0" collapsed="false">
      <c r="B16" s="48" t="n">
        <v>44936.6756944444</v>
      </c>
      <c r="C16" s="4" t="n">
        <f aca="false">YEAR(B16)</f>
        <v>2023</v>
      </c>
      <c r="D16" s="49" t="s">
        <v>283</v>
      </c>
      <c r="E16" s="49" t="s">
        <v>308</v>
      </c>
      <c r="F16" s="50" t="n">
        <v>3</v>
      </c>
      <c r="G16" s="49" t="s">
        <v>290</v>
      </c>
      <c r="H16" s="51" t="n">
        <v>0.0089</v>
      </c>
      <c r="I16" s="51" t="n">
        <v>0.7208</v>
      </c>
      <c r="J16" s="51" t="n">
        <v>0.2702</v>
      </c>
      <c r="K16" s="49"/>
      <c r="L16" s="49"/>
      <c r="M16" s="49"/>
      <c r="N16" s="49"/>
      <c r="O16" s="49"/>
      <c r="P16" s="49"/>
      <c r="Q16" s="49"/>
      <c r="R16" s="49"/>
      <c r="S16" s="49" t="n">
        <v>0</v>
      </c>
      <c r="T16" s="49" t="n">
        <v>0</v>
      </c>
      <c r="U16" s="49" t="s">
        <v>309</v>
      </c>
    </row>
    <row r="17" customFormat="false" ht="15" hidden="false" customHeight="false" outlineLevel="0" collapsed="false">
      <c r="B17" s="48" t="n">
        <v>44936.7868287037</v>
      </c>
      <c r="C17" s="4" t="n">
        <f aca="false">YEAR(B17)</f>
        <v>2023</v>
      </c>
      <c r="D17" s="49" t="s">
        <v>278</v>
      </c>
      <c r="E17" s="49" t="s">
        <v>310</v>
      </c>
      <c r="F17" s="50" t="n">
        <v>33</v>
      </c>
      <c r="G17" s="49" t="s">
        <v>287</v>
      </c>
      <c r="H17" s="51" t="n">
        <v>0.0025</v>
      </c>
      <c r="I17" s="51" t="n">
        <v>0.0979</v>
      </c>
      <c r="J17" s="51" t="n">
        <v>0.8996</v>
      </c>
      <c r="K17" s="49"/>
      <c r="L17" s="49"/>
      <c r="M17" s="49"/>
      <c r="N17" s="49"/>
      <c r="O17" s="49"/>
      <c r="P17" s="49"/>
      <c r="Q17" s="49"/>
      <c r="R17" s="49"/>
      <c r="S17" s="49" t="n">
        <v>0</v>
      </c>
      <c r="T17" s="49" t="n">
        <v>0</v>
      </c>
      <c r="U17" s="49" t="s">
        <v>311</v>
      </c>
    </row>
    <row r="18" customFormat="false" ht="15" hidden="false" customHeight="false" outlineLevel="0" collapsed="false">
      <c r="B18" s="48" t="n">
        <v>44937.2899652778</v>
      </c>
      <c r="C18" s="4" t="n">
        <f aca="false">YEAR(B18)</f>
        <v>2023</v>
      </c>
      <c r="D18" s="49" t="s">
        <v>278</v>
      </c>
      <c r="E18" s="49" t="s">
        <v>312</v>
      </c>
      <c r="F18" s="50" t="n">
        <v>52</v>
      </c>
      <c r="G18" s="49" t="s">
        <v>287</v>
      </c>
      <c r="H18" s="51" t="n">
        <v>0.0058</v>
      </c>
      <c r="I18" s="51" t="n">
        <v>0.0498</v>
      </c>
      <c r="J18" s="51" t="n">
        <v>0.9444</v>
      </c>
      <c r="K18" s="49"/>
      <c r="L18" s="49"/>
      <c r="M18" s="49"/>
      <c r="N18" s="49"/>
      <c r="O18" s="49"/>
      <c r="P18" s="49"/>
      <c r="Q18" s="49"/>
      <c r="R18" s="49"/>
      <c r="S18" s="49" t="n">
        <v>0</v>
      </c>
      <c r="T18" s="49" t="n">
        <v>0</v>
      </c>
      <c r="U18" s="49" t="s">
        <v>313</v>
      </c>
    </row>
    <row r="19" customFormat="false" ht="15" hidden="false" customHeight="false" outlineLevel="0" collapsed="false">
      <c r="B19" s="48" t="n">
        <v>44938.6863194444</v>
      </c>
      <c r="C19" s="4" t="n">
        <f aca="false">YEAR(B19)</f>
        <v>2023</v>
      </c>
      <c r="D19" s="49" t="s">
        <v>283</v>
      </c>
      <c r="E19" s="49" t="s">
        <v>314</v>
      </c>
      <c r="F19" s="50" t="n">
        <v>14</v>
      </c>
      <c r="G19" s="49" t="s">
        <v>287</v>
      </c>
      <c r="H19" s="51" t="n">
        <v>0.0039</v>
      </c>
      <c r="I19" s="51" t="n">
        <v>0.3589</v>
      </c>
      <c r="J19" s="51" t="n">
        <v>0.6372</v>
      </c>
      <c r="K19" s="49"/>
      <c r="L19" s="49"/>
      <c r="M19" s="49"/>
      <c r="N19" s="49"/>
      <c r="O19" s="49"/>
      <c r="P19" s="49"/>
      <c r="Q19" s="49"/>
      <c r="R19" s="49"/>
      <c r="S19" s="49" t="n">
        <v>0</v>
      </c>
      <c r="T19" s="49" t="n">
        <v>0</v>
      </c>
      <c r="U19" s="49" t="s">
        <v>315</v>
      </c>
    </row>
    <row r="20" customFormat="false" ht="15" hidden="false" customHeight="false" outlineLevel="0" collapsed="false">
      <c r="B20" s="48" t="n">
        <v>44938.8097569444</v>
      </c>
      <c r="C20" s="4" t="n">
        <f aca="false">YEAR(B20)</f>
        <v>2023</v>
      </c>
      <c r="D20" s="49" t="s">
        <v>283</v>
      </c>
      <c r="E20" s="49" t="s">
        <v>316</v>
      </c>
      <c r="F20" s="50" t="n">
        <v>1</v>
      </c>
      <c r="G20" s="49" t="s">
        <v>280</v>
      </c>
      <c r="H20" s="51" t="n">
        <v>0.7637</v>
      </c>
      <c r="I20" s="51" t="n">
        <v>0.2149</v>
      </c>
      <c r="J20" s="51" t="n">
        <v>0.0215</v>
      </c>
      <c r="K20" s="49"/>
      <c r="L20" s="49"/>
      <c r="M20" s="49"/>
      <c r="N20" s="49"/>
      <c r="O20" s="49"/>
      <c r="P20" s="49"/>
      <c r="Q20" s="49"/>
      <c r="R20" s="49"/>
      <c r="S20" s="49" t="n">
        <v>0</v>
      </c>
      <c r="T20" s="49" t="n">
        <v>0</v>
      </c>
      <c r="U20" s="49" t="s">
        <v>317</v>
      </c>
    </row>
    <row r="21" customFormat="false" ht="15" hidden="false" customHeight="false" outlineLevel="0" collapsed="false">
      <c r="B21" s="48" t="n">
        <v>44939.6725578704</v>
      </c>
      <c r="C21" s="4" t="n">
        <f aca="false">YEAR(B21)</f>
        <v>2023</v>
      </c>
      <c r="D21" s="49" t="s">
        <v>283</v>
      </c>
      <c r="E21" s="49" t="s">
        <v>318</v>
      </c>
      <c r="F21" s="50" t="n">
        <v>1</v>
      </c>
      <c r="G21" s="49" t="s">
        <v>287</v>
      </c>
      <c r="H21" s="51" t="n">
        <v>0.0018</v>
      </c>
      <c r="I21" s="51" t="n">
        <v>0.0221</v>
      </c>
      <c r="J21" s="51" t="n">
        <v>0.9761</v>
      </c>
      <c r="K21" s="49"/>
      <c r="L21" s="49"/>
      <c r="M21" s="49"/>
      <c r="N21" s="49"/>
      <c r="O21" s="49"/>
      <c r="P21" s="49"/>
      <c r="Q21" s="49"/>
      <c r="R21" s="49"/>
      <c r="S21" s="49" t="n">
        <v>0</v>
      </c>
      <c r="T21" s="49" t="n">
        <v>0</v>
      </c>
      <c r="U21" s="49" t="s">
        <v>319</v>
      </c>
    </row>
    <row r="22" customFormat="false" ht="15" hidden="false" customHeight="false" outlineLevel="0" collapsed="false">
      <c r="B22" s="48" t="n">
        <v>44940.0856944445</v>
      </c>
      <c r="C22" s="4" t="n">
        <f aca="false">YEAR(B22)</f>
        <v>2023</v>
      </c>
      <c r="D22" s="49" t="s">
        <v>278</v>
      </c>
      <c r="E22" s="49" t="s">
        <v>320</v>
      </c>
      <c r="F22" s="50" t="n">
        <v>10</v>
      </c>
      <c r="G22" s="49" t="s">
        <v>280</v>
      </c>
      <c r="H22" s="51" t="n">
        <v>0.8694</v>
      </c>
      <c r="I22" s="51" t="n">
        <v>0.1229</v>
      </c>
      <c r="J22" s="51" t="n">
        <v>0.0078</v>
      </c>
      <c r="K22" s="49"/>
      <c r="L22" s="49"/>
      <c r="M22" s="49"/>
      <c r="N22" s="49"/>
      <c r="O22" s="49"/>
      <c r="P22" s="49"/>
      <c r="Q22" s="49"/>
      <c r="R22" s="49"/>
      <c r="S22" s="49" t="n">
        <v>0</v>
      </c>
      <c r="T22" s="49" t="n">
        <v>0</v>
      </c>
      <c r="U22" s="49" t="s">
        <v>321</v>
      </c>
    </row>
    <row r="23" customFormat="false" ht="15" hidden="false" customHeight="false" outlineLevel="0" collapsed="false">
      <c r="B23" s="48" t="n">
        <v>44942.122974537</v>
      </c>
      <c r="C23" s="4" t="n">
        <f aca="false">YEAR(B23)</f>
        <v>2023</v>
      </c>
      <c r="D23" s="49" t="s">
        <v>283</v>
      </c>
      <c r="E23" s="49" t="s">
        <v>322</v>
      </c>
      <c r="F23" s="50" t="n">
        <v>2</v>
      </c>
      <c r="G23" s="49" t="s">
        <v>287</v>
      </c>
      <c r="H23" s="51" t="n">
        <v>0.0054</v>
      </c>
      <c r="I23" s="51" t="n">
        <v>0.2962</v>
      </c>
      <c r="J23" s="51" t="n">
        <v>0.6984</v>
      </c>
      <c r="K23" s="49"/>
      <c r="L23" s="49"/>
      <c r="M23" s="49"/>
      <c r="N23" s="49"/>
      <c r="O23" s="49"/>
      <c r="P23" s="49"/>
      <c r="Q23" s="49"/>
      <c r="R23" s="49"/>
      <c r="S23" s="49" t="n">
        <v>0</v>
      </c>
      <c r="T23" s="49" t="n">
        <v>0</v>
      </c>
      <c r="U23" s="49" t="s">
        <v>323</v>
      </c>
    </row>
    <row r="24" customFormat="false" ht="15" hidden="false" customHeight="false" outlineLevel="0" collapsed="false">
      <c r="B24" s="48" t="n">
        <v>44942.4668402778</v>
      </c>
      <c r="C24" s="4" t="n">
        <f aca="false">YEAR(B24)</f>
        <v>2023</v>
      </c>
      <c r="D24" s="49" t="s">
        <v>278</v>
      </c>
      <c r="E24" s="49" t="s">
        <v>324</v>
      </c>
      <c r="F24" s="50" t="n">
        <v>5</v>
      </c>
      <c r="G24" s="49" t="s">
        <v>290</v>
      </c>
      <c r="H24" s="51" t="n">
        <v>0.1854</v>
      </c>
      <c r="I24" s="51" t="n">
        <v>0.6475</v>
      </c>
      <c r="J24" s="51" t="n">
        <v>0.1671</v>
      </c>
      <c r="K24" s="49"/>
      <c r="L24" s="49"/>
      <c r="M24" s="49"/>
      <c r="N24" s="49"/>
      <c r="O24" s="49"/>
      <c r="P24" s="49"/>
      <c r="Q24" s="49"/>
      <c r="R24" s="49"/>
      <c r="S24" s="49" t="n">
        <v>0</v>
      </c>
      <c r="T24" s="49" t="n">
        <v>0</v>
      </c>
      <c r="U24" s="49" t="s">
        <v>325</v>
      </c>
    </row>
    <row r="25" customFormat="false" ht="15" hidden="false" customHeight="false" outlineLevel="0" collapsed="false">
      <c r="B25" s="48" t="n">
        <v>44942.5848611111</v>
      </c>
      <c r="C25" s="4" t="n">
        <f aca="false">YEAR(B25)</f>
        <v>2023</v>
      </c>
      <c r="D25" s="49" t="s">
        <v>283</v>
      </c>
      <c r="E25" s="49" t="s">
        <v>326</v>
      </c>
      <c r="F25" s="50" t="n">
        <v>1</v>
      </c>
      <c r="G25" s="49" t="s">
        <v>287</v>
      </c>
      <c r="H25" s="51" t="n">
        <v>0.0095</v>
      </c>
      <c r="I25" s="51" t="n">
        <v>0.4896</v>
      </c>
      <c r="J25" s="51" t="n">
        <v>0.5009</v>
      </c>
      <c r="K25" s="49"/>
      <c r="L25" s="49"/>
      <c r="M25" s="49"/>
      <c r="N25" s="49"/>
      <c r="O25" s="49"/>
      <c r="P25" s="49"/>
      <c r="Q25" s="49"/>
      <c r="R25" s="49"/>
      <c r="S25" s="49" t="n">
        <v>0</v>
      </c>
      <c r="T25" s="49" t="n">
        <v>0</v>
      </c>
      <c r="U25" s="49" t="s">
        <v>327</v>
      </c>
    </row>
    <row r="26" customFormat="false" ht="15" hidden="false" customHeight="false" outlineLevel="0" collapsed="false">
      <c r="B26" s="48" t="n">
        <v>44942.7517939815</v>
      </c>
      <c r="C26" s="4" t="n">
        <f aca="false">YEAR(B26)</f>
        <v>2023</v>
      </c>
      <c r="D26" s="49" t="s">
        <v>283</v>
      </c>
      <c r="E26" s="49" t="s">
        <v>328</v>
      </c>
      <c r="F26" s="50" t="n">
        <v>1</v>
      </c>
      <c r="G26" s="49" t="s">
        <v>290</v>
      </c>
      <c r="H26" s="51" t="n">
        <v>0.007</v>
      </c>
      <c r="I26" s="51" t="n">
        <v>0.54</v>
      </c>
      <c r="J26" s="51" t="n">
        <v>0.453</v>
      </c>
      <c r="K26" s="49"/>
      <c r="L26" s="49"/>
      <c r="M26" s="49"/>
      <c r="N26" s="49"/>
      <c r="O26" s="49"/>
      <c r="P26" s="49"/>
      <c r="Q26" s="49"/>
      <c r="R26" s="49"/>
      <c r="S26" s="49" t="n">
        <v>0</v>
      </c>
      <c r="T26" s="49" t="n">
        <v>0</v>
      </c>
      <c r="U26" s="49" t="s">
        <v>329</v>
      </c>
    </row>
    <row r="27" customFormat="false" ht="15" hidden="false" customHeight="false" outlineLevel="0" collapsed="false">
      <c r="B27" s="48" t="n">
        <v>44943.1413888889</v>
      </c>
      <c r="C27" s="4" t="n">
        <f aca="false">YEAR(B27)</f>
        <v>2023</v>
      </c>
      <c r="D27" s="49" t="s">
        <v>283</v>
      </c>
      <c r="E27" s="49" t="s">
        <v>330</v>
      </c>
      <c r="F27" s="50" t="n">
        <v>1</v>
      </c>
      <c r="G27" s="49" t="s">
        <v>290</v>
      </c>
      <c r="H27" s="51" t="n">
        <v>0.0102</v>
      </c>
      <c r="I27" s="51" t="n">
        <v>0.9037</v>
      </c>
      <c r="J27" s="51" t="n">
        <v>0.0861</v>
      </c>
      <c r="K27" s="49"/>
      <c r="L27" s="49"/>
      <c r="M27" s="49"/>
      <c r="N27" s="49"/>
      <c r="O27" s="49"/>
      <c r="P27" s="49"/>
      <c r="Q27" s="49" t="s">
        <v>281</v>
      </c>
      <c r="R27" s="49"/>
      <c r="S27" s="49" t="n">
        <v>1</v>
      </c>
      <c r="T27" s="49" t="n">
        <v>0</v>
      </c>
      <c r="U27" s="49" t="s">
        <v>331</v>
      </c>
    </row>
    <row r="28" customFormat="false" ht="15" hidden="false" customHeight="false" outlineLevel="0" collapsed="false">
      <c r="B28" s="48" t="n">
        <v>44943.4409143519</v>
      </c>
      <c r="C28" s="4" t="n">
        <f aca="false">YEAR(B28)</f>
        <v>2023</v>
      </c>
      <c r="D28" s="49" t="s">
        <v>283</v>
      </c>
      <c r="E28" s="49" t="s">
        <v>332</v>
      </c>
      <c r="F28" s="50" t="n">
        <v>1</v>
      </c>
      <c r="G28" s="49" t="s">
        <v>280</v>
      </c>
      <c r="H28" s="51" t="n">
        <v>0.8528</v>
      </c>
      <c r="I28" s="51" t="n">
        <v>0.1342</v>
      </c>
      <c r="J28" s="51" t="n">
        <v>0.0129</v>
      </c>
      <c r="K28" s="49"/>
      <c r="L28" s="49"/>
      <c r="M28" s="49"/>
      <c r="N28" s="49"/>
      <c r="O28" s="49"/>
      <c r="P28" s="49"/>
      <c r="Q28" s="49"/>
      <c r="R28" s="49"/>
      <c r="S28" s="49" t="n">
        <v>1</v>
      </c>
      <c r="T28" s="49" t="n">
        <v>0</v>
      </c>
      <c r="U28" s="49" t="s">
        <v>333</v>
      </c>
    </row>
    <row r="29" customFormat="false" ht="15" hidden="false" customHeight="false" outlineLevel="0" collapsed="false">
      <c r="B29" s="48" t="n">
        <v>44943.972025463</v>
      </c>
      <c r="C29" s="4" t="n">
        <f aca="false">YEAR(B29)</f>
        <v>2023</v>
      </c>
      <c r="D29" s="49" t="s">
        <v>283</v>
      </c>
      <c r="E29" s="49" t="s">
        <v>334</v>
      </c>
      <c r="F29" s="50" t="n">
        <v>1</v>
      </c>
      <c r="G29" s="49" t="s">
        <v>290</v>
      </c>
      <c r="H29" s="51" t="n">
        <v>0.0135</v>
      </c>
      <c r="I29" s="51" t="n">
        <v>0.6304</v>
      </c>
      <c r="J29" s="51" t="n">
        <v>0.3561</v>
      </c>
      <c r="K29" s="49"/>
      <c r="L29" s="49"/>
      <c r="M29" s="49"/>
      <c r="N29" s="49"/>
      <c r="O29" s="49"/>
      <c r="P29" s="49"/>
      <c r="Q29" s="49"/>
      <c r="R29" s="49"/>
      <c r="S29" s="49" t="n">
        <v>0</v>
      </c>
      <c r="T29" s="49" t="n">
        <v>0</v>
      </c>
      <c r="U29" s="49" t="s">
        <v>335</v>
      </c>
    </row>
    <row r="30" customFormat="false" ht="15" hidden="false" customHeight="false" outlineLevel="0" collapsed="false">
      <c r="B30" s="48" t="n">
        <v>44943.9783101852</v>
      </c>
      <c r="C30" s="4" t="n">
        <f aca="false">YEAR(B30)</f>
        <v>2023</v>
      </c>
      <c r="D30" s="49" t="s">
        <v>283</v>
      </c>
      <c r="E30" s="49" t="s">
        <v>336</v>
      </c>
      <c r="F30" s="50" t="n">
        <v>1</v>
      </c>
      <c r="G30" s="49" t="s">
        <v>290</v>
      </c>
      <c r="H30" s="51" t="n">
        <v>0.4146</v>
      </c>
      <c r="I30" s="51" t="n">
        <v>0.5367</v>
      </c>
      <c r="J30" s="51" t="n">
        <v>0.0488</v>
      </c>
      <c r="K30" s="49"/>
      <c r="L30" s="49"/>
      <c r="M30" s="49"/>
      <c r="N30" s="49"/>
      <c r="O30" s="49"/>
      <c r="P30" s="49"/>
      <c r="Q30" s="49"/>
      <c r="R30" s="49"/>
      <c r="S30" s="49" t="n">
        <v>1</v>
      </c>
      <c r="T30" s="49" t="n">
        <v>0</v>
      </c>
      <c r="U30" s="49" t="s">
        <v>337</v>
      </c>
    </row>
    <row r="31" customFormat="false" ht="15" hidden="false" customHeight="false" outlineLevel="0" collapsed="false">
      <c r="B31" s="48" t="n">
        <v>44944.0281712963</v>
      </c>
      <c r="C31" s="4" t="n">
        <f aca="false">YEAR(B31)</f>
        <v>2023</v>
      </c>
      <c r="D31" s="49" t="s">
        <v>283</v>
      </c>
      <c r="E31" s="49" t="s">
        <v>338</v>
      </c>
      <c r="F31" s="50" t="n">
        <v>3</v>
      </c>
      <c r="G31" s="49" t="s">
        <v>287</v>
      </c>
      <c r="H31" s="51" t="n">
        <v>0.0035</v>
      </c>
      <c r="I31" s="51" t="n">
        <v>0.1611</v>
      </c>
      <c r="J31" s="51" t="n">
        <v>0.8354</v>
      </c>
      <c r="K31" s="49"/>
      <c r="L31" s="49"/>
      <c r="M31" s="49"/>
      <c r="N31" s="49"/>
      <c r="O31" s="49"/>
      <c r="P31" s="49"/>
      <c r="Q31" s="49"/>
      <c r="R31" s="49"/>
      <c r="S31" s="49" t="n">
        <v>0</v>
      </c>
      <c r="T31" s="49" t="n">
        <v>0</v>
      </c>
      <c r="U31" s="49" t="s">
        <v>339</v>
      </c>
    </row>
    <row r="32" customFormat="false" ht="15" hidden="false" customHeight="false" outlineLevel="0" collapsed="false">
      <c r="B32" s="48" t="n">
        <v>44944.1797800926</v>
      </c>
      <c r="C32" s="4" t="n">
        <f aca="false">YEAR(B32)</f>
        <v>2023</v>
      </c>
      <c r="D32" s="49" t="s">
        <v>283</v>
      </c>
      <c r="E32" s="49" t="s">
        <v>340</v>
      </c>
      <c r="F32" s="50" t="n">
        <v>1</v>
      </c>
      <c r="G32" s="49" t="s">
        <v>290</v>
      </c>
      <c r="H32" s="51" t="n">
        <v>0.0034</v>
      </c>
      <c r="I32" s="51" t="n">
        <v>0.8387</v>
      </c>
      <c r="J32" s="51" t="n">
        <v>0.1579</v>
      </c>
      <c r="K32" s="49"/>
      <c r="L32" s="49"/>
      <c r="M32" s="49"/>
      <c r="N32" s="49"/>
      <c r="O32" s="49"/>
      <c r="P32" s="49"/>
      <c r="Q32" s="49"/>
      <c r="R32" s="49"/>
      <c r="S32" s="49" t="n">
        <v>0</v>
      </c>
      <c r="T32" s="49" t="n">
        <v>0</v>
      </c>
      <c r="U32" s="49" t="s">
        <v>341</v>
      </c>
    </row>
    <row r="33" customFormat="false" ht="15" hidden="false" customHeight="false" outlineLevel="0" collapsed="false">
      <c r="B33" s="48" t="n">
        <v>44944.5628240741</v>
      </c>
      <c r="C33" s="4" t="n">
        <f aca="false">YEAR(B33)</f>
        <v>2023</v>
      </c>
      <c r="D33" s="49" t="s">
        <v>283</v>
      </c>
      <c r="E33" s="49" t="s">
        <v>342</v>
      </c>
      <c r="F33" s="50" t="n">
        <v>1</v>
      </c>
      <c r="G33" s="49" t="s">
        <v>287</v>
      </c>
      <c r="H33" s="51" t="n">
        <v>0.0049</v>
      </c>
      <c r="I33" s="51" t="n">
        <v>0.0836</v>
      </c>
      <c r="J33" s="51" t="n">
        <v>0.9115</v>
      </c>
      <c r="K33" s="49"/>
      <c r="L33" s="49"/>
      <c r="M33" s="49"/>
      <c r="N33" s="49"/>
      <c r="O33" s="49"/>
      <c r="P33" s="49"/>
      <c r="Q33" s="49"/>
      <c r="R33" s="49"/>
      <c r="S33" s="49" t="n">
        <v>1</v>
      </c>
      <c r="T33" s="49" t="n">
        <v>0</v>
      </c>
      <c r="U33" s="49" t="s">
        <v>343</v>
      </c>
    </row>
    <row r="34" customFormat="false" ht="15" hidden="false" customHeight="false" outlineLevel="0" collapsed="false">
      <c r="B34" s="48" t="n">
        <v>44944.7546296296</v>
      </c>
      <c r="C34" s="4" t="n">
        <f aca="false">YEAR(B34)</f>
        <v>2023</v>
      </c>
      <c r="D34" s="49" t="s">
        <v>283</v>
      </c>
      <c r="E34" s="49" t="s">
        <v>344</v>
      </c>
      <c r="F34" s="50" t="n">
        <v>1</v>
      </c>
      <c r="G34" s="49" t="s">
        <v>287</v>
      </c>
      <c r="H34" s="51" t="n">
        <v>0.0034</v>
      </c>
      <c r="I34" s="51" t="n">
        <v>0.0931</v>
      </c>
      <c r="J34" s="51" t="n">
        <v>0.9035</v>
      </c>
      <c r="K34" s="49"/>
      <c r="L34" s="49"/>
      <c r="M34" s="49"/>
      <c r="N34" s="49"/>
      <c r="O34" s="49"/>
      <c r="P34" s="49"/>
      <c r="Q34" s="49"/>
      <c r="R34" s="49"/>
      <c r="S34" s="49" t="n">
        <v>0</v>
      </c>
      <c r="T34" s="49" t="n">
        <v>0</v>
      </c>
      <c r="U34" s="49" t="s">
        <v>345</v>
      </c>
    </row>
    <row r="35" customFormat="false" ht="15" hidden="false" customHeight="false" outlineLevel="0" collapsed="false">
      <c r="B35" s="48" t="n">
        <v>44945.2923148148</v>
      </c>
      <c r="C35" s="4" t="n">
        <f aca="false">YEAR(B35)</f>
        <v>2023</v>
      </c>
      <c r="D35" s="49" t="s">
        <v>283</v>
      </c>
      <c r="E35" s="49" t="s">
        <v>346</v>
      </c>
      <c r="F35" s="50" t="n">
        <v>0</v>
      </c>
      <c r="G35" s="49" t="s">
        <v>280</v>
      </c>
      <c r="H35" s="51" t="n">
        <v>0.8739</v>
      </c>
      <c r="I35" s="51" t="n">
        <v>0.1202</v>
      </c>
      <c r="J35" s="51" t="n">
        <v>0.0059</v>
      </c>
      <c r="K35" s="49"/>
      <c r="L35" s="49"/>
      <c r="M35" s="49"/>
      <c r="N35" s="49"/>
      <c r="O35" s="49"/>
      <c r="P35" s="49"/>
      <c r="Q35" s="49"/>
      <c r="R35" s="49"/>
      <c r="S35" s="49" t="n">
        <v>1</v>
      </c>
      <c r="T35" s="49" t="n">
        <v>0</v>
      </c>
      <c r="U35" s="49" t="s">
        <v>347</v>
      </c>
    </row>
    <row r="36" customFormat="false" ht="15" hidden="false" customHeight="false" outlineLevel="0" collapsed="false">
      <c r="B36" s="48" t="n">
        <v>44945.5914814815</v>
      </c>
      <c r="C36" s="4" t="n">
        <f aca="false">YEAR(B36)</f>
        <v>2023</v>
      </c>
      <c r="D36" s="49" t="s">
        <v>283</v>
      </c>
      <c r="E36" s="49" t="s">
        <v>348</v>
      </c>
      <c r="F36" s="50" t="n">
        <v>1</v>
      </c>
      <c r="G36" s="49" t="s">
        <v>290</v>
      </c>
      <c r="H36" s="51" t="n">
        <v>0.0081</v>
      </c>
      <c r="I36" s="51" t="n">
        <v>0.5624</v>
      </c>
      <c r="J36" s="51" t="n">
        <v>0.4295</v>
      </c>
      <c r="K36" s="49"/>
      <c r="L36" s="49"/>
      <c r="M36" s="49"/>
      <c r="N36" s="49"/>
      <c r="O36" s="49"/>
      <c r="P36" s="49"/>
      <c r="Q36" s="49"/>
      <c r="R36" s="49"/>
      <c r="S36" s="49" t="n">
        <v>0</v>
      </c>
      <c r="T36" s="49" t="n">
        <v>0</v>
      </c>
      <c r="U36" s="49" t="s">
        <v>349</v>
      </c>
    </row>
    <row r="37" customFormat="false" ht="15" hidden="false" customHeight="false" outlineLevel="0" collapsed="false">
      <c r="B37" s="48" t="n">
        <v>44946.0446875</v>
      </c>
      <c r="C37" s="4" t="n">
        <f aca="false">YEAR(B37)</f>
        <v>2023</v>
      </c>
      <c r="D37" s="49" t="s">
        <v>283</v>
      </c>
      <c r="E37" s="49" t="s">
        <v>350</v>
      </c>
      <c r="F37" s="50" t="n">
        <v>3</v>
      </c>
      <c r="G37" s="49" t="s">
        <v>280</v>
      </c>
      <c r="H37" s="51" t="n">
        <v>0.7397</v>
      </c>
      <c r="I37" s="51" t="n">
        <v>0.2495</v>
      </c>
      <c r="J37" s="51" t="n">
        <v>0.0108</v>
      </c>
      <c r="K37" s="49"/>
      <c r="L37" s="49"/>
      <c r="M37" s="49"/>
      <c r="N37" s="49"/>
      <c r="O37" s="49"/>
      <c r="P37" s="49"/>
      <c r="Q37" s="49"/>
      <c r="R37" s="49"/>
      <c r="S37" s="49" t="n">
        <v>1</v>
      </c>
      <c r="T37" s="49" t="n">
        <v>0</v>
      </c>
      <c r="U37" s="49" t="s">
        <v>351</v>
      </c>
    </row>
    <row r="38" customFormat="false" ht="15" hidden="false" customHeight="false" outlineLevel="0" collapsed="false">
      <c r="B38" s="48" t="n">
        <v>44946.1199884259</v>
      </c>
      <c r="C38" s="4" t="n">
        <f aca="false">YEAR(B38)</f>
        <v>2023</v>
      </c>
      <c r="D38" s="49" t="s">
        <v>283</v>
      </c>
      <c r="E38" s="49" t="s">
        <v>352</v>
      </c>
      <c r="F38" s="50" t="n">
        <v>1</v>
      </c>
      <c r="G38" s="49" t="s">
        <v>287</v>
      </c>
      <c r="H38" s="51" t="n">
        <v>0.0088</v>
      </c>
      <c r="I38" s="51" t="n">
        <v>0.2672</v>
      </c>
      <c r="J38" s="51" t="n">
        <v>0.7239</v>
      </c>
      <c r="K38" s="49"/>
      <c r="L38" s="49"/>
      <c r="M38" s="49"/>
      <c r="N38" s="49"/>
      <c r="O38" s="49"/>
      <c r="P38" s="49"/>
      <c r="Q38" s="49"/>
      <c r="R38" s="49"/>
      <c r="S38" s="49" t="n">
        <v>1</v>
      </c>
      <c r="T38" s="49" t="n">
        <v>0</v>
      </c>
      <c r="U38" s="49" t="s">
        <v>353</v>
      </c>
    </row>
    <row r="39" customFormat="false" ht="15" hidden="false" customHeight="false" outlineLevel="0" collapsed="false">
      <c r="B39" s="48" t="n">
        <v>44946.5233680556</v>
      </c>
      <c r="C39" s="4" t="n">
        <f aca="false">YEAR(B39)</f>
        <v>2023</v>
      </c>
      <c r="D39" s="49" t="s">
        <v>283</v>
      </c>
      <c r="E39" s="49" t="s">
        <v>354</v>
      </c>
      <c r="F39" s="50" t="n">
        <v>1</v>
      </c>
      <c r="G39" s="49" t="s">
        <v>290</v>
      </c>
      <c r="H39" s="51" t="n">
        <v>0.1245</v>
      </c>
      <c r="I39" s="51" t="n">
        <v>0.6279</v>
      </c>
      <c r="J39" s="51" t="n">
        <v>0.2477</v>
      </c>
      <c r="K39" s="49"/>
      <c r="L39" s="49"/>
      <c r="M39" s="49"/>
      <c r="N39" s="49"/>
      <c r="O39" s="49"/>
      <c r="P39" s="49"/>
      <c r="Q39" s="49"/>
      <c r="R39" s="49"/>
      <c r="S39" s="49" t="n">
        <v>1</v>
      </c>
      <c r="T39" s="49" t="n">
        <v>0</v>
      </c>
      <c r="U39" s="49" t="s">
        <v>355</v>
      </c>
    </row>
    <row r="40" customFormat="false" ht="15" hidden="false" customHeight="false" outlineLevel="0" collapsed="false">
      <c r="B40" s="48" t="n">
        <v>44946.9405902778</v>
      </c>
      <c r="C40" s="4" t="n">
        <f aca="false">YEAR(B40)</f>
        <v>2023</v>
      </c>
      <c r="D40" s="49" t="s">
        <v>283</v>
      </c>
      <c r="E40" s="49" t="s">
        <v>356</v>
      </c>
      <c r="F40" s="50" t="n">
        <v>0</v>
      </c>
      <c r="G40" s="49" t="s">
        <v>290</v>
      </c>
      <c r="H40" s="51" t="n">
        <v>0.0138</v>
      </c>
      <c r="I40" s="51" t="n">
        <v>0.8801</v>
      </c>
      <c r="J40" s="51" t="n">
        <v>0.1061</v>
      </c>
      <c r="K40" s="49"/>
      <c r="L40" s="49"/>
      <c r="M40" s="49"/>
      <c r="N40" s="49"/>
      <c r="O40" s="49"/>
      <c r="P40" s="49"/>
      <c r="Q40" s="49"/>
      <c r="R40" s="49"/>
      <c r="S40" s="49" t="n">
        <v>1</v>
      </c>
      <c r="T40" s="49" t="n">
        <v>0</v>
      </c>
      <c r="U40" s="49" t="s">
        <v>357</v>
      </c>
    </row>
    <row r="41" customFormat="false" ht="15" hidden="false" customHeight="false" outlineLevel="0" collapsed="false">
      <c r="B41" s="48" t="n">
        <v>44947.4385763889</v>
      </c>
      <c r="C41" s="4" t="n">
        <f aca="false">YEAR(B41)</f>
        <v>2023</v>
      </c>
      <c r="D41" s="49" t="s">
        <v>283</v>
      </c>
      <c r="E41" s="49" t="s">
        <v>358</v>
      </c>
      <c r="F41" s="50" t="n">
        <v>5</v>
      </c>
      <c r="G41" s="49" t="s">
        <v>287</v>
      </c>
      <c r="H41" s="51" t="n">
        <v>0.0016</v>
      </c>
      <c r="I41" s="51" t="n">
        <v>0.0638</v>
      </c>
      <c r="J41" s="51" t="n">
        <v>0.9345</v>
      </c>
      <c r="K41" s="49"/>
      <c r="L41" s="49"/>
      <c r="M41" s="49"/>
      <c r="N41" s="49"/>
      <c r="O41" s="49"/>
      <c r="P41" s="49"/>
      <c r="Q41" s="49"/>
      <c r="R41" s="49"/>
      <c r="S41" s="49" t="n">
        <v>0</v>
      </c>
      <c r="T41" s="49" t="n">
        <v>0</v>
      </c>
      <c r="U41" s="49" t="s">
        <v>359</v>
      </c>
    </row>
    <row r="42" customFormat="false" ht="15" hidden="false" customHeight="false" outlineLevel="0" collapsed="false">
      <c r="B42" s="48" t="n">
        <v>44948.0332175926</v>
      </c>
      <c r="C42" s="4" t="n">
        <f aca="false">YEAR(B42)</f>
        <v>2023</v>
      </c>
      <c r="D42" s="49" t="s">
        <v>283</v>
      </c>
      <c r="E42" s="49" t="s">
        <v>360</v>
      </c>
      <c r="F42" s="50" t="n">
        <v>7</v>
      </c>
      <c r="G42" s="49" t="s">
        <v>290</v>
      </c>
      <c r="H42" s="51" t="n">
        <v>0.0093</v>
      </c>
      <c r="I42" s="51" t="n">
        <v>0.6575</v>
      </c>
      <c r="J42" s="51" t="n">
        <v>0.3332</v>
      </c>
      <c r="K42" s="49"/>
      <c r="L42" s="49"/>
      <c r="M42" s="49"/>
      <c r="N42" s="49"/>
      <c r="O42" s="49"/>
      <c r="P42" s="49"/>
      <c r="Q42" s="49"/>
      <c r="R42" s="49"/>
      <c r="S42" s="49" t="n">
        <v>0</v>
      </c>
      <c r="T42" s="49" t="n">
        <v>0</v>
      </c>
      <c r="U42" s="49" t="s">
        <v>361</v>
      </c>
    </row>
    <row r="43" customFormat="false" ht="15" hidden="false" customHeight="false" outlineLevel="0" collapsed="false">
      <c r="B43" s="48" t="n">
        <v>44948.0437615741</v>
      </c>
      <c r="C43" s="4" t="n">
        <f aca="false">YEAR(B43)</f>
        <v>2023</v>
      </c>
      <c r="D43" s="49" t="s">
        <v>283</v>
      </c>
      <c r="E43" s="49" t="s">
        <v>362</v>
      </c>
      <c r="F43" s="50" t="n">
        <v>1</v>
      </c>
      <c r="G43" s="49" t="s">
        <v>290</v>
      </c>
      <c r="H43" s="51" t="n">
        <v>0.0104</v>
      </c>
      <c r="I43" s="51" t="n">
        <v>0.913</v>
      </c>
      <c r="J43" s="51" t="n">
        <v>0.0767</v>
      </c>
      <c r="K43" s="49"/>
      <c r="L43" s="49"/>
      <c r="M43" s="49"/>
      <c r="N43" s="49"/>
      <c r="O43" s="49"/>
      <c r="P43" s="49"/>
      <c r="Q43" s="49"/>
      <c r="R43" s="49"/>
      <c r="S43" s="49" t="n">
        <v>1</v>
      </c>
      <c r="T43" s="49" t="n">
        <v>0</v>
      </c>
      <c r="U43" s="49" t="s">
        <v>363</v>
      </c>
    </row>
    <row r="44" customFormat="false" ht="15" hidden="false" customHeight="false" outlineLevel="0" collapsed="false">
      <c r="B44" s="48" t="n">
        <v>44948.116099537</v>
      </c>
      <c r="C44" s="4" t="n">
        <f aca="false">YEAR(B44)</f>
        <v>2023</v>
      </c>
      <c r="D44" s="49" t="s">
        <v>283</v>
      </c>
      <c r="E44" s="49" t="s">
        <v>364</v>
      </c>
      <c r="F44" s="50" t="n">
        <v>1</v>
      </c>
      <c r="G44" s="49" t="s">
        <v>290</v>
      </c>
      <c r="H44" s="51" t="n">
        <v>0.0614</v>
      </c>
      <c r="I44" s="51" t="n">
        <v>0.7467</v>
      </c>
      <c r="J44" s="51" t="n">
        <v>0.192</v>
      </c>
      <c r="K44" s="49"/>
      <c r="L44" s="49"/>
      <c r="M44" s="49"/>
      <c r="N44" s="49"/>
      <c r="O44" s="49"/>
      <c r="P44" s="49"/>
      <c r="Q44" s="49"/>
      <c r="R44" s="49"/>
      <c r="S44" s="49" t="n">
        <v>0</v>
      </c>
      <c r="T44" s="49" t="n">
        <v>0</v>
      </c>
      <c r="U44" s="49" t="s">
        <v>365</v>
      </c>
    </row>
    <row r="45" customFormat="false" ht="15" hidden="false" customHeight="false" outlineLevel="0" collapsed="false">
      <c r="B45" s="48" t="n">
        <v>44948.733587963</v>
      </c>
      <c r="C45" s="4" t="n">
        <f aca="false">YEAR(B45)</f>
        <v>2023</v>
      </c>
      <c r="D45" s="49" t="s">
        <v>283</v>
      </c>
      <c r="E45" s="49" t="s">
        <v>366</v>
      </c>
      <c r="F45" s="50" t="n">
        <v>0</v>
      </c>
      <c r="G45" s="49" t="s">
        <v>290</v>
      </c>
      <c r="H45" s="51" t="n">
        <v>0.0432</v>
      </c>
      <c r="I45" s="51" t="n">
        <v>0.7496</v>
      </c>
      <c r="J45" s="51" t="n">
        <v>0.2071</v>
      </c>
      <c r="K45" s="49"/>
      <c r="L45" s="49"/>
      <c r="M45" s="49"/>
      <c r="N45" s="49"/>
      <c r="O45" s="49"/>
      <c r="P45" s="49"/>
      <c r="Q45" s="49"/>
      <c r="R45" s="49"/>
      <c r="S45" s="49" t="n">
        <v>0</v>
      </c>
      <c r="T45" s="49" t="n">
        <v>0</v>
      </c>
      <c r="U45" s="49" t="s">
        <v>367</v>
      </c>
    </row>
    <row r="46" customFormat="false" ht="15" hidden="false" customHeight="false" outlineLevel="0" collapsed="false">
      <c r="B46" s="48" t="n">
        <v>44949.1838657407</v>
      </c>
      <c r="C46" s="4" t="n">
        <f aca="false">YEAR(B46)</f>
        <v>2023</v>
      </c>
      <c r="D46" s="49" t="s">
        <v>278</v>
      </c>
      <c r="E46" s="49" t="s">
        <v>368</v>
      </c>
      <c r="F46" s="50" t="n">
        <v>6</v>
      </c>
      <c r="G46" s="49" t="s">
        <v>290</v>
      </c>
      <c r="H46" s="51" t="n">
        <v>0.1903</v>
      </c>
      <c r="I46" s="51" t="n">
        <v>0.7676</v>
      </c>
      <c r="J46" s="51" t="n">
        <v>0.0421</v>
      </c>
      <c r="K46" s="49"/>
      <c r="L46" s="49"/>
      <c r="M46" s="49"/>
      <c r="N46" s="49"/>
      <c r="O46" s="49"/>
      <c r="P46" s="49"/>
      <c r="Q46" s="49"/>
      <c r="R46" s="49"/>
      <c r="S46" s="49" t="n">
        <v>0</v>
      </c>
      <c r="T46" s="49" t="n">
        <v>0</v>
      </c>
      <c r="U46" s="49" t="s">
        <v>369</v>
      </c>
    </row>
    <row r="47" customFormat="false" ht="15" hidden="false" customHeight="false" outlineLevel="0" collapsed="false">
      <c r="B47" s="48" t="n">
        <v>44950.2036805556</v>
      </c>
      <c r="C47" s="4" t="n">
        <f aca="false">YEAR(B47)</f>
        <v>2023</v>
      </c>
      <c r="D47" s="49" t="s">
        <v>278</v>
      </c>
      <c r="E47" s="49" t="s">
        <v>370</v>
      </c>
      <c r="F47" s="50" t="n">
        <v>8</v>
      </c>
      <c r="G47" s="49" t="s">
        <v>280</v>
      </c>
      <c r="H47" s="51" t="n">
        <v>0.7519</v>
      </c>
      <c r="I47" s="51" t="n">
        <v>0.2388</v>
      </c>
      <c r="J47" s="51" t="n">
        <v>0.0093</v>
      </c>
      <c r="K47" s="49"/>
      <c r="L47" s="49"/>
      <c r="M47" s="49"/>
      <c r="N47" s="49"/>
      <c r="O47" s="49"/>
      <c r="P47" s="49"/>
      <c r="Q47" s="49"/>
      <c r="R47" s="49"/>
      <c r="S47" s="49" t="n">
        <v>0</v>
      </c>
      <c r="T47" s="49" t="n">
        <v>0</v>
      </c>
      <c r="U47" s="49" t="s">
        <v>371</v>
      </c>
    </row>
    <row r="48" customFormat="false" ht="15" hidden="false" customHeight="false" outlineLevel="0" collapsed="false">
      <c r="B48" s="48" t="n">
        <v>44950.2957986111</v>
      </c>
      <c r="C48" s="4" t="n">
        <f aca="false">YEAR(B48)</f>
        <v>2023</v>
      </c>
      <c r="D48" s="49" t="s">
        <v>283</v>
      </c>
      <c r="E48" s="49" t="s">
        <v>372</v>
      </c>
      <c r="F48" s="50" t="n">
        <v>1</v>
      </c>
      <c r="G48" s="49" t="s">
        <v>280</v>
      </c>
      <c r="H48" s="51" t="n">
        <v>0.8081</v>
      </c>
      <c r="I48" s="51" t="n">
        <v>0.1803</v>
      </c>
      <c r="J48" s="51" t="n">
        <v>0.0116</v>
      </c>
      <c r="K48" s="49"/>
      <c r="L48" s="49"/>
      <c r="M48" s="49"/>
      <c r="N48" s="49"/>
      <c r="O48" s="49"/>
      <c r="P48" s="49"/>
      <c r="Q48" s="49"/>
      <c r="R48" s="49"/>
      <c r="S48" s="49" t="n">
        <v>1</v>
      </c>
      <c r="T48" s="49" t="n">
        <v>0</v>
      </c>
      <c r="U48" s="49" t="s">
        <v>373</v>
      </c>
    </row>
    <row r="49" customFormat="false" ht="15" hidden="false" customHeight="false" outlineLevel="0" collapsed="false">
      <c r="B49" s="48" t="n">
        <v>44950.4315856482</v>
      </c>
      <c r="C49" s="4" t="n">
        <f aca="false">YEAR(B49)</f>
        <v>2023</v>
      </c>
      <c r="D49" s="49" t="s">
        <v>283</v>
      </c>
      <c r="E49" s="49" t="s">
        <v>374</v>
      </c>
      <c r="F49" s="50" t="n">
        <v>2</v>
      </c>
      <c r="G49" s="49" t="s">
        <v>287</v>
      </c>
      <c r="H49" s="51" t="n">
        <v>0.0561</v>
      </c>
      <c r="I49" s="51" t="n">
        <v>0.3939</v>
      </c>
      <c r="J49" s="51" t="n">
        <v>0.55</v>
      </c>
      <c r="K49" s="49"/>
      <c r="L49" s="49"/>
      <c r="M49" s="49"/>
      <c r="N49" s="49"/>
      <c r="O49" s="49"/>
      <c r="P49" s="49"/>
      <c r="Q49" s="49"/>
      <c r="R49" s="49"/>
      <c r="S49" s="49" t="n">
        <v>0</v>
      </c>
      <c r="T49" s="49" t="n">
        <v>0</v>
      </c>
      <c r="U49" s="49" t="s">
        <v>375</v>
      </c>
    </row>
    <row r="50" customFormat="false" ht="15" hidden="false" customHeight="false" outlineLevel="0" collapsed="false">
      <c r="B50" s="48" t="n">
        <v>44950.7443518519</v>
      </c>
      <c r="C50" s="4" t="n">
        <f aca="false">YEAR(B50)</f>
        <v>2023</v>
      </c>
      <c r="D50" s="49" t="s">
        <v>283</v>
      </c>
      <c r="E50" s="49" t="s">
        <v>376</v>
      </c>
      <c r="F50" s="50" t="n">
        <v>1</v>
      </c>
      <c r="G50" s="49" t="s">
        <v>290</v>
      </c>
      <c r="H50" s="51" t="n">
        <v>0.034</v>
      </c>
      <c r="I50" s="51" t="n">
        <v>0.9255</v>
      </c>
      <c r="J50" s="51" t="n">
        <v>0.0404</v>
      </c>
      <c r="K50" s="49"/>
      <c r="L50" s="49"/>
      <c r="M50" s="49"/>
      <c r="N50" s="49"/>
      <c r="O50" s="49"/>
      <c r="P50" s="49"/>
      <c r="Q50" s="49"/>
      <c r="R50" s="49"/>
      <c r="S50" s="49" t="n">
        <v>1</v>
      </c>
      <c r="T50" s="49" t="n">
        <v>0</v>
      </c>
      <c r="U50" s="49" t="s">
        <v>377</v>
      </c>
    </row>
    <row r="51" customFormat="false" ht="15" hidden="false" customHeight="false" outlineLevel="0" collapsed="false">
      <c r="B51" s="48" t="n">
        <v>44951.0092939815</v>
      </c>
      <c r="C51" s="4" t="n">
        <f aca="false">YEAR(B51)</f>
        <v>2023</v>
      </c>
      <c r="D51" s="49" t="s">
        <v>283</v>
      </c>
      <c r="E51" s="49" t="s">
        <v>378</v>
      </c>
      <c r="F51" s="50" t="n">
        <v>27</v>
      </c>
      <c r="G51" s="49" t="s">
        <v>280</v>
      </c>
      <c r="H51" s="51" t="n">
        <v>0.6143</v>
      </c>
      <c r="I51" s="51" t="n">
        <v>0.376</v>
      </c>
      <c r="J51" s="51" t="n">
        <v>0.0097</v>
      </c>
      <c r="K51" s="49"/>
      <c r="L51" s="49"/>
      <c r="M51" s="49"/>
      <c r="N51" s="49"/>
      <c r="O51" s="49"/>
      <c r="P51" s="49"/>
      <c r="Q51" s="49"/>
      <c r="R51" s="49"/>
      <c r="S51" s="49" t="n">
        <v>1</v>
      </c>
      <c r="T51" s="49" t="n">
        <v>0</v>
      </c>
      <c r="U51" s="49" t="s">
        <v>379</v>
      </c>
    </row>
    <row r="52" customFormat="false" ht="15" hidden="false" customHeight="false" outlineLevel="0" collapsed="false">
      <c r="B52" s="48" t="n">
        <v>44952.3622453704</v>
      </c>
      <c r="C52" s="4" t="n">
        <f aca="false">YEAR(B52)</f>
        <v>2023</v>
      </c>
      <c r="D52" s="49" t="s">
        <v>283</v>
      </c>
      <c r="E52" s="49" t="s">
        <v>380</v>
      </c>
      <c r="F52" s="50" t="n">
        <v>5</v>
      </c>
      <c r="G52" s="49" t="s">
        <v>280</v>
      </c>
      <c r="H52" s="51" t="n">
        <v>0.9195</v>
      </c>
      <c r="I52" s="51" t="n">
        <v>0.0743</v>
      </c>
      <c r="J52" s="51" t="n">
        <v>0.0062</v>
      </c>
      <c r="K52" s="49"/>
      <c r="L52" s="49"/>
      <c r="M52" s="49"/>
      <c r="N52" s="49"/>
      <c r="O52" s="49"/>
      <c r="P52" s="49"/>
      <c r="Q52" s="49"/>
      <c r="R52" s="49" t="s">
        <v>281</v>
      </c>
      <c r="S52" s="49" t="n">
        <v>0</v>
      </c>
      <c r="T52" s="49" t="n">
        <v>0</v>
      </c>
      <c r="U52" s="49" t="s">
        <v>381</v>
      </c>
    </row>
    <row r="53" customFormat="false" ht="15" hidden="false" customHeight="false" outlineLevel="0" collapsed="false">
      <c r="B53" s="48" t="n">
        <v>44953.7689930556</v>
      </c>
      <c r="C53" s="4" t="n">
        <f aca="false">YEAR(B53)</f>
        <v>2023</v>
      </c>
      <c r="D53" s="49" t="s">
        <v>278</v>
      </c>
      <c r="E53" s="49" t="s">
        <v>382</v>
      </c>
      <c r="F53" s="50" t="n">
        <v>139</v>
      </c>
      <c r="G53" s="49" t="s">
        <v>280</v>
      </c>
      <c r="H53" s="51" t="n">
        <v>0.8836</v>
      </c>
      <c r="I53" s="51" t="n">
        <v>0.1098</v>
      </c>
      <c r="J53" s="51" t="n">
        <v>0.0066</v>
      </c>
      <c r="K53" s="49"/>
      <c r="L53" s="49"/>
      <c r="M53" s="49"/>
      <c r="N53" s="49"/>
      <c r="O53" s="49"/>
      <c r="P53" s="49"/>
      <c r="Q53" s="49" t="s">
        <v>281</v>
      </c>
      <c r="R53" s="49"/>
      <c r="S53" s="49" t="n">
        <v>0</v>
      </c>
      <c r="T53" s="49" t="n">
        <v>0</v>
      </c>
      <c r="U53" s="49" t="s">
        <v>383</v>
      </c>
    </row>
    <row r="54" customFormat="false" ht="15" hidden="false" customHeight="false" outlineLevel="0" collapsed="false">
      <c r="B54" s="48" t="n">
        <v>44953.7897916667</v>
      </c>
      <c r="C54" s="4" t="n">
        <f aca="false">YEAR(B54)</f>
        <v>2023</v>
      </c>
      <c r="D54" s="49" t="s">
        <v>283</v>
      </c>
      <c r="E54" s="49" t="s">
        <v>384</v>
      </c>
      <c r="F54" s="50" t="n">
        <v>2</v>
      </c>
      <c r="G54" s="49" t="s">
        <v>290</v>
      </c>
      <c r="H54" s="51" t="n">
        <v>0.094</v>
      </c>
      <c r="I54" s="51" t="n">
        <v>0.7105</v>
      </c>
      <c r="J54" s="51" t="n">
        <v>0.1955</v>
      </c>
      <c r="K54" s="49"/>
      <c r="L54" s="49"/>
      <c r="M54" s="49"/>
      <c r="N54" s="49"/>
      <c r="O54" s="49"/>
      <c r="P54" s="49"/>
      <c r="Q54" s="49"/>
      <c r="R54" s="49"/>
      <c r="S54" s="49" t="n">
        <v>1</v>
      </c>
      <c r="T54" s="49" t="n">
        <v>0</v>
      </c>
      <c r="U54" s="49" t="s">
        <v>385</v>
      </c>
    </row>
    <row r="55" customFormat="false" ht="15" hidden="false" customHeight="false" outlineLevel="0" collapsed="false">
      <c r="B55" s="48" t="n">
        <v>44953.8466319444</v>
      </c>
      <c r="C55" s="4" t="n">
        <f aca="false">YEAR(B55)</f>
        <v>2023</v>
      </c>
      <c r="D55" s="49" t="s">
        <v>283</v>
      </c>
      <c r="E55" s="49" t="s">
        <v>386</v>
      </c>
      <c r="F55" s="50" t="n">
        <v>1</v>
      </c>
      <c r="G55" s="49" t="s">
        <v>290</v>
      </c>
      <c r="H55" s="51" t="n">
        <v>0.2287</v>
      </c>
      <c r="I55" s="51" t="n">
        <v>0.723</v>
      </c>
      <c r="J55" s="51" t="n">
        <v>0.0483</v>
      </c>
      <c r="K55" s="49" t="s">
        <v>281</v>
      </c>
      <c r="L55" s="49"/>
      <c r="M55" s="49"/>
      <c r="N55" s="49"/>
      <c r="O55" s="49"/>
      <c r="P55" s="49"/>
      <c r="Q55" s="49"/>
      <c r="R55" s="49"/>
      <c r="S55" s="49" t="n">
        <v>1</v>
      </c>
      <c r="T55" s="49" t="n">
        <v>0</v>
      </c>
      <c r="U55" s="49" t="s">
        <v>387</v>
      </c>
    </row>
    <row r="56" customFormat="false" ht="15" hidden="false" customHeight="false" outlineLevel="0" collapsed="false">
      <c r="B56" s="48" t="n">
        <v>44953.9108449074</v>
      </c>
      <c r="C56" s="4" t="n">
        <f aca="false">YEAR(B56)</f>
        <v>2023</v>
      </c>
      <c r="D56" s="49" t="s">
        <v>283</v>
      </c>
      <c r="E56" s="49" t="s">
        <v>388</v>
      </c>
      <c r="F56" s="50" t="n">
        <v>7</v>
      </c>
      <c r="G56" s="49" t="s">
        <v>290</v>
      </c>
      <c r="H56" s="51" t="n">
        <v>0.0708</v>
      </c>
      <c r="I56" s="51" t="n">
        <v>0.9039</v>
      </c>
      <c r="J56" s="51" t="n">
        <v>0.0254</v>
      </c>
      <c r="K56" s="49"/>
      <c r="L56" s="49"/>
      <c r="M56" s="49"/>
      <c r="N56" s="49"/>
      <c r="O56" s="49"/>
      <c r="P56" s="49"/>
      <c r="Q56" s="49" t="s">
        <v>281</v>
      </c>
      <c r="R56" s="49"/>
      <c r="S56" s="49" t="n">
        <v>1</v>
      </c>
      <c r="T56" s="49" t="n">
        <v>0</v>
      </c>
      <c r="U56" s="49" t="s">
        <v>389</v>
      </c>
    </row>
    <row r="57" customFormat="false" ht="15" hidden="false" customHeight="false" outlineLevel="0" collapsed="false">
      <c r="B57" s="48" t="n">
        <v>44953.9736574074</v>
      </c>
      <c r="C57" s="4" t="n">
        <f aca="false">YEAR(B57)</f>
        <v>2023</v>
      </c>
      <c r="D57" s="49" t="s">
        <v>283</v>
      </c>
      <c r="E57" s="49" t="s">
        <v>390</v>
      </c>
      <c r="F57" s="50" t="n">
        <v>2</v>
      </c>
      <c r="G57" s="49" t="s">
        <v>287</v>
      </c>
      <c r="H57" s="51" t="n">
        <v>0.0051</v>
      </c>
      <c r="I57" s="51" t="n">
        <v>0.1536</v>
      </c>
      <c r="J57" s="51" t="n">
        <v>0.8413</v>
      </c>
      <c r="K57" s="49"/>
      <c r="L57" s="49"/>
      <c r="M57" s="49"/>
      <c r="N57" s="49"/>
      <c r="O57" s="49"/>
      <c r="P57" s="49"/>
      <c r="Q57" s="49"/>
      <c r="R57" s="49"/>
      <c r="S57" s="49" t="n">
        <v>1</v>
      </c>
      <c r="T57" s="49" t="n">
        <v>0</v>
      </c>
      <c r="U57" s="49" t="s">
        <v>391</v>
      </c>
    </row>
    <row r="58" customFormat="false" ht="15" hidden="false" customHeight="false" outlineLevel="0" collapsed="false">
      <c r="B58" s="48" t="n">
        <v>44954.5921527778</v>
      </c>
      <c r="C58" s="4" t="n">
        <f aca="false">YEAR(B58)</f>
        <v>2023</v>
      </c>
      <c r="D58" s="49" t="s">
        <v>283</v>
      </c>
      <c r="E58" s="49" t="s">
        <v>392</v>
      </c>
      <c r="F58" s="50" t="n">
        <v>1</v>
      </c>
      <c r="G58" s="49" t="s">
        <v>290</v>
      </c>
      <c r="H58" s="51" t="n">
        <v>0.4187</v>
      </c>
      <c r="I58" s="51" t="n">
        <v>0.5509</v>
      </c>
      <c r="J58" s="51" t="n">
        <v>0.0303</v>
      </c>
      <c r="K58" s="49"/>
      <c r="L58" s="49"/>
      <c r="M58" s="49"/>
      <c r="N58" s="49"/>
      <c r="O58" s="49"/>
      <c r="P58" s="49"/>
      <c r="Q58" s="49"/>
      <c r="R58" s="49"/>
      <c r="S58" s="49" t="n">
        <v>0</v>
      </c>
      <c r="T58" s="49" t="n">
        <v>0</v>
      </c>
      <c r="U58" s="49" t="s">
        <v>393</v>
      </c>
    </row>
    <row r="59" customFormat="false" ht="15" hidden="false" customHeight="false" outlineLevel="0" collapsed="false">
      <c r="B59" s="48" t="n">
        <v>44954.8855671296</v>
      </c>
      <c r="C59" s="4" t="n">
        <f aca="false">YEAR(B59)</f>
        <v>2023</v>
      </c>
      <c r="D59" s="49" t="s">
        <v>283</v>
      </c>
      <c r="E59" s="49" t="s">
        <v>394</v>
      </c>
      <c r="F59" s="50" t="n">
        <v>1</v>
      </c>
      <c r="G59" s="49" t="s">
        <v>287</v>
      </c>
      <c r="H59" s="51" t="n">
        <v>0.0047</v>
      </c>
      <c r="I59" s="51" t="n">
        <v>0.1411</v>
      </c>
      <c r="J59" s="51" t="n">
        <v>0.8542</v>
      </c>
      <c r="K59" s="49"/>
      <c r="L59" s="49"/>
      <c r="M59" s="49"/>
      <c r="N59" s="49"/>
      <c r="O59" s="49"/>
      <c r="P59" s="49"/>
      <c r="Q59" s="49"/>
      <c r="R59" s="49"/>
      <c r="S59" s="49" t="n">
        <v>0</v>
      </c>
      <c r="T59" s="49" t="n">
        <v>0</v>
      </c>
      <c r="U59" s="49" t="s">
        <v>395</v>
      </c>
    </row>
    <row r="60" customFormat="false" ht="15" hidden="false" customHeight="false" outlineLevel="0" collapsed="false">
      <c r="B60" s="48" t="n">
        <v>44955.7324884259</v>
      </c>
      <c r="C60" s="4" t="n">
        <f aca="false">YEAR(B60)</f>
        <v>2023</v>
      </c>
      <c r="D60" s="49" t="s">
        <v>283</v>
      </c>
      <c r="E60" s="49" t="s">
        <v>396</v>
      </c>
      <c r="F60" s="50" t="n">
        <v>1</v>
      </c>
      <c r="G60" s="49" t="s">
        <v>290</v>
      </c>
      <c r="H60" s="51" t="n">
        <v>0.0222</v>
      </c>
      <c r="I60" s="51" t="n">
        <v>0.9499</v>
      </c>
      <c r="J60" s="51" t="n">
        <v>0.0279</v>
      </c>
      <c r="K60" s="49"/>
      <c r="L60" s="49"/>
      <c r="M60" s="49"/>
      <c r="N60" s="49"/>
      <c r="O60" s="49"/>
      <c r="P60" s="49"/>
      <c r="Q60" s="49"/>
      <c r="R60" s="49"/>
      <c r="S60" s="49" t="n">
        <v>1</v>
      </c>
      <c r="T60" s="49" t="n">
        <v>0</v>
      </c>
      <c r="U60" s="49" t="s">
        <v>397</v>
      </c>
    </row>
    <row r="61" customFormat="false" ht="15" hidden="false" customHeight="false" outlineLevel="0" collapsed="false">
      <c r="B61" s="48" t="n">
        <v>44955.8376388889</v>
      </c>
      <c r="C61" s="4" t="n">
        <f aca="false">YEAR(B61)</f>
        <v>2023</v>
      </c>
      <c r="D61" s="49" t="s">
        <v>283</v>
      </c>
      <c r="E61" s="49" t="s">
        <v>398</v>
      </c>
      <c r="F61" s="50" t="n">
        <v>1</v>
      </c>
      <c r="G61" s="49" t="s">
        <v>287</v>
      </c>
      <c r="H61" s="51" t="n">
        <v>0.0051</v>
      </c>
      <c r="I61" s="51" t="n">
        <v>0.1354</v>
      </c>
      <c r="J61" s="51" t="n">
        <v>0.8595</v>
      </c>
      <c r="K61" s="49"/>
      <c r="L61" s="49"/>
      <c r="M61" s="49"/>
      <c r="N61" s="49"/>
      <c r="O61" s="49"/>
      <c r="P61" s="49"/>
      <c r="Q61" s="49"/>
      <c r="R61" s="49"/>
      <c r="S61" s="49" t="n">
        <v>1</v>
      </c>
      <c r="T61" s="49" t="n">
        <v>0</v>
      </c>
      <c r="U61" s="49" t="s">
        <v>399</v>
      </c>
    </row>
    <row r="62" customFormat="false" ht="15" hidden="false" customHeight="false" outlineLevel="0" collapsed="false">
      <c r="B62" s="48" t="n">
        <v>44956.1736342593</v>
      </c>
      <c r="C62" s="4" t="n">
        <f aca="false">YEAR(B62)</f>
        <v>2023</v>
      </c>
      <c r="D62" s="49" t="s">
        <v>283</v>
      </c>
      <c r="E62" s="49" t="s">
        <v>400</v>
      </c>
      <c r="F62" s="50" t="n">
        <v>1</v>
      </c>
      <c r="G62" s="49" t="s">
        <v>290</v>
      </c>
      <c r="H62" s="51" t="n">
        <v>0.0074</v>
      </c>
      <c r="I62" s="51" t="n">
        <v>0.9607</v>
      </c>
      <c r="J62" s="51" t="n">
        <v>0.0319</v>
      </c>
      <c r="K62" s="49"/>
      <c r="L62" s="49"/>
      <c r="M62" s="49"/>
      <c r="N62" s="49"/>
      <c r="O62" s="49"/>
      <c r="P62" s="49"/>
      <c r="Q62" s="49"/>
      <c r="R62" s="49"/>
      <c r="S62" s="49" t="n">
        <v>1</v>
      </c>
      <c r="T62" s="49" t="n">
        <v>0</v>
      </c>
      <c r="U62" s="49" t="s">
        <v>401</v>
      </c>
    </row>
    <row r="63" customFormat="false" ht="15" hidden="false" customHeight="false" outlineLevel="0" collapsed="false">
      <c r="B63" s="48" t="n">
        <v>44956.2178703704</v>
      </c>
      <c r="C63" s="4" t="n">
        <f aca="false">YEAR(B63)</f>
        <v>2023</v>
      </c>
      <c r="D63" s="49" t="s">
        <v>283</v>
      </c>
      <c r="E63" s="49" t="s">
        <v>402</v>
      </c>
      <c r="F63" s="50" t="n">
        <v>1</v>
      </c>
      <c r="G63" s="49" t="s">
        <v>290</v>
      </c>
      <c r="H63" s="51" t="n">
        <v>0.2939</v>
      </c>
      <c r="I63" s="51" t="n">
        <v>0.6747</v>
      </c>
      <c r="J63" s="51" t="n">
        <v>0.0314</v>
      </c>
      <c r="K63" s="49"/>
      <c r="L63" s="49"/>
      <c r="M63" s="49"/>
      <c r="N63" s="49"/>
      <c r="O63" s="49"/>
      <c r="P63" s="49"/>
      <c r="Q63" s="49"/>
      <c r="R63" s="49"/>
      <c r="S63" s="49" t="n">
        <v>1</v>
      </c>
      <c r="T63" s="49" t="n">
        <v>0</v>
      </c>
      <c r="U63" s="49" t="s">
        <v>403</v>
      </c>
    </row>
    <row r="64" customFormat="false" ht="15" hidden="false" customHeight="false" outlineLevel="0" collapsed="false">
      <c r="B64" s="48" t="n">
        <v>44956.364375</v>
      </c>
      <c r="C64" s="4" t="n">
        <f aca="false">YEAR(B64)</f>
        <v>2023</v>
      </c>
      <c r="D64" s="49" t="s">
        <v>278</v>
      </c>
      <c r="E64" s="49" t="s">
        <v>404</v>
      </c>
      <c r="F64" s="50" t="n">
        <v>19</v>
      </c>
      <c r="G64" s="49" t="s">
        <v>280</v>
      </c>
      <c r="H64" s="51" t="n">
        <v>0.5202</v>
      </c>
      <c r="I64" s="51" t="n">
        <v>0.4598</v>
      </c>
      <c r="J64" s="51" t="n">
        <v>0.02</v>
      </c>
      <c r="K64" s="49"/>
      <c r="L64" s="49"/>
      <c r="M64" s="49"/>
      <c r="N64" s="49"/>
      <c r="O64" s="49"/>
      <c r="P64" s="49"/>
      <c r="Q64" s="49" t="s">
        <v>281</v>
      </c>
      <c r="R64" s="49"/>
      <c r="S64" s="49" t="n">
        <v>0</v>
      </c>
      <c r="T64" s="49" t="n">
        <v>0</v>
      </c>
      <c r="U64" s="49" t="s">
        <v>405</v>
      </c>
    </row>
    <row r="65" customFormat="false" ht="15" hidden="false" customHeight="false" outlineLevel="0" collapsed="false">
      <c r="B65" s="48" t="n">
        <v>44956.6641203704</v>
      </c>
      <c r="C65" s="4" t="n">
        <f aca="false">YEAR(B65)</f>
        <v>2023</v>
      </c>
      <c r="D65" s="49" t="s">
        <v>283</v>
      </c>
      <c r="E65" s="49" t="s">
        <v>406</v>
      </c>
      <c r="F65" s="50" t="n">
        <v>1</v>
      </c>
      <c r="G65" s="49" t="s">
        <v>290</v>
      </c>
      <c r="H65" s="51" t="n">
        <v>0.0304</v>
      </c>
      <c r="I65" s="51" t="n">
        <v>0.7873</v>
      </c>
      <c r="J65" s="51" t="n">
        <v>0.1823</v>
      </c>
      <c r="K65" s="49"/>
      <c r="L65" s="49"/>
      <c r="M65" s="49"/>
      <c r="N65" s="49"/>
      <c r="O65" s="49"/>
      <c r="P65" s="49"/>
      <c r="Q65" s="49"/>
      <c r="R65" s="49"/>
      <c r="S65" s="49" t="n">
        <v>1</v>
      </c>
      <c r="T65" s="49" t="n">
        <v>0</v>
      </c>
      <c r="U65" s="49" t="s">
        <v>407</v>
      </c>
    </row>
    <row r="66" customFormat="false" ht="15" hidden="false" customHeight="false" outlineLevel="0" collapsed="false">
      <c r="B66" s="48" t="n">
        <v>44957.9019560185</v>
      </c>
      <c r="C66" s="4" t="n">
        <f aca="false">YEAR(B66)</f>
        <v>2023</v>
      </c>
      <c r="D66" s="49" t="s">
        <v>283</v>
      </c>
      <c r="E66" s="49" t="s">
        <v>408</v>
      </c>
      <c r="F66" s="50" t="n">
        <v>2</v>
      </c>
      <c r="G66" s="49" t="s">
        <v>287</v>
      </c>
      <c r="H66" s="51" t="n">
        <v>0.0015</v>
      </c>
      <c r="I66" s="51" t="n">
        <v>0.023</v>
      </c>
      <c r="J66" s="51" t="n">
        <v>0.9755</v>
      </c>
      <c r="K66" s="49"/>
      <c r="L66" s="49"/>
      <c r="M66" s="49"/>
      <c r="N66" s="49"/>
      <c r="O66" s="49"/>
      <c r="P66" s="49"/>
      <c r="Q66" s="49"/>
      <c r="R66" s="49"/>
      <c r="S66" s="49" t="n">
        <v>0</v>
      </c>
      <c r="T66" s="49" t="n">
        <v>0</v>
      </c>
      <c r="U66" s="49" t="s">
        <v>409</v>
      </c>
    </row>
    <row r="67" customFormat="false" ht="15" hidden="false" customHeight="false" outlineLevel="0" collapsed="false">
      <c r="B67" s="48" t="n">
        <v>44958.0014583333</v>
      </c>
      <c r="C67" s="4" t="n">
        <f aca="false">YEAR(B67)</f>
        <v>2023</v>
      </c>
      <c r="D67" s="49" t="s">
        <v>283</v>
      </c>
      <c r="E67" s="49" t="s">
        <v>410</v>
      </c>
      <c r="F67" s="50" t="n">
        <v>1</v>
      </c>
      <c r="G67" s="49" t="s">
        <v>280</v>
      </c>
      <c r="H67" s="51" t="n">
        <v>0.5927</v>
      </c>
      <c r="I67" s="51" t="n">
        <v>0.3897</v>
      </c>
      <c r="J67" s="51" t="n">
        <v>0.0176</v>
      </c>
      <c r="K67" s="49"/>
      <c r="L67" s="49"/>
      <c r="M67" s="49"/>
      <c r="N67" s="49"/>
      <c r="O67" s="49"/>
      <c r="P67" s="49"/>
      <c r="Q67" s="49"/>
      <c r="R67" s="49"/>
      <c r="S67" s="49" t="n">
        <v>1</v>
      </c>
      <c r="T67" s="49" t="n">
        <v>0</v>
      </c>
      <c r="U67" s="49" t="s">
        <v>411</v>
      </c>
    </row>
    <row r="68" customFormat="false" ht="15" hidden="false" customHeight="false" outlineLevel="0" collapsed="false">
      <c r="B68" s="48" t="n">
        <v>44958.1890277778</v>
      </c>
      <c r="C68" s="4" t="n">
        <f aca="false">YEAR(B68)</f>
        <v>2023</v>
      </c>
      <c r="D68" s="49" t="s">
        <v>283</v>
      </c>
      <c r="E68" s="49" t="s">
        <v>412</v>
      </c>
      <c r="F68" s="50" t="n">
        <v>2</v>
      </c>
      <c r="G68" s="49" t="s">
        <v>290</v>
      </c>
      <c r="H68" s="51" t="n">
        <v>0.0489</v>
      </c>
      <c r="I68" s="51" t="n">
        <v>0.8572</v>
      </c>
      <c r="J68" s="51" t="n">
        <v>0.0939</v>
      </c>
      <c r="K68" s="49"/>
      <c r="L68" s="49"/>
      <c r="M68" s="49"/>
      <c r="N68" s="49"/>
      <c r="O68" s="49"/>
      <c r="P68" s="49" t="s">
        <v>281</v>
      </c>
      <c r="Q68" s="49"/>
      <c r="R68" s="49"/>
      <c r="S68" s="49" t="n">
        <v>1</v>
      </c>
      <c r="T68" s="49" t="n">
        <v>0</v>
      </c>
      <c r="U68" s="49" t="s">
        <v>413</v>
      </c>
    </row>
    <row r="69" customFormat="false" ht="15" hidden="false" customHeight="false" outlineLevel="0" collapsed="false">
      <c r="B69" s="48" t="n">
        <v>44958.3891666667</v>
      </c>
      <c r="C69" s="4" t="n">
        <f aca="false">YEAR(B69)</f>
        <v>2023</v>
      </c>
      <c r="D69" s="49" t="s">
        <v>283</v>
      </c>
      <c r="E69" s="49" t="s">
        <v>414</v>
      </c>
      <c r="F69" s="50" t="n">
        <v>1</v>
      </c>
      <c r="G69" s="49" t="s">
        <v>287</v>
      </c>
      <c r="H69" s="51" t="n">
        <v>0.0016</v>
      </c>
      <c r="I69" s="51" t="n">
        <v>0.0351</v>
      </c>
      <c r="J69" s="51" t="n">
        <v>0.9634</v>
      </c>
      <c r="K69" s="49"/>
      <c r="L69" s="49"/>
      <c r="M69" s="49"/>
      <c r="N69" s="49"/>
      <c r="O69" s="49"/>
      <c r="P69" s="49"/>
      <c r="Q69" s="49"/>
      <c r="R69" s="49"/>
      <c r="S69" s="49" t="n">
        <v>0</v>
      </c>
      <c r="T69" s="49" t="n">
        <v>0</v>
      </c>
      <c r="U69" s="49" t="s">
        <v>415</v>
      </c>
    </row>
    <row r="70" customFormat="false" ht="15" hidden="false" customHeight="false" outlineLevel="0" collapsed="false">
      <c r="B70" s="48" t="n">
        <v>44958.5393287037</v>
      </c>
      <c r="C70" s="4" t="n">
        <f aca="false">YEAR(B70)</f>
        <v>2023</v>
      </c>
      <c r="D70" s="49" t="s">
        <v>283</v>
      </c>
      <c r="E70" s="49" t="s">
        <v>416</v>
      </c>
      <c r="F70" s="50" t="n">
        <v>1</v>
      </c>
      <c r="G70" s="49" t="s">
        <v>287</v>
      </c>
      <c r="H70" s="51" t="n">
        <v>0.0044</v>
      </c>
      <c r="I70" s="51" t="n">
        <v>0.0193</v>
      </c>
      <c r="J70" s="51" t="n">
        <v>0.9763</v>
      </c>
      <c r="K70" s="49"/>
      <c r="L70" s="49"/>
      <c r="M70" s="49"/>
      <c r="N70" s="49"/>
      <c r="O70" s="49"/>
      <c r="P70" s="49"/>
      <c r="Q70" s="49"/>
      <c r="R70" s="49"/>
      <c r="S70" s="49" t="n">
        <v>0</v>
      </c>
      <c r="T70" s="49" t="n">
        <v>0</v>
      </c>
      <c r="U70" s="49" t="s">
        <v>417</v>
      </c>
    </row>
    <row r="71" customFormat="false" ht="15" hidden="false" customHeight="false" outlineLevel="0" collapsed="false">
      <c r="B71" s="48" t="n">
        <v>44959.2727893519</v>
      </c>
      <c r="C71" s="4" t="n">
        <f aca="false">YEAR(B71)</f>
        <v>2023</v>
      </c>
      <c r="D71" s="49" t="s">
        <v>283</v>
      </c>
      <c r="E71" s="49" t="s">
        <v>418</v>
      </c>
      <c r="F71" s="50" t="n">
        <v>1</v>
      </c>
      <c r="G71" s="49" t="s">
        <v>280</v>
      </c>
      <c r="H71" s="51" t="n">
        <v>0.6544</v>
      </c>
      <c r="I71" s="51" t="n">
        <v>0.3121</v>
      </c>
      <c r="J71" s="51" t="n">
        <v>0.0335</v>
      </c>
      <c r="K71" s="49"/>
      <c r="L71" s="49"/>
      <c r="M71" s="49"/>
      <c r="N71" s="49"/>
      <c r="O71" s="49"/>
      <c r="P71" s="49"/>
      <c r="Q71" s="49"/>
      <c r="R71" s="49"/>
      <c r="S71" s="49" t="n">
        <v>0</v>
      </c>
      <c r="T71" s="49" t="n">
        <v>0</v>
      </c>
      <c r="U71" s="49" t="s">
        <v>419</v>
      </c>
    </row>
    <row r="72" customFormat="false" ht="15" hidden="false" customHeight="false" outlineLevel="0" collapsed="false">
      <c r="B72" s="48" t="n">
        <v>44960.0656828704</v>
      </c>
      <c r="C72" s="4" t="n">
        <f aca="false">YEAR(B72)</f>
        <v>2023</v>
      </c>
      <c r="D72" s="49" t="s">
        <v>283</v>
      </c>
      <c r="E72" s="49" t="s">
        <v>420</v>
      </c>
      <c r="F72" s="50" t="n">
        <v>1</v>
      </c>
      <c r="G72" s="49" t="s">
        <v>290</v>
      </c>
      <c r="H72" s="51" t="n">
        <v>0.094</v>
      </c>
      <c r="I72" s="51" t="n">
        <v>0.6606</v>
      </c>
      <c r="J72" s="51" t="n">
        <v>0.2453</v>
      </c>
      <c r="K72" s="49"/>
      <c r="L72" s="49"/>
      <c r="M72" s="49"/>
      <c r="N72" s="49"/>
      <c r="O72" s="49"/>
      <c r="P72" s="49"/>
      <c r="Q72" s="49"/>
      <c r="R72" s="49"/>
      <c r="S72" s="49" t="n">
        <v>0</v>
      </c>
      <c r="T72" s="49" t="n">
        <v>0</v>
      </c>
      <c r="U72" s="49" t="s">
        <v>421</v>
      </c>
    </row>
    <row r="73" customFormat="false" ht="15" hidden="false" customHeight="false" outlineLevel="0" collapsed="false">
      <c r="B73" s="48" t="n">
        <v>44961.3267361111</v>
      </c>
      <c r="C73" s="4" t="n">
        <f aca="false">YEAR(B73)</f>
        <v>2023</v>
      </c>
      <c r="D73" s="49" t="s">
        <v>283</v>
      </c>
      <c r="E73" s="49" t="s">
        <v>422</v>
      </c>
      <c r="F73" s="50" t="n">
        <v>1</v>
      </c>
      <c r="G73" s="49" t="s">
        <v>280</v>
      </c>
      <c r="H73" s="51" t="n">
        <v>0.8656</v>
      </c>
      <c r="I73" s="51" t="n">
        <v>0.1259</v>
      </c>
      <c r="J73" s="51" t="n">
        <v>0.0085</v>
      </c>
      <c r="K73" s="49"/>
      <c r="L73" s="49"/>
      <c r="M73" s="49"/>
      <c r="N73" s="49"/>
      <c r="O73" s="49"/>
      <c r="P73" s="49"/>
      <c r="Q73" s="49"/>
      <c r="R73" s="49"/>
      <c r="S73" s="49" t="n">
        <v>1</v>
      </c>
      <c r="T73" s="49" t="n">
        <v>0</v>
      </c>
      <c r="U73" s="49" t="s">
        <v>423</v>
      </c>
    </row>
    <row r="74" customFormat="false" ht="15" hidden="false" customHeight="false" outlineLevel="0" collapsed="false">
      <c r="B74" s="48" t="n">
        <v>44961.3890625</v>
      </c>
      <c r="C74" s="4" t="n">
        <f aca="false">YEAR(B74)</f>
        <v>2023</v>
      </c>
      <c r="D74" s="49" t="s">
        <v>283</v>
      </c>
      <c r="E74" s="49" t="s">
        <v>358</v>
      </c>
      <c r="F74" s="50" t="n">
        <v>2</v>
      </c>
      <c r="G74" s="49" t="s">
        <v>287</v>
      </c>
      <c r="H74" s="51" t="n">
        <v>0.0016</v>
      </c>
      <c r="I74" s="51" t="n">
        <v>0.0638</v>
      </c>
      <c r="J74" s="51" t="n">
        <v>0.9345</v>
      </c>
      <c r="K74" s="49"/>
      <c r="L74" s="49"/>
      <c r="M74" s="49"/>
      <c r="N74" s="49"/>
      <c r="O74" s="49"/>
      <c r="P74" s="49"/>
      <c r="Q74" s="49"/>
      <c r="R74" s="49"/>
      <c r="S74" s="49" t="n">
        <v>0</v>
      </c>
      <c r="T74" s="49" t="n">
        <v>0</v>
      </c>
      <c r="U74" s="49" t="s">
        <v>424</v>
      </c>
    </row>
    <row r="75" customFormat="false" ht="15" hidden="false" customHeight="false" outlineLevel="0" collapsed="false">
      <c r="B75" s="48" t="n">
        <v>44962.0196759259</v>
      </c>
      <c r="C75" s="4" t="n">
        <f aca="false">YEAR(B75)</f>
        <v>2023</v>
      </c>
      <c r="D75" s="49" t="s">
        <v>278</v>
      </c>
      <c r="E75" s="49" t="s">
        <v>425</v>
      </c>
      <c r="F75" s="50" t="n">
        <v>76</v>
      </c>
      <c r="G75" s="49" t="s">
        <v>290</v>
      </c>
      <c r="H75" s="51" t="n">
        <v>0.2425</v>
      </c>
      <c r="I75" s="51" t="n">
        <v>0.6969</v>
      </c>
      <c r="J75" s="51" t="n">
        <v>0.0606</v>
      </c>
      <c r="K75" s="49"/>
      <c r="L75" s="49"/>
      <c r="M75" s="49"/>
      <c r="N75" s="49"/>
      <c r="O75" s="49"/>
      <c r="P75" s="49"/>
      <c r="Q75" s="49"/>
      <c r="R75" s="49"/>
      <c r="S75" s="49" t="n">
        <v>0</v>
      </c>
      <c r="T75" s="49" t="n">
        <v>0</v>
      </c>
      <c r="U75" s="49" t="s">
        <v>426</v>
      </c>
    </row>
    <row r="76" customFormat="false" ht="15" hidden="false" customHeight="false" outlineLevel="0" collapsed="false">
      <c r="B76" s="48" t="n">
        <v>44962.2821296296</v>
      </c>
      <c r="C76" s="4" t="n">
        <f aca="false">YEAR(B76)</f>
        <v>2023</v>
      </c>
      <c r="D76" s="49" t="s">
        <v>283</v>
      </c>
      <c r="E76" s="49" t="s">
        <v>427</v>
      </c>
      <c r="F76" s="50" t="n">
        <v>6</v>
      </c>
      <c r="G76" s="49" t="s">
        <v>290</v>
      </c>
      <c r="H76" s="51" t="n">
        <v>0.0139</v>
      </c>
      <c r="I76" s="51" t="n">
        <v>0.7913</v>
      </c>
      <c r="J76" s="51" t="n">
        <v>0.1947</v>
      </c>
      <c r="K76" s="49"/>
      <c r="L76" s="49"/>
      <c r="M76" s="49"/>
      <c r="N76" s="49"/>
      <c r="O76" s="49"/>
      <c r="P76" s="49"/>
      <c r="Q76" s="49"/>
      <c r="R76" s="49"/>
      <c r="S76" s="49" t="n">
        <v>1</v>
      </c>
      <c r="T76" s="49" t="n">
        <v>0</v>
      </c>
      <c r="U76" s="49" t="s">
        <v>428</v>
      </c>
    </row>
    <row r="77" customFormat="false" ht="15" hidden="false" customHeight="false" outlineLevel="0" collapsed="false">
      <c r="B77" s="48" t="n">
        <v>44962.6923842593</v>
      </c>
      <c r="C77" s="4" t="n">
        <f aca="false">YEAR(B77)</f>
        <v>2023</v>
      </c>
      <c r="D77" s="49" t="s">
        <v>278</v>
      </c>
      <c r="E77" s="49" t="s">
        <v>429</v>
      </c>
      <c r="F77" s="50" t="n">
        <v>1</v>
      </c>
      <c r="G77" s="49" t="s">
        <v>287</v>
      </c>
      <c r="H77" s="51" t="n">
        <v>0.0026</v>
      </c>
      <c r="I77" s="51" t="n">
        <v>0.0284</v>
      </c>
      <c r="J77" s="51" t="n">
        <v>0.969</v>
      </c>
      <c r="K77" s="49"/>
      <c r="L77" s="49"/>
      <c r="M77" s="49"/>
      <c r="N77" s="49"/>
      <c r="O77" s="49"/>
      <c r="P77" s="49" t="s">
        <v>281</v>
      </c>
      <c r="Q77" s="49" t="s">
        <v>281</v>
      </c>
      <c r="R77" s="49"/>
      <c r="S77" s="49" t="n">
        <v>1</v>
      </c>
      <c r="T77" s="49" t="n">
        <v>0</v>
      </c>
      <c r="U77" s="49" t="s">
        <v>430</v>
      </c>
    </row>
    <row r="78" customFormat="false" ht="15" hidden="false" customHeight="false" outlineLevel="0" collapsed="false">
      <c r="B78" s="48" t="n">
        <v>44962.8309259259</v>
      </c>
      <c r="C78" s="4" t="n">
        <f aca="false">YEAR(B78)</f>
        <v>2023</v>
      </c>
      <c r="D78" s="49" t="s">
        <v>278</v>
      </c>
      <c r="E78" s="49" t="s">
        <v>431</v>
      </c>
      <c r="F78" s="50" t="n">
        <v>8</v>
      </c>
      <c r="G78" s="49" t="s">
        <v>280</v>
      </c>
      <c r="H78" s="51" t="n">
        <v>0.8714</v>
      </c>
      <c r="I78" s="51" t="n">
        <v>0.1173</v>
      </c>
      <c r="J78" s="51" t="n">
        <v>0.0113</v>
      </c>
      <c r="K78" s="49"/>
      <c r="L78" s="49"/>
      <c r="M78" s="49"/>
      <c r="N78" s="49"/>
      <c r="O78" s="49"/>
      <c r="P78" s="49"/>
      <c r="Q78" s="49" t="s">
        <v>281</v>
      </c>
      <c r="R78" s="49"/>
      <c r="S78" s="49" t="n">
        <v>0</v>
      </c>
      <c r="T78" s="49" t="n">
        <v>0</v>
      </c>
      <c r="U78" s="49" t="s">
        <v>432</v>
      </c>
    </row>
    <row r="79" customFormat="false" ht="15" hidden="false" customHeight="false" outlineLevel="0" collapsed="false">
      <c r="B79" s="48" t="n">
        <v>44963.6816550926</v>
      </c>
      <c r="C79" s="4" t="n">
        <f aca="false">YEAR(B79)</f>
        <v>2023</v>
      </c>
      <c r="D79" s="49" t="s">
        <v>283</v>
      </c>
      <c r="E79" s="49" t="s">
        <v>433</v>
      </c>
      <c r="F79" s="50" t="n">
        <v>1</v>
      </c>
      <c r="G79" s="49" t="s">
        <v>287</v>
      </c>
      <c r="H79" s="51" t="n">
        <v>0.0021</v>
      </c>
      <c r="I79" s="51" t="n">
        <v>0.0258</v>
      </c>
      <c r="J79" s="51" t="n">
        <v>0.9721</v>
      </c>
      <c r="K79" s="49"/>
      <c r="L79" s="49"/>
      <c r="M79" s="49"/>
      <c r="N79" s="49"/>
      <c r="O79" s="49"/>
      <c r="P79" s="49"/>
      <c r="Q79" s="49"/>
      <c r="R79" s="49"/>
      <c r="S79" s="49" t="n">
        <v>0</v>
      </c>
      <c r="T79" s="49" t="n">
        <v>0</v>
      </c>
      <c r="U79" s="49" t="s">
        <v>434</v>
      </c>
    </row>
    <row r="80" customFormat="false" ht="15" hidden="false" customHeight="false" outlineLevel="0" collapsed="false">
      <c r="B80" s="48" t="n">
        <v>44964.5521990741</v>
      </c>
      <c r="C80" s="4" t="n">
        <f aca="false">YEAR(B80)</f>
        <v>2023</v>
      </c>
      <c r="D80" s="49" t="s">
        <v>283</v>
      </c>
      <c r="E80" s="49" t="s">
        <v>435</v>
      </c>
      <c r="F80" s="50" t="n">
        <v>5</v>
      </c>
      <c r="G80" s="49" t="s">
        <v>290</v>
      </c>
      <c r="H80" s="51" t="n">
        <v>0.0919</v>
      </c>
      <c r="I80" s="51" t="n">
        <v>0.8408</v>
      </c>
      <c r="J80" s="51" t="n">
        <v>0.0672</v>
      </c>
      <c r="K80" s="49"/>
      <c r="L80" s="49"/>
      <c r="M80" s="49"/>
      <c r="N80" s="49"/>
      <c r="O80" s="49"/>
      <c r="P80" s="49"/>
      <c r="Q80" s="49"/>
      <c r="R80" s="49"/>
      <c r="S80" s="49" t="n">
        <v>1</v>
      </c>
      <c r="T80" s="49" t="n">
        <v>0</v>
      </c>
      <c r="U80" s="49" t="s">
        <v>436</v>
      </c>
    </row>
    <row r="81" customFormat="false" ht="15" hidden="false" customHeight="false" outlineLevel="0" collapsed="false">
      <c r="B81" s="48" t="n">
        <v>44964.8128472222</v>
      </c>
      <c r="C81" s="4" t="n">
        <f aca="false">YEAR(B81)</f>
        <v>2023</v>
      </c>
      <c r="D81" s="49" t="s">
        <v>283</v>
      </c>
      <c r="E81" s="49" t="s">
        <v>437</v>
      </c>
      <c r="F81" s="50" t="n">
        <v>24</v>
      </c>
      <c r="G81" s="49" t="s">
        <v>290</v>
      </c>
      <c r="H81" s="51" t="n">
        <v>0.0078</v>
      </c>
      <c r="I81" s="51" t="n">
        <v>0.4974</v>
      </c>
      <c r="J81" s="51" t="n">
        <v>0.4948</v>
      </c>
      <c r="K81" s="49"/>
      <c r="L81" s="49"/>
      <c r="M81" s="49"/>
      <c r="N81" s="49"/>
      <c r="O81" s="49"/>
      <c r="P81" s="49"/>
      <c r="Q81" s="49"/>
      <c r="R81" s="49"/>
      <c r="S81" s="49" t="n">
        <v>0</v>
      </c>
      <c r="T81" s="49" t="n">
        <v>0</v>
      </c>
      <c r="U81" s="49" t="s">
        <v>438</v>
      </c>
    </row>
    <row r="82" customFormat="false" ht="15" hidden="false" customHeight="false" outlineLevel="0" collapsed="false">
      <c r="B82" s="48" t="n">
        <v>44964.8896180556</v>
      </c>
      <c r="C82" s="4" t="n">
        <f aca="false">YEAR(B82)</f>
        <v>2023</v>
      </c>
      <c r="D82" s="49" t="s">
        <v>283</v>
      </c>
      <c r="E82" s="49" t="s">
        <v>439</v>
      </c>
      <c r="F82" s="50" t="n">
        <v>3</v>
      </c>
      <c r="G82" s="49" t="s">
        <v>290</v>
      </c>
      <c r="H82" s="51" t="n">
        <v>0.0275</v>
      </c>
      <c r="I82" s="51" t="n">
        <v>0.9554</v>
      </c>
      <c r="J82" s="51" t="n">
        <v>0.017</v>
      </c>
      <c r="K82" s="49"/>
      <c r="L82" s="49"/>
      <c r="M82" s="49"/>
      <c r="N82" s="49"/>
      <c r="O82" s="49"/>
      <c r="P82" s="49"/>
      <c r="Q82" s="49"/>
      <c r="R82" s="49"/>
      <c r="S82" s="49" t="n">
        <v>1</v>
      </c>
      <c r="T82" s="49" t="n">
        <v>0</v>
      </c>
      <c r="U82" s="49" t="s">
        <v>440</v>
      </c>
    </row>
    <row r="83" customFormat="false" ht="15" hidden="false" customHeight="false" outlineLevel="0" collapsed="false">
      <c r="B83" s="48" t="n">
        <v>44965.7632986111</v>
      </c>
      <c r="C83" s="4" t="n">
        <f aca="false">YEAR(B83)</f>
        <v>2023</v>
      </c>
      <c r="D83" s="49" t="s">
        <v>283</v>
      </c>
      <c r="E83" s="49" t="s">
        <v>441</v>
      </c>
      <c r="F83" s="50" t="n">
        <v>27</v>
      </c>
      <c r="G83" s="49" t="s">
        <v>280</v>
      </c>
      <c r="H83" s="51" t="n">
        <v>0.5544</v>
      </c>
      <c r="I83" s="51" t="n">
        <v>0.424</v>
      </c>
      <c r="J83" s="51" t="n">
        <v>0.0216</v>
      </c>
      <c r="K83" s="49"/>
      <c r="L83" s="49"/>
      <c r="M83" s="49"/>
      <c r="N83" s="49"/>
      <c r="O83" s="49" t="s">
        <v>281</v>
      </c>
      <c r="P83" s="49"/>
      <c r="Q83" s="49"/>
      <c r="R83" s="49"/>
      <c r="S83" s="49" t="n">
        <v>0</v>
      </c>
      <c r="T83" s="49" t="n">
        <v>0</v>
      </c>
      <c r="U83" s="49" t="s">
        <v>442</v>
      </c>
    </row>
    <row r="84" customFormat="false" ht="15" hidden="false" customHeight="false" outlineLevel="0" collapsed="false">
      <c r="B84" s="48" t="n">
        <v>44965.878912037</v>
      </c>
      <c r="C84" s="4" t="n">
        <f aca="false">YEAR(B84)</f>
        <v>2023</v>
      </c>
      <c r="D84" s="49" t="s">
        <v>278</v>
      </c>
      <c r="E84" s="49" t="s">
        <v>443</v>
      </c>
      <c r="F84" s="50" t="n">
        <v>91</v>
      </c>
      <c r="G84" s="49" t="s">
        <v>290</v>
      </c>
      <c r="H84" s="51" t="n">
        <v>0.4169</v>
      </c>
      <c r="I84" s="51" t="n">
        <v>0.5594</v>
      </c>
      <c r="J84" s="51" t="n">
        <v>0.0237</v>
      </c>
      <c r="K84" s="49"/>
      <c r="L84" s="49"/>
      <c r="M84" s="49"/>
      <c r="N84" s="49"/>
      <c r="O84" s="49"/>
      <c r="P84" s="49"/>
      <c r="Q84" s="49"/>
      <c r="R84" s="49"/>
      <c r="S84" s="49" t="n">
        <v>0</v>
      </c>
      <c r="T84" s="49" t="n">
        <v>0</v>
      </c>
      <c r="U84" s="49" t="s">
        <v>444</v>
      </c>
    </row>
    <row r="85" customFormat="false" ht="15" hidden="false" customHeight="false" outlineLevel="0" collapsed="false">
      <c r="B85" s="48" t="n">
        <v>44965.972337963</v>
      </c>
      <c r="C85" s="4" t="n">
        <f aca="false">YEAR(B85)</f>
        <v>2023</v>
      </c>
      <c r="D85" s="49" t="s">
        <v>278</v>
      </c>
      <c r="E85" s="49" t="s">
        <v>445</v>
      </c>
      <c r="F85" s="50" t="n">
        <v>4</v>
      </c>
      <c r="G85" s="49" t="s">
        <v>280</v>
      </c>
      <c r="H85" s="51" t="n">
        <v>0.5937</v>
      </c>
      <c r="I85" s="51" t="n">
        <v>0.3558</v>
      </c>
      <c r="J85" s="51" t="n">
        <v>0.0505</v>
      </c>
      <c r="K85" s="49"/>
      <c r="L85" s="49"/>
      <c r="M85" s="49"/>
      <c r="N85" s="49"/>
      <c r="O85" s="49"/>
      <c r="P85" s="49"/>
      <c r="Q85" s="49"/>
      <c r="R85" s="49"/>
      <c r="S85" s="49" t="n">
        <v>0</v>
      </c>
      <c r="T85" s="49" t="n">
        <v>0</v>
      </c>
      <c r="U85" s="49" t="s">
        <v>446</v>
      </c>
    </row>
    <row r="86" customFormat="false" ht="15" hidden="false" customHeight="false" outlineLevel="0" collapsed="false">
      <c r="B86" s="48" t="n">
        <v>44966.4222337963</v>
      </c>
      <c r="C86" s="4" t="n">
        <f aca="false">YEAR(B86)</f>
        <v>2023</v>
      </c>
      <c r="D86" s="49" t="s">
        <v>283</v>
      </c>
      <c r="E86" s="49" t="s">
        <v>447</v>
      </c>
      <c r="F86" s="50" t="n">
        <v>257</v>
      </c>
      <c r="G86" s="49" t="s">
        <v>280</v>
      </c>
      <c r="H86" s="51" t="n">
        <v>0.4601</v>
      </c>
      <c r="I86" s="51" t="n">
        <v>0.3471</v>
      </c>
      <c r="J86" s="51" t="n">
        <v>0.1928</v>
      </c>
      <c r="K86" s="49"/>
      <c r="L86" s="49"/>
      <c r="M86" s="49"/>
      <c r="N86" s="49"/>
      <c r="O86" s="49"/>
      <c r="P86" s="49"/>
      <c r="Q86" s="49"/>
      <c r="R86" s="49"/>
      <c r="S86" s="49" t="n">
        <v>0</v>
      </c>
      <c r="T86" s="49" t="n">
        <v>0</v>
      </c>
      <c r="U86" s="49" t="s">
        <v>448</v>
      </c>
    </row>
    <row r="87" customFormat="false" ht="15" hidden="false" customHeight="false" outlineLevel="0" collapsed="false">
      <c r="B87" s="48" t="n">
        <v>44966.908287037</v>
      </c>
      <c r="C87" s="4" t="n">
        <f aca="false">YEAR(B87)</f>
        <v>2023</v>
      </c>
      <c r="D87" s="49" t="s">
        <v>283</v>
      </c>
      <c r="E87" s="49" t="s">
        <v>449</v>
      </c>
      <c r="F87" s="50" t="n">
        <v>1</v>
      </c>
      <c r="G87" s="49" t="s">
        <v>290</v>
      </c>
      <c r="H87" s="51" t="n">
        <v>0.0268</v>
      </c>
      <c r="I87" s="51" t="n">
        <v>0.8764</v>
      </c>
      <c r="J87" s="51" t="n">
        <v>0.0968</v>
      </c>
      <c r="K87" s="49"/>
      <c r="L87" s="49"/>
      <c r="M87" s="49"/>
      <c r="N87" s="49"/>
      <c r="O87" s="49"/>
      <c r="P87" s="49"/>
      <c r="Q87" s="49"/>
      <c r="R87" s="49"/>
      <c r="S87" s="49" t="n">
        <v>0</v>
      </c>
      <c r="T87" s="49" t="n">
        <v>0</v>
      </c>
      <c r="U87" s="49" t="s">
        <v>450</v>
      </c>
    </row>
    <row r="88" customFormat="false" ht="15" hidden="false" customHeight="false" outlineLevel="0" collapsed="false">
      <c r="B88" s="48" t="n">
        <v>44967.7553587963</v>
      </c>
      <c r="C88" s="4" t="n">
        <f aca="false">YEAR(B88)</f>
        <v>2023</v>
      </c>
      <c r="D88" s="49" t="s">
        <v>283</v>
      </c>
      <c r="E88" s="49" t="s">
        <v>451</v>
      </c>
      <c r="F88" s="50" t="n">
        <v>1</v>
      </c>
      <c r="G88" s="49" t="s">
        <v>287</v>
      </c>
      <c r="H88" s="51" t="n">
        <v>0.0047</v>
      </c>
      <c r="I88" s="51" t="n">
        <v>0.467</v>
      </c>
      <c r="J88" s="51" t="n">
        <v>0.5283</v>
      </c>
      <c r="K88" s="49"/>
      <c r="L88" s="49"/>
      <c r="M88" s="49"/>
      <c r="N88" s="49"/>
      <c r="O88" s="49"/>
      <c r="P88" s="49"/>
      <c r="Q88" s="49"/>
      <c r="R88" s="49"/>
      <c r="S88" s="49" t="n">
        <v>0</v>
      </c>
      <c r="T88" s="49" t="n">
        <v>0</v>
      </c>
      <c r="U88" s="49" t="s">
        <v>452</v>
      </c>
    </row>
    <row r="89" customFormat="false" ht="15" hidden="false" customHeight="false" outlineLevel="0" collapsed="false">
      <c r="B89" s="48" t="n">
        <v>44967.935462963</v>
      </c>
      <c r="C89" s="4" t="n">
        <f aca="false">YEAR(B89)</f>
        <v>2023</v>
      </c>
      <c r="D89" s="49" t="s">
        <v>283</v>
      </c>
      <c r="E89" s="49" t="s">
        <v>453</v>
      </c>
      <c r="F89" s="50" t="n">
        <v>1</v>
      </c>
      <c r="G89" s="49" t="s">
        <v>287</v>
      </c>
      <c r="H89" s="51" t="n">
        <v>0.0013</v>
      </c>
      <c r="I89" s="51" t="n">
        <v>0.0128</v>
      </c>
      <c r="J89" s="51" t="n">
        <v>0.9859</v>
      </c>
      <c r="K89" s="49"/>
      <c r="L89" s="49"/>
      <c r="M89" s="49"/>
      <c r="N89" s="49"/>
      <c r="O89" s="49"/>
      <c r="P89" s="49"/>
      <c r="Q89" s="49"/>
      <c r="R89" s="49"/>
      <c r="S89" s="49" t="n">
        <v>0</v>
      </c>
      <c r="T89" s="49" t="n">
        <v>0</v>
      </c>
      <c r="U89" s="49" t="s">
        <v>454</v>
      </c>
    </row>
    <row r="90" customFormat="false" ht="15" hidden="false" customHeight="false" outlineLevel="0" collapsed="false">
      <c r="B90" s="48" t="n">
        <v>44968.4291666667</v>
      </c>
      <c r="C90" s="4" t="n">
        <f aca="false">YEAR(B90)</f>
        <v>2023</v>
      </c>
      <c r="D90" s="49" t="s">
        <v>283</v>
      </c>
      <c r="E90" s="49" t="s">
        <v>455</v>
      </c>
      <c r="F90" s="50" t="n">
        <v>2</v>
      </c>
      <c r="G90" s="49" t="s">
        <v>280</v>
      </c>
      <c r="H90" s="51" t="n">
        <v>0.6045</v>
      </c>
      <c r="I90" s="51" t="n">
        <v>0.3571</v>
      </c>
      <c r="J90" s="51" t="n">
        <v>0.0384</v>
      </c>
      <c r="K90" s="49"/>
      <c r="L90" s="49"/>
      <c r="M90" s="49"/>
      <c r="N90" s="49"/>
      <c r="O90" s="49"/>
      <c r="P90" s="49"/>
      <c r="Q90" s="49"/>
      <c r="R90" s="49"/>
      <c r="S90" s="49" t="n">
        <v>0</v>
      </c>
      <c r="T90" s="49" t="n">
        <v>0</v>
      </c>
      <c r="U90" s="49" t="s">
        <v>456</v>
      </c>
    </row>
    <row r="91" customFormat="false" ht="15" hidden="false" customHeight="false" outlineLevel="0" collapsed="false">
      <c r="B91" s="48" t="n">
        <v>44968.4713888889</v>
      </c>
      <c r="C91" s="4" t="n">
        <f aca="false">YEAR(B91)</f>
        <v>2023</v>
      </c>
      <c r="D91" s="49" t="s">
        <v>283</v>
      </c>
      <c r="E91" s="49" t="s">
        <v>457</v>
      </c>
      <c r="F91" s="50" t="n">
        <v>1</v>
      </c>
      <c r="G91" s="49" t="s">
        <v>287</v>
      </c>
      <c r="H91" s="51" t="n">
        <v>0.0026</v>
      </c>
      <c r="I91" s="51" t="n">
        <v>0.2546</v>
      </c>
      <c r="J91" s="51" t="n">
        <v>0.7429</v>
      </c>
      <c r="K91" s="49"/>
      <c r="L91" s="49"/>
      <c r="M91" s="49"/>
      <c r="N91" s="49"/>
      <c r="O91" s="49"/>
      <c r="P91" s="49" t="s">
        <v>281</v>
      </c>
      <c r="Q91" s="49" t="s">
        <v>281</v>
      </c>
      <c r="R91" s="49"/>
      <c r="S91" s="49" t="n">
        <v>1</v>
      </c>
      <c r="T91" s="49" t="n">
        <v>0</v>
      </c>
      <c r="U91" s="49" t="s">
        <v>458</v>
      </c>
    </row>
    <row r="92" customFormat="false" ht="15" hidden="false" customHeight="false" outlineLevel="0" collapsed="false">
      <c r="B92" s="48" t="n">
        <v>44969.7481134259</v>
      </c>
      <c r="C92" s="4" t="n">
        <f aca="false">YEAR(B92)</f>
        <v>2023</v>
      </c>
      <c r="D92" s="49" t="s">
        <v>283</v>
      </c>
      <c r="E92" s="49" t="s">
        <v>459</v>
      </c>
      <c r="F92" s="50" t="n">
        <v>113</v>
      </c>
      <c r="G92" s="49" t="s">
        <v>290</v>
      </c>
      <c r="H92" s="51" t="n">
        <v>0.0134</v>
      </c>
      <c r="I92" s="51" t="n">
        <v>0.7816</v>
      </c>
      <c r="J92" s="51" t="n">
        <v>0.205</v>
      </c>
      <c r="K92" s="49"/>
      <c r="L92" s="49"/>
      <c r="M92" s="49"/>
      <c r="N92" s="49"/>
      <c r="O92" s="49"/>
      <c r="P92" s="49"/>
      <c r="Q92" s="49"/>
      <c r="R92" s="49"/>
      <c r="S92" s="49" t="n">
        <v>1</v>
      </c>
      <c r="T92" s="49" t="n">
        <v>0</v>
      </c>
      <c r="U92" s="49" t="s">
        <v>460</v>
      </c>
    </row>
    <row r="93" customFormat="false" ht="15" hidden="false" customHeight="false" outlineLevel="0" collapsed="false">
      <c r="B93" s="48" t="n">
        <v>44969.8111111111</v>
      </c>
      <c r="C93" s="4" t="n">
        <f aca="false">YEAR(B93)</f>
        <v>2023</v>
      </c>
      <c r="D93" s="49" t="s">
        <v>283</v>
      </c>
      <c r="E93" s="49" t="s">
        <v>461</v>
      </c>
      <c r="F93" s="50" t="n">
        <v>7</v>
      </c>
      <c r="G93" s="49" t="s">
        <v>287</v>
      </c>
      <c r="H93" s="51" t="n">
        <v>0.0152</v>
      </c>
      <c r="I93" s="51" t="n">
        <v>0.4119</v>
      </c>
      <c r="J93" s="51" t="n">
        <v>0.5729</v>
      </c>
      <c r="K93" s="49"/>
      <c r="L93" s="49"/>
      <c r="M93" s="49"/>
      <c r="N93" s="49"/>
      <c r="O93" s="49"/>
      <c r="P93" s="49"/>
      <c r="Q93" s="49"/>
      <c r="R93" s="49"/>
      <c r="S93" s="49" t="n">
        <v>0</v>
      </c>
      <c r="T93" s="49" t="n">
        <v>0</v>
      </c>
      <c r="U93" s="49" t="s">
        <v>462</v>
      </c>
    </row>
    <row r="94" customFormat="false" ht="15" hidden="false" customHeight="false" outlineLevel="0" collapsed="false">
      <c r="B94" s="48" t="n">
        <v>44970.282650463</v>
      </c>
      <c r="C94" s="4" t="n">
        <f aca="false">YEAR(B94)</f>
        <v>2023</v>
      </c>
      <c r="D94" s="49" t="s">
        <v>283</v>
      </c>
      <c r="E94" s="49" t="s">
        <v>463</v>
      </c>
      <c r="F94" s="50" t="n">
        <v>5</v>
      </c>
      <c r="G94" s="49" t="s">
        <v>290</v>
      </c>
      <c r="H94" s="51" t="n">
        <v>0.1277</v>
      </c>
      <c r="I94" s="51" t="n">
        <v>0.7344</v>
      </c>
      <c r="J94" s="51" t="n">
        <v>0.138</v>
      </c>
      <c r="K94" s="49"/>
      <c r="L94" s="49"/>
      <c r="M94" s="49"/>
      <c r="N94" s="49"/>
      <c r="O94" s="49"/>
      <c r="P94" s="49"/>
      <c r="Q94" s="49"/>
      <c r="R94" s="49"/>
      <c r="S94" s="49" t="n">
        <v>0</v>
      </c>
      <c r="T94" s="49" t="n">
        <v>0</v>
      </c>
      <c r="U94" s="49" t="s">
        <v>464</v>
      </c>
    </row>
    <row r="95" customFormat="false" ht="15" hidden="false" customHeight="false" outlineLevel="0" collapsed="false">
      <c r="B95" s="48" t="n">
        <v>44970.9532175926</v>
      </c>
      <c r="C95" s="4" t="n">
        <f aca="false">YEAR(B95)</f>
        <v>2023</v>
      </c>
      <c r="D95" s="49" t="s">
        <v>283</v>
      </c>
      <c r="E95" s="49" t="s">
        <v>465</v>
      </c>
      <c r="F95" s="50" t="n">
        <v>1</v>
      </c>
      <c r="G95" s="49" t="s">
        <v>287</v>
      </c>
      <c r="H95" s="51" t="n">
        <v>0.0045</v>
      </c>
      <c r="I95" s="51" t="n">
        <v>0.1254</v>
      </c>
      <c r="J95" s="51" t="n">
        <v>0.8701</v>
      </c>
      <c r="K95" s="49"/>
      <c r="L95" s="49"/>
      <c r="M95" s="49"/>
      <c r="N95" s="49"/>
      <c r="O95" s="49"/>
      <c r="P95" s="49"/>
      <c r="Q95" s="49"/>
      <c r="R95" s="49"/>
      <c r="S95" s="49" t="n">
        <v>1</v>
      </c>
      <c r="T95" s="49" t="n">
        <v>0</v>
      </c>
      <c r="U95" s="49" t="s">
        <v>466</v>
      </c>
    </row>
    <row r="96" customFormat="false" ht="15" hidden="false" customHeight="false" outlineLevel="0" collapsed="false">
      <c r="B96" s="48" t="n">
        <v>44971.0194791667</v>
      </c>
      <c r="C96" s="4" t="n">
        <f aca="false">YEAR(B96)</f>
        <v>2023</v>
      </c>
      <c r="D96" s="49" t="s">
        <v>283</v>
      </c>
      <c r="E96" s="49" t="s">
        <v>467</v>
      </c>
      <c r="F96" s="50" t="n">
        <v>1</v>
      </c>
      <c r="G96" s="49" t="s">
        <v>280</v>
      </c>
      <c r="H96" s="51" t="n">
        <v>0.9465</v>
      </c>
      <c r="I96" s="51" t="n">
        <v>0.0473</v>
      </c>
      <c r="J96" s="51" t="n">
        <v>0.0062</v>
      </c>
      <c r="K96" s="49"/>
      <c r="L96" s="49"/>
      <c r="M96" s="49"/>
      <c r="N96" s="49"/>
      <c r="O96" s="49"/>
      <c r="P96" s="49"/>
      <c r="Q96" s="49"/>
      <c r="R96" s="49"/>
      <c r="S96" s="49" t="n">
        <v>1</v>
      </c>
      <c r="T96" s="49" t="n">
        <v>0</v>
      </c>
      <c r="U96" s="49" t="s">
        <v>468</v>
      </c>
    </row>
    <row r="97" customFormat="false" ht="15" hidden="false" customHeight="false" outlineLevel="0" collapsed="false">
      <c r="B97" s="48" t="n">
        <v>44971.0214930556</v>
      </c>
      <c r="C97" s="4" t="n">
        <f aca="false">YEAR(B97)</f>
        <v>2023</v>
      </c>
      <c r="D97" s="49" t="s">
        <v>283</v>
      </c>
      <c r="E97" s="49" t="s">
        <v>469</v>
      </c>
      <c r="F97" s="50" t="n">
        <v>1</v>
      </c>
      <c r="G97" s="49" t="s">
        <v>290</v>
      </c>
      <c r="H97" s="51" t="n">
        <v>0.0099</v>
      </c>
      <c r="I97" s="51" t="n">
        <v>0.8696</v>
      </c>
      <c r="J97" s="51" t="n">
        <v>0.1205</v>
      </c>
      <c r="K97" s="49"/>
      <c r="L97" s="49"/>
      <c r="M97" s="49"/>
      <c r="N97" s="49"/>
      <c r="O97" s="49"/>
      <c r="P97" s="49"/>
      <c r="Q97" s="49"/>
      <c r="R97" s="49"/>
      <c r="S97" s="49" t="n">
        <v>1</v>
      </c>
      <c r="T97" s="49" t="n">
        <v>0</v>
      </c>
      <c r="U97" s="49" t="s">
        <v>470</v>
      </c>
    </row>
    <row r="98" customFormat="false" ht="15" hidden="false" customHeight="false" outlineLevel="0" collapsed="false">
      <c r="B98" s="48" t="n">
        <v>44971.752025463</v>
      </c>
      <c r="C98" s="4" t="n">
        <f aca="false">YEAR(B98)</f>
        <v>2023</v>
      </c>
      <c r="D98" s="49" t="s">
        <v>283</v>
      </c>
      <c r="E98" s="49" t="s">
        <v>471</v>
      </c>
      <c r="F98" s="50" t="n">
        <v>1</v>
      </c>
      <c r="G98" s="49" t="s">
        <v>280</v>
      </c>
      <c r="H98" s="51" t="n">
        <v>0.9502</v>
      </c>
      <c r="I98" s="51" t="n">
        <v>0.0444</v>
      </c>
      <c r="J98" s="51" t="n">
        <v>0.0053</v>
      </c>
      <c r="K98" s="49"/>
      <c r="L98" s="49"/>
      <c r="M98" s="49"/>
      <c r="N98" s="49"/>
      <c r="O98" s="49"/>
      <c r="P98" s="49"/>
      <c r="Q98" s="49"/>
      <c r="R98" s="49"/>
      <c r="S98" s="49" t="n">
        <v>1</v>
      </c>
      <c r="T98" s="49" t="n">
        <v>0</v>
      </c>
      <c r="U98" s="49" t="s">
        <v>472</v>
      </c>
    </row>
    <row r="99" customFormat="false" ht="15" hidden="false" customHeight="false" outlineLevel="0" collapsed="false">
      <c r="B99" s="48" t="n">
        <v>44971.8937268519</v>
      </c>
      <c r="C99" s="4" t="n">
        <f aca="false">YEAR(B99)</f>
        <v>2023</v>
      </c>
      <c r="D99" s="49" t="s">
        <v>283</v>
      </c>
      <c r="E99" s="49" t="s">
        <v>473</v>
      </c>
      <c r="F99" s="50" t="n">
        <v>0</v>
      </c>
      <c r="G99" s="49" t="s">
        <v>290</v>
      </c>
      <c r="H99" s="51" t="n">
        <v>0.0156</v>
      </c>
      <c r="I99" s="51" t="n">
        <v>0.7606</v>
      </c>
      <c r="J99" s="51" t="n">
        <v>0.2237</v>
      </c>
      <c r="K99" s="49"/>
      <c r="L99" s="49"/>
      <c r="M99" s="49"/>
      <c r="N99" s="49"/>
      <c r="O99" s="49"/>
      <c r="P99" s="49"/>
      <c r="Q99" s="49"/>
      <c r="R99" s="49"/>
      <c r="S99" s="49" t="n">
        <v>0</v>
      </c>
      <c r="T99" s="49" t="n">
        <v>0</v>
      </c>
      <c r="U99" s="49" t="s">
        <v>474</v>
      </c>
    </row>
    <row r="100" customFormat="false" ht="15" hidden="false" customHeight="false" outlineLevel="0" collapsed="false">
      <c r="B100" s="48" t="n">
        <v>44971.9906481481</v>
      </c>
      <c r="C100" s="4" t="n">
        <f aca="false">YEAR(B100)</f>
        <v>2023</v>
      </c>
      <c r="D100" s="49" t="s">
        <v>283</v>
      </c>
      <c r="E100" s="49" t="s">
        <v>475</v>
      </c>
      <c r="F100" s="50" t="n">
        <v>1</v>
      </c>
      <c r="G100" s="49" t="s">
        <v>280</v>
      </c>
      <c r="H100" s="51" t="n">
        <v>0.8377</v>
      </c>
      <c r="I100" s="51" t="n">
        <v>0.1533</v>
      </c>
      <c r="J100" s="51" t="n">
        <v>0.009</v>
      </c>
      <c r="K100" s="49"/>
      <c r="L100" s="49"/>
      <c r="M100" s="49"/>
      <c r="N100" s="49"/>
      <c r="O100" s="49"/>
      <c r="P100" s="49"/>
      <c r="Q100" s="49"/>
      <c r="R100" s="49"/>
      <c r="S100" s="49" t="n">
        <v>0</v>
      </c>
      <c r="T100" s="49" t="n">
        <v>0</v>
      </c>
      <c r="U100" s="49" t="s">
        <v>476</v>
      </c>
    </row>
    <row r="101" customFormat="false" ht="15" hidden="false" customHeight="false" outlineLevel="0" collapsed="false">
      <c r="B101" s="48" t="n">
        <v>44973.2437268519</v>
      </c>
      <c r="C101" s="4" t="n">
        <f aca="false">YEAR(B101)</f>
        <v>2023</v>
      </c>
      <c r="D101" s="49" t="s">
        <v>283</v>
      </c>
      <c r="E101" s="49" t="s">
        <v>477</v>
      </c>
      <c r="F101" s="50" t="n">
        <v>1</v>
      </c>
      <c r="G101" s="49" t="s">
        <v>290</v>
      </c>
      <c r="H101" s="51" t="n">
        <v>0.0106</v>
      </c>
      <c r="I101" s="51" t="n">
        <v>0.9315</v>
      </c>
      <c r="J101" s="51" t="n">
        <v>0.0579</v>
      </c>
      <c r="K101" s="49"/>
      <c r="L101" s="49"/>
      <c r="M101" s="49"/>
      <c r="N101" s="49"/>
      <c r="O101" s="49"/>
      <c r="P101" s="49"/>
      <c r="Q101" s="49"/>
      <c r="R101" s="49"/>
      <c r="S101" s="49" t="n">
        <v>1</v>
      </c>
      <c r="T101" s="49" t="n">
        <v>0</v>
      </c>
      <c r="U101" s="49" t="s">
        <v>478</v>
      </c>
    </row>
    <row r="102" customFormat="false" ht="15" hidden="false" customHeight="false" outlineLevel="0" collapsed="false">
      <c r="B102" s="48" t="n">
        <v>44973.415474537</v>
      </c>
      <c r="C102" s="4" t="n">
        <f aca="false">YEAR(B102)</f>
        <v>2023</v>
      </c>
      <c r="D102" s="49" t="s">
        <v>283</v>
      </c>
      <c r="E102" s="49" t="s">
        <v>479</v>
      </c>
      <c r="F102" s="50" t="n">
        <v>0</v>
      </c>
      <c r="G102" s="49" t="s">
        <v>290</v>
      </c>
      <c r="H102" s="51" t="n">
        <v>0.0356</v>
      </c>
      <c r="I102" s="51" t="n">
        <v>0.6893</v>
      </c>
      <c r="J102" s="51" t="n">
        <v>0.2751</v>
      </c>
      <c r="K102" s="49"/>
      <c r="L102" s="49"/>
      <c r="M102" s="49"/>
      <c r="N102" s="49"/>
      <c r="O102" s="49"/>
      <c r="P102" s="49"/>
      <c r="Q102" s="49"/>
      <c r="R102" s="49"/>
      <c r="S102" s="49" t="n">
        <v>1</v>
      </c>
      <c r="T102" s="49" t="n">
        <v>0</v>
      </c>
      <c r="U102" s="49" t="s">
        <v>480</v>
      </c>
    </row>
    <row r="103" customFormat="false" ht="15" hidden="false" customHeight="false" outlineLevel="0" collapsed="false">
      <c r="B103" s="48" t="n">
        <v>44973.5931944445</v>
      </c>
      <c r="C103" s="4" t="n">
        <f aca="false">YEAR(B103)</f>
        <v>2023</v>
      </c>
      <c r="D103" s="49" t="s">
        <v>283</v>
      </c>
      <c r="E103" s="49" t="s">
        <v>481</v>
      </c>
      <c r="F103" s="50" t="n">
        <v>0</v>
      </c>
      <c r="G103" s="49" t="s">
        <v>287</v>
      </c>
      <c r="H103" s="51" t="n">
        <v>0.004</v>
      </c>
      <c r="I103" s="51" t="n">
        <v>0.039</v>
      </c>
      <c r="J103" s="51" t="n">
        <v>0.957</v>
      </c>
      <c r="K103" s="49"/>
      <c r="L103" s="49"/>
      <c r="M103" s="49"/>
      <c r="N103" s="49"/>
      <c r="O103" s="49"/>
      <c r="P103" s="49"/>
      <c r="Q103" s="49"/>
      <c r="R103" s="49"/>
      <c r="S103" s="49" t="n">
        <v>1</v>
      </c>
      <c r="T103" s="49" t="n">
        <v>0</v>
      </c>
      <c r="U103" s="49" t="s">
        <v>482</v>
      </c>
    </row>
    <row r="104" customFormat="false" ht="15" hidden="false" customHeight="false" outlineLevel="0" collapsed="false">
      <c r="B104" s="48" t="n">
        <v>44973.6218634259</v>
      </c>
      <c r="C104" s="4" t="n">
        <f aca="false">YEAR(B104)</f>
        <v>2023</v>
      </c>
      <c r="D104" s="49" t="s">
        <v>283</v>
      </c>
      <c r="E104" s="49" t="s">
        <v>483</v>
      </c>
      <c r="F104" s="50" t="n">
        <v>0</v>
      </c>
      <c r="G104" s="49" t="s">
        <v>287</v>
      </c>
      <c r="H104" s="51" t="n">
        <v>0.0052</v>
      </c>
      <c r="I104" s="51" t="n">
        <v>0.2561</v>
      </c>
      <c r="J104" s="51" t="n">
        <v>0.7387</v>
      </c>
      <c r="K104" s="49"/>
      <c r="L104" s="49"/>
      <c r="M104" s="49"/>
      <c r="N104" s="49"/>
      <c r="O104" s="49"/>
      <c r="P104" s="49"/>
      <c r="Q104" s="49"/>
      <c r="R104" s="49"/>
      <c r="S104" s="49" t="n">
        <v>1</v>
      </c>
      <c r="T104" s="49" t="n">
        <v>0</v>
      </c>
      <c r="U104" s="49" t="s">
        <v>484</v>
      </c>
    </row>
    <row r="105" customFormat="false" ht="15" hidden="false" customHeight="false" outlineLevel="0" collapsed="false">
      <c r="B105" s="48" t="n">
        <v>44973.8165393519</v>
      </c>
      <c r="C105" s="4" t="n">
        <f aca="false">YEAR(B105)</f>
        <v>2023</v>
      </c>
      <c r="D105" s="49" t="s">
        <v>283</v>
      </c>
      <c r="E105" s="49" t="s">
        <v>485</v>
      </c>
      <c r="F105" s="50" t="n">
        <v>46</v>
      </c>
      <c r="G105" s="49" t="s">
        <v>287</v>
      </c>
      <c r="H105" s="51" t="n">
        <v>0.003</v>
      </c>
      <c r="I105" s="51" t="n">
        <v>0.0893</v>
      </c>
      <c r="J105" s="51" t="n">
        <v>0.9077</v>
      </c>
      <c r="K105" s="49"/>
      <c r="L105" s="49"/>
      <c r="M105" s="49"/>
      <c r="N105" s="49"/>
      <c r="O105" s="49"/>
      <c r="P105" s="49"/>
      <c r="Q105" s="49"/>
      <c r="R105" s="49"/>
      <c r="S105" s="49" t="n">
        <v>0</v>
      </c>
      <c r="T105" s="49" t="n">
        <v>0</v>
      </c>
      <c r="U105" s="49" t="s">
        <v>486</v>
      </c>
    </row>
    <row r="106" customFormat="false" ht="15" hidden="false" customHeight="false" outlineLevel="0" collapsed="false">
      <c r="B106" s="48" t="n">
        <v>44975.417962963</v>
      </c>
      <c r="C106" s="4" t="n">
        <f aca="false">YEAR(B106)</f>
        <v>2023</v>
      </c>
      <c r="D106" s="49" t="s">
        <v>283</v>
      </c>
      <c r="E106" s="49" t="s">
        <v>487</v>
      </c>
      <c r="F106" s="50" t="n">
        <v>1</v>
      </c>
      <c r="G106" s="49" t="s">
        <v>287</v>
      </c>
      <c r="H106" s="51" t="n">
        <v>0.0017</v>
      </c>
      <c r="I106" s="51" t="n">
        <v>0.0126</v>
      </c>
      <c r="J106" s="51" t="n">
        <v>0.9857</v>
      </c>
      <c r="K106" s="49"/>
      <c r="L106" s="49"/>
      <c r="M106" s="49"/>
      <c r="N106" s="49"/>
      <c r="O106" s="49"/>
      <c r="P106" s="49"/>
      <c r="Q106" s="49"/>
      <c r="R106" s="49"/>
      <c r="S106" s="49" t="n">
        <v>0</v>
      </c>
      <c r="T106" s="49" t="n">
        <v>0</v>
      </c>
      <c r="U106" s="49" t="s">
        <v>488</v>
      </c>
    </row>
    <row r="107" customFormat="false" ht="15" hidden="false" customHeight="false" outlineLevel="0" collapsed="false">
      <c r="B107" s="48" t="n">
        <v>44975.4180208333</v>
      </c>
      <c r="C107" s="4" t="n">
        <f aca="false">YEAR(B107)</f>
        <v>2023</v>
      </c>
      <c r="D107" s="49" t="s">
        <v>283</v>
      </c>
      <c r="E107" s="49" t="s">
        <v>358</v>
      </c>
      <c r="F107" s="50" t="n">
        <v>0</v>
      </c>
      <c r="G107" s="49" t="s">
        <v>287</v>
      </c>
      <c r="H107" s="51" t="n">
        <v>0.0016</v>
      </c>
      <c r="I107" s="51" t="n">
        <v>0.0638</v>
      </c>
      <c r="J107" s="51" t="n">
        <v>0.9345</v>
      </c>
      <c r="K107" s="49"/>
      <c r="L107" s="49"/>
      <c r="M107" s="49"/>
      <c r="N107" s="49"/>
      <c r="O107" s="49"/>
      <c r="P107" s="49"/>
      <c r="Q107" s="49"/>
      <c r="R107" s="49"/>
      <c r="S107" s="49" t="n">
        <v>0</v>
      </c>
      <c r="T107" s="49" t="n">
        <v>0</v>
      </c>
      <c r="U107" s="49" t="s">
        <v>489</v>
      </c>
    </row>
    <row r="108" customFormat="false" ht="15" hidden="false" customHeight="false" outlineLevel="0" collapsed="false">
      <c r="B108" s="48" t="n">
        <v>44976.3883101852</v>
      </c>
      <c r="C108" s="4" t="n">
        <f aca="false">YEAR(B108)</f>
        <v>2023</v>
      </c>
      <c r="D108" s="49" t="s">
        <v>278</v>
      </c>
      <c r="E108" s="49" t="s">
        <v>490</v>
      </c>
      <c r="F108" s="50" t="n">
        <v>14</v>
      </c>
      <c r="G108" s="49" t="s">
        <v>290</v>
      </c>
      <c r="H108" s="51" t="n">
        <v>0.0104</v>
      </c>
      <c r="I108" s="51" t="n">
        <v>0.8298</v>
      </c>
      <c r="J108" s="51" t="n">
        <v>0.1598</v>
      </c>
      <c r="K108" s="49"/>
      <c r="L108" s="49"/>
      <c r="M108" s="49"/>
      <c r="N108" s="49"/>
      <c r="O108" s="49"/>
      <c r="P108" s="49"/>
      <c r="Q108" s="49"/>
      <c r="R108" s="49"/>
      <c r="S108" s="49" t="n">
        <v>0</v>
      </c>
      <c r="T108" s="49" t="n">
        <v>0</v>
      </c>
      <c r="U108" s="49" t="s">
        <v>491</v>
      </c>
    </row>
    <row r="109" customFormat="false" ht="15" hidden="false" customHeight="false" outlineLevel="0" collapsed="false">
      <c r="B109" s="48" t="n">
        <v>44977.4136226852</v>
      </c>
      <c r="C109" s="4" t="n">
        <f aca="false">YEAR(B109)</f>
        <v>2023</v>
      </c>
      <c r="D109" s="49" t="s">
        <v>278</v>
      </c>
      <c r="E109" s="49" t="s">
        <v>492</v>
      </c>
      <c r="F109" s="50" t="n">
        <v>4</v>
      </c>
      <c r="G109" s="49" t="s">
        <v>280</v>
      </c>
      <c r="H109" s="51" t="n">
        <v>0.6986</v>
      </c>
      <c r="I109" s="51" t="n">
        <v>0.2887</v>
      </c>
      <c r="J109" s="51" t="n">
        <v>0.0127</v>
      </c>
      <c r="K109" s="49"/>
      <c r="L109" s="49"/>
      <c r="M109" s="49"/>
      <c r="N109" s="49"/>
      <c r="O109" s="49"/>
      <c r="P109" s="49"/>
      <c r="Q109" s="49"/>
      <c r="R109" s="49"/>
      <c r="S109" s="49" t="n">
        <v>0</v>
      </c>
      <c r="T109" s="49" t="n">
        <v>0</v>
      </c>
      <c r="U109" s="49" t="s">
        <v>493</v>
      </c>
    </row>
    <row r="110" customFormat="false" ht="15" hidden="false" customHeight="false" outlineLevel="0" collapsed="false">
      <c r="B110" s="48" t="n">
        <v>44977.6227662037</v>
      </c>
      <c r="C110" s="4" t="n">
        <f aca="false">YEAR(B110)</f>
        <v>2023</v>
      </c>
      <c r="D110" s="49" t="s">
        <v>283</v>
      </c>
      <c r="E110" s="49" t="s">
        <v>494</v>
      </c>
      <c r="F110" s="50" t="n">
        <v>1</v>
      </c>
      <c r="G110" s="49" t="s">
        <v>290</v>
      </c>
      <c r="H110" s="51" t="n">
        <v>0.0829</v>
      </c>
      <c r="I110" s="51" t="n">
        <v>0.8988</v>
      </c>
      <c r="J110" s="51" t="n">
        <v>0.0183</v>
      </c>
      <c r="K110" s="49"/>
      <c r="L110" s="49"/>
      <c r="M110" s="49"/>
      <c r="N110" s="49"/>
      <c r="O110" s="49"/>
      <c r="P110" s="49"/>
      <c r="Q110" s="49"/>
      <c r="R110" s="49"/>
      <c r="S110" s="49" t="n">
        <v>1</v>
      </c>
      <c r="T110" s="49" t="n">
        <v>0</v>
      </c>
      <c r="U110" s="49" t="s">
        <v>495</v>
      </c>
    </row>
    <row r="111" customFormat="false" ht="15" hidden="false" customHeight="false" outlineLevel="0" collapsed="false">
      <c r="B111" s="48" t="n">
        <v>44977.7537037037</v>
      </c>
      <c r="C111" s="4" t="n">
        <f aca="false">YEAR(B111)</f>
        <v>2023</v>
      </c>
      <c r="D111" s="49" t="s">
        <v>283</v>
      </c>
      <c r="E111" s="49" t="s">
        <v>496</v>
      </c>
      <c r="F111" s="50" t="n">
        <v>1</v>
      </c>
      <c r="G111" s="49" t="s">
        <v>290</v>
      </c>
      <c r="H111" s="51" t="n">
        <v>0.0088</v>
      </c>
      <c r="I111" s="51" t="n">
        <v>0.9224</v>
      </c>
      <c r="J111" s="51" t="n">
        <v>0.0688</v>
      </c>
      <c r="K111" s="49"/>
      <c r="L111" s="49"/>
      <c r="M111" s="49"/>
      <c r="N111" s="49"/>
      <c r="O111" s="49"/>
      <c r="P111" s="49"/>
      <c r="Q111" s="49"/>
      <c r="R111" s="49"/>
      <c r="S111" s="49" t="n">
        <v>0</v>
      </c>
      <c r="T111" s="49" t="n">
        <v>0</v>
      </c>
      <c r="U111" s="49" t="s">
        <v>497</v>
      </c>
    </row>
    <row r="112" customFormat="false" ht="15" hidden="false" customHeight="false" outlineLevel="0" collapsed="false">
      <c r="B112" s="48" t="n">
        <v>44977.7575115741</v>
      </c>
      <c r="C112" s="4" t="n">
        <f aca="false">YEAR(B112)</f>
        <v>2023</v>
      </c>
      <c r="D112" s="49" t="s">
        <v>283</v>
      </c>
      <c r="E112" s="49" t="s">
        <v>498</v>
      </c>
      <c r="F112" s="50" t="n">
        <v>1</v>
      </c>
      <c r="G112" s="49" t="s">
        <v>287</v>
      </c>
      <c r="H112" s="51" t="n">
        <v>0.0246</v>
      </c>
      <c r="I112" s="51" t="n">
        <v>0.4564</v>
      </c>
      <c r="J112" s="51" t="n">
        <v>0.519</v>
      </c>
      <c r="K112" s="49"/>
      <c r="L112" s="49"/>
      <c r="M112" s="49"/>
      <c r="N112" s="49"/>
      <c r="O112" s="49"/>
      <c r="P112" s="49"/>
      <c r="Q112" s="49"/>
      <c r="R112" s="49"/>
      <c r="S112" s="49" t="n">
        <v>1</v>
      </c>
      <c r="T112" s="49" t="n">
        <v>0</v>
      </c>
      <c r="U112" s="49" t="s">
        <v>499</v>
      </c>
    </row>
    <row r="113" customFormat="false" ht="15" hidden="false" customHeight="false" outlineLevel="0" collapsed="false">
      <c r="B113" s="48" t="n">
        <v>44977.9745949074</v>
      </c>
      <c r="C113" s="4" t="n">
        <f aca="false">YEAR(B113)</f>
        <v>2023</v>
      </c>
      <c r="D113" s="49" t="s">
        <v>278</v>
      </c>
      <c r="E113" s="49" t="s">
        <v>500</v>
      </c>
      <c r="F113" s="50" t="n">
        <v>10</v>
      </c>
      <c r="G113" s="49" t="s">
        <v>280</v>
      </c>
      <c r="H113" s="51" t="n">
        <v>0.6572</v>
      </c>
      <c r="I113" s="51" t="n">
        <v>0.3161</v>
      </c>
      <c r="J113" s="51" t="n">
        <v>0.0267</v>
      </c>
      <c r="K113" s="49"/>
      <c r="L113" s="49"/>
      <c r="M113" s="49"/>
      <c r="N113" s="49"/>
      <c r="O113" s="49"/>
      <c r="P113" s="49"/>
      <c r="Q113" s="49"/>
      <c r="R113" s="49"/>
      <c r="S113" s="49" t="n">
        <v>0</v>
      </c>
      <c r="T113" s="49" t="n">
        <v>0</v>
      </c>
      <c r="U113" s="49" t="s">
        <v>501</v>
      </c>
    </row>
    <row r="114" customFormat="false" ht="15" hidden="false" customHeight="false" outlineLevel="0" collapsed="false">
      <c r="B114" s="48" t="n">
        <v>44978.6784606482</v>
      </c>
      <c r="C114" s="4" t="n">
        <f aca="false">YEAR(B114)</f>
        <v>2023</v>
      </c>
      <c r="D114" s="49" t="s">
        <v>283</v>
      </c>
      <c r="E114" s="49" t="s">
        <v>502</v>
      </c>
      <c r="F114" s="50" t="n">
        <v>1</v>
      </c>
      <c r="G114" s="49" t="s">
        <v>287</v>
      </c>
      <c r="H114" s="51" t="n">
        <v>0.0063</v>
      </c>
      <c r="I114" s="51" t="n">
        <v>0.2726</v>
      </c>
      <c r="J114" s="51" t="n">
        <v>0.7211</v>
      </c>
      <c r="K114" s="49"/>
      <c r="L114" s="49"/>
      <c r="M114" s="49"/>
      <c r="N114" s="49"/>
      <c r="O114" s="49"/>
      <c r="P114" s="49"/>
      <c r="Q114" s="49"/>
      <c r="R114" s="49"/>
      <c r="S114" s="49" t="n">
        <v>0</v>
      </c>
      <c r="T114" s="49" t="n">
        <v>0</v>
      </c>
      <c r="U114" s="49" t="s">
        <v>503</v>
      </c>
    </row>
    <row r="115" customFormat="false" ht="15" hidden="false" customHeight="false" outlineLevel="0" collapsed="false">
      <c r="B115" s="48" t="n">
        <v>44978.6911226852</v>
      </c>
      <c r="C115" s="4" t="n">
        <f aca="false">YEAR(B115)</f>
        <v>2023</v>
      </c>
      <c r="D115" s="49" t="s">
        <v>278</v>
      </c>
      <c r="E115" s="49" t="s">
        <v>504</v>
      </c>
      <c r="F115" s="50" t="n">
        <v>12</v>
      </c>
      <c r="G115" s="49" t="s">
        <v>280</v>
      </c>
      <c r="H115" s="51" t="n">
        <v>0.5698</v>
      </c>
      <c r="I115" s="51" t="n">
        <v>0.4107</v>
      </c>
      <c r="J115" s="51" t="n">
        <v>0.0195</v>
      </c>
      <c r="K115" s="49"/>
      <c r="L115" s="49"/>
      <c r="M115" s="49"/>
      <c r="N115" s="49"/>
      <c r="O115" s="49"/>
      <c r="P115" s="49"/>
      <c r="Q115" s="49"/>
      <c r="R115" s="49"/>
      <c r="S115" s="49" t="n">
        <v>0</v>
      </c>
      <c r="T115" s="49" t="n">
        <v>0</v>
      </c>
      <c r="U115" s="49" t="s">
        <v>505</v>
      </c>
    </row>
    <row r="116" customFormat="false" ht="15" hidden="false" customHeight="false" outlineLevel="0" collapsed="false">
      <c r="B116" s="48" t="n">
        <v>44979.7215972222</v>
      </c>
      <c r="C116" s="4" t="n">
        <f aca="false">YEAR(B116)</f>
        <v>2023</v>
      </c>
      <c r="D116" s="49" t="s">
        <v>278</v>
      </c>
      <c r="E116" s="49" t="s">
        <v>506</v>
      </c>
      <c r="F116" s="50" t="n">
        <v>0</v>
      </c>
      <c r="G116" s="49" t="s">
        <v>290</v>
      </c>
      <c r="H116" s="51" t="n">
        <v>0.0634</v>
      </c>
      <c r="I116" s="51" t="n">
        <v>0.9117</v>
      </c>
      <c r="J116" s="51" t="n">
        <v>0.0249</v>
      </c>
      <c r="K116" s="49"/>
      <c r="L116" s="49"/>
      <c r="M116" s="49"/>
      <c r="N116" s="49"/>
      <c r="O116" s="49"/>
      <c r="P116" s="49"/>
      <c r="Q116" s="49"/>
      <c r="R116" s="49" t="s">
        <v>281</v>
      </c>
      <c r="S116" s="49" t="n">
        <v>1</v>
      </c>
      <c r="T116" s="49" t="n">
        <v>0</v>
      </c>
      <c r="U116" s="49" t="s">
        <v>507</v>
      </c>
    </row>
    <row r="117" customFormat="false" ht="15" hidden="false" customHeight="false" outlineLevel="0" collapsed="false">
      <c r="B117" s="48" t="n">
        <v>44979.8666087963</v>
      </c>
      <c r="C117" s="4" t="n">
        <f aca="false">YEAR(B117)</f>
        <v>2023</v>
      </c>
      <c r="D117" s="49" t="s">
        <v>283</v>
      </c>
      <c r="E117" s="49" t="s">
        <v>508</v>
      </c>
      <c r="F117" s="50" t="n">
        <v>1</v>
      </c>
      <c r="G117" s="49" t="s">
        <v>290</v>
      </c>
      <c r="H117" s="51" t="n">
        <v>0.006</v>
      </c>
      <c r="I117" s="51" t="n">
        <v>0.9285</v>
      </c>
      <c r="J117" s="51" t="n">
        <v>0.0656</v>
      </c>
      <c r="K117" s="49"/>
      <c r="L117" s="49"/>
      <c r="M117" s="49"/>
      <c r="N117" s="49"/>
      <c r="O117" s="49"/>
      <c r="P117" s="49"/>
      <c r="Q117" s="49"/>
      <c r="R117" s="49"/>
      <c r="S117" s="49" t="n">
        <v>1</v>
      </c>
      <c r="T117" s="49" t="n">
        <v>0</v>
      </c>
      <c r="U117" s="49" t="s">
        <v>509</v>
      </c>
    </row>
    <row r="118" customFormat="false" ht="15" hidden="false" customHeight="false" outlineLevel="0" collapsed="false">
      <c r="B118" s="48" t="n">
        <v>44979.9531481482</v>
      </c>
      <c r="C118" s="4" t="n">
        <f aca="false">YEAR(B118)</f>
        <v>2023</v>
      </c>
      <c r="D118" s="49" t="s">
        <v>278</v>
      </c>
      <c r="E118" s="49" t="s">
        <v>510</v>
      </c>
      <c r="F118" s="50" t="n">
        <v>1</v>
      </c>
      <c r="G118" s="49" t="s">
        <v>280</v>
      </c>
      <c r="H118" s="51" t="n">
        <v>0.8879</v>
      </c>
      <c r="I118" s="51" t="n">
        <v>0.1056</v>
      </c>
      <c r="J118" s="51" t="n">
        <v>0.0065</v>
      </c>
      <c r="K118" s="49"/>
      <c r="L118" s="49"/>
      <c r="M118" s="49"/>
      <c r="N118" s="49"/>
      <c r="O118" s="49"/>
      <c r="P118" s="49"/>
      <c r="Q118" s="49"/>
      <c r="R118" s="49"/>
      <c r="S118" s="49" t="n">
        <v>0</v>
      </c>
      <c r="T118" s="49" t="n">
        <v>0</v>
      </c>
      <c r="U118" s="49" t="s">
        <v>511</v>
      </c>
    </row>
    <row r="119" customFormat="false" ht="15" hidden="false" customHeight="false" outlineLevel="0" collapsed="false">
      <c r="B119" s="48" t="n">
        <v>44980.0276041667</v>
      </c>
      <c r="C119" s="4" t="n">
        <f aca="false">YEAR(B119)</f>
        <v>2023</v>
      </c>
      <c r="D119" s="49" t="s">
        <v>278</v>
      </c>
      <c r="E119" s="49" t="s">
        <v>512</v>
      </c>
      <c r="F119" s="50" t="n">
        <v>9</v>
      </c>
      <c r="G119" s="49" t="s">
        <v>280</v>
      </c>
      <c r="H119" s="51" t="n">
        <v>0.7902</v>
      </c>
      <c r="I119" s="51" t="n">
        <v>0.1995</v>
      </c>
      <c r="J119" s="51" t="n">
        <v>0.0103</v>
      </c>
      <c r="K119" s="49"/>
      <c r="L119" s="49"/>
      <c r="M119" s="49"/>
      <c r="N119" s="49"/>
      <c r="O119" s="49"/>
      <c r="P119" s="49"/>
      <c r="Q119" s="49"/>
      <c r="R119" s="49"/>
      <c r="S119" s="49" t="n">
        <v>1</v>
      </c>
      <c r="T119" s="49" t="n">
        <v>0</v>
      </c>
      <c r="U119" s="49" t="s">
        <v>513</v>
      </c>
    </row>
    <row r="120" customFormat="false" ht="15" hidden="false" customHeight="false" outlineLevel="0" collapsed="false">
      <c r="B120" s="48" t="n">
        <v>44980.7236226852</v>
      </c>
      <c r="C120" s="4" t="n">
        <f aca="false">YEAR(B120)</f>
        <v>2023</v>
      </c>
      <c r="D120" s="49" t="s">
        <v>283</v>
      </c>
      <c r="E120" s="49" t="s">
        <v>514</v>
      </c>
      <c r="F120" s="50" t="n">
        <v>1</v>
      </c>
      <c r="G120" s="49" t="s">
        <v>290</v>
      </c>
      <c r="H120" s="51" t="n">
        <v>0.4374</v>
      </c>
      <c r="I120" s="51" t="n">
        <v>0.5408</v>
      </c>
      <c r="J120" s="51" t="n">
        <v>0.0218</v>
      </c>
      <c r="K120" s="49"/>
      <c r="L120" s="49"/>
      <c r="M120" s="49"/>
      <c r="N120" s="49"/>
      <c r="O120" s="49"/>
      <c r="P120" s="49"/>
      <c r="Q120" s="49"/>
      <c r="R120" s="49"/>
      <c r="S120" s="49" t="n">
        <v>1</v>
      </c>
      <c r="T120" s="49" t="n">
        <v>0</v>
      </c>
      <c r="U120" s="49" t="s">
        <v>515</v>
      </c>
    </row>
    <row r="121" customFormat="false" ht="15" hidden="false" customHeight="false" outlineLevel="0" collapsed="false">
      <c r="B121" s="48" t="n">
        <v>44980.787974537</v>
      </c>
      <c r="C121" s="4" t="n">
        <f aca="false">YEAR(B121)</f>
        <v>2023</v>
      </c>
      <c r="D121" s="49" t="s">
        <v>278</v>
      </c>
      <c r="E121" s="49" t="s">
        <v>516</v>
      </c>
      <c r="F121" s="50" t="n">
        <v>8</v>
      </c>
      <c r="G121" s="49" t="s">
        <v>290</v>
      </c>
      <c r="H121" s="51" t="n">
        <v>0.0228</v>
      </c>
      <c r="I121" s="51" t="n">
        <v>0.5856</v>
      </c>
      <c r="J121" s="51" t="n">
        <v>0.3917</v>
      </c>
      <c r="K121" s="49"/>
      <c r="L121" s="49"/>
      <c r="M121" s="49"/>
      <c r="N121" s="49"/>
      <c r="O121" s="49"/>
      <c r="P121" s="49"/>
      <c r="Q121" s="49"/>
      <c r="R121" s="49"/>
      <c r="S121" s="49" t="n">
        <v>0</v>
      </c>
      <c r="T121" s="49" t="n">
        <v>0</v>
      </c>
      <c r="U121" s="49" t="s">
        <v>517</v>
      </c>
    </row>
    <row r="122" customFormat="false" ht="15" hidden="false" customHeight="false" outlineLevel="0" collapsed="false">
      <c r="B122" s="48" t="n">
        <v>44980.8295138889</v>
      </c>
      <c r="C122" s="4" t="n">
        <f aca="false">YEAR(B122)</f>
        <v>2023</v>
      </c>
      <c r="D122" s="49" t="s">
        <v>283</v>
      </c>
      <c r="E122" s="49" t="s">
        <v>518</v>
      </c>
      <c r="F122" s="50" t="n">
        <v>0</v>
      </c>
      <c r="G122" s="49" t="s">
        <v>290</v>
      </c>
      <c r="H122" s="51" t="n">
        <v>0.1558</v>
      </c>
      <c r="I122" s="51" t="n">
        <v>0.7973</v>
      </c>
      <c r="J122" s="51" t="n">
        <v>0.0468</v>
      </c>
      <c r="K122" s="49"/>
      <c r="L122" s="49"/>
      <c r="M122" s="49"/>
      <c r="N122" s="49"/>
      <c r="O122" s="49"/>
      <c r="P122" s="49"/>
      <c r="Q122" s="49"/>
      <c r="R122" s="49"/>
      <c r="S122" s="49" t="n">
        <v>1</v>
      </c>
      <c r="T122" s="49" t="n">
        <v>0</v>
      </c>
      <c r="U122" s="49" t="s">
        <v>519</v>
      </c>
    </row>
    <row r="123" customFormat="false" ht="15" hidden="false" customHeight="false" outlineLevel="0" collapsed="false">
      <c r="B123" s="48" t="n">
        <v>44981.9280902778</v>
      </c>
      <c r="C123" s="4" t="n">
        <f aca="false">YEAR(B123)</f>
        <v>2023</v>
      </c>
      <c r="D123" s="49" t="s">
        <v>283</v>
      </c>
      <c r="E123" s="49" t="s">
        <v>520</v>
      </c>
      <c r="F123" s="50" t="n">
        <v>3</v>
      </c>
      <c r="G123" s="49" t="s">
        <v>280</v>
      </c>
      <c r="H123" s="51" t="n">
        <v>0.5996</v>
      </c>
      <c r="I123" s="51" t="n">
        <v>0.3635</v>
      </c>
      <c r="J123" s="51" t="n">
        <v>0.0369</v>
      </c>
      <c r="K123" s="49"/>
      <c r="L123" s="49"/>
      <c r="M123" s="49"/>
      <c r="N123" s="49"/>
      <c r="O123" s="49"/>
      <c r="P123" s="49"/>
      <c r="Q123" s="49"/>
      <c r="R123" s="49"/>
      <c r="S123" s="49" t="n">
        <v>0</v>
      </c>
      <c r="T123" s="49" t="n">
        <v>0</v>
      </c>
      <c r="U123" s="49" t="s">
        <v>521</v>
      </c>
    </row>
    <row r="124" customFormat="false" ht="15" hidden="false" customHeight="false" outlineLevel="0" collapsed="false">
      <c r="B124" s="48" t="n">
        <v>44983.0050347222</v>
      </c>
      <c r="C124" s="4" t="n">
        <f aca="false">YEAR(B124)</f>
        <v>2023</v>
      </c>
      <c r="D124" s="49" t="s">
        <v>278</v>
      </c>
      <c r="E124" s="49" t="s">
        <v>522</v>
      </c>
      <c r="F124" s="50" t="n">
        <v>91</v>
      </c>
      <c r="G124" s="49" t="s">
        <v>280</v>
      </c>
      <c r="H124" s="51" t="n">
        <v>0.5878</v>
      </c>
      <c r="I124" s="51" t="n">
        <v>0.3647</v>
      </c>
      <c r="J124" s="51" t="n">
        <v>0.0475</v>
      </c>
      <c r="K124" s="49"/>
      <c r="L124" s="49"/>
      <c r="M124" s="49"/>
      <c r="N124" s="49"/>
      <c r="O124" s="49"/>
      <c r="P124" s="49"/>
      <c r="Q124" s="49"/>
      <c r="R124" s="49" t="s">
        <v>281</v>
      </c>
      <c r="S124" s="49" t="n">
        <v>0</v>
      </c>
      <c r="T124" s="49" t="n">
        <v>0</v>
      </c>
      <c r="U124" s="49" t="s">
        <v>523</v>
      </c>
    </row>
    <row r="125" customFormat="false" ht="15" hidden="false" customHeight="false" outlineLevel="0" collapsed="false">
      <c r="B125" s="48" t="n">
        <v>44983.5056481482</v>
      </c>
      <c r="C125" s="4" t="n">
        <f aca="false">YEAR(B125)</f>
        <v>2023</v>
      </c>
      <c r="D125" s="49" t="s">
        <v>283</v>
      </c>
      <c r="E125" s="49" t="s">
        <v>524</v>
      </c>
      <c r="F125" s="50" t="n">
        <v>0</v>
      </c>
      <c r="G125" s="49" t="s">
        <v>290</v>
      </c>
      <c r="H125" s="51" t="n">
        <v>0.0861</v>
      </c>
      <c r="I125" s="51" t="n">
        <v>0.8809</v>
      </c>
      <c r="J125" s="51" t="n">
        <v>0.0331</v>
      </c>
      <c r="K125" s="49"/>
      <c r="L125" s="49"/>
      <c r="M125" s="49"/>
      <c r="N125" s="49"/>
      <c r="O125" s="49"/>
      <c r="P125" s="49"/>
      <c r="Q125" s="49"/>
      <c r="R125" s="49" t="s">
        <v>281</v>
      </c>
      <c r="S125" s="49" t="n">
        <v>1</v>
      </c>
      <c r="T125" s="49" t="n">
        <v>0</v>
      </c>
      <c r="U125" s="49" t="s">
        <v>525</v>
      </c>
    </row>
    <row r="126" customFormat="false" ht="15" hidden="false" customHeight="false" outlineLevel="0" collapsed="false">
      <c r="B126" s="48" t="n">
        <v>44983.5671296296</v>
      </c>
      <c r="C126" s="4" t="n">
        <f aca="false">YEAR(B126)</f>
        <v>2023</v>
      </c>
      <c r="D126" s="49" t="s">
        <v>283</v>
      </c>
      <c r="E126" s="49" t="s">
        <v>526</v>
      </c>
      <c r="F126" s="50" t="n">
        <v>1</v>
      </c>
      <c r="G126" s="49" t="s">
        <v>290</v>
      </c>
      <c r="H126" s="51" t="n">
        <v>0.0037</v>
      </c>
      <c r="I126" s="51" t="n">
        <v>0.8852</v>
      </c>
      <c r="J126" s="51" t="n">
        <v>0.111</v>
      </c>
      <c r="K126" s="49"/>
      <c r="L126" s="49"/>
      <c r="M126" s="49"/>
      <c r="N126" s="49"/>
      <c r="O126" s="49"/>
      <c r="P126" s="49"/>
      <c r="Q126" s="49"/>
      <c r="R126" s="49"/>
      <c r="S126" s="49" t="n">
        <v>0</v>
      </c>
      <c r="T126" s="49" t="n">
        <v>0</v>
      </c>
      <c r="U126" s="49" t="s">
        <v>527</v>
      </c>
    </row>
    <row r="127" customFormat="false" ht="15" hidden="false" customHeight="false" outlineLevel="0" collapsed="false">
      <c r="B127" s="48" t="n">
        <v>44984.8482986111</v>
      </c>
      <c r="C127" s="4" t="n">
        <f aca="false">YEAR(B127)</f>
        <v>2023</v>
      </c>
      <c r="D127" s="49" t="s">
        <v>278</v>
      </c>
      <c r="E127" s="49" t="s">
        <v>528</v>
      </c>
      <c r="F127" s="50" t="n">
        <v>1</v>
      </c>
      <c r="G127" s="49" t="s">
        <v>290</v>
      </c>
      <c r="H127" s="51" t="n">
        <v>0.0192</v>
      </c>
      <c r="I127" s="51" t="n">
        <v>0.9306</v>
      </c>
      <c r="J127" s="51" t="n">
        <v>0.0502</v>
      </c>
      <c r="K127" s="49"/>
      <c r="L127" s="49"/>
      <c r="M127" s="49"/>
      <c r="N127" s="49"/>
      <c r="O127" s="49"/>
      <c r="P127" s="49"/>
      <c r="Q127" s="49" t="s">
        <v>281</v>
      </c>
      <c r="R127" s="49"/>
      <c r="S127" s="49" t="n">
        <v>1</v>
      </c>
      <c r="T127" s="49" t="n">
        <v>0</v>
      </c>
      <c r="U127" s="49" t="s">
        <v>529</v>
      </c>
    </row>
    <row r="128" customFormat="false" ht="15" hidden="false" customHeight="false" outlineLevel="0" collapsed="false">
      <c r="B128" s="48" t="n">
        <v>44984.8596296296</v>
      </c>
      <c r="C128" s="4" t="n">
        <f aca="false">YEAR(B128)</f>
        <v>2023</v>
      </c>
      <c r="D128" s="49" t="s">
        <v>278</v>
      </c>
      <c r="E128" s="49" t="s">
        <v>528</v>
      </c>
      <c r="F128" s="50" t="n">
        <v>1</v>
      </c>
      <c r="G128" s="49" t="s">
        <v>290</v>
      </c>
      <c r="H128" s="51" t="n">
        <v>0.014</v>
      </c>
      <c r="I128" s="51" t="n">
        <v>0.9102</v>
      </c>
      <c r="J128" s="51" t="n">
        <v>0.0758</v>
      </c>
      <c r="K128" s="49"/>
      <c r="L128" s="49"/>
      <c r="M128" s="49"/>
      <c r="N128" s="49"/>
      <c r="O128" s="49"/>
      <c r="P128" s="49"/>
      <c r="Q128" s="49" t="s">
        <v>281</v>
      </c>
      <c r="R128" s="49"/>
      <c r="S128" s="49" t="n">
        <v>0</v>
      </c>
      <c r="T128" s="49" t="n">
        <v>0</v>
      </c>
      <c r="U128" s="49" t="s">
        <v>530</v>
      </c>
    </row>
    <row r="129" customFormat="false" ht="15" hidden="false" customHeight="false" outlineLevel="0" collapsed="false">
      <c r="B129" s="48" t="n">
        <v>44984.9208564815</v>
      </c>
      <c r="C129" s="4" t="n">
        <f aca="false">YEAR(B129)</f>
        <v>2023</v>
      </c>
      <c r="D129" s="49" t="s">
        <v>283</v>
      </c>
      <c r="E129" s="49" t="s">
        <v>531</v>
      </c>
      <c r="F129" s="50" t="n">
        <v>58</v>
      </c>
      <c r="G129" s="49" t="s">
        <v>290</v>
      </c>
      <c r="H129" s="51" t="n">
        <v>0.0355</v>
      </c>
      <c r="I129" s="51" t="n">
        <v>0.9345</v>
      </c>
      <c r="J129" s="51" t="n">
        <v>0.03</v>
      </c>
      <c r="K129" s="49"/>
      <c r="L129" s="49"/>
      <c r="M129" s="49"/>
      <c r="N129" s="49"/>
      <c r="O129" s="49"/>
      <c r="P129" s="49"/>
      <c r="Q129" s="49"/>
      <c r="R129" s="49" t="s">
        <v>281</v>
      </c>
      <c r="S129" s="49" t="n">
        <v>0</v>
      </c>
      <c r="T129" s="49" t="n">
        <v>0</v>
      </c>
      <c r="U129" s="49" t="s">
        <v>532</v>
      </c>
    </row>
    <row r="130" customFormat="false" ht="15" hidden="false" customHeight="false" outlineLevel="0" collapsed="false">
      <c r="B130" s="48" t="n">
        <v>44985.5739814815</v>
      </c>
      <c r="C130" s="4" t="n">
        <f aca="false">YEAR(B130)</f>
        <v>2023</v>
      </c>
      <c r="D130" s="49" t="s">
        <v>283</v>
      </c>
      <c r="E130" s="49" t="s">
        <v>533</v>
      </c>
      <c r="F130" s="50" t="n">
        <v>1</v>
      </c>
      <c r="G130" s="49" t="s">
        <v>290</v>
      </c>
      <c r="H130" s="51" t="n">
        <v>0.0969</v>
      </c>
      <c r="I130" s="51" t="n">
        <v>0.861</v>
      </c>
      <c r="J130" s="51" t="n">
        <v>0.0421</v>
      </c>
      <c r="K130" s="49"/>
      <c r="L130" s="49"/>
      <c r="M130" s="49"/>
      <c r="N130" s="49"/>
      <c r="O130" s="49"/>
      <c r="P130" s="49"/>
      <c r="Q130" s="49"/>
      <c r="R130" s="49"/>
      <c r="S130" s="49" t="n">
        <v>1</v>
      </c>
      <c r="T130" s="49" t="n">
        <v>0</v>
      </c>
      <c r="U130" s="49" t="s">
        <v>534</v>
      </c>
    </row>
    <row r="131" customFormat="false" ht="15" hidden="false" customHeight="false" outlineLevel="0" collapsed="false">
      <c r="B131" s="48" t="n">
        <v>44985.6576967593</v>
      </c>
      <c r="C131" s="4" t="n">
        <f aca="false">YEAR(B131)</f>
        <v>2023</v>
      </c>
      <c r="D131" s="49" t="s">
        <v>283</v>
      </c>
      <c r="E131" s="49" t="s">
        <v>535</v>
      </c>
      <c r="F131" s="50" t="n">
        <v>3</v>
      </c>
      <c r="G131" s="49" t="s">
        <v>290</v>
      </c>
      <c r="H131" s="51" t="n">
        <v>0.0224</v>
      </c>
      <c r="I131" s="51" t="n">
        <v>0.7363</v>
      </c>
      <c r="J131" s="51" t="n">
        <v>0.2413</v>
      </c>
      <c r="K131" s="49"/>
      <c r="L131" s="49"/>
      <c r="M131" s="49"/>
      <c r="N131" s="49"/>
      <c r="O131" s="49"/>
      <c r="P131" s="49"/>
      <c r="Q131" s="49"/>
      <c r="R131" s="49"/>
      <c r="S131" s="49" t="n">
        <v>0</v>
      </c>
      <c r="T131" s="49" t="n">
        <v>0</v>
      </c>
      <c r="U131" s="49" t="s">
        <v>536</v>
      </c>
    </row>
    <row r="132" customFormat="false" ht="15" hidden="false" customHeight="false" outlineLevel="0" collapsed="false">
      <c r="B132" s="48" t="n">
        <v>44985.6989583333</v>
      </c>
      <c r="C132" s="4" t="n">
        <f aca="false">YEAR(B132)</f>
        <v>2023</v>
      </c>
      <c r="D132" s="49" t="s">
        <v>278</v>
      </c>
      <c r="E132" s="49" t="s">
        <v>537</v>
      </c>
      <c r="F132" s="50" t="n">
        <v>35</v>
      </c>
      <c r="G132" s="49" t="s">
        <v>290</v>
      </c>
      <c r="H132" s="51" t="n">
        <v>0.0496</v>
      </c>
      <c r="I132" s="51" t="n">
        <v>0.9045</v>
      </c>
      <c r="J132" s="51" t="n">
        <v>0.0459</v>
      </c>
      <c r="K132" s="49"/>
      <c r="L132" s="49"/>
      <c r="M132" s="49"/>
      <c r="N132" s="49"/>
      <c r="O132" s="49"/>
      <c r="P132" s="49"/>
      <c r="Q132" s="49"/>
      <c r="R132" s="49" t="s">
        <v>281</v>
      </c>
      <c r="S132" s="49" t="n">
        <v>1</v>
      </c>
      <c r="T132" s="49" t="n">
        <v>0</v>
      </c>
      <c r="U132" s="49" t="s">
        <v>538</v>
      </c>
    </row>
    <row r="133" customFormat="false" ht="15" hidden="false" customHeight="false" outlineLevel="0" collapsed="false">
      <c r="B133" s="48" t="n">
        <v>44985.7649421296</v>
      </c>
      <c r="C133" s="4" t="n">
        <f aca="false">YEAR(B133)</f>
        <v>2023</v>
      </c>
      <c r="D133" s="49" t="s">
        <v>283</v>
      </c>
      <c r="E133" s="49" t="s">
        <v>539</v>
      </c>
      <c r="F133" s="50" t="n">
        <v>1</v>
      </c>
      <c r="G133" s="49" t="s">
        <v>287</v>
      </c>
      <c r="H133" s="51" t="n">
        <v>0.0055</v>
      </c>
      <c r="I133" s="51" t="n">
        <v>0.2597</v>
      </c>
      <c r="J133" s="51" t="n">
        <v>0.7348</v>
      </c>
      <c r="K133" s="49"/>
      <c r="L133" s="49"/>
      <c r="M133" s="49"/>
      <c r="N133" s="49"/>
      <c r="O133" s="49"/>
      <c r="P133" s="49"/>
      <c r="Q133" s="49"/>
      <c r="R133" s="49"/>
      <c r="S133" s="49" t="n">
        <v>0</v>
      </c>
      <c r="T133" s="49" t="n">
        <v>0</v>
      </c>
      <c r="U133" s="49" t="s">
        <v>540</v>
      </c>
    </row>
    <row r="134" customFormat="false" ht="15" hidden="false" customHeight="false" outlineLevel="0" collapsed="false">
      <c r="B134" s="48" t="n">
        <v>44986.0419791667</v>
      </c>
      <c r="C134" s="4" t="n">
        <f aca="false">YEAR(B134)</f>
        <v>2023</v>
      </c>
      <c r="D134" s="49" t="s">
        <v>278</v>
      </c>
      <c r="E134" s="49" t="s">
        <v>541</v>
      </c>
      <c r="F134" s="50" t="n">
        <v>70</v>
      </c>
      <c r="G134" s="49" t="s">
        <v>287</v>
      </c>
      <c r="H134" s="51" t="n">
        <v>0.0119</v>
      </c>
      <c r="I134" s="51" t="n">
        <v>0.0542</v>
      </c>
      <c r="J134" s="51" t="n">
        <v>0.9339</v>
      </c>
      <c r="K134" s="49"/>
      <c r="L134" s="49"/>
      <c r="M134" s="49"/>
      <c r="N134" s="49"/>
      <c r="O134" s="49"/>
      <c r="P134" s="49" t="s">
        <v>281</v>
      </c>
      <c r="Q134" s="49"/>
      <c r="R134" s="49" t="s">
        <v>281</v>
      </c>
      <c r="S134" s="49" t="n">
        <v>0</v>
      </c>
      <c r="T134" s="49" t="n">
        <v>0</v>
      </c>
      <c r="U134" s="49" t="s">
        <v>542</v>
      </c>
    </row>
    <row r="135" customFormat="false" ht="15" hidden="false" customHeight="false" outlineLevel="0" collapsed="false">
      <c r="B135" s="48" t="n">
        <v>44986.0776851852</v>
      </c>
      <c r="C135" s="4" t="n">
        <f aca="false">YEAR(B135)</f>
        <v>2023</v>
      </c>
      <c r="D135" s="49" t="s">
        <v>283</v>
      </c>
      <c r="E135" s="49" t="s">
        <v>543</v>
      </c>
      <c r="F135" s="50" t="n">
        <v>8</v>
      </c>
      <c r="G135" s="49" t="s">
        <v>290</v>
      </c>
      <c r="H135" s="51" t="n">
        <v>0.4874</v>
      </c>
      <c r="I135" s="51" t="n">
        <v>0.4985</v>
      </c>
      <c r="J135" s="51" t="n">
        <v>0.0141</v>
      </c>
      <c r="K135" s="49"/>
      <c r="L135" s="49"/>
      <c r="M135" s="49"/>
      <c r="N135" s="49"/>
      <c r="O135" s="49"/>
      <c r="P135" s="49"/>
      <c r="Q135" s="49"/>
      <c r="R135" s="49" t="s">
        <v>281</v>
      </c>
      <c r="S135" s="49" t="n">
        <v>1</v>
      </c>
      <c r="T135" s="49" t="n">
        <v>0</v>
      </c>
      <c r="U135" s="49" t="s">
        <v>544</v>
      </c>
    </row>
    <row r="136" customFormat="false" ht="15" hidden="false" customHeight="false" outlineLevel="0" collapsed="false">
      <c r="B136" s="48" t="n">
        <v>44986.106724537</v>
      </c>
      <c r="C136" s="4" t="n">
        <f aca="false">YEAR(B136)</f>
        <v>2023</v>
      </c>
      <c r="D136" s="49" t="s">
        <v>283</v>
      </c>
      <c r="E136" s="49" t="s">
        <v>545</v>
      </c>
      <c r="F136" s="50" t="n">
        <v>1</v>
      </c>
      <c r="G136" s="49" t="s">
        <v>280</v>
      </c>
      <c r="H136" s="51" t="n">
        <v>0.7296</v>
      </c>
      <c r="I136" s="51" t="n">
        <v>0.262</v>
      </c>
      <c r="J136" s="51" t="n">
        <v>0.0084</v>
      </c>
      <c r="K136" s="49"/>
      <c r="L136" s="49"/>
      <c r="M136" s="49"/>
      <c r="N136" s="49"/>
      <c r="O136" s="49"/>
      <c r="P136" s="49"/>
      <c r="Q136" s="49"/>
      <c r="R136" s="49"/>
      <c r="S136" s="49" t="n">
        <v>1</v>
      </c>
      <c r="T136" s="49" t="n">
        <v>0</v>
      </c>
      <c r="U136" s="49" t="s">
        <v>546</v>
      </c>
    </row>
    <row r="137" customFormat="false" ht="15" hidden="false" customHeight="false" outlineLevel="0" collapsed="false">
      <c r="B137" s="48" t="n">
        <v>44986.3756828704</v>
      </c>
      <c r="C137" s="4" t="n">
        <f aca="false">YEAR(B137)</f>
        <v>2023</v>
      </c>
      <c r="D137" s="49" t="s">
        <v>283</v>
      </c>
      <c r="E137" s="49" t="s">
        <v>547</v>
      </c>
      <c r="F137" s="50" t="n">
        <v>1</v>
      </c>
      <c r="G137" s="49" t="s">
        <v>287</v>
      </c>
      <c r="H137" s="51" t="n">
        <v>0.0016</v>
      </c>
      <c r="I137" s="51" t="n">
        <v>0.03</v>
      </c>
      <c r="J137" s="51" t="n">
        <v>0.9684</v>
      </c>
      <c r="K137" s="49"/>
      <c r="L137" s="49"/>
      <c r="M137" s="49"/>
      <c r="N137" s="49"/>
      <c r="O137" s="49"/>
      <c r="P137" s="49"/>
      <c r="Q137" s="49"/>
      <c r="R137" s="49"/>
      <c r="S137" s="49" t="n">
        <v>0</v>
      </c>
      <c r="T137" s="49" t="n">
        <v>0</v>
      </c>
      <c r="U137" s="49" t="s">
        <v>548</v>
      </c>
    </row>
    <row r="138" customFormat="false" ht="15" hidden="false" customHeight="false" outlineLevel="0" collapsed="false">
      <c r="B138" s="48" t="n">
        <v>44986.6769328704</v>
      </c>
      <c r="C138" s="4" t="n">
        <f aca="false">YEAR(B138)</f>
        <v>2023</v>
      </c>
      <c r="D138" s="49" t="s">
        <v>278</v>
      </c>
      <c r="E138" s="49" t="s">
        <v>549</v>
      </c>
      <c r="F138" s="50" t="n">
        <v>4</v>
      </c>
      <c r="G138" s="49" t="s">
        <v>280</v>
      </c>
      <c r="H138" s="51" t="n">
        <v>0.7296</v>
      </c>
      <c r="I138" s="51" t="n">
        <v>0.256</v>
      </c>
      <c r="J138" s="51" t="n">
        <v>0.0144</v>
      </c>
      <c r="K138" s="49"/>
      <c r="L138" s="49"/>
      <c r="M138" s="49"/>
      <c r="N138" s="49"/>
      <c r="O138" s="49"/>
      <c r="P138" s="49"/>
      <c r="Q138" s="49"/>
      <c r="R138" s="49" t="s">
        <v>281</v>
      </c>
      <c r="S138" s="49" t="n">
        <v>0</v>
      </c>
      <c r="T138" s="49" t="n">
        <v>0</v>
      </c>
      <c r="U138" s="49" t="s">
        <v>550</v>
      </c>
    </row>
    <row r="139" customFormat="false" ht="15" hidden="false" customHeight="false" outlineLevel="0" collapsed="false">
      <c r="B139" s="48" t="n">
        <v>44986.6825925926</v>
      </c>
      <c r="C139" s="4" t="n">
        <f aca="false">YEAR(B139)</f>
        <v>2023</v>
      </c>
      <c r="D139" s="49" t="s">
        <v>278</v>
      </c>
      <c r="E139" s="49" t="s">
        <v>551</v>
      </c>
      <c r="F139" s="50" t="n">
        <v>1</v>
      </c>
      <c r="G139" s="49" t="s">
        <v>290</v>
      </c>
      <c r="H139" s="51" t="n">
        <v>0.0049</v>
      </c>
      <c r="I139" s="51" t="n">
        <v>0.9307</v>
      </c>
      <c r="J139" s="51" t="n">
        <v>0.0644</v>
      </c>
      <c r="K139" s="49"/>
      <c r="L139" s="49"/>
      <c r="M139" s="49"/>
      <c r="N139" s="49"/>
      <c r="O139" s="49"/>
      <c r="P139" s="49"/>
      <c r="Q139" s="49"/>
      <c r="R139" s="49" t="s">
        <v>281</v>
      </c>
      <c r="S139" s="49" t="n">
        <v>1</v>
      </c>
      <c r="T139" s="49" t="n">
        <v>0</v>
      </c>
      <c r="U139" s="49" t="s">
        <v>552</v>
      </c>
    </row>
    <row r="140" customFormat="false" ht="15" hidden="false" customHeight="false" outlineLevel="0" collapsed="false">
      <c r="B140" s="48" t="n">
        <v>44986.8207407407</v>
      </c>
      <c r="C140" s="4" t="n">
        <f aca="false">YEAR(B140)</f>
        <v>2023</v>
      </c>
      <c r="D140" s="49" t="s">
        <v>278</v>
      </c>
      <c r="E140" s="49" t="s">
        <v>553</v>
      </c>
      <c r="F140" s="50" t="n">
        <v>13</v>
      </c>
      <c r="G140" s="49" t="s">
        <v>280</v>
      </c>
      <c r="H140" s="51" t="n">
        <v>0.5589</v>
      </c>
      <c r="I140" s="51" t="n">
        <v>0.4244</v>
      </c>
      <c r="J140" s="51" t="n">
        <v>0.0166</v>
      </c>
      <c r="K140" s="49"/>
      <c r="L140" s="49"/>
      <c r="M140" s="49"/>
      <c r="N140" s="49"/>
      <c r="O140" s="49"/>
      <c r="P140" s="49"/>
      <c r="Q140" s="49"/>
      <c r="R140" s="49" t="s">
        <v>281</v>
      </c>
      <c r="S140" s="49" t="n">
        <v>0</v>
      </c>
      <c r="T140" s="49" t="n">
        <v>0</v>
      </c>
      <c r="U140" s="49" t="s">
        <v>554</v>
      </c>
    </row>
    <row r="141" customFormat="false" ht="15" hidden="false" customHeight="false" outlineLevel="0" collapsed="false">
      <c r="B141" s="48" t="n">
        <v>44986.8282407407</v>
      </c>
      <c r="C141" s="4" t="n">
        <f aca="false">YEAR(B141)</f>
        <v>2023</v>
      </c>
      <c r="D141" s="49" t="s">
        <v>283</v>
      </c>
      <c r="E141" s="49" t="s">
        <v>555</v>
      </c>
      <c r="F141" s="50" t="n">
        <v>1</v>
      </c>
      <c r="G141" s="49" t="s">
        <v>290</v>
      </c>
      <c r="H141" s="51" t="n">
        <v>0.0287</v>
      </c>
      <c r="I141" s="51" t="n">
        <v>0.942</v>
      </c>
      <c r="J141" s="51" t="n">
        <v>0.0292</v>
      </c>
      <c r="K141" s="49"/>
      <c r="L141" s="49"/>
      <c r="M141" s="49"/>
      <c r="N141" s="49"/>
      <c r="O141" s="49"/>
      <c r="P141" s="49"/>
      <c r="Q141" s="49"/>
      <c r="R141" s="49"/>
      <c r="S141" s="49" t="n">
        <v>1</v>
      </c>
      <c r="T141" s="49" t="n">
        <v>0</v>
      </c>
      <c r="U141" s="49" t="s">
        <v>556</v>
      </c>
    </row>
    <row r="142" customFormat="false" ht="15" hidden="false" customHeight="false" outlineLevel="0" collapsed="false">
      <c r="B142" s="48" t="n">
        <v>44989.041724537</v>
      </c>
      <c r="C142" s="4" t="n">
        <f aca="false">YEAR(B142)</f>
        <v>2023</v>
      </c>
      <c r="D142" s="49" t="s">
        <v>283</v>
      </c>
      <c r="E142" s="49" t="s">
        <v>557</v>
      </c>
      <c r="F142" s="50" t="n">
        <v>1</v>
      </c>
      <c r="G142" s="49" t="s">
        <v>290</v>
      </c>
      <c r="H142" s="51" t="n">
        <v>0.0389</v>
      </c>
      <c r="I142" s="51" t="n">
        <v>0.9411</v>
      </c>
      <c r="J142" s="51" t="n">
        <v>0.02</v>
      </c>
      <c r="K142" s="49"/>
      <c r="L142" s="49"/>
      <c r="M142" s="49"/>
      <c r="N142" s="49"/>
      <c r="O142" s="49"/>
      <c r="P142" s="49"/>
      <c r="Q142" s="49"/>
      <c r="R142" s="49" t="s">
        <v>281</v>
      </c>
      <c r="S142" s="49" t="n">
        <v>1</v>
      </c>
      <c r="T142" s="49" t="n">
        <v>0</v>
      </c>
      <c r="U142" s="49" t="s">
        <v>558</v>
      </c>
    </row>
    <row r="143" customFormat="false" ht="15" hidden="false" customHeight="false" outlineLevel="0" collapsed="false">
      <c r="B143" s="48" t="n">
        <v>44989.1689467593</v>
      </c>
      <c r="C143" s="4" t="n">
        <f aca="false">YEAR(B143)</f>
        <v>2023</v>
      </c>
      <c r="D143" s="49" t="s">
        <v>278</v>
      </c>
      <c r="E143" s="49" t="s">
        <v>559</v>
      </c>
      <c r="F143" s="50" t="n">
        <v>1</v>
      </c>
      <c r="G143" s="49" t="s">
        <v>290</v>
      </c>
      <c r="H143" s="51" t="n">
        <v>0.005</v>
      </c>
      <c r="I143" s="51" t="n">
        <v>0.756</v>
      </c>
      <c r="J143" s="51" t="n">
        <v>0.239</v>
      </c>
      <c r="K143" s="49"/>
      <c r="L143" s="49"/>
      <c r="M143" s="49"/>
      <c r="N143" s="49"/>
      <c r="O143" s="49"/>
      <c r="P143" s="49"/>
      <c r="Q143" s="49"/>
      <c r="R143" s="49" t="s">
        <v>281</v>
      </c>
      <c r="S143" s="49" t="n">
        <v>0</v>
      </c>
      <c r="T143" s="49" t="n">
        <v>0</v>
      </c>
      <c r="U143" s="49" t="s">
        <v>560</v>
      </c>
    </row>
    <row r="144" customFormat="false" ht="15" hidden="false" customHeight="false" outlineLevel="0" collapsed="false">
      <c r="B144" s="48" t="n">
        <v>44989.773125</v>
      </c>
      <c r="C144" s="4" t="n">
        <f aca="false">YEAR(B144)</f>
        <v>2023</v>
      </c>
      <c r="D144" s="49" t="s">
        <v>283</v>
      </c>
      <c r="E144" s="49" t="s">
        <v>561</v>
      </c>
      <c r="F144" s="50" t="n">
        <v>1</v>
      </c>
      <c r="G144" s="49" t="s">
        <v>290</v>
      </c>
      <c r="H144" s="51" t="n">
        <v>0.0124</v>
      </c>
      <c r="I144" s="51" t="n">
        <v>0.9009</v>
      </c>
      <c r="J144" s="51" t="n">
        <v>0.0867</v>
      </c>
      <c r="K144" s="49"/>
      <c r="L144" s="49"/>
      <c r="M144" s="49"/>
      <c r="N144" s="49"/>
      <c r="O144" s="49"/>
      <c r="P144" s="49"/>
      <c r="Q144" s="49"/>
      <c r="R144" s="49"/>
      <c r="S144" s="49" t="n">
        <v>1</v>
      </c>
      <c r="T144" s="49" t="n">
        <v>0</v>
      </c>
      <c r="U144" s="49" t="s">
        <v>562</v>
      </c>
    </row>
    <row r="145" customFormat="false" ht="15" hidden="false" customHeight="false" outlineLevel="0" collapsed="false">
      <c r="B145" s="48" t="n">
        <v>44990.157025463</v>
      </c>
      <c r="C145" s="4" t="n">
        <f aca="false">YEAR(B145)</f>
        <v>2023</v>
      </c>
      <c r="D145" s="49" t="s">
        <v>278</v>
      </c>
      <c r="E145" s="49" t="s">
        <v>563</v>
      </c>
      <c r="F145" s="50" t="n">
        <v>31</v>
      </c>
      <c r="G145" s="49" t="s">
        <v>280</v>
      </c>
      <c r="H145" s="51" t="n">
        <v>0.7982</v>
      </c>
      <c r="I145" s="51" t="n">
        <v>0.1927</v>
      </c>
      <c r="J145" s="51" t="n">
        <v>0.009</v>
      </c>
      <c r="K145" s="49" t="s">
        <v>281</v>
      </c>
      <c r="L145" s="49"/>
      <c r="M145" s="49"/>
      <c r="N145" s="49"/>
      <c r="O145" s="49"/>
      <c r="P145" s="49"/>
      <c r="Q145" s="49"/>
      <c r="R145" s="49" t="s">
        <v>281</v>
      </c>
      <c r="S145" s="49" t="n">
        <v>0</v>
      </c>
      <c r="T145" s="49" t="n">
        <v>0</v>
      </c>
      <c r="U145" s="49" t="s">
        <v>564</v>
      </c>
    </row>
    <row r="146" customFormat="false" ht="15" hidden="false" customHeight="false" outlineLevel="0" collapsed="false">
      <c r="B146" s="48" t="n">
        <v>44990.3516898148</v>
      </c>
      <c r="C146" s="4" t="n">
        <f aca="false">YEAR(B146)</f>
        <v>2023</v>
      </c>
      <c r="D146" s="49" t="s">
        <v>283</v>
      </c>
      <c r="E146" s="49" t="s">
        <v>565</v>
      </c>
      <c r="F146" s="50" t="n">
        <v>0</v>
      </c>
      <c r="G146" s="49" t="s">
        <v>287</v>
      </c>
      <c r="H146" s="51" t="n">
        <v>0.0742</v>
      </c>
      <c r="I146" s="51" t="n">
        <v>0.181</v>
      </c>
      <c r="J146" s="51" t="n">
        <v>0.7448</v>
      </c>
      <c r="K146" s="49"/>
      <c r="L146" s="49"/>
      <c r="M146" s="49"/>
      <c r="N146" s="49"/>
      <c r="O146" s="49"/>
      <c r="P146" s="49"/>
      <c r="Q146" s="49"/>
      <c r="R146" s="49" t="s">
        <v>281</v>
      </c>
      <c r="S146" s="49" t="n">
        <v>0</v>
      </c>
      <c r="T146" s="49" t="n">
        <v>0</v>
      </c>
      <c r="U146" s="49" t="s">
        <v>566</v>
      </c>
    </row>
    <row r="147" customFormat="false" ht="15" hidden="false" customHeight="false" outlineLevel="0" collapsed="false">
      <c r="B147" s="48" t="n">
        <v>44990.3769328704</v>
      </c>
      <c r="C147" s="4" t="n">
        <f aca="false">YEAR(B147)</f>
        <v>2023</v>
      </c>
      <c r="D147" s="49" t="s">
        <v>283</v>
      </c>
      <c r="E147" s="49" t="s">
        <v>567</v>
      </c>
      <c r="F147" s="50" t="n">
        <v>1</v>
      </c>
      <c r="G147" s="49" t="s">
        <v>287</v>
      </c>
      <c r="H147" s="51" t="n">
        <v>0.0014</v>
      </c>
      <c r="I147" s="51" t="n">
        <v>0.0147</v>
      </c>
      <c r="J147" s="51" t="n">
        <v>0.9838</v>
      </c>
      <c r="K147" s="49"/>
      <c r="L147" s="49"/>
      <c r="M147" s="49"/>
      <c r="N147" s="49"/>
      <c r="O147" s="49"/>
      <c r="P147" s="49"/>
      <c r="Q147" s="49"/>
      <c r="R147" s="49"/>
      <c r="S147" s="49" t="n">
        <v>0</v>
      </c>
      <c r="T147" s="49" t="n">
        <v>0</v>
      </c>
      <c r="U147" s="49" t="s">
        <v>568</v>
      </c>
    </row>
    <row r="148" customFormat="false" ht="15" hidden="false" customHeight="false" outlineLevel="0" collapsed="false">
      <c r="B148" s="48" t="n">
        <v>44990.754849537</v>
      </c>
      <c r="C148" s="4" t="n">
        <f aca="false">YEAR(B148)</f>
        <v>2023</v>
      </c>
      <c r="D148" s="49" t="s">
        <v>278</v>
      </c>
      <c r="E148" s="49" t="s">
        <v>569</v>
      </c>
      <c r="F148" s="50" t="n">
        <v>53</v>
      </c>
      <c r="G148" s="49" t="s">
        <v>290</v>
      </c>
      <c r="H148" s="51" t="n">
        <v>0.3761</v>
      </c>
      <c r="I148" s="51" t="n">
        <v>0.5407</v>
      </c>
      <c r="J148" s="51" t="n">
        <v>0.0832</v>
      </c>
      <c r="K148" s="49"/>
      <c r="L148" s="49"/>
      <c r="M148" s="49"/>
      <c r="N148" s="49"/>
      <c r="O148" s="49"/>
      <c r="P148" s="49"/>
      <c r="Q148" s="49"/>
      <c r="R148" s="49"/>
      <c r="S148" s="49" t="n">
        <v>0</v>
      </c>
      <c r="T148" s="49" t="n">
        <v>0</v>
      </c>
      <c r="U148" s="49" t="s">
        <v>570</v>
      </c>
    </row>
    <row r="149" customFormat="false" ht="15" hidden="false" customHeight="false" outlineLevel="0" collapsed="false">
      <c r="B149" s="48" t="n">
        <v>44991.1865625</v>
      </c>
      <c r="C149" s="4" t="n">
        <f aca="false">YEAR(B149)</f>
        <v>2023</v>
      </c>
      <c r="D149" s="49" t="s">
        <v>278</v>
      </c>
      <c r="E149" s="49" t="s">
        <v>571</v>
      </c>
      <c r="F149" s="50" t="n">
        <v>5</v>
      </c>
      <c r="G149" s="49" t="s">
        <v>280</v>
      </c>
      <c r="H149" s="51" t="n">
        <v>0.6922</v>
      </c>
      <c r="I149" s="51" t="n">
        <v>0.2973</v>
      </c>
      <c r="J149" s="51" t="n">
        <v>0.0105</v>
      </c>
      <c r="K149" s="49"/>
      <c r="L149" s="49"/>
      <c r="M149" s="49"/>
      <c r="N149" s="49"/>
      <c r="O149" s="49"/>
      <c r="P149" s="49"/>
      <c r="Q149" s="49"/>
      <c r="R149" s="49" t="s">
        <v>281</v>
      </c>
      <c r="S149" s="49" t="n">
        <v>1</v>
      </c>
      <c r="T149" s="49" t="n">
        <v>0</v>
      </c>
      <c r="U149" s="49" t="s">
        <v>572</v>
      </c>
    </row>
    <row r="150" customFormat="false" ht="15" hidden="false" customHeight="false" outlineLevel="0" collapsed="false">
      <c r="B150" s="48" t="n">
        <v>44991.5138310185</v>
      </c>
      <c r="C150" s="4" t="n">
        <f aca="false">YEAR(B150)</f>
        <v>2023</v>
      </c>
      <c r="D150" s="49" t="s">
        <v>278</v>
      </c>
      <c r="E150" s="49" t="s">
        <v>573</v>
      </c>
      <c r="F150" s="50" t="n">
        <v>9</v>
      </c>
      <c r="G150" s="49" t="s">
        <v>290</v>
      </c>
      <c r="H150" s="51" t="n">
        <v>0.1579</v>
      </c>
      <c r="I150" s="51" t="n">
        <v>0.8055</v>
      </c>
      <c r="J150" s="51" t="n">
        <v>0.0366</v>
      </c>
      <c r="K150" s="49"/>
      <c r="L150" s="49"/>
      <c r="M150" s="49"/>
      <c r="N150" s="49"/>
      <c r="O150" s="49"/>
      <c r="P150" s="49"/>
      <c r="Q150" s="49"/>
      <c r="R150" s="49" t="s">
        <v>281</v>
      </c>
      <c r="S150" s="49" t="n">
        <v>0</v>
      </c>
      <c r="T150" s="49" t="n">
        <v>0</v>
      </c>
      <c r="U150" s="49" t="s">
        <v>574</v>
      </c>
    </row>
    <row r="151" customFormat="false" ht="15" hidden="false" customHeight="false" outlineLevel="0" collapsed="false">
      <c r="B151" s="48" t="n">
        <v>44991.6079398148</v>
      </c>
      <c r="C151" s="4" t="n">
        <f aca="false">YEAR(B151)</f>
        <v>2023</v>
      </c>
      <c r="D151" s="49" t="s">
        <v>283</v>
      </c>
      <c r="E151" s="49" t="s">
        <v>575</v>
      </c>
      <c r="F151" s="50" t="n">
        <v>0</v>
      </c>
      <c r="G151" s="49" t="s">
        <v>290</v>
      </c>
      <c r="H151" s="51" t="n">
        <v>0.0155</v>
      </c>
      <c r="I151" s="51" t="n">
        <v>0.9468</v>
      </c>
      <c r="J151" s="51" t="n">
        <v>0.0377</v>
      </c>
      <c r="K151" s="49"/>
      <c r="L151" s="49"/>
      <c r="M151" s="49"/>
      <c r="N151" s="49"/>
      <c r="O151" s="49"/>
      <c r="P151" s="49"/>
      <c r="Q151" s="49"/>
      <c r="R151" s="49" t="s">
        <v>281</v>
      </c>
      <c r="S151" s="49" t="n">
        <v>1</v>
      </c>
      <c r="T151" s="49" t="n">
        <v>0</v>
      </c>
      <c r="U151" s="49" t="s">
        <v>576</v>
      </c>
    </row>
    <row r="152" customFormat="false" ht="15" hidden="false" customHeight="false" outlineLevel="0" collapsed="false">
      <c r="B152" s="48" t="n">
        <v>44991.7034837963</v>
      </c>
      <c r="C152" s="4" t="n">
        <f aca="false">YEAR(B152)</f>
        <v>2023</v>
      </c>
      <c r="D152" s="49" t="s">
        <v>283</v>
      </c>
      <c r="E152" s="49" t="s">
        <v>577</v>
      </c>
      <c r="F152" s="50" t="n">
        <v>6</v>
      </c>
      <c r="G152" s="49" t="s">
        <v>287</v>
      </c>
      <c r="H152" s="51" t="n">
        <v>0.0208</v>
      </c>
      <c r="I152" s="51" t="n">
        <v>0.3412</v>
      </c>
      <c r="J152" s="51" t="n">
        <v>0.638</v>
      </c>
      <c r="K152" s="49"/>
      <c r="L152" s="49"/>
      <c r="M152" s="49"/>
      <c r="N152" s="49"/>
      <c r="O152" s="49"/>
      <c r="P152" s="49"/>
      <c r="Q152" s="49"/>
      <c r="R152" s="49"/>
      <c r="S152" s="49" t="n">
        <v>1</v>
      </c>
      <c r="T152" s="49" t="n">
        <v>0</v>
      </c>
      <c r="U152" s="49" t="s">
        <v>578</v>
      </c>
    </row>
    <row r="153" customFormat="false" ht="15" hidden="false" customHeight="false" outlineLevel="0" collapsed="false">
      <c r="B153" s="48" t="n">
        <v>44992.6055208333</v>
      </c>
      <c r="C153" s="4" t="n">
        <f aca="false">YEAR(B153)</f>
        <v>2023</v>
      </c>
      <c r="D153" s="49" t="s">
        <v>278</v>
      </c>
      <c r="E153" s="49" t="s">
        <v>579</v>
      </c>
      <c r="F153" s="50" t="n">
        <v>1</v>
      </c>
      <c r="G153" s="49" t="s">
        <v>290</v>
      </c>
      <c r="H153" s="51" t="n">
        <v>0.4722</v>
      </c>
      <c r="I153" s="51" t="n">
        <v>0.5087</v>
      </c>
      <c r="J153" s="51" t="n">
        <v>0.0191</v>
      </c>
      <c r="K153" s="49"/>
      <c r="L153" s="49"/>
      <c r="M153" s="49"/>
      <c r="N153" s="49"/>
      <c r="O153" s="49"/>
      <c r="P153" s="49"/>
      <c r="Q153" s="49" t="s">
        <v>281</v>
      </c>
      <c r="R153" s="49"/>
      <c r="S153" s="49" t="n">
        <v>1</v>
      </c>
      <c r="T153" s="49" t="n">
        <v>0</v>
      </c>
      <c r="U153" s="49" t="s">
        <v>580</v>
      </c>
    </row>
    <row r="154" customFormat="false" ht="15" hidden="false" customHeight="false" outlineLevel="0" collapsed="false">
      <c r="B154" s="48" t="n">
        <v>44992.8521064815</v>
      </c>
      <c r="C154" s="4" t="n">
        <f aca="false">YEAR(B154)</f>
        <v>2023</v>
      </c>
      <c r="D154" s="49" t="s">
        <v>283</v>
      </c>
      <c r="E154" s="49" t="s">
        <v>581</v>
      </c>
      <c r="F154" s="50" t="n">
        <v>1</v>
      </c>
      <c r="G154" s="49" t="s">
        <v>287</v>
      </c>
      <c r="H154" s="51" t="n">
        <v>0.0075</v>
      </c>
      <c r="I154" s="51" t="n">
        <v>0.3352</v>
      </c>
      <c r="J154" s="51" t="n">
        <v>0.6574</v>
      </c>
      <c r="K154" s="49"/>
      <c r="L154" s="49"/>
      <c r="M154" s="49"/>
      <c r="N154" s="49"/>
      <c r="O154" s="49"/>
      <c r="P154" s="49"/>
      <c r="Q154" s="49"/>
      <c r="R154" s="49"/>
      <c r="S154" s="49" t="n">
        <v>1</v>
      </c>
      <c r="T154" s="49" t="n">
        <v>0</v>
      </c>
      <c r="U154" s="49" t="s">
        <v>582</v>
      </c>
    </row>
    <row r="155" customFormat="false" ht="15" hidden="false" customHeight="false" outlineLevel="0" collapsed="false">
      <c r="B155" s="48" t="n">
        <v>44992.999375</v>
      </c>
      <c r="C155" s="4" t="n">
        <f aca="false">YEAR(B155)</f>
        <v>2023</v>
      </c>
      <c r="D155" s="49" t="s">
        <v>278</v>
      </c>
      <c r="E155" s="49" t="s">
        <v>583</v>
      </c>
      <c r="F155" s="50" t="n">
        <v>36</v>
      </c>
      <c r="G155" s="49" t="s">
        <v>290</v>
      </c>
      <c r="H155" s="51" t="n">
        <v>0.3889</v>
      </c>
      <c r="I155" s="51" t="n">
        <v>0.5475</v>
      </c>
      <c r="J155" s="51" t="n">
        <v>0.0636</v>
      </c>
      <c r="K155" s="49"/>
      <c r="L155" s="49"/>
      <c r="M155" s="49"/>
      <c r="N155" s="49"/>
      <c r="O155" s="49"/>
      <c r="P155" s="49"/>
      <c r="Q155" s="49" t="s">
        <v>281</v>
      </c>
      <c r="R155" s="49" t="s">
        <v>281</v>
      </c>
      <c r="S155" s="49" t="n">
        <v>0</v>
      </c>
      <c r="T155" s="49" t="n">
        <v>0</v>
      </c>
      <c r="U155" s="49" t="s">
        <v>584</v>
      </c>
    </row>
    <row r="156" customFormat="false" ht="15" hidden="false" customHeight="false" outlineLevel="0" collapsed="false">
      <c r="B156" s="48" t="n">
        <v>44993.6610763889</v>
      </c>
      <c r="C156" s="4" t="n">
        <f aca="false">YEAR(B156)</f>
        <v>2023</v>
      </c>
      <c r="D156" s="49" t="s">
        <v>283</v>
      </c>
      <c r="E156" s="49" t="s">
        <v>585</v>
      </c>
      <c r="F156" s="50" t="n">
        <v>1</v>
      </c>
      <c r="G156" s="49" t="s">
        <v>290</v>
      </c>
      <c r="H156" s="51" t="n">
        <v>0.0632</v>
      </c>
      <c r="I156" s="51" t="n">
        <v>0.9003</v>
      </c>
      <c r="J156" s="51" t="n">
        <v>0.0365</v>
      </c>
      <c r="K156" s="49" t="s">
        <v>281</v>
      </c>
      <c r="L156" s="49"/>
      <c r="M156" s="49"/>
      <c r="N156" s="49"/>
      <c r="O156" s="49"/>
      <c r="P156" s="49"/>
      <c r="Q156" s="49"/>
      <c r="R156" s="49"/>
      <c r="S156" s="49" t="n">
        <v>1</v>
      </c>
      <c r="T156" s="49" t="n">
        <v>0</v>
      </c>
      <c r="U156" s="49" t="s">
        <v>586</v>
      </c>
    </row>
    <row r="157" customFormat="false" ht="15" hidden="false" customHeight="false" outlineLevel="0" collapsed="false">
      <c r="B157" s="48" t="n">
        <v>44993.8333333333</v>
      </c>
      <c r="C157" s="4" t="n">
        <f aca="false">YEAR(B157)</f>
        <v>2023</v>
      </c>
      <c r="D157" s="49" t="s">
        <v>278</v>
      </c>
      <c r="E157" s="49" t="s">
        <v>587</v>
      </c>
      <c r="F157" s="50" t="n">
        <v>7</v>
      </c>
      <c r="G157" s="49" t="s">
        <v>290</v>
      </c>
      <c r="H157" s="51" t="n">
        <v>0.0548</v>
      </c>
      <c r="I157" s="51" t="n">
        <v>0.7954</v>
      </c>
      <c r="J157" s="51" t="n">
        <v>0.1499</v>
      </c>
      <c r="K157" s="49"/>
      <c r="L157" s="49"/>
      <c r="M157" s="49"/>
      <c r="N157" s="49"/>
      <c r="O157" s="49"/>
      <c r="P157" s="49"/>
      <c r="Q157" s="49"/>
      <c r="R157" s="49" t="s">
        <v>281</v>
      </c>
      <c r="S157" s="49" t="n">
        <v>0</v>
      </c>
      <c r="T157" s="49" t="n">
        <v>0</v>
      </c>
      <c r="U157" s="49" t="s">
        <v>588</v>
      </c>
    </row>
    <row r="158" customFormat="false" ht="15" hidden="false" customHeight="false" outlineLevel="0" collapsed="false">
      <c r="B158" s="48" t="n">
        <v>44993.9584837963</v>
      </c>
      <c r="C158" s="4" t="n">
        <f aca="false">YEAR(B158)</f>
        <v>2023</v>
      </c>
      <c r="D158" s="49" t="s">
        <v>283</v>
      </c>
      <c r="E158" s="49" t="s">
        <v>589</v>
      </c>
      <c r="F158" s="50" t="n">
        <v>1</v>
      </c>
      <c r="G158" s="49" t="s">
        <v>280</v>
      </c>
      <c r="H158" s="51" t="n">
        <v>0.6082</v>
      </c>
      <c r="I158" s="51" t="n">
        <v>0.3809</v>
      </c>
      <c r="J158" s="51" t="n">
        <v>0.0109</v>
      </c>
      <c r="K158" s="49"/>
      <c r="L158" s="49"/>
      <c r="M158" s="49"/>
      <c r="N158" s="49"/>
      <c r="O158" s="49"/>
      <c r="P158" s="49"/>
      <c r="Q158" s="49"/>
      <c r="R158" s="49"/>
      <c r="S158" s="49" t="n">
        <v>1</v>
      </c>
      <c r="T158" s="49" t="n">
        <v>0</v>
      </c>
      <c r="U158" s="49" t="s">
        <v>590</v>
      </c>
    </row>
    <row r="159" customFormat="false" ht="15" hidden="false" customHeight="false" outlineLevel="0" collapsed="false">
      <c r="B159" s="48" t="n">
        <v>44993.9665393519</v>
      </c>
      <c r="C159" s="4" t="n">
        <f aca="false">YEAR(B159)</f>
        <v>2023</v>
      </c>
      <c r="D159" s="49" t="s">
        <v>283</v>
      </c>
      <c r="E159" s="49" t="s">
        <v>591</v>
      </c>
      <c r="F159" s="50" t="n">
        <v>191</v>
      </c>
      <c r="G159" s="49" t="s">
        <v>280</v>
      </c>
      <c r="H159" s="51" t="n">
        <v>0.9051</v>
      </c>
      <c r="I159" s="51" t="n">
        <v>0.0856</v>
      </c>
      <c r="J159" s="51" t="n">
        <v>0.0093</v>
      </c>
      <c r="K159" s="49"/>
      <c r="L159" s="49"/>
      <c r="M159" s="49"/>
      <c r="N159" s="49"/>
      <c r="O159" s="49"/>
      <c r="P159" s="49"/>
      <c r="Q159" s="49"/>
      <c r="R159" s="49" t="s">
        <v>281</v>
      </c>
      <c r="S159" s="49" t="n">
        <v>0</v>
      </c>
      <c r="T159" s="49" t="n">
        <v>0</v>
      </c>
      <c r="U159" s="49" t="s">
        <v>592</v>
      </c>
    </row>
    <row r="160" customFormat="false" ht="15" hidden="false" customHeight="false" outlineLevel="0" collapsed="false">
      <c r="B160" s="48" t="n">
        <v>44994.0137152778</v>
      </c>
      <c r="C160" s="4" t="n">
        <f aca="false">YEAR(B160)</f>
        <v>2023</v>
      </c>
      <c r="D160" s="49" t="s">
        <v>283</v>
      </c>
      <c r="E160" s="49" t="s">
        <v>593</v>
      </c>
      <c r="F160" s="50" t="n">
        <v>1</v>
      </c>
      <c r="G160" s="49" t="s">
        <v>290</v>
      </c>
      <c r="H160" s="51" t="n">
        <v>0.0079</v>
      </c>
      <c r="I160" s="51" t="n">
        <v>0.9454</v>
      </c>
      <c r="J160" s="51" t="n">
        <v>0.0467</v>
      </c>
      <c r="K160" s="49"/>
      <c r="L160" s="49"/>
      <c r="M160" s="49"/>
      <c r="N160" s="49"/>
      <c r="O160" s="49"/>
      <c r="P160" s="49"/>
      <c r="Q160" s="49"/>
      <c r="R160" s="49"/>
      <c r="S160" s="49" t="n">
        <v>1</v>
      </c>
      <c r="T160" s="49" t="n">
        <v>0</v>
      </c>
      <c r="U160" s="49" t="s">
        <v>594</v>
      </c>
    </row>
    <row r="161" customFormat="false" ht="15" hidden="false" customHeight="false" outlineLevel="0" collapsed="false">
      <c r="B161" s="48" t="n">
        <v>44994.1595717593</v>
      </c>
      <c r="C161" s="4" t="n">
        <f aca="false">YEAR(B161)</f>
        <v>2023</v>
      </c>
      <c r="D161" s="49" t="s">
        <v>283</v>
      </c>
      <c r="E161" s="49" t="s">
        <v>595</v>
      </c>
      <c r="F161" s="50" t="n">
        <v>0</v>
      </c>
      <c r="G161" s="49" t="s">
        <v>287</v>
      </c>
      <c r="H161" s="51" t="n">
        <v>0.0037</v>
      </c>
      <c r="I161" s="51" t="n">
        <v>0.1077</v>
      </c>
      <c r="J161" s="51" t="n">
        <v>0.8887</v>
      </c>
      <c r="K161" s="49"/>
      <c r="L161" s="49"/>
      <c r="M161" s="49"/>
      <c r="N161" s="49"/>
      <c r="O161" s="49"/>
      <c r="P161" s="49"/>
      <c r="Q161" s="49"/>
      <c r="R161" s="49"/>
      <c r="S161" s="49" t="n">
        <v>0</v>
      </c>
      <c r="T161" s="49" t="n">
        <v>0</v>
      </c>
      <c r="U161" s="49" t="s">
        <v>596</v>
      </c>
    </row>
    <row r="162" customFormat="false" ht="15" hidden="false" customHeight="false" outlineLevel="0" collapsed="false">
      <c r="B162" s="48" t="n">
        <v>44994.3525</v>
      </c>
      <c r="C162" s="4" t="n">
        <f aca="false">YEAR(B162)</f>
        <v>2023</v>
      </c>
      <c r="D162" s="49" t="s">
        <v>283</v>
      </c>
      <c r="E162" s="49" t="s">
        <v>597</v>
      </c>
      <c r="F162" s="50" t="n">
        <v>1</v>
      </c>
      <c r="G162" s="49" t="s">
        <v>290</v>
      </c>
      <c r="H162" s="51" t="n">
        <v>0.0073</v>
      </c>
      <c r="I162" s="51" t="n">
        <v>0.5603</v>
      </c>
      <c r="J162" s="51" t="n">
        <v>0.4324</v>
      </c>
      <c r="K162" s="49"/>
      <c r="L162" s="49"/>
      <c r="M162" s="49"/>
      <c r="N162" s="49"/>
      <c r="O162" s="49"/>
      <c r="P162" s="49"/>
      <c r="Q162" s="49"/>
      <c r="R162" s="49"/>
      <c r="S162" s="49" t="n">
        <v>0</v>
      </c>
      <c r="T162" s="49" t="n">
        <v>0</v>
      </c>
      <c r="U162" s="49" t="s">
        <v>598</v>
      </c>
    </row>
    <row r="163" customFormat="false" ht="15" hidden="false" customHeight="false" outlineLevel="0" collapsed="false">
      <c r="B163" s="48" t="n">
        <v>44994.3911921296</v>
      </c>
      <c r="C163" s="4" t="n">
        <f aca="false">YEAR(B163)</f>
        <v>2023</v>
      </c>
      <c r="D163" s="49" t="s">
        <v>278</v>
      </c>
      <c r="E163" s="49" t="s">
        <v>599</v>
      </c>
      <c r="F163" s="50" t="n">
        <v>14</v>
      </c>
      <c r="G163" s="49" t="s">
        <v>280</v>
      </c>
      <c r="H163" s="51" t="n">
        <v>0.6098</v>
      </c>
      <c r="I163" s="51" t="n">
        <v>0.3712</v>
      </c>
      <c r="J163" s="51" t="n">
        <v>0.019</v>
      </c>
      <c r="K163" s="49"/>
      <c r="L163" s="49"/>
      <c r="M163" s="49"/>
      <c r="N163" s="49"/>
      <c r="O163" s="49"/>
      <c r="P163" s="49"/>
      <c r="Q163" s="49"/>
      <c r="R163" s="49"/>
      <c r="S163" s="49" t="n">
        <v>0</v>
      </c>
      <c r="T163" s="49" t="n">
        <v>0</v>
      </c>
      <c r="U163" s="49" t="s">
        <v>600</v>
      </c>
    </row>
    <row r="164" customFormat="false" ht="15" hidden="false" customHeight="false" outlineLevel="0" collapsed="false">
      <c r="B164" s="48" t="n">
        <v>44994.6295023148</v>
      </c>
      <c r="C164" s="4" t="n">
        <f aca="false">YEAR(B164)</f>
        <v>2023</v>
      </c>
      <c r="D164" s="49" t="s">
        <v>283</v>
      </c>
      <c r="E164" s="49" t="s">
        <v>601</v>
      </c>
      <c r="F164" s="50" t="n">
        <v>2</v>
      </c>
      <c r="G164" s="49" t="s">
        <v>290</v>
      </c>
      <c r="H164" s="51" t="n">
        <v>0.2085</v>
      </c>
      <c r="I164" s="51" t="n">
        <v>0.7755</v>
      </c>
      <c r="J164" s="51" t="n">
        <v>0.016</v>
      </c>
      <c r="K164" s="49"/>
      <c r="L164" s="49"/>
      <c r="M164" s="49"/>
      <c r="N164" s="49"/>
      <c r="O164" s="49"/>
      <c r="P164" s="49"/>
      <c r="Q164" s="49"/>
      <c r="R164" s="49"/>
      <c r="S164" s="49" t="n">
        <v>1</v>
      </c>
      <c r="T164" s="49" t="n">
        <v>0</v>
      </c>
      <c r="U164" s="49" t="s">
        <v>602</v>
      </c>
    </row>
    <row r="165" customFormat="false" ht="15" hidden="false" customHeight="false" outlineLevel="0" collapsed="false">
      <c r="B165" s="48" t="n">
        <v>44994.7070949074</v>
      </c>
      <c r="C165" s="4" t="n">
        <f aca="false">YEAR(B165)</f>
        <v>2023</v>
      </c>
      <c r="D165" s="49" t="s">
        <v>283</v>
      </c>
      <c r="E165" s="49" t="s">
        <v>603</v>
      </c>
      <c r="F165" s="50" t="n">
        <v>1</v>
      </c>
      <c r="G165" s="49" t="s">
        <v>287</v>
      </c>
      <c r="H165" s="51" t="n">
        <v>0.0033</v>
      </c>
      <c r="I165" s="51" t="n">
        <v>0.1034</v>
      </c>
      <c r="J165" s="51" t="n">
        <v>0.8933</v>
      </c>
      <c r="K165" s="49"/>
      <c r="L165" s="49"/>
      <c r="M165" s="49"/>
      <c r="N165" s="49"/>
      <c r="O165" s="49"/>
      <c r="P165" s="49"/>
      <c r="Q165" s="49"/>
      <c r="R165" s="49"/>
      <c r="S165" s="49" t="n">
        <v>0</v>
      </c>
      <c r="T165" s="49" t="n">
        <v>0</v>
      </c>
      <c r="U165" s="49" t="s">
        <v>604</v>
      </c>
    </row>
    <row r="166" customFormat="false" ht="15" hidden="false" customHeight="false" outlineLevel="0" collapsed="false">
      <c r="B166" s="48" t="n">
        <v>44994.8425925926</v>
      </c>
      <c r="C166" s="4" t="n">
        <f aca="false">YEAR(B166)</f>
        <v>2023</v>
      </c>
      <c r="D166" s="49" t="s">
        <v>278</v>
      </c>
      <c r="E166" s="49" t="s">
        <v>605</v>
      </c>
      <c r="F166" s="50" t="n">
        <v>11</v>
      </c>
      <c r="G166" s="49" t="s">
        <v>287</v>
      </c>
      <c r="H166" s="51" t="n">
        <v>0.0024</v>
      </c>
      <c r="I166" s="51" t="n">
        <v>0.0306</v>
      </c>
      <c r="J166" s="51" t="n">
        <v>0.9671</v>
      </c>
      <c r="K166" s="49"/>
      <c r="L166" s="49"/>
      <c r="M166" s="49"/>
      <c r="N166" s="49"/>
      <c r="O166" s="49"/>
      <c r="P166" s="49"/>
      <c r="Q166" s="49" t="s">
        <v>281</v>
      </c>
      <c r="R166" s="49"/>
      <c r="S166" s="49" t="n">
        <v>0</v>
      </c>
      <c r="T166" s="49" t="n">
        <v>0</v>
      </c>
      <c r="U166" s="49" t="s">
        <v>606</v>
      </c>
    </row>
    <row r="167" customFormat="false" ht="15" hidden="false" customHeight="false" outlineLevel="0" collapsed="false">
      <c r="B167" s="48" t="n">
        <v>44994.9106134259</v>
      </c>
      <c r="C167" s="4" t="n">
        <f aca="false">YEAR(B167)</f>
        <v>2023</v>
      </c>
      <c r="D167" s="49" t="s">
        <v>283</v>
      </c>
      <c r="E167" s="49" t="s">
        <v>607</v>
      </c>
      <c r="F167" s="50" t="n">
        <v>1</v>
      </c>
      <c r="G167" s="49" t="s">
        <v>290</v>
      </c>
      <c r="H167" s="51" t="n">
        <v>0.017</v>
      </c>
      <c r="I167" s="51" t="n">
        <v>0.9599</v>
      </c>
      <c r="J167" s="51" t="n">
        <v>0.023</v>
      </c>
      <c r="K167" s="49"/>
      <c r="L167" s="49"/>
      <c r="M167" s="49"/>
      <c r="N167" s="49"/>
      <c r="O167" s="49"/>
      <c r="P167" s="49"/>
      <c r="Q167" s="49"/>
      <c r="R167" s="49"/>
      <c r="S167" s="49" t="n">
        <v>1</v>
      </c>
      <c r="T167" s="49" t="n">
        <v>0</v>
      </c>
      <c r="U167" s="49" t="s">
        <v>608</v>
      </c>
    </row>
    <row r="168" customFormat="false" ht="15" hidden="false" customHeight="false" outlineLevel="0" collapsed="false">
      <c r="B168" s="48" t="n">
        <v>44995.4693287037</v>
      </c>
      <c r="C168" s="4" t="n">
        <f aca="false">YEAR(B168)</f>
        <v>2023</v>
      </c>
      <c r="D168" s="49" t="s">
        <v>283</v>
      </c>
      <c r="E168" s="49" t="s">
        <v>609</v>
      </c>
      <c r="F168" s="50" t="n">
        <v>1</v>
      </c>
      <c r="G168" s="49" t="s">
        <v>290</v>
      </c>
      <c r="H168" s="51" t="n">
        <v>0.0031</v>
      </c>
      <c r="I168" s="51" t="n">
        <v>0.6013</v>
      </c>
      <c r="J168" s="51" t="n">
        <v>0.3957</v>
      </c>
      <c r="K168" s="49"/>
      <c r="L168" s="49"/>
      <c r="M168" s="49"/>
      <c r="N168" s="49"/>
      <c r="O168" s="49"/>
      <c r="P168" s="49"/>
      <c r="Q168" s="49"/>
      <c r="R168" s="49" t="s">
        <v>281</v>
      </c>
      <c r="S168" s="49" t="n">
        <v>1</v>
      </c>
      <c r="T168" s="49" t="n">
        <v>0</v>
      </c>
      <c r="U168" s="49" t="s">
        <v>610</v>
      </c>
    </row>
    <row r="169" customFormat="false" ht="15" hidden="false" customHeight="false" outlineLevel="0" collapsed="false">
      <c r="B169" s="48" t="n">
        <v>44995.4788425926</v>
      </c>
      <c r="C169" s="4" t="n">
        <f aca="false">YEAR(B169)</f>
        <v>2023</v>
      </c>
      <c r="D169" s="49" t="s">
        <v>283</v>
      </c>
      <c r="E169" s="49" t="s">
        <v>611</v>
      </c>
      <c r="F169" s="50" t="n">
        <v>1</v>
      </c>
      <c r="G169" s="49" t="s">
        <v>290</v>
      </c>
      <c r="H169" s="51" t="n">
        <v>0.0757</v>
      </c>
      <c r="I169" s="51" t="n">
        <v>0.886</v>
      </c>
      <c r="J169" s="51" t="n">
        <v>0.0383</v>
      </c>
      <c r="K169" s="49"/>
      <c r="L169" s="49"/>
      <c r="M169" s="49"/>
      <c r="N169" s="49"/>
      <c r="O169" s="49"/>
      <c r="P169" s="49"/>
      <c r="Q169" s="49"/>
      <c r="R169" s="49"/>
      <c r="S169" s="49" t="n">
        <v>1</v>
      </c>
      <c r="T169" s="49" t="n">
        <v>0</v>
      </c>
      <c r="U169" s="49" t="s">
        <v>612</v>
      </c>
    </row>
    <row r="170" customFormat="false" ht="15" hidden="false" customHeight="false" outlineLevel="0" collapsed="false">
      <c r="B170" s="48" t="n">
        <v>44995.6200115741</v>
      </c>
      <c r="C170" s="4" t="n">
        <f aca="false">YEAR(B170)</f>
        <v>2023</v>
      </c>
      <c r="D170" s="49" t="s">
        <v>283</v>
      </c>
      <c r="E170" s="49" t="s">
        <v>613</v>
      </c>
      <c r="F170" s="50" t="n">
        <v>1</v>
      </c>
      <c r="G170" s="49" t="s">
        <v>287</v>
      </c>
      <c r="H170" s="51" t="n">
        <v>0.0124</v>
      </c>
      <c r="I170" s="51" t="n">
        <v>0.4425</v>
      </c>
      <c r="J170" s="51" t="n">
        <v>0.545</v>
      </c>
      <c r="K170" s="49"/>
      <c r="L170" s="49"/>
      <c r="M170" s="49"/>
      <c r="N170" s="49"/>
      <c r="O170" s="49"/>
      <c r="P170" s="49"/>
      <c r="Q170" s="49"/>
      <c r="R170" s="49" t="s">
        <v>281</v>
      </c>
      <c r="S170" s="49" t="n">
        <v>1</v>
      </c>
      <c r="T170" s="49" t="n">
        <v>0</v>
      </c>
      <c r="U170" s="49" t="s">
        <v>614</v>
      </c>
    </row>
    <row r="171" customFormat="false" ht="15" hidden="false" customHeight="false" outlineLevel="0" collapsed="false">
      <c r="B171" s="48" t="n">
        <v>44996.2729861111</v>
      </c>
      <c r="C171" s="4" t="n">
        <f aca="false">YEAR(B171)</f>
        <v>2023</v>
      </c>
      <c r="D171" s="49" t="s">
        <v>283</v>
      </c>
      <c r="E171" s="49" t="s">
        <v>615</v>
      </c>
      <c r="F171" s="50" t="n">
        <v>1</v>
      </c>
      <c r="G171" s="49" t="s">
        <v>290</v>
      </c>
      <c r="H171" s="51" t="n">
        <v>0.0169</v>
      </c>
      <c r="I171" s="51" t="n">
        <v>0.9384</v>
      </c>
      <c r="J171" s="51" t="n">
        <v>0.0447</v>
      </c>
      <c r="K171" s="49"/>
      <c r="L171" s="49"/>
      <c r="M171" s="49"/>
      <c r="N171" s="49"/>
      <c r="O171" s="49"/>
      <c r="P171" s="49"/>
      <c r="Q171" s="49"/>
      <c r="R171" s="49"/>
      <c r="S171" s="49" t="n">
        <v>1</v>
      </c>
      <c r="T171" s="49" t="n">
        <v>0</v>
      </c>
      <c r="U171" s="49" t="s">
        <v>616</v>
      </c>
    </row>
    <row r="172" customFormat="false" ht="15" hidden="false" customHeight="false" outlineLevel="0" collapsed="false">
      <c r="B172" s="48" t="n">
        <v>44996.4595949074</v>
      </c>
      <c r="C172" s="4" t="n">
        <f aca="false">YEAR(B172)</f>
        <v>2023</v>
      </c>
      <c r="D172" s="49" t="s">
        <v>283</v>
      </c>
      <c r="E172" s="49" t="s">
        <v>617</v>
      </c>
      <c r="F172" s="50" t="n">
        <v>15</v>
      </c>
      <c r="G172" s="49" t="s">
        <v>280</v>
      </c>
      <c r="H172" s="51" t="n">
        <v>0.9117</v>
      </c>
      <c r="I172" s="51" t="n">
        <v>0.0752</v>
      </c>
      <c r="J172" s="51" t="n">
        <v>0.0131</v>
      </c>
      <c r="K172" s="49"/>
      <c r="L172" s="49"/>
      <c r="M172" s="49"/>
      <c r="N172" s="49"/>
      <c r="O172" s="49"/>
      <c r="P172" s="49"/>
      <c r="Q172" s="49"/>
      <c r="R172" s="49" t="s">
        <v>281</v>
      </c>
      <c r="S172" s="49" t="n">
        <v>1</v>
      </c>
      <c r="T172" s="49" t="n">
        <v>0</v>
      </c>
      <c r="U172" s="49" t="s">
        <v>618</v>
      </c>
    </row>
    <row r="173" customFormat="false" ht="15" hidden="false" customHeight="false" outlineLevel="0" collapsed="false">
      <c r="B173" s="48" t="n">
        <v>44996.6202083333</v>
      </c>
      <c r="C173" s="4" t="n">
        <f aca="false">YEAR(B173)</f>
        <v>2023</v>
      </c>
      <c r="D173" s="49" t="s">
        <v>283</v>
      </c>
      <c r="E173" s="49" t="s">
        <v>619</v>
      </c>
      <c r="F173" s="50" t="n">
        <v>1</v>
      </c>
      <c r="G173" s="49" t="s">
        <v>280</v>
      </c>
      <c r="H173" s="51" t="n">
        <v>0.9501</v>
      </c>
      <c r="I173" s="51" t="n">
        <v>0.044</v>
      </c>
      <c r="J173" s="51" t="n">
        <v>0.0059</v>
      </c>
      <c r="K173" s="49"/>
      <c r="L173" s="49"/>
      <c r="M173" s="49"/>
      <c r="N173" s="49"/>
      <c r="O173" s="49"/>
      <c r="P173" s="49"/>
      <c r="Q173" s="49" t="s">
        <v>281</v>
      </c>
      <c r="R173" s="49"/>
      <c r="S173" s="49" t="n">
        <v>1</v>
      </c>
      <c r="T173" s="49" t="n">
        <v>0</v>
      </c>
      <c r="U173" s="49" t="s">
        <v>620</v>
      </c>
    </row>
    <row r="174" customFormat="false" ht="15" hidden="false" customHeight="false" outlineLevel="0" collapsed="false">
      <c r="B174" s="48" t="n">
        <v>44997.186412037</v>
      </c>
      <c r="C174" s="4" t="n">
        <f aca="false">YEAR(B174)</f>
        <v>2023</v>
      </c>
      <c r="D174" s="49" t="s">
        <v>283</v>
      </c>
      <c r="E174" s="49" t="s">
        <v>621</v>
      </c>
      <c r="F174" s="50" t="n">
        <v>1</v>
      </c>
      <c r="G174" s="49" t="s">
        <v>280</v>
      </c>
      <c r="H174" s="51" t="n">
        <v>0.5332</v>
      </c>
      <c r="I174" s="51" t="n">
        <v>0.4539</v>
      </c>
      <c r="J174" s="51" t="n">
        <v>0.0129</v>
      </c>
      <c r="K174" s="49"/>
      <c r="L174" s="49"/>
      <c r="M174" s="49"/>
      <c r="N174" s="49"/>
      <c r="O174" s="49"/>
      <c r="P174" s="49"/>
      <c r="Q174" s="49"/>
      <c r="R174" s="49" t="s">
        <v>281</v>
      </c>
      <c r="S174" s="49" t="n">
        <v>1</v>
      </c>
      <c r="T174" s="49" t="n">
        <v>0</v>
      </c>
      <c r="U174" s="49" t="s">
        <v>622</v>
      </c>
    </row>
    <row r="175" customFormat="false" ht="15" hidden="false" customHeight="false" outlineLevel="0" collapsed="false">
      <c r="B175" s="48" t="n">
        <v>44998.7140393519</v>
      </c>
      <c r="C175" s="4" t="n">
        <f aca="false">YEAR(B175)</f>
        <v>2023</v>
      </c>
      <c r="D175" s="49" t="s">
        <v>278</v>
      </c>
      <c r="E175" s="49" t="s">
        <v>623</v>
      </c>
      <c r="F175" s="50" t="n">
        <v>125</v>
      </c>
      <c r="G175" s="49" t="s">
        <v>290</v>
      </c>
      <c r="H175" s="51" t="n">
        <v>0.464</v>
      </c>
      <c r="I175" s="51" t="n">
        <v>0.5212</v>
      </c>
      <c r="J175" s="51" t="n">
        <v>0.0148</v>
      </c>
      <c r="K175" s="49"/>
      <c r="L175" s="49"/>
      <c r="M175" s="49"/>
      <c r="N175" s="49"/>
      <c r="O175" s="49"/>
      <c r="P175" s="49"/>
      <c r="Q175" s="49"/>
      <c r="R175" s="49" t="s">
        <v>281</v>
      </c>
      <c r="S175" s="49" t="n">
        <v>0</v>
      </c>
      <c r="T175" s="49" t="n">
        <v>0</v>
      </c>
      <c r="U175" s="49" t="s">
        <v>624</v>
      </c>
    </row>
    <row r="176" customFormat="false" ht="15" hidden="false" customHeight="false" outlineLevel="0" collapsed="false">
      <c r="B176" s="48" t="n">
        <v>44998.7565625</v>
      </c>
      <c r="C176" s="4" t="n">
        <f aca="false">YEAR(B176)</f>
        <v>2023</v>
      </c>
      <c r="D176" s="49" t="s">
        <v>283</v>
      </c>
      <c r="E176" s="49" t="s">
        <v>625</v>
      </c>
      <c r="F176" s="50" t="n">
        <v>1</v>
      </c>
      <c r="G176" s="49" t="s">
        <v>287</v>
      </c>
      <c r="H176" s="51" t="n">
        <v>0.0027</v>
      </c>
      <c r="I176" s="51" t="n">
        <v>0.0152</v>
      </c>
      <c r="J176" s="51" t="n">
        <v>0.9822</v>
      </c>
      <c r="K176" s="49"/>
      <c r="L176" s="49"/>
      <c r="M176" s="49"/>
      <c r="N176" s="49"/>
      <c r="O176" s="49"/>
      <c r="P176" s="49"/>
      <c r="Q176" s="49"/>
      <c r="R176" s="49"/>
      <c r="S176" s="49" t="n">
        <v>1</v>
      </c>
      <c r="T176" s="49" t="n">
        <v>0</v>
      </c>
      <c r="U176" s="49" t="s">
        <v>626</v>
      </c>
    </row>
    <row r="177" customFormat="false" ht="15" hidden="false" customHeight="false" outlineLevel="0" collapsed="false">
      <c r="B177" s="48" t="n">
        <v>44998.7849768519</v>
      </c>
      <c r="C177" s="4" t="n">
        <f aca="false">YEAR(B177)</f>
        <v>2023</v>
      </c>
      <c r="D177" s="49" t="s">
        <v>278</v>
      </c>
      <c r="E177" s="49" t="s">
        <v>627</v>
      </c>
      <c r="F177" s="50" t="n">
        <v>18</v>
      </c>
      <c r="G177" s="49" t="s">
        <v>290</v>
      </c>
      <c r="H177" s="51" t="n">
        <v>0.2564</v>
      </c>
      <c r="I177" s="51" t="n">
        <v>0.6225</v>
      </c>
      <c r="J177" s="51" t="n">
        <v>0.1211</v>
      </c>
      <c r="K177" s="49"/>
      <c r="L177" s="49"/>
      <c r="M177" s="49"/>
      <c r="N177" s="49"/>
      <c r="O177" s="49"/>
      <c r="P177" s="49"/>
      <c r="Q177" s="49"/>
      <c r="R177" s="49" t="s">
        <v>281</v>
      </c>
      <c r="S177" s="49" t="n">
        <v>0</v>
      </c>
      <c r="T177" s="49" t="n">
        <v>0</v>
      </c>
      <c r="U177" s="49" t="s">
        <v>628</v>
      </c>
    </row>
    <row r="178" customFormat="false" ht="15" hidden="false" customHeight="false" outlineLevel="0" collapsed="false">
      <c r="B178" s="48" t="n">
        <v>44998.8474074074</v>
      </c>
      <c r="C178" s="4" t="n">
        <f aca="false">YEAR(B178)</f>
        <v>2023</v>
      </c>
      <c r="D178" s="49" t="s">
        <v>283</v>
      </c>
      <c r="E178" s="49" t="s">
        <v>629</v>
      </c>
      <c r="F178" s="50" t="n">
        <v>1</v>
      </c>
      <c r="G178" s="49" t="s">
        <v>290</v>
      </c>
      <c r="H178" s="51" t="n">
        <v>0.0042</v>
      </c>
      <c r="I178" s="51" t="n">
        <v>0.7004</v>
      </c>
      <c r="J178" s="51" t="n">
        <v>0.2954</v>
      </c>
      <c r="K178" s="49"/>
      <c r="L178" s="49"/>
      <c r="M178" s="49"/>
      <c r="N178" s="49"/>
      <c r="O178" s="49"/>
      <c r="P178" s="49"/>
      <c r="Q178" s="49"/>
      <c r="R178" s="49"/>
      <c r="S178" s="49" t="n">
        <v>0</v>
      </c>
      <c r="T178" s="49" t="n">
        <v>0</v>
      </c>
      <c r="U178" s="49" t="s">
        <v>630</v>
      </c>
    </row>
    <row r="179" customFormat="false" ht="15" hidden="false" customHeight="false" outlineLevel="0" collapsed="false">
      <c r="B179" s="48" t="n">
        <v>44998.9346990741</v>
      </c>
      <c r="C179" s="4" t="n">
        <f aca="false">YEAR(B179)</f>
        <v>2023</v>
      </c>
      <c r="D179" s="49" t="s">
        <v>278</v>
      </c>
      <c r="E179" s="49" t="s">
        <v>631</v>
      </c>
      <c r="F179" s="50" t="n">
        <v>1</v>
      </c>
      <c r="G179" s="49" t="s">
        <v>290</v>
      </c>
      <c r="H179" s="51" t="n">
        <v>0.0125</v>
      </c>
      <c r="I179" s="51" t="n">
        <v>0.6124</v>
      </c>
      <c r="J179" s="51" t="n">
        <v>0.3752</v>
      </c>
      <c r="K179" s="49"/>
      <c r="L179" s="49"/>
      <c r="M179" s="49"/>
      <c r="N179" s="49"/>
      <c r="O179" s="49"/>
      <c r="P179" s="49"/>
      <c r="Q179" s="49"/>
      <c r="R179" s="49" t="s">
        <v>281</v>
      </c>
      <c r="S179" s="49" t="n">
        <v>1</v>
      </c>
      <c r="T179" s="49" t="n">
        <v>0</v>
      </c>
      <c r="U179" s="49" t="s">
        <v>632</v>
      </c>
    </row>
    <row r="180" customFormat="false" ht="15" hidden="false" customHeight="false" outlineLevel="0" collapsed="false">
      <c r="B180" s="48" t="n">
        <v>44999.0984027778</v>
      </c>
      <c r="C180" s="4" t="n">
        <f aca="false">YEAR(B180)</f>
        <v>2023</v>
      </c>
      <c r="D180" s="49" t="s">
        <v>283</v>
      </c>
      <c r="E180" s="49" t="s">
        <v>633</v>
      </c>
      <c r="F180" s="50" t="n">
        <v>1</v>
      </c>
      <c r="G180" s="49" t="s">
        <v>290</v>
      </c>
      <c r="H180" s="51" t="n">
        <v>0.009</v>
      </c>
      <c r="I180" s="51" t="n">
        <v>0.5473</v>
      </c>
      <c r="J180" s="51" t="n">
        <v>0.4437</v>
      </c>
      <c r="K180" s="49"/>
      <c r="L180" s="49"/>
      <c r="M180" s="49"/>
      <c r="N180" s="49"/>
      <c r="O180" s="49"/>
      <c r="P180" s="49"/>
      <c r="Q180" s="49"/>
      <c r="R180" s="49"/>
      <c r="S180" s="49" t="n">
        <v>0</v>
      </c>
      <c r="T180" s="49" t="n">
        <v>0</v>
      </c>
      <c r="U180" s="49" t="s">
        <v>634</v>
      </c>
    </row>
    <row r="181" customFormat="false" ht="15" hidden="false" customHeight="false" outlineLevel="0" collapsed="false">
      <c r="B181" s="48" t="n">
        <v>44999.3202083333</v>
      </c>
      <c r="C181" s="4" t="n">
        <f aca="false">YEAR(B181)</f>
        <v>2023</v>
      </c>
      <c r="D181" s="49" t="s">
        <v>283</v>
      </c>
      <c r="E181" s="49" t="s">
        <v>635</v>
      </c>
      <c r="F181" s="50" t="n">
        <v>52</v>
      </c>
      <c r="G181" s="49" t="s">
        <v>280</v>
      </c>
      <c r="H181" s="51" t="n">
        <v>0.5411</v>
      </c>
      <c r="I181" s="51" t="n">
        <v>0.3928</v>
      </c>
      <c r="J181" s="51" t="n">
        <v>0.0662</v>
      </c>
      <c r="K181" s="49" t="s">
        <v>281</v>
      </c>
      <c r="L181" s="49"/>
      <c r="M181" s="49"/>
      <c r="N181" s="49"/>
      <c r="O181" s="49"/>
      <c r="P181" s="49"/>
      <c r="Q181" s="49"/>
      <c r="R181" s="49" t="s">
        <v>281</v>
      </c>
      <c r="S181" s="49" t="n">
        <v>0</v>
      </c>
      <c r="T181" s="49" t="n">
        <v>0</v>
      </c>
      <c r="U181" s="49" t="s">
        <v>636</v>
      </c>
    </row>
    <row r="182" customFormat="false" ht="15" hidden="false" customHeight="false" outlineLevel="0" collapsed="false">
      <c r="B182" s="48" t="n">
        <v>45000.8413425926</v>
      </c>
      <c r="C182" s="4" t="n">
        <f aca="false">YEAR(B182)</f>
        <v>2023</v>
      </c>
      <c r="D182" s="49" t="s">
        <v>278</v>
      </c>
      <c r="E182" s="49" t="s">
        <v>637</v>
      </c>
      <c r="F182" s="50" t="n">
        <v>39</v>
      </c>
      <c r="G182" s="49" t="s">
        <v>290</v>
      </c>
      <c r="H182" s="51" t="n">
        <v>0.0124</v>
      </c>
      <c r="I182" s="51" t="n">
        <v>0.868</v>
      </c>
      <c r="J182" s="51" t="n">
        <v>0.1196</v>
      </c>
      <c r="K182" s="49"/>
      <c r="L182" s="49"/>
      <c r="M182" s="49"/>
      <c r="N182" s="49"/>
      <c r="O182" s="49"/>
      <c r="P182" s="49"/>
      <c r="Q182" s="49"/>
      <c r="R182" s="49"/>
      <c r="S182" s="49" t="n">
        <v>0</v>
      </c>
      <c r="T182" s="49" t="n">
        <v>0</v>
      </c>
      <c r="U182" s="49" t="s">
        <v>638</v>
      </c>
    </row>
    <row r="183" customFormat="false" ht="15" hidden="false" customHeight="false" outlineLevel="0" collapsed="false">
      <c r="B183" s="48" t="n">
        <v>45001.2505439815</v>
      </c>
      <c r="C183" s="4" t="n">
        <f aca="false">YEAR(B183)</f>
        <v>2023</v>
      </c>
      <c r="D183" s="49" t="s">
        <v>283</v>
      </c>
      <c r="E183" s="49" t="s">
        <v>639</v>
      </c>
      <c r="F183" s="50" t="n">
        <v>1</v>
      </c>
      <c r="G183" s="49" t="s">
        <v>280</v>
      </c>
      <c r="H183" s="51" t="n">
        <v>0.7456</v>
      </c>
      <c r="I183" s="51" t="n">
        <v>0.1919</v>
      </c>
      <c r="J183" s="51" t="n">
        <v>0.0625</v>
      </c>
      <c r="K183" s="49"/>
      <c r="L183" s="49"/>
      <c r="M183" s="49"/>
      <c r="N183" s="49"/>
      <c r="O183" s="49"/>
      <c r="P183" s="49"/>
      <c r="Q183" s="49"/>
      <c r="R183" s="49"/>
      <c r="S183" s="49" t="n">
        <v>1</v>
      </c>
      <c r="T183" s="49" t="n">
        <v>0</v>
      </c>
      <c r="U183" s="49" t="s">
        <v>640</v>
      </c>
    </row>
    <row r="184" customFormat="false" ht="15" hidden="false" customHeight="false" outlineLevel="0" collapsed="false">
      <c r="B184" s="48" t="n">
        <v>45001.7459837963</v>
      </c>
      <c r="C184" s="4" t="n">
        <f aca="false">YEAR(B184)</f>
        <v>2023</v>
      </c>
      <c r="D184" s="49" t="s">
        <v>278</v>
      </c>
      <c r="E184" s="49" t="s">
        <v>641</v>
      </c>
      <c r="F184" s="50" t="n">
        <v>21</v>
      </c>
      <c r="G184" s="49" t="s">
        <v>280</v>
      </c>
      <c r="H184" s="51" t="n">
        <v>0.9002</v>
      </c>
      <c r="I184" s="51" t="n">
        <v>0.0892</v>
      </c>
      <c r="J184" s="51" t="n">
        <v>0.0106</v>
      </c>
      <c r="K184" s="49"/>
      <c r="L184" s="49"/>
      <c r="M184" s="49"/>
      <c r="N184" s="49"/>
      <c r="O184" s="49"/>
      <c r="P184" s="49"/>
      <c r="Q184" s="49"/>
      <c r="R184" s="49"/>
      <c r="S184" s="49" t="n">
        <v>0</v>
      </c>
      <c r="T184" s="49" t="n">
        <v>0</v>
      </c>
      <c r="U184" s="49" t="s">
        <v>642</v>
      </c>
    </row>
    <row r="185" customFormat="false" ht="15" hidden="false" customHeight="false" outlineLevel="0" collapsed="false">
      <c r="B185" s="48" t="n">
        <v>45002.0633912037</v>
      </c>
      <c r="C185" s="4" t="n">
        <f aca="false">YEAR(B185)</f>
        <v>2023</v>
      </c>
      <c r="D185" s="49" t="s">
        <v>283</v>
      </c>
      <c r="E185" s="49" t="s">
        <v>643</v>
      </c>
      <c r="F185" s="50" t="n">
        <v>1</v>
      </c>
      <c r="G185" s="49" t="s">
        <v>280</v>
      </c>
      <c r="H185" s="51" t="n">
        <v>0.7513</v>
      </c>
      <c r="I185" s="51" t="n">
        <v>0.241</v>
      </c>
      <c r="J185" s="51" t="n">
        <v>0.0077</v>
      </c>
      <c r="K185" s="49"/>
      <c r="L185" s="49"/>
      <c r="M185" s="49" t="s">
        <v>281</v>
      </c>
      <c r="N185" s="49"/>
      <c r="O185" s="49"/>
      <c r="P185" s="49"/>
      <c r="Q185" s="49"/>
      <c r="R185" s="49"/>
      <c r="S185" s="49" t="n">
        <v>1</v>
      </c>
      <c r="T185" s="49" t="n">
        <v>0</v>
      </c>
      <c r="U185" s="49" t="s">
        <v>644</v>
      </c>
    </row>
    <row r="186" customFormat="false" ht="15" hidden="false" customHeight="false" outlineLevel="0" collapsed="false">
      <c r="B186" s="48" t="n">
        <v>45002.1759490741</v>
      </c>
      <c r="C186" s="4" t="n">
        <f aca="false">YEAR(B186)</f>
        <v>2023</v>
      </c>
      <c r="D186" s="49" t="s">
        <v>283</v>
      </c>
      <c r="E186" s="49" t="s">
        <v>645</v>
      </c>
      <c r="F186" s="50" t="n">
        <v>1</v>
      </c>
      <c r="G186" s="49" t="s">
        <v>280</v>
      </c>
      <c r="H186" s="51" t="n">
        <v>0.5268</v>
      </c>
      <c r="I186" s="51" t="n">
        <v>0.4496</v>
      </c>
      <c r="J186" s="51" t="n">
        <v>0.0236</v>
      </c>
      <c r="K186" s="49"/>
      <c r="L186" s="49"/>
      <c r="M186" s="49"/>
      <c r="N186" s="49"/>
      <c r="O186" s="49"/>
      <c r="P186" s="49"/>
      <c r="Q186" s="49"/>
      <c r="R186" s="49"/>
      <c r="S186" s="49" t="n">
        <v>1</v>
      </c>
      <c r="T186" s="49" t="n">
        <v>0</v>
      </c>
      <c r="U186" s="49" t="s">
        <v>646</v>
      </c>
    </row>
    <row r="187" customFormat="false" ht="15" hidden="false" customHeight="false" outlineLevel="0" collapsed="false">
      <c r="B187" s="48" t="n">
        <v>45002.2038773148</v>
      </c>
      <c r="C187" s="4" t="n">
        <f aca="false">YEAR(B187)</f>
        <v>2023</v>
      </c>
      <c r="D187" s="49" t="s">
        <v>283</v>
      </c>
      <c r="E187" s="49" t="s">
        <v>647</v>
      </c>
      <c r="F187" s="50" t="n">
        <v>1</v>
      </c>
      <c r="G187" s="49" t="s">
        <v>290</v>
      </c>
      <c r="H187" s="51" t="n">
        <v>0.0077</v>
      </c>
      <c r="I187" s="51" t="n">
        <v>0.7612</v>
      </c>
      <c r="J187" s="51" t="n">
        <v>0.2311</v>
      </c>
      <c r="K187" s="49"/>
      <c r="L187" s="49"/>
      <c r="M187" s="49"/>
      <c r="N187" s="49"/>
      <c r="O187" s="49"/>
      <c r="P187" s="49"/>
      <c r="Q187" s="49"/>
      <c r="R187" s="49"/>
      <c r="S187" s="49" t="n">
        <v>0</v>
      </c>
      <c r="T187" s="49" t="n">
        <v>0</v>
      </c>
      <c r="U187" s="49" t="s">
        <v>648</v>
      </c>
    </row>
    <row r="188" customFormat="false" ht="15" hidden="false" customHeight="false" outlineLevel="0" collapsed="false">
      <c r="B188" s="48" t="n">
        <v>45002.4003587963</v>
      </c>
      <c r="C188" s="4" t="n">
        <f aca="false">YEAR(B188)</f>
        <v>2023</v>
      </c>
      <c r="D188" s="49" t="s">
        <v>283</v>
      </c>
      <c r="E188" s="49" t="s">
        <v>649</v>
      </c>
      <c r="F188" s="50" t="n">
        <v>1</v>
      </c>
      <c r="G188" s="49" t="s">
        <v>280</v>
      </c>
      <c r="H188" s="51" t="n">
        <v>0.7253</v>
      </c>
      <c r="I188" s="51" t="n">
        <v>0.2623</v>
      </c>
      <c r="J188" s="51" t="n">
        <v>0.0123</v>
      </c>
      <c r="K188" s="49"/>
      <c r="L188" s="49"/>
      <c r="M188" s="49"/>
      <c r="N188" s="49"/>
      <c r="O188" s="49"/>
      <c r="P188" s="49"/>
      <c r="Q188" s="49"/>
      <c r="R188" s="49"/>
      <c r="S188" s="49" t="n">
        <v>0</v>
      </c>
      <c r="T188" s="49" t="n">
        <v>0</v>
      </c>
      <c r="U188" s="49" t="s">
        <v>650</v>
      </c>
    </row>
    <row r="189" customFormat="false" ht="15" hidden="false" customHeight="false" outlineLevel="0" collapsed="false">
      <c r="B189" s="48" t="n">
        <v>45002.6403703704</v>
      </c>
      <c r="C189" s="4" t="n">
        <f aca="false">YEAR(B189)</f>
        <v>2023</v>
      </c>
      <c r="D189" s="49" t="s">
        <v>283</v>
      </c>
      <c r="E189" s="49" t="s">
        <v>651</v>
      </c>
      <c r="F189" s="50" t="n">
        <v>4</v>
      </c>
      <c r="G189" s="49" t="s">
        <v>290</v>
      </c>
      <c r="H189" s="51" t="n">
        <v>0.2224</v>
      </c>
      <c r="I189" s="51" t="n">
        <v>0.6946</v>
      </c>
      <c r="J189" s="51" t="n">
        <v>0.083</v>
      </c>
      <c r="K189" s="49"/>
      <c r="L189" s="49"/>
      <c r="M189" s="49"/>
      <c r="N189" s="49"/>
      <c r="O189" s="49"/>
      <c r="P189" s="49"/>
      <c r="Q189" s="49" t="s">
        <v>281</v>
      </c>
      <c r="R189" s="49"/>
      <c r="S189" s="49" t="n">
        <v>0</v>
      </c>
      <c r="T189" s="49" t="n">
        <v>0</v>
      </c>
      <c r="U189" s="49" t="s">
        <v>652</v>
      </c>
    </row>
    <row r="190" customFormat="false" ht="15" hidden="false" customHeight="false" outlineLevel="0" collapsed="false">
      <c r="B190" s="48" t="n">
        <v>45002.8894675926</v>
      </c>
      <c r="C190" s="4" t="n">
        <f aca="false">YEAR(B190)</f>
        <v>2023</v>
      </c>
      <c r="D190" s="49" t="s">
        <v>278</v>
      </c>
      <c r="E190" s="49" t="s">
        <v>653</v>
      </c>
      <c r="F190" s="50" t="n">
        <v>0</v>
      </c>
      <c r="G190" s="49" t="s">
        <v>280</v>
      </c>
      <c r="H190" s="51" t="n">
        <v>0.801</v>
      </c>
      <c r="I190" s="51" t="n">
        <v>0.1775</v>
      </c>
      <c r="J190" s="51" t="n">
        <v>0.0215</v>
      </c>
      <c r="K190" s="49"/>
      <c r="L190" s="49"/>
      <c r="M190" s="49"/>
      <c r="N190" s="49"/>
      <c r="O190" s="49"/>
      <c r="P190" s="49"/>
      <c r="Q190" s="49"/>
      <c r="R190" s="49" t="s">
        <v>281</v>
      </c>
      <c r="S190" s="49" t="n">
        <v>0</v>
      </c>
      <c r="T190" s="49" t="n">
        <v>0</v>
      </c>
      <c r="U190" s="49" t="s">
        <v>654</v>
      </c>
    </row>
    <row r="191" customFormat="false" ht="15" hidden="false" customHeight="false" outlineLevel="0" collapsed="false">
      <c r="B191" s="48" t="n">
        <v>45003.7038888889</v>
      </c>
      <c r="C191" s="4" t="n">
        <f aca="false">YEAR(B191)</f>
        <v>2023</v>
      </c>
      <c r="D191" s="49" t="s">
        <v>278</v>
      </c>
      <c r="E191" s="49" t="s">
        <v>655</v>
      </c>
      <c r="F191" s="50" t="n">
        <v>1</v>
      </c>
      <c r="G191" s="49" t="s">
        <v>290</v>
      </c>
      <c r="H191" s="51" t="n">
        <v>0.3424</v>
      </c>
      <c r="I191" s="51" t="n">
        <v>0.6122</v>
      </c>
      <c r="J191" s="51" t="n">
        <v>0.0453</v>
      </c>
      <c r="K191" s="49"/>
      <c r="L191" s="49"/>
      <c r="M191" s="49"/>
      <c r="N191" s="49"/>
      <c r="O191" s="49"/>
      <c r="P191" s="49"/>
      <c r="Q191" s="49"/>
      <c r="R191" s="49"/>
      <c r="S191" s="49" t="n">
        <v>0</v>
      </c>
      <c r="T191" s="49" t="n">
        <v>0</v>
      </c>
      <c r="U191" s="49" t="s">
        <v>656</v>
      </c>
    </row>
    <row r="192" customFormat="false" ht="15" hidden="false" customHeight="false" outlineLevel="0" collapsed="false">
      <c r="B192" s="48" t="n">
        <v>45003.7083680556</v>
      </c>
      <c r="C192" s="4" t="n">
        <f aca="false">YEAR(B192)</f>
        <v>2023</v>
      </c>
      <c r="D192" s="49" t="s">
        <v>278</v>
      </c>
      <c r="E192" s="49" t="s">
        <v>657</v>
      </c>
      <c r="F192" s="50" t="n">
        <v>1</v>
      </c>
      <c r="G192" s="49" t="s">
        <v>290</v>
      </c>
      <c r="H192" s="51" t="n">
        <v>0.1267</v>
      </c>
      <c r="I192" s="51" t="n">
        <v>0.7534</v>
      </c>
      <c r="J192" s="51" t="n">
        <v>0.1199</v>
      </c>
      <c r="K192" s="49"/>
      <c r="L192" s="49"/>
      <c r="M192" s="49"/>
      <c r="N192" s="49"/>
      <c r="O192" s="49"/>
      <c r="P192" s="49"/>
      <c r="Q192" s="49"/>
      <c r="R192" s="49"/>
      <c r="S192" s="49" t="n">
        <v>1</v>
      </c>
      <c r="T192" s="49" t="n">
        <v>0</v>
      </c>
      <c r="U192" s="49" t="s">
        <v>658</v>
      </c>
    </row>
    <row r="193" customFormat="false" ht="15" hidden="false" customHeight="false" outlineLevel="0" collapsed="false">
      <c r="B193" s="48" t="n">
        <v>45004.1754166667</v>
      </c>
      <c r="C193" s="4" t="n">
        <f aca="false">YEAR(B193)</f>
        <v>2023</v>
      </c>
      <c r="D193" s="49" t="s">
        <v>283</v>
      </c>
      <c r="E193" s="49" t="s">
        <v>659</v>
      </c>
      <c r="F193" s="50" t="n">
        <v>1</v>
      </c>
      <c r="G193" s="49" t="s">
        <v>287</v>
      </c>
      <c r="H193" s="51" t="n">
        <v>0.0034</v>
      </c>
      <c r="I193" s="51" t="n">
        <v>0.1723</v>
      </c>
      <c r="J193" s="51" t="n">
        <v>0.8242</v>
      </c>
      <c r="K193" s="49"/>
      <c r="L193" s="49"/>
      <c r="M193" s="49"/>
      <c r="N193" s="49"/>
      <c r="O193" s="49"/>
      <c r="P193" s="49"/>
      <c r="Q193" s="49"/>
      <c r="R193" s="49"/>
      <c r="S193" s="49" t="n">
        <v>0</v>
      </c>
      <c r="T193" s="49" t="n">
        <v>0</v>
      </c>
      <c r="U193" s="49" t="s">
        <v>660</v>
      </c>
    </row>
    <row r="194" customFormat="false" ht="15" hidden="false" customHeight="false" outlineLevel="0" collapsed="false">
      <c r="B194" s="48" t="n">
        <v>45005.4170601852</v>
      </c>
      <c r="C194" s="4" t="n">
        <f aca="false">YEAR(B194)</f>
        <v>2023</v>
      </c>
      <c r="D194" s="49" t="s">
        <v>283</v>
      </c>
      <c r="E194" s="49" t="s">
        <v>661</v>
      </c>
      <c r="F194" s="50" t="n">
        <v>1</v>
      </c>
      <c r="G194" s="49" t="s">
        <v>290</v>
      </c>
      <c r="H194" s="51" t="n">
        <v>0.0068</v>
      </c>
      <c r="I194" s="51" t="n">
        <v>0.9058</v>
      </c>
      <c r="J194" s="51" t="n">
        <v>0.0874</v>
      </c>
      <c r="K194" s="49"/>
      <c r="L194" s="49"/>
      <c r="M194" s="49"/>
      <c r="N194" s="49"/>
      <c r="O194" s="49"/>
      <c r="P194" s="49"/>
      <c r="Q194" s="49"/>
      <c r="R194" s="49" t="s">
        <v>281</v>
      </c>
      <c r="S194" s="49" t="n">
        <v>1</v>
      </c>
      <c r="T194" s="49" t="n">
        <v>0</v>
      </c>
      <c r="U194" s="49" t="s">
        <v>662</v>
      </c>
    </row>
    <row r="195" customFormat="false" ht="15" hidden="false" customHeight="false" outlineLevel="0" collapsed="false">
      <c r="B195" s="48" t="n">
        <v>45005.8499421296</v>
      </c>
      <c r="C195" s="4" t="n">
        <f aca="false">YEAR(B195)</f>
        <v>2023</v>
      </c>
      <c r="D195" s="49" t="s">
        <v>278</v>
      </c>
      <c r="E195" s="49" t="s">
        <v>663</v>
      </c>
      <c r="F195" s="50" t="n">
        <v>2</v>
      </c>
      <c r="G195" s="49" t="s">
        <v>280</v>
      </c>
      <c r="H195" s="51" t="n">
        <v>0.7823</v>
      </c>
      <c r="I195" s="51" t="n">
        <v>0.2076</v>
      </c>
      <c r="J195" s="51" t="n">
        <v>0.0101</v>
      </c>
      <c r="K195" s="49"/>
      <c r="L195" s="49"/>
      <c r="M195" s="49"/>
      <c r="N195" s="49"/>
      <c r="O195" s="49"/>
      <c r="P195" s="49"/>
      <c r="Q195" s="49"/>
      <c r="R195" s="49"/>
      <c r="S195" s="49" t="n">
        <v>0</v>
      </c>
      <c r="T195" s="49" t="n">
        <v>0</v>
      </c>
      <c r="U195" s="49" t="s">
        <v>664</v>
      </c>
    </row>
    <row r="196" customFormat="false" ht="15" hidden="false" customHeight="false" outlineLevel="0" collapsed="false">
      <c r="B196" s="48" t="n">
        <v>45006.2679513889</v>
      </c>
      <c r="C196" s="4" t="n">
        <f aca="false">YEAR(B196)</f>
        <v>2023</v>
      </c>
      <c r="D196" s="49" t="s">
        <v>278</v>
      </c>
      <c r="E196" s="49" t="s">
        <v>665</v>
      </c>
      <c r="F196" s="50" t="n">
        <v>3</v>
      </c>
      <c r="G196" s="49" t="s">
        <v>280</v>
      </c>
      <c r="H196" s="51" t="n">
        <v>0.8301</v>
      </c>
      <c r="I196" s="51" t="n">
        <v>0.1602</v>
      </c>
      <c r="J196" s="51" t="n">
        <v>0.0097</v>
      </c>
      <c r="K196" s="49"/>
      <c r="L196" s="49"/>
      <c r="M196" s="49"/>
      <c r="N196" s="49"/>
      <c r="O196" s="49"/>
      <c r="P196" s="49"/>
      <c r="Q196" s="49"/>
      <c r="R196" s="49"/>
      <c r="S196" s="49" t="n">
        <v>0</v>
      </c>
      <c r="T196" s="49" t="n">
        <v>0</v>
      </c>
      <c r="U196" s="49" t="s">
        <v>666</v>
      </c>
    </row>
    <row r="197" customFormat="false" ht="15" hidden="false" customHeight="false" outlineLevel="0" collapsed="false">
      <c r="B197" s="48" t="n">
        <v>45006.2894791667</v>
      </c>
      <c r="C197" s="4" t="n">
        <f aca="false">YEAR(B197)</f>
        <v>2023</v>
      </c>
      <c r="D197" s="49" t="s">
        <v>283</v>
      </c>
      <c r="E197" s="49" t="s">
        <v>667</v>
      </c>
      <c r="F197" s="50" t="n">
        <v>1</v>
      </c>
      <c r="G197" s="49" t="s">
        <v>290</v>
      </c>
      <c r="H197" s="51" t="n">
        <v>0.2471</v>
      </c>
      <c r="I197" s="51" t="n">
        <v>0.733</v>
      </c>
      <c r="J197" s="51" t="n">
        <v>0.0199</v>
      </c>
      <c r="K197" s="49"/>
      <c r="L197" s="49"/>
      <c r="M197" s="49"/>
      <c r="N197" s="49"/>
      <c r="O197" s="49"/>
      <c r="P197" s="49"/>
      <c r="Q197" s="49"/>
      <c r="R197" s="49"/>
      <c r="S197" s="49" t="n">
        <v>1</v>
      </c>
      <c r="T197" s="49" t="n">
        <v>0</v>
      </c>
      <c r="U197" s="49" t="s">
        <v>668</v>
      </c>
    </row>
    <row r="198" customFormat="false" ht="15" hidden="false" customHeight="false" outlineLevel="0" collapsed="false">
      <c r="B198" s="48" t="n">
        <v>45006.9526967593</v>
      </c>
      <c r="C198" s="4" t="n">
        <f aca="false">YEAR(B198)</f>
        <v>2023</v>
      </c>
      <c r="D198" s="49" t="s">
        <v>283</v>
      </c>
      <c r="E198" s="49" t="s">
        <v>669</v>
      </c>
      <c r="F198" s="50" t="n">
        <v>1</v>
      </c>
      <c r="G198" s="49" t="s">
        <v>287</v>
      </c>
      <c r="H198" s="51" t="n">
        <v>0.0069</v>
      </c>
      <c r="I198" s="51" t="n">
        <v>0.1679</v>
      </c>
      <c r="J198" s="51" t="n">
        <v>0.8251</v>
      </c>
      <c r="K198" s="49"/>
      <c r="L198" s="49"/>
      <c r="M198" s="49"/>
      <c r="N198" s="49"/>
      <c r="O198" s="49"/>
      <c r="P198" s="49"/>
      <c r="Q198" s="49"/>
      <c r="R198" s="49"/>
      <c r="S198" s="49" t="n">
        <v>0</v>
      </c>
      <c r="T198" s="49" t="n">
        <v>0</v>
      </c>
      <c r="U198" s="49" t="s">
        <v>670</v>
      </c>
    </row>
    <row r="199" customFormat="false" ht="15" hidden="false" customHeight="false" outlineLevel="0" collapsed="false">
      <c r="B199" s="48" t="n">
        <v>45007.0030671296</v>
      </c>
      <c r="C199" s="4" t="n">
        <f aca="false">YEAR(B199)</f>
        <v>2023</v>
      </c>
      <c r="D199" s="49" t="s">
        <v>283</v>
      </c>
      <c r="E199" s="49" t="s">
        <v>671</v>
      </c>
      <c r="F199" s="50" t="n">
        <v>0</v>
      </c>
      <c r="G199" s="49" t="s">
        <v>287</v>
      </c>
      <c r="H199" s="51" t="n">
        <v>0.0049</v>
      </c>
      <c r="I199" s="51" t="n">
        <v>0.3861</v>
      </c>
      <c r="J199" s="51" t="n">
        <v>0.6091</v>
      </c>
      <c r="K199" s="49"/>
      <c r="L199" s="49"/>
      <c r="M199" s="49"/>
      <c r="N199" s="49"/>
      <c r="O199" s="49"/>
      <c r="P199" s="49"/>
      <c r="Q199" s="49"/>
      <c r="R199" s="49"/>
      <c r="S199" s="49" t="n">
        <v>1</v>
      </c>
      <c r="T199" s="49" t="n">
        <v>0</v>
      </c>
      <c r="U199" s="49" t="s">
        <v>672</v>
      </c>
    </row>
    <row r="200" customFormat="false" ht="15" hidden="false" customHeight="false" outlineLevel="0" collapsed="false">
      <c r="B200" s="48" t="n">
        <v>45007.6158796296</v>
      </c>
      <c r="C200" s="4" t="n">
        <f aca="false">YEAR(B200)</f>
        <v>2023</v>
      </c>
      <c r="D200" s="49" t="s">
        <v>278</v>
      </c>
      <c r="E200" s="49" t="s">
        <v>673</v>
      </c>
      <c r="F200" s="50" t="n">
        <v>1</v>
      </c>
      <c r="G200" s="49" t="s">
        <v>290</v>
      </c>
      <c r="H200" s="51" t="n">
        <v>0.074</v>
      </c>
      <c r="I200" s="51" t="n">
        <v>0.6806</v>
      </c>
      <c r="J200" s="51" t="n">
        <v>0.2454</v>
      </c>
      <c r="K200" s="49"/>
      <c r="L200" s="49"/>
      <c r="M200" s="49"/>
      <c r="N200" s="49"/>
      <c r="O200" s="49"/>
      <c r="P200" s="49"/>
      <c r="Q200" s="49"/>
      <c r="R200" s="49" t="s">
        <v>281</v>
      </c>
      <c r="S200" s="49" t="n">
        <v>0</v>
      </c>
      <c r="T200" s="49" t="n">
        <v>0</v>
      </c>
      <c r="U200" s="49" t="s">
        <v>674</v>
      </c>
    </row>
    <row r="201" customFormat="false" ht="15" hidden="false" customHeight="false" outlineLevel="0" collapsed="false">
      <c r="B201" s="48" t="n">
        <v>45007.6374768519</v>
      </c>
      <c r="C201" s="4" t="n">
        <f aca="false">YEAR(B201)</f>
        <v>2023</v>
      </c>
      <c r="D201" s="49" t="s">
        <v>278</v>
      </c>
      <c r="E201" s="49" t="s">
        <v>675</v>
      </c>
      <c r="F201" s="50" t="n">
        <v>265</v>
      </c>
      <c r="G201" s="49" t="s">
        <v>280</v>
      </c>
      <c r="H201" s="51" t="n">
        <v>0.8558</v>
      </c>
      <c r="I201" s="51" t="n">
        <v>0.1361</v>
      </c>
      <c r="J201" s="51" t="n">
        <v>0.0081</v>
      </c>
      <c r="K201" s="49"/>
      <c r="L201" s="49"/>
      <c r="M201" s="49"/>
      <c r="N201" s="49"/>
      <c r="O201" s="49"/>
      <c r="P201" s="49"/>
      <c r="Q201" s="49"/>
      <c r="R201" s="49"/>
      <c r="S201" s="49" t="n">
        <v>0</v>
      </c>
      <c r="T201" s="49" t="n">
        <v>0</v>
      </c>
      <c r="U201" s="49" t="s">
        <v>676</v>
      </c>
    </row>
    <row r="202" customFormat="false" ht="15" hidden="false" customHeight="false" outlineLevel="0" collapsed="false">
      <c r="B202" s="48" t="n">
        <v>45007.7809722222</v>
      </c>
      <c r="C202" s="4" t="n">
        <f aca="false">YEAR(B202)</f>
        <v>2023</v>
      </c>
      <c r="D202" s="49" t="s">
        <v>278</v>
      </c>
      <c r="E202" s="49" t="s">
        <v>677</v>
      </c>
      <c r="F202" s="50" t="n">
        <v>3</v>
      </c>
      <c r="G202" s="49" t="s">
        <v>290</v>
      </c>
      <c r="H202" s="51" t="n">
        <v>0.013</v>
      </c>
      <c r="I202" s="51" t="n">
        <v>0.5141</v>
      </c>
      <c r="J202" s="51" t="n">
        <v>0.4729</v>
      </c>
      <c r="K202" s="49"/>
      <c r="L202" s="49"/>
      <c r="M202" s="49"/>
      <c r="N202" s="49"/>
      <c r="O202" s="49"/>
      <c r="P202" s="49"/>
      <c r="Q202" s="49"/>
      <c r="R202" s="49" t="s">
        <v>281</v>
      </c>
      <c r="S202" s="49" t="n">
        <v>0</v>
      </c>
      <c r="T202" s="49" t="n">
        <v>0</v>
      </c>
      <c r="U202" s="49" t="s">
        <v>678</v>
      </c>
    </row>
    <row r="203" customFormat="false" ht="15" hidden="false" customHeight="false" outlineLevel="0" collapsed="false">
      <c r="B203" s="48" t="n">
        <v>45007.8092939815</v>
      </c>
      <c r="C203" s="4" t="n">
        <f aca="false">YEAR(B203)</f>
        <v>2023</v>
      </c>
      <c r="D203" s="49" t="s">
        <v>283</v>
      </c>
      <c r="E203" s="49" t="s">
        <v>679</v>
      </c>
      <c r="F203" s="50" t="n">
        <v>101</v>
      </c>
      <c r="G203" s="49" t="s">
        <v>280</v>
      </c>
      <c r="H203" s="51" t="n">
        <v>0.7883</v>
      </c>
      <c r="I203" s="51" t="n">
        <v>0.1952</v>
      </c>
      <c r="J203" s="51" t="n">
        <v>0.0164</v>
      </c>
      <c r="K203" s="49"/>
      <c r="L203" s="49"/>
      <c r="M203" s="49"/>
      <c r="N203" s="49"/>
      <c r="O203" s="49"/>
      <c r="P203" s="49"/>
      <c r="Q203" s="49"/>
      <c r="R203" s="49" t="s">
        <v>281</v>
      </c>
      <c r="S203" s="49" t="n">
        <v>0</v>
      </c>
      <c r="T203" s="49" t="n">
        <v>0</v>
      </c>
      <c r="U203" s="49" t="s">
        <v>680</v>
      </c>
    </row>
    <row r="204" customFormat="false" ht="15" hidden="false" customHeight="false" outlineLevel="0" collapsed="false">
      <c r="B204" s="48" t="n">
        <v>45007.9220023148</v>
      </c>
      <c r="C204" s="4" t="n">
        <f aca="false">YEAR(B204)</f>
        <v>2023</v>
      </c>
      <c r="D204" s="49" t="s">
        <v>283</v>
      </c>
      <c r="E204" s="49" t="s">
        <v>681</v>
      </c>
      <c r="F204" s="50" t="n">
        <v>1</v>
      </c>
      <c r="G204" s="49" t="s">
        <v>290</v>
      </c>
      <c r="H204" s="51" t="n">
        <v>0.0861</v>
      </c>
      <c r="I204" s="51" t="n">
        <v>0.8851</v>
      </c>
      <c r="J204" s="51" t="n">
        <v>0.0289</v>
      </c>
      <c r="K204" s="49"/>
      <c r="L204" s="49"/>
      <c r="M204" s="49"/>
      <c r="N204" s="49"/>
      <c r="O204" s="49"/>
      <c r="P204" s="49"/>
      <c r="Q204" s="49"/>
      <c r="R204" s="49"/>
      <c r="S204" s="49" t="n">
        <v>1</v>
      </c>
      <c r="T204" s="49" t="n">
        <v>0</v>
      </c>
      <c r="U204" s="49" t="s">
        <v>682</v>
      </c>
    </row>
    <row r="205" customFormat="false" ht="15" hidden="false" customHeight="false" outlineLevel="0" collapsed="false">
      <c r="B205" s="48" t="n">
        <v>45008.1579861111</v>
      </c>
      <c r="C205" s="4" t="n">
        <f aca="false">YEAR(B205)</f>
        <v>2023</v>
      </c>
      <c r="D205" s="49" t="s">
        <v>283</v>
      </c>
      <c r="E205" s="49" t="s">
        <v>683</v>
      </c>
      <c r="F205" s="50" t="n">
        <v>3</v>
      </c>
      <c r="G205" s="49" t="s">
        <v>280</v>
      </c>
      <c r="H205" s="51" t="n">
        <v>0.7093</v>
      </c>
      <c r="I205" s="51" t="n">
        <v>0.2677</v>
      </c>
      <c r="J205" s="51" t="n">
        <v>0.023</v>
      </c>
      <c r="K205" s="49"/>
      <c r="L205" s="49"/>
      <c r="M205" s="49"/>
      <c r="N205" s="49"/>
      <c r="O205" s="49"/>
      <c r="P205" s="49"/>
      <c r="Q205" s="49"/>
      <c r="R205" s="49"/>
      <c r="S205" s="49" t="n">
        <v>0</v>
      </c>
      <c r="T205" s="49" t="n">
        <v>0</v>
      </c>
      <c r="U205" s="49" t="s">
        <v>684</v>
      </c>
    </row>
    <row r="206" customFormat="false" ht="15" hidden="false" customHeight="false" outlineLevel="0" collapsed="false">
      <c r="B206" s="48" t="n">
        <v>45008.431099537</v>
      </c>
      <c r="C206" s="4" t="n">
        <f aca="false">YEAR(B206)</f>
        <v>2023</v>
      </c>
      <c r="D206" s="49" t="s">
        <v>283</v>
      </c>
      <c r="E206" s="49" t="s">
        <v>685</v>
      </c>
      <c r="F206" s="50" t="n">
        <v>1</v>
      </c>
      <c r="G206" s="49" t="s">
        <v>280</v>
      </c>
      <c r="H206" s="51" t="n">
        <v>0.5196</v>
      </c>
      <c r="I206" s="51" t="n">
        <v>0.4431</v>
      </c>
      <c r="J206" s="51" t="n">
        <v>0.0373</v>
      </c>
      <c r="K206" s="49"/>
      <c r="L206" s="49"/>
      <c r="M206" s="49"/>
      <c r="N206" s="49"/>
      <c r="O206" s="49"/>
      <c r="P206" s="49"/>
      <c r="Q206" s="49"/>
      <c r="R206" s="49"/>
      <c r="S206" s="49" t="n">
        <v>0</v>
      </c>
      <c r="T206" s="49" t="n">
        <v>0</v>
      </c>
      <c r="U206" s="49" t="s">
        <v>686</v>
      </c>
    </row>
    <row r="207" customFormat="false" ht="15" hidden="false" customHeight="false" outlineLevel="0" collapsed="false">
      <c r="B207" s="48" t="n">
        <v>45008.6226967593</v>
      </c>
      <c r="C207" s="4" t="n">
        <f aca="false">YEAR(B207)</f>
        <v>2023</v>
      </c>
      <c r="D207" s="49" t="s">
        <v>278</v>
      </c>
      <c r="E207" s="49" t="s">
        <v>687</v>
      </c>
      <c r="F207" s="50" t="n">
        <v>3</v>
      </c>
      <c r="G207" s="49" t="s">
        <v>290</v>
      </c>
      <c r="H207" s="51" t="n">
        <v>0.4755</v>
      </c>
      <c r="I207" s="51" t="n">
        <v>0.5031</v>
      </c>
      <c r="J207" s="51" t="n">
        <v>0.0214</v>
      </c>
      <c r="K207" s="49"/>
      <c r="L207" s="49"/>
      <c r="M207" s="49"/>
      <c r="N207" s="49"/>
      <c r="O207" s="49"/>
      <c r="P207" s="49"/>
      <c r="Q207" s="49"/>
      <c r="R207" s="49"/>
      <c r="S207" s="49" t="n">
        <v>0</v>
      </c>
      <c r="T207" s="49" t="n">
        <v>0</v>
      </c>
      <c r="U207" s="49" t="s">
        <v>688</v>
      </c>
    </row>
    <row r="208" customFormat="false" ht="15" hidden="false" customHeight="false" outlineLevel="0" collapsed="false">
      <c r="B208" s="48" t="n">
        <v>45009.6812615741</v>
      </c>
      <c r="C208" s="4" t="n">
        <f aca="false">YEAR(B208)</f>
        <v>2023</v>
      </c>
      <c r="D208" s="49" t="s">
        <v>283</v>
      </c>
      <c r="E208" s="49" t="s">
        <v>689</v>
      </c>
      <c r="F208" s="50" t="n">
        <v>1</v>
      </c>
      <c r="G208" s="49" t="s">
        <v>290</v>
      </c>
      <c r="H208" s="51" t="n">
        <v>0.009</v>
      </c>
      <c r="I208" s="51" t="n">
        <v>0.8904</v>
      </c>
      <c r="J208" s="51" t="n">
        <v>0.1007</v>
      </c>
      <c r="K208" s="49"/>
      <c r="L208" s="49"/>
      <c r="M208" s="49"/>
      <c r="N208" s="49"/>
      <c r="O208" s="49"/>
      <c r="P208" s="49"/>
      <c r="Q208" s="49"/>
      <c r="R208" s="49"/>
      <c r="S208" s="49" t="n">
        <v>1</v>
      </c>
      <c r="T208" s="49" t="n">
        <v>0</v>
      </c>
      <c r="U208" s="49" t="s">
        <v>690</v>
      </c>
    </row>
    <row r="209" customFormat="false" ht="15" hidden="false" customHeight="false" outlineLevel="0" collapsed="false">
      <c r="B209" s="48" t="n">
        <v>45010.5847569444</v>
      </c>
      <c r="C209" s="4" t="n">
        <f aca="false">YEAR(B209)</f>
        <v>2023</v>
      </c>
      <c r="D209" s="49" t="s">
        <v>283</v>
      </c>
      <c r="E209" s="49" t="s">
        <v>691</v>
      </c>
      <c r="F209" s="50" t="n">
        <v>1</v>
      </c>
      <c r="G209" s="49" t="s">
        <v>290</v>
      </c>
      <c r="H209" s="51" t="n">
        <v>0.0736</v>
      </c>
      <c r="I209" s="51" t="n">
        <v>0.816</v>
      </c>
      <c r="J209" s="51" t="n">
        <v>0.1104</v>
      </c>
      <c r="K209" s="49"/>
      <c r="L209" s="49"/>
      <c r="M209" s="49"/>
      <c r="N209" s="49"/>
      <c r="O209" s="49"/>
      <c r="P209" s="49"/>
      <c r="Q209" s="49"/>
      <c r="R209" s="49"/>
      <c r="S209" s="49" t="n">
        <v>1</v>
      </c>
      <c r="T209" s="49" t="n">
        <v>0</v>
      </c>
      <c r="U209" s="49" t="s">
        <v>692</v>
      </c>
    </row>
    <row r="210" customFormat="false" ht="15" hidden="false" customHeight="false" outlineLevel="0" collapsed="false">
      <c r="B210" s="48" t="n">
        <v>45010.8388541667</v>
      </c>
      <c r="C210" s="4" t="n">
        <f aca="false">YEAR(B210)</f>
        <v>2023</v>
      </c>
      <c r="D210" s="49" t="s">
        <v>283</v>
      </c>
      <c r="E210" s="49" t="s">
        <v>693</v>
      </c>
      <c r="F210" s="50" t="n">
        <v>6</v>
      </c>
      <c r="G210" s="49" t="s">
        <v>287</v>
      </c>
      <c r="H210" s="51" t="n">
        <v>0.0015</v>
      </c>
      <c r="I210" s="51" t="n">
        <v>0.018</v>
      </c>
      <c r="J210" s="51" t="n">
        <v>0.9805</v>
      </c>
      <c r="K210" s="49"/>
      <c r="L210" s="49"/>
      <c r="M210" s="49"/>
      <c r="N210" s="49"/>
      <c r="O210" s="49"/>
      <c r="P210" s="49"/>
      <c r="Q210" s="49"/>
      <c r="R210" s="49"/>
      <c r="S210" s="49" t="n">
        <v>0</v>
      </c>
      <c r="T210" s="49" t="n">
        <v>0</v>
      </c>
      <c r="U210" s="49" t="s">
        <v>694</v>
      </c>
    </row>
    <row r="211" customFormat="false" ht="15" hidden="false" customHeight="false" outlineLevel="0" collapsed="false">
      <c r="B211" s="48" t="n">
        <v>45011.8042592593</v>
      </c>
      <c r="C211" s="4" t="n">
        <f aca="false">YEAR(B211)</f>
        <v>2023</v>
      </c>
      <c r="D211" s="49" t="s">
        <v>278</v>
      </c>
      <c r="E211" s="49" t="s">
        <v>695</v>
      </c>
      <c r="F211" s="50" t="n">
        <v>2</v>
      </c>
      <c r="G211" s="49" t="s">
        <v>280</v>
      </c>
      <c r="H211" s="51" t="n">
        <v>0.5517</v>
      </c>
      <c r="I211" s="51" t="n">
        <v>0.4334</v>
      </c>
      <c r="J211" s="51" t="n">
        <v>0.0149</v>
      </c>
      <c r="K211" s="49"/>
      <c r="L211" s="49"/>
      <c r="M211" s="49"/>
      <c r="N211" s="49"/>
      <c r="O211" s="49"/>
      <c r="P211" s="49"/>
      <c r="Q211" s="49"/>
      <c r="R211" s="49" t="s">
        <v>281</v>
      </c>
      <c r="S211" s="49" t="n">
        <v>0</v>
      </c>
      <c r="T211" s="49" t="n">
        <v>0</v>
      </c>
      <c r="U211" s="49" t="s">
        <v>696</v>
      </c>
    </row>
    <row r="212" customFormat="false" ht="15" hidden="false" customHeight="false" outlineLevel="0" collapsed="false">
      <c r="B212" s="48" t="n">
        <v>45011.9180208333</v>
      </c>
      <c r="C212" s="4" t="n">
        <f aca="false">YEAR(B212)</f>
        <v>2023</v>
      </c>
      <c r="D212" s="49" t="s">
        <v>278</v>
      </c>
      <c r="E212" s="49" t="s">
        <v>697</v>
      </c>
      <c r="F212" s="50" t="n">
        <v>1</v>
      </c>
      <c r="G212" s="49" t="s">
        <v>290</v>
      </c>
      <c r="H212" s="51" t="n">
        <v>0.4135</v>
      </c>
      <c r="I212" s="51" t="n">
        <v>0.5721</v>
      </c>
      <c r="J212" s="51" t="n">
        <v>0.0144</v>
      </c>
      <c r="K212" s="49"/>
      <c r="L212" s="49"/>
      <c r="M212" s="49"/>
      <c r="N212" s="49"/>
      <c r="O212" s="49"/>
      <c r="P212" s="49"/>
      <c r="Q212" s="49"/>
      <c r="R212" s="49" t="s">
        <v>281</v>
      </c>
      <c r="S212" s="49" t="n">
        <v>1</v>
      </c>
      <c r="T212" s="49" t="n">
        <v>0</v>
      </c>
      <c r="U212" s="49" t="s">
        <v>698</v>
      </c>
    </row>
    <row r="213" customFormat="false" ht="15" hidden="false" customHeight="false" outlineLevel="0" collapsed="false">
      <c r="B213" s="48" t="n">
        <v>45012.5915046296</v>
      </c>
      <c r="C213" s="4" t="n">
        <f aca="false">YEAR(B213)</f>
        <v>2023</v>
      </c>
      <c r="D213" s="49" t="s">
        <v>283</v>
      </c>
      <c r="E213" s="49" t="s">
        <v>699</v>
      </c>
      <c r="F213" s="50" t="n">
        <v>1</v>
      </c>
      <c r="G213" s="49" t="s">
        <v>290</v>
      </c>
      <c r="H213" s="51" t="n">
        <v>0.1496</v>
      </c>
      <c r="I213" s="51" t="n">
        <v>0.5689</v>
      </c>
      <c r="J213" s="51" t="n">
        <v>0.2815</v>
      </c>
      <c r="K213" s="49"/>
      <c r="L213" s="49"/>
      <c r="M213" s="49"/>
      <c r="N213" s="49"/>
      <c r="O213" s="49"/>
      <c r="P213" s="49"/>
      <c r="Q213" s="49"/>
      <c r="R213" s="49"/>
      <c r="S213" s="49" t="n">
        <v>0</v>
      </c>
      <c r="T213" s="49" t="n">
        <v>0</v>
      </c>
      <c r="U213" s="49" t="s">
        <v>700</v>
      </c>
    </row>
    <row r="214" customFormat="false" ht="15" hidden="false" customHeight="false" outlineLevel="0" collapsed="false">
      <c r="B214" s="48" t="n">
        <v>45012.8784027778</v>
      </c>
      <c r="C214" s="4" t="n">
        <f aca="false">YEAR(B214)</f>
        <v>2023</v>
      </c>
      <c r="D214" s="49" t="s">
        <v>278</v>
      </c>
      <c r="E214" s="49" t="s">
        <v>701</v>
      </c>
      <c r="F214" s="50" t="n">
        <v>1</v>
      </c>
      <c r="G214" s="49" t="s">
        <v>290</v>
      </c>
      <c r="H214" s="51" t="n">
        <v>0.3569</v>
      </c>
      <c r="I214" s="51" t="n">
        <v>0.6035</v>
      </c>
      <c r="J214" s="51" t="n">
        <v>0.0396</v>
      </c>
      <c r="K214" s="49"/>
      <c r="L214" s="49"/>
      <c r="M214" s="49"/>
      <c r="N214" s="49"/>
      <c r="O214" s="49"/>
      <c r="P214" s="49"/>
      <c r="Q214" s="49"/>
      <c r="R214" s="49"/>
      <c r="S214" s="49" t="n">
        <v>1</v>
      </c>
      <c r="T214" s="49" t="n">
        <v>0</v>
      </c>
      <c r="U214" s="49" t="s">
        <v>702</v>
      </c>
    </row>
    <row r="215" customFormat="false" ht="15" hidden="false" customHeight="false" outlineLevel="0" collapsed="false">
      <c r="B215" s="48" t="n">
        <v>45012.9618171296</v>
      </c>
      <c r="C215" s="4" t="n">
        <f aca="false">YEAR(B215)</f>
        <v>2023</v>
      </c>
      <c r="D215" s="49" t="s">
        <v>283</v>
      </c>
      <c r="E215" s="49" t="s">
        <v>703</v>
      </c>
      <c r="F215" s="50" t="n">
        <v>1</v>
      </c>
      <c r="G215" s="49" t="s">
        <v>287</v>
      </c>
      <c r="H215" s="51" t="n">
        <v>0.0076</v>
      </c>
      <c r="I215" s="51" t="n">
        <v>0.3072</v>
      </c>
      <c r="J215" s="51" t="n">
        <v>0.6852</v>
      </c>
      <c r="K215" s="49"/>
      <c r="L215" s="49"/>
      <c r="M215" s="49"/>
      <c r="N215" s="49"/>
      <c r="O215" s="49"/>
      <c r="P215" s="49"/>
      <c r="Q215" s="49"/>
      <c r="R215" s="49"/>
      <c r="S215" s="49" t="n">
        <v>1</v>
      </c>
      <c r="T215" s="49" t="n">
        <v>0</v>
      </c>
      <c r="U215" s="49" t="s">
        <v>704</v>
      </c>
    </row>
    <row r="216" customFormat="false" ht="15" hidden="false" customHeight="false" outlineLevel="0" collapsed="false">
      <c r="B216" s="48" t="n">
        <v>45013.0944791667</v>
      </c>
      <c r="C216" s="4" t="n">
        <f aca="false">YEAR(B216)</f>
        <v>2023</v>
      </c>
      <c r="D216" s="49" t="s">
        <v>283</v>
      </c>
      <c r="E216" s="49" t="s">
        <v>705</v>
      </c>
      <c r="F216" s="50" t="n">
        <v>1</v>
      </c>
      <c r="G216" s="49" t="s">
        <v>290</v>
      </c>
      <c r="H216" s="51" t="n">
        <v>0.0029</v>
      </c>
      <c r="I216" s="51" t="n">
        <v>0.6158</v>
      </c>
      <c r="J216" s="51" t="n">
        <v>0.3813</v>
      </c>
      <c r="K216" s="49"/>
      <c r="L216" s="49"/>
      <c r="M216" s="49"/>
      <c r="N216" s="49"/>
      <c r="O216" s="49"/>
      <c r="P216" s="49"/>
      <c r="Q216" s="49"/>
      <c r="R216" s="49"/>
      <c r="S216" s="49" t="n">
        <v>0</v>
      </c>
      <c r="T216" s="49" t="n">
        <v>0</v>
      </c>
      <c r="U216" s="49" t="s">
        <v>706</v>
      </c>
    </row>
    <row r="217" customFormat="false" ht="15" hidden="false" customHeight="false" outlineLevel="0" collapsed="false">
      <c r="B217" s="48" t="n">
        <v>45013.1627430556</v>
      </c>
      <c r="C217" s="4" t="n">
        <f aca="false">YEAR(B217)</f>
        <v>2023</v>
      </c>
      <c r="D217" s="49" t="s">
        <v>278</v>
      </c>
      <c r="E217" s="49" t="s">
        <v>707</v>
      </c>
      <c r="F217" s="50" t="n">
        <v>3</v>
      </c>
      <c r="G217" s="49" t="s">
        <v>290</v>
      </c>
      <c r="H217" s="51" t="n">
        <v>0.4155</v>
      </c>
      <c r="I217" s="51" t="n">
        <v>0.5513</v>
      </c>
      <c r="J217" s="51" t="n">
        <v>0.0333</v>
      </c>
      <c r="K217" s="49"/>
      <c r="L217" s="49"/>
      <c r="M217" s="49"/>
      <c r="N217" s="49"/>
      <c r="O217" s="49"/>
      <c r="P217" s="49"/>
      <c r="Q217" s="49"/>
      <c r="R217" s="49"/>
      <c r="S217" s="49" t="n">
        <v>0</v>
      </c>
      <c r="T217" s="49" t="n">
        <v>0</v>
      </c>
      <c r="U217" s="49" t="s">
        <v>708</v>
      </c>
    </row>
    <row r="218" customFormat="false" ht="15" hidden="false" customHeight="false" outlineLevel="0" collapsed="false">
      <c r="B218" s="48" t="n">
        <v>45013.8331365741</v>
      </c>
      <c r="C218" s="4" t="n">
        <f aca="false">YEAR(B218)</f>
        <v>2023</v>
      </c>
      <c r="D218" s="49" t="s">
        <v>278</v>
      </c>
      <c r="E218" s="49" t="s">
        <v>709</v>
      </c>
      <c r="F218" s="50" t="n">
        <v>72</v>
      </c>
      <c r="G218" s="49" t="s">
        <v>280</v>
      </c>
      <c r="H218" s="51" t="n">
        <v>0.9449</v>
      </c>
      <c r="I218" s="51" t="n">
        <v>0.0497</v>
      </c>
      <c r="J218" s="51" t="n">
        <v>0.0054</v>
      </c>
      <c r="K218" s="49"/>
      <c r="L218" s="49"/>
      <c r="M218" s="49"/>
      <c r="N218" s="49"/>
      <c r="O218" s="49"/>
      <c r="P218" s="49"/>
      <c r="Q218" s="49"/>
      <c r="R218" s="49"/>
      <c r="S218" s="49" t="n">
        <v>0</v>
      </c>
      <c r="T218" s="49" t="n">
        <v>1</v>
      </c>
      <c r="U218" s="49" t="s">
        <v>710</v>
      </c>
    </row>
    <row r="219" customFormat="false" ht="15" hidden="false" customHeight="false" outlineLevel="0" collapsed="false">
      <c r="B219" s="48" t="n">
        <v>45013.9398611111</v>
      </c>
      <c r="C219" s="4" t="n">
        <f aca="false">YEAR(B219)</f>
        <v>2023</v>
      </c>
      <c r="D219" s="49" t="s">
        <v>278</v>
      </c>
      <c r="E219" s="49" t="s">
        <v>711</v>
      </c>
      <c r="F219" s="50" t="n">
        <v>0</v>
      </c>
      <c r="G219" s="49" t="s">
        <v>280</v>
      </c>
      <c r="H219" s="51" t="n">
        <v>0.8348</v>
      </c>
      <c r="I219" s="51" t="n">
        <v>0.1529</v>
      </c>
      <c r="J219" s="51" t="n">
        <v>0.0122</v>
      </c>
      <c r="K219" s="49"/>
      <c r="L219" s="49"/>
      <c r="M219" s="49"/>
      <c r="N219" s="49"/>
      <c r="O219" s="49"/>
      <c r="P219" s="49"/>
      <c r="Q219" s="49" t="s">
        <v>281</v>
      </c>
      <c r="R219" s="49" t="s">
        <v>281</v>
      </c>
      <c r="S219" s="49" t="n">
        <v>0</v>
      </c>
      <c r="T219" s="49" t="n">
        <v>0</v>
      </c>
      <c r="U219" s="49" t="s">
        <v>712</v>
      </c>
    </row>
    <row r="220" customFormat="false" ht="15" hidden="false" customHeight="false" outlineLevel="0" collapsed="false">
      <c r="B220" s="48" t="n">
        <v>45014.0339351852</v>
      </c>
      <c r="C220" s="4" t="n">
        <f aca="false">YEAR(B220)</f>
        <v>2023</v>
      </c>
      <c r="D220" s="49" t="s">
        <v>278</v>
      </c>
      <c r="E220" s="49" t="s">
        <v>713</v>
      </c>
      <c r="F220" s="50" t="n">
        <v>0</v>
      </c>
      <c r="G220" s="49" t="s">
        <v>290</v>
      </c>
      <c r="H220" s="51" t="n">
        <v>0.085</v>
      </c>
      <c r="I220" s="51" t="n">
        <v>0.727</v>
      </c>
      <c r="J220" s="51" t="n">
        <v>0.188</v>
      </c>
      <c r="K220" s="49"/>
      <c r="L220" s="49"/>
      <c r="M220" s="49"/>
      <c r="N220" s="49"/>
      <c r="O220" s="49"/>
      <c r="P220" s="49"/>
      <c r="Q220" s="49"/>
      <c r="R220" s="49"/>
      <c r="S220" s="49" t="n">
        <v>0</v>
      </c>
      <c r="T220" s="49" t="n">
        <v>0</v>
      </c>
      <c r="U220" s="49" t="s">
        <v>714</v>
      </c>
    </row>
    <row r="221" customFormat="false" ht="15" hidden="false" customHeight="false" outlineLevel="0" collapsed="false">
      <c r="B221" s="48" t="n">
        <v>45014.1803125</v>
      </c>
      <c r="C221" s="4" t="n">
        <f aca="false">YEAR(B221)</f>
        <v>2023</v>
      </c>
      <c r="D221" s="49" t="s">
        <v>283</v>
      </c>
      <c r="E221" s="49" t="s">
        <v>715</v>
      </c>
      <c r="F221" s="50" t="n">
        <v>1</v>
      </c>
      <c r="G221" s="49" t="s">
        <v>290</v>
      </c>
      <c r="H221" s="51" t="n">
        <v>0.0144</v>
      </c>
      <c r="I221" s="51" t="n">
        <v>0.9423</v>
      </c>
      <c r="J221" s="51" t="n">
        <v>0.0433</v>
      </c>
      <c r="K221" s="49"/>
      <c r="L221" s="49"/>
      <c r="M221" s="49"/>
      <c r="N221" s="49"/>
      <c r="O221" s="49"/>
      <c r="P221" s="49"/>
      <c r="Q221" s="49"/>
      <c r="R221" s="49"/>
      <c r="S221" s="49" t="n">
        <v>1</v>
      </c>
      <c r="T221" s="49" t="n">
        <v>0</v>
      </c>
      <c r="U221" s="49" t="s">
        <v>716</v>
      </c>
    </row>
    <row r="222" customFormat="false" ht="15" hidden="false" customHeight="false" outlineLevel="0" collapsed="false">
      <c r="B222" s="48" t="n">
        <v>45014.1869907407</v>
      </c>
      <c r="C222" s="4" t="n">
        <f aca="false">YEAR(B222)</f>
        <v>2023</v>
      </c>
      <c r="D222" s="49" t="s">
        <v>283</v>
      </c>
      <c r="E222" s="49" t="s">
        <v>717</v>
      </c>
      <c r="F222" s="50" t="n">
        <v>2</v>
      </c>
      <c r="G222" s="49" t="s">
        <v>287</v>
      </c>
      <c r="H222" s="51" t="n">
        <v>0.0082</v>
      </c>
      <c r="I222" s="51" t="n">
        <v>0.4686</v>
      </c>
      <c r="J222" s="51" t="n">
        <v>0.5231</v>
      </c>
      <c r="K222" s="49" t="s">
        <v>281</v>
      </c>
      <c r="L222" s="49"/>
      <c r="M222" s="49"/>
      <c r="N222" s="49"/>
      <c r="O222" s="49"/>
      <c r="P222" s="49"/>
      <c r="Q222" s="49"/>
      <c r="R222" s="49"/>
      <c r="S222" s="49" t="n">
        <v>0</v>
      </c>
      <c r="T222" s="49" t="n">
        <v>0</v>
      </c>
      <c r="U222" s="49" t="s">
        <v>718</v>
      </c>
    </row>
    <row r="223" customFormat="false" ht="15" hidden="false" customHeight="false" outlineLevel="0" collapsed="false">
      <c r="B223" s="48" t="n">
        <v>45014.3852199074</v>
      </c>
      <c r="C223" s="4" t="n">
        <f aca="false">YEAR(B223)</f>
        <v>2023</v>
      </c>
      <c r="D223" s="49" t="s">
        <v>278</v>
      </c>
      <c r="E223" s="49" t="s">
        <v>719</v>
      </c>
      <c r="F223" s="50" t="n">
        <v>5</v>
      </c>
      <c r="G223" s="49" t="s">
        <v>280</v>
      </c>
      <c r="H223" s="51" t="n">
        <v>0.8046</v>
      </c>
      <c r="I223" s="51" t="n">
        <v>0.1813</v>
      </c>
      <c r="J223" s="51" t="n">
        <v>0.0141</v>
      </c>
      <c r="K223" s="49"/>
      <c r="L223" s="49"/>
      <c r="M223" s="49"/>
      <c r="N223" s="49"/>
      <c r="O223" s="49"/>
      <c r="P223" s="49"/>
      <c r="Q223" s="49"/>
      <c r="R223" s="49"/>
      <c r="S223" s="49" t="n">
        <v>0</v>
      </c>
      <c r="T223" s="49" t="n">
        <v>0</v>
      </c>
      <c r="U223" s="49" t="s">
        <v>720</v>
      </c>
    </row>
    <row r="224" customFormat="false" ht="15" hidden="false" customHeight="false" outlineLevel="0" collapsed="false">
      <c r="B224" s="48" t="n">
        <v>45014.4256944444</v>
      </c>
      <c r="C224" s="4" t="n">
        <f aca="false">YEAR(B224)</f>
        <v>2023</v>
      </c>
      <c r="D224" s="49" t="s">
        <v>283</v>
      </c>
      <c r="E224" s="49" t="s">
        <v>721</v>
      </c>
      <c r="F224" s="50" t="n">
        <v>1</v>
      </c>
      <c r="G224" s="49" t="s">
        <v>280</v>
      </c>
      <c r="H224" s="51" t="n">
        <v>0.7582</v>
      </c>
      <c r="I224" s="51" t="n">
        <v>0.2315</v>
      </c>
      <c r="J224" s="51" t="n">
        <v>0.0103</v>
      </c>
      <c r="K224" s="49"/>
      <c r="L224" s="49"/>
      <c r="M224" s="49"/>
      <c r="N224" s="49"/>
      <c r="O224" s="49"/>
      <c r="P224" s="49"/>
      <c r="Q224" s="49"/>
      <c r="R224" s="49" t="s">
        <v>281</v>
      </c>
      <c r="S224" s="49" t="n">
        <v>1</v>
      </c>
      <c r="T224" s="49" t="n">
        <v>0</v>
      </c>
      <c r="U224" s="49" t="s">
        <v>722</v>
      </c>
    </row>
    <row r="225" customFormat="false" ht="15" hidden="false" customHeight="false" outlineLevel="0" collapsed="false">
      <c r="B225" s="48" t="n">
        <v>45014.449849537</v>
      </c>
      <c r="C225" s="4" t="n">
        <f aca="false">YEAR(B225)</f>
        <v>2023</v>
      </c>
      <c r="D225" s="49" t="s">
        <v>278</v>
      </c>
      <c r="E225" s="49" t="s">
        <v>723</v>
      </c>
      <c r="F225" s="50" t="n">
        <v>3</v>
      </c>
      <c r="G225" s="49" t="s">
        <v>280</v>
      </c>
      <c r="H225" s="51" t="n">
        <v>0.7835</v>
      </c>
      <c r="I225" s="51" t="n">
        <v>0.2057</v>
      </c>
      <c r="J225" s="51" t="n">
        <v>0.0108</v>
      </c>
      <c r="K225" s="49"/>
      <c r="L225" s="49"/>
      <c r="M225" s="49"/>
      <c r="N225" s="49"/>
      <c r="O225" s="49"/>
      <c r="P225" s="49"/>
      <c r="Q225" s="49"/>
      <c r="R225" s="49" t="s">
        <v>281</v>
      </c>
      <c r="S225" s="49" t="n">
        <v>0</v>
      </c>
      <c r="T225" s="49" t="n">
        <v>0</v>
      </c>
      <c r="U225" s="49" t="s">
        <v>724</v>
      </c>
    </row>
    <row r="226" customFormat="false" ht="15" hidden="false" customHeight="false" outlineLevel="0" collapsed="false">
      <c r="B226" s="48" t="n">
        <v>45014.59875</v>
      </c>
      <c r="C226" s="4" t="n">
        <f aca="false">YEAR(B226)</f>
        <v>2023</v>
      </c>
      <c r="D226" s="49" t="s">
        <v>283</v>
      </c>
      <c r="E226" s="49" t="s">
        <v>725</v>
      </c>
      <c r="F226" s="50" t="n">
        <v>2</v>
      </c>
      <c r="G226" s="49" t="s">
        <v>287</v>
      </c>
      <c r="H226" s="51" t="n">
        <v>0.0075</v>
      </c>
      <c r="I226" s="51" t="n">
        <v>0.4685</v>
      </c>
      <c r="J226" s="51" t="n">
        <v>0.524</v>
      </c>
      <c r="K226" s="49"/>
      <c r="L226" s="49"/>
      <c r="M226" s="49"/>
      <c r="N226" s="49"/>
      <c r="O226" s="49"/>
      <c r="P226" s="49"/>
      <c r="Q226" s="49"/>
      <c r="R226" s="49"/>
      <c r="S226" s="49" t="n">
        <v>0</v>
      </c>
      <c r="T226" s="49" t="n">
        <v>0</v>
      </c>
      <c r="U226" s="49" t="s">
        <v>726</v>
      </c>
    </row>
    <row r="227" customFormat="false" ht="15" hidden="false" customHeight="false" outlineLevel="0" collapsed="false">
      <c r="B227" s="48" t="n">
        <v>45014.7750231482</v>
      </c>
      <c r="C227" s="4" t="n">
        <f aca="false">YEAR(B227)</f>
        <v>2023</v>
      </c>
      <c r="D227" s="49" t="s">
        <v>283</v>
      </c>
      <c r="E227" s="49" t="s">
        <v>727</v>
      </c>
      <c r="F227" s="50" t="n">
        <v>1</v>
      </c>
      <c r="G227" s="49" t="s">
        <v>280</v>
      </c>
      <c r="H227" s="51" t="n">
        <v>0.7282</v>
      </c>
      <c r="I227" s="51" t="n">
        <v>0.2602</v>
      </c>
      <c r="J227" s="51" t="n">
        <v>0.0116</v>
      </c>
      <c r="K227" s="49"/>
      <c r="L227" s="49"/>
      <c r="M227" s="49"/>
      <c r="N227" s="49"/>
      <c r="O227" s="49"/>
      <c r="P227" s="49"/>
      <c r="Q227" s="49"/>
      <c r="R227" s="49"/>
      <c r="S227" s="49" t="n">
        <v>1</v>
      </c>
      <c r="T227" s="49" t="n">
        <v>0</v>
      </c>
      <c r="U227" s="49" t="s">
        <v>728</v>
      </c>
    </row>
    <row r="228" customFormat="false" ht="15" hidden="false" customHeight="false" outlineLevel="0" collapsed="false">
      <c r="B228" s="48" t="n">
        <v>45015.3053819445</v>
      </c>
      <c r="C228" s="4" t="n">
        <f aca="false">YEAR(B228)</f>
        <v>2023</v>
      </c>
      <c r="D228" s="49" t="s">
        <v>278</v>
      </c>
      <c r="E228" s="49" t="s">
        <v>729</v>
      </c>
      <c r="F228" s="50" t="n">
        <v>11</v>
      </c>
      <c r="G228" s="49" t="s">
        <v>290</v>
      </c>
      <c r="H228" s="51" t="n">
        <v>0.0164</v>
      </c>
      <c r="I228" s="51" t="n">
        <v>0.7554</v>
      </c>
      <c r="J228" s="51" t="n">
        <v>0.2282</v>
      </c>
      <c r="K228" s="49"/>
      <c r="L228" s="49"/>
      <c r="M228" s="49"/>
      <c r="N228" s="49"/>
      <c r="O228" s="49"/>
      <c r="P228" s="49"/>
      <c r="Q228" s="49"/>
      <c r="R228" s="49"/>
      <c r="S228" s="49" t="n">
        <v>0</v>
      </c>
      <c r="T228" s="49" t="n">
        <v>0</v>
      </c>
      <c r="U228" s="49" t="s">
        <v>730</v>
      </c>
    </row>
    <row r="229" customFormat="false" ht="15" hidden="false" customHeight="false" outlineLevel="0" collapsed="false">
      <c r="B229" s="48" t="n">
        <v>45015.3138773148</v>
      </c>
      <c r="C229" s="4" t="n">
        <f aca="false">YEAR(B229)</f>
        <v>2023</v>
      </c>
      <c r="D229" s="49" t="s">
        <v>283</v>
      </c>
      <c r="E229" s="49" t="s">
        <v>731</v>
      </c>
      <c r="F229" s="50" t="n">
        <v>1</v>
      </c>
      <c r="G229" s="49" t="s">
        <v>290</v>
      </c>
      <c r="H229" s="51" t="n">
        <v>0.2762</v>
      </c>
      <c r="I229" s="51" t="n">
        <v>0.7115</v>
      </c>
      <c r="J229" s="51" t="n">
        <v>0.0123</v>
      </c>
      <c r="K229" s="49"/>
      <c r="L229" s="49"/>
      <c r="M229" s="49"/>
      <c r="N229" s="49"/>
      <c r="O229" s="49"/>
      <c r="P229" s="49"/>
      <c r="Q229" s="49"/>
      <c r="R229" s="49"/>
      <c r="S229" s="49" t="n">
        <v>1</v>
      </c>
      <c r="T229" s="49" t="n">
        <v>0</v>
      </c>
      <c r="U229" s="49" t="s">
        <v>732</v>
      </c>
    </row>
    <row r="230" customFormat="false" ht="15" hidden="false" customHeight="false" outlineLevel="0" collapsed="false">
      <c r="B230" s="48" t="n">
        <v>45015.3890509259</v>
      </c>
      <c r="C230" s="4" t="n">
        <f aca="false">YEAR(B230)</f>
        <v>2023</v>
      </c>
      <c r="D230" s="49" t="s">
        <v>278</v>
      </c>
      <c r="E230" s="49" t="s">
        <v>733</v>
      </c>
      <c r="F230" s="50" t="n">
        <v>3</v>
      </c>
      <c r="G230" s="49" t="s">
        <v>290</v>
      </c>
      <c r="H230" s="51" t="n">
        <v>0.3672</v>
      </c>
      <c r="I230" s="51" t="n">
        <v>0.6074</v>
      </c>
      <c r="J230" s="51" t="n">
        <v>0.0254</v>
      </c>
      <c r="K230" s="49"/>
      <c r="L230" s="49"/>
      <c r="M230" s="49"/>
      <c r="N230" s="49"/>
      <c r="O230" s="49"/>
      <c r="P230" s="49"/>
      <c r="Q230" s="49" t="s">
        <v>281</v>
      </c>
      <c r="R230" s="49"/>
      <c r="S230" s="49" t="n">
        <v>0</v>
      </c>
      <c r="T230" s="49" t="n">
        <v>0</v>
      </c>
      <c r="U230" s="49" t="s">
        <v>734</v>
      </c>
    </row>
    <row r="231" customFormat="false" ht="15" hidden="false" customHeight="false" outlineLevel="0" collapsed="false">
      <c r="B231" s="48" t="n">
        <v>45015.4284722222</v>
      </c>
      <c r="C231" s="4" t="n">
        <f aca="false">YEAR(B231)</f>
        <v>2023</v>
      </c>
      <c r="D231" s="49" t="s">
        <v>283</v>
      </c>
      <c r="E231" s="49" t="s">
        <v>735</v>
      </c>
      <c r="F231" s="50" t="n">
        <v>30</v>
      </c>
      <c r="G231" s="49" t="s">
        <v>287</v>
      </c>
      <c r="H231" s="51" t="n">
        <v>0.0038</v>
      </c>
      <c r="I231" s="51" t="n">
        <v>0.2202</v>
      </c>
      <c r="J231" s="51" t="n">
        <v>0.7759</v>
      </c>
      <c r="K231" s="49"/>
      <c r="L231" s="49"/>
      <c r="M231" s="49"/>
      <c r="N231" s="49"/>
      <c r="O231" s="49"/>
      <c r="P231" s="49"/>
      <c r="Q231" s="49"/>
      <c r="R231" s="49"/>
      <c r="S231" s="49" t="n">
        <v>0</v>
      </c>
      <c r="T231" s="49" t="n">
        <v>0</v>
      </c>
      <c r="U231" s="49" t="s">
        <v>736</v>
      </c>
    </row>
    <row r="232" customFormat="false" ht="15" hidden="false" customHeight="false" outlineLevel="0" collapsed="false">
      <c r="B232" s="48" t="n">
        <v>45015.5784143519</v>
      </c>
      <c r="C232" s="4" t="n">
        <f aca="false">YEAR(B232)</f>
        <v>2023</v>
      </c>
      <c r="D232" s="49" t="s">
        <v>283</v>
      </c>
      <c r="E232" s="49" t="s">
        <v>691</v>
      </c>
      <c r="F232" s="50" t="n">
        <v>1</v>
      </c>
      <c r="G232" s="49" t="s">
        <v>290</v>
      </c>
      <c r="H232" s="51" t="n">
        <v>0.0736</v>
      </c>
      <c r="I232" s="51" t="n">
        <v>0.816</v>
      </c>
      <c r="J232" s="51" t="n">
        <v>0.1104</v>
      </c>
      <c r="K232" s="49"/>
      <c r="L232" s="49"/>
      <c r="M232" s="49"/>
      <c r="N232" s="49"/>
      <c r="O232" s="49"/>
      <c r="P232" s="49"/>
      <c r="Q232" s="49"/>
      <c r="R232" s="49"/>
      <c r="S232" s="49" t="n">
        <v>1</v>
      </c>
      <c r="T232" s="49" t="n">
        <v>0</v>
      </c>
      <c r="U232" s="49" t="s">
        <v>737</v>
      </c>
    </row>
    <row r="233" customFormat="false" ht="15" hidden="false" customHeight="false" outlineLevel="0" collapsed="false">
      <c r="B233" s="48" t="n">
        <v>45016.0965162037</v>
      </c>
      <c r="C233" s="4" t="n">
        <f aca="false">YEAR(B233)</f>
        <v>2023</v>
      </c>
      <c r="D233" s="49" t="s">
        <v>283</v>
      </c>
      <c r="E233" s="49" t="s">
        <v>738</v>
      </c>
      <c r="F233" s="50" t="n">
        <v>0</v>
      </c>
      <c r="G233" s="49" t="s">
        <v>290</v>
      </c>
      <c r="H233" s="51" t="n">
        <v>0.0331</v>
      </c>
      <c r="I233" s="51" t="n">
        <v>0.8719</v>
      </c>
      <c r="J233" s="51" t="n">
        <v>0.095</v>
      </c>
      <c r="K233" s="49"/>
      <c r="L233" s="49"/>
      <c r="M233" s="49"/>
      <c r="N233" s="49"/>
      <c r="O233" s="49"/>
      <c r="P233" s="49"/>
      <c r="Q233" s="49"/>
      <c r="R233" s="49"/>
      <c r="S233" s="49" t="n">
        <v>1</v>
      </c>
      <c r="T233" s="49" t="n">
        <v>0</v>
      </c>
      <c r="U233" s="49" t="s">
        <v>739</v>
      </c>
    </row>
    <row r="234" customFormat="false" ht="15" hidden="false" customHeight="false" outlineLevel="0" collapsed="false">
      <c r="B234" s="48" t="n">
        <v>45016.0991898148</v>
      </c>
      <c r="C234" s="4" t="n">
        <f aca="false">YEAR(B234)</f>
        <v>2023</v>
      </c>
      <c r="D234" s="49" t="s">
        <v>283</v>
      </c>
      <c r="E234" s="49" t="s">
        <v>740</v>
      </c>
      <c r="F234" s="50" t="n">
        <v>2</v>
      </c>
      <c r="G234" s="49" t="s">
        <v>280</v>
      </c>
      <c r="H234" s="51" t="n">
        <v>0.5076</v>
      </c>
      <c r="I234" s="51" t="n">
        <v>0.4823</v>
      </c>
      <c r="J234" s="51" t="n">
        <v>0.0101</v>
      </c>
      <c r="K234" s="49"/>
      <c r="L234" s="49"/>
      <c r="M234" s="49"/>
      <c r="N234" s="49"/>
      <c r="O234" s="49"/>
      <c r="P234" s="49"/>
      <c r="Q234" s="49"/>
      <c r="R234" s="49"/>
      <c r="S234" s="49" t="n">
        <v>1</v>
      </c>
      <c r="T234" s="49" t="n">
        <v>0</v>
      </c>
      <c r="U234" s="49" t="s">
        <v>741</v>
      </c>
    </row>
    <row r="235" customFormat="false" ht="15" hidden="false" customHeight="false" outlineLevel="0" collapsed="false">
      <c r="B235" s="48" t="n">
        <v>45016.5193287037</v>
      </c>
      <c r="C235" s="4" t="n">
        <f aca="false">YEAR(B235)</f>
        <v>2023</v>
      </c>
      <c r="D235" s="49" t="s">
        <v>283</v>
      </c>
      <c r="E235" s="49" t="s">
        <v>742</v>
      </c>
      <c r="F235" s="50" t="n">
        <v>138</v>
      </c>
      <c r="G235" s="49" t="s">
        <v>290</v>
      </c>
      <c r="H235" s="51" t="n">
        <v>0.0594</v>
      </c>
      <c r="I235" s="51" t="n">
        <v>0.8071</v>
      </c>
      <c r="J235" s="51" t="n">
        <v>0.1335</v>
      </c>
      <c r="K235" s="49"/>
      <c r="L235" s="49"/>
      <c r="M235" s="49"/>
      <c r="N235" s="49"/>
      <c r="O235" s="49"/>
      <c r="P235" s="49"/>
      <c r="Q235" s="49"/>
      <c r="R235" s="49"/>
      <c r="S235" s="49" t="n">
        <v>0</v>
      </c>
      <c r="T235" s="49" t="n">
        <v>0</v>
      </c>
      <c r="U235" s="49" t="s">
        <v>743</v>
      </c>
    </row>
    <row r="236" customFormat="false" ht="15" hidden="false" customHeight="false" outlineLevel="0" collapsed="false">
      <c r="B236" s="48" t="n">
        <v>45017.5012268519</v>
      </c>
      <c r="C236" s="4" t="n">
        <f aca="false">YEAR(B236)</f>
        <v>2023</v>
      </c>
      <c r="D236" s="49" t="s">
        <v>283</v>
      </c>
      <c r="E236" s="49" t="s">
        <v>744</v>
      </c>
      <c r="F236" s="50" t="n">
        <v>3</v>
      </c>
      <c r="G236" s="49" t="s">
        <v>290</v>
      </c>
      <c r="H236" s="51" t="n">
        <v>0.1336</v>
      </c>
      <c r="I236" s="51" t="n">
        <v>0.8368</v>
      </c>
      <c r="J236" s="51" t="n">
        <v>0.0296</v>
      </c>
      <c r="K236" s="49"/>
      <c r="L236" s="49"/>
      <c r="M236" s="49"/>
      <c r="N236" s="49"/>
      <c r="O236" s="49"/>
      <c r="P236" s="49"/>
      <c r="Q236" s="49"/>
      <c r="R236" s="49"/>
      <c r="S236" s="49" t="n">
        <v>1</v>
      </c>
      <c r="T236" s="49" t="n">
        <v>0</v>
      </c>
      <c r="U236" s="49" t="s">
        <v>745</v>
      </c>
    </row>
    <row r="237" customFormat="false" ht="15" hidden="false" customHeight="false" outlineLevel="0" collapsed="false">
      <c r="B237" s="48" t="n">
        <v>45017.5042476852</v>
      </c>
      <c r="C237" s="4" t="n">
        <f aca="false">YEAR(B237)</f>
        <v>2023</v>
      </c>
      <c r="D237" s="49" t="s">
        <v>283</v>
      </c>
      <c r="E237" s="49" t="s">
        <v>746</v>
      </c>
      <c r="F237" s="50" t="n">
        <v>509</v>
      </c>
      <c r="G237" s="49" t="s">
        <v>287</v>
      </c>
      <c r="H237" s="51" t="n">
        <v>0.0066</v>
      </c>
      <c r="I237" s="51" t="n">
        <v>0.0603</v>
      </c>
      <c r="J237" s="51" t="n">
        <v>0.933</v>
      </c>
      <c r="K237" s="49"/>
      <c r="L237" s="49"/>
      <c r="M237" s="49"/>
      <c r="N237" s="49"/>
      <c r="O237" s="49"/>
      <c r="P237" s="49"/>
      <c r="Q237" s="49"/>
      <c r="R237" s="49" t="s">
        <v>281</v>
      </c>
      <c r="S237" s="49" t="n">
        <v>0</v>
      </c>
      <c r="T237" s="49" t="n">
        <v>0</v>
      </c>
      <c r="U237" s="49" t="s">
        <v>747</v>
      </c>
    </row>
    <row r="238" customFormat="false" ht="15" hidden="false" customHeight="false" outlineLevel="0" collapsed="false">
      <c r="B238" s="48" t="n">
        <v>45017.5552199074</v>
      </c>
      <c r="C238" s="4" t="n">
        <f aca="false">YEAR(B238)</f>
        <v>2023</v>
      </c>
      <c r="D238" s="49" t="s">
        <v>283</v>
      </c>
      <c r="E238" s="49" t="s">
        <v>748</v>
      </c>
      <c r="F238" s="50" t="n">
        <v>1</v>
      </c>
      <c r="G238" s="49" t="s">
        <v>290</v>
      </c>
      <c r="H238" s="51" t="n">
        <v>0.1236</v>
      </c>
      <c r="I238" s="51" t="n">
        <v>0.6227</v>
      </c>
      <c r="J238" s="51" t="n">
        <v>0.2537</v>
      </c>
      <c r="K238" s="49"/>
      <c r="L238" s="49"/>
      <c r="M238" s="49"/>
      <c r="N238" s="49"/>
      <c r="O238" s="49"/>
      <c r="P238" s="49"/>
      <c r="Q238" s="49"/>
      <c r="R238" s="49"/>
      <c r="S238" s="49" t="n">
        <v>1</v>
      </c>
      <c r="T238" s="49" t="n">
        <v>0</v>
      </c>
      <c r="U238" s="49" t="s">
        <v>749</v>
      </c>
    </row>
    <row r="239" customFormat="false" ht="15" hidden="false" customHeight="false" outlineLevel="0" collapsed="false">
      <c r="B239" s="48" t="n">
        <v>45017.6196412037</v>
      </c>
      <c r="C239" s="4" t="n">
        <f aca="false">YEAR(B239)</f>
        <v>2023</v>
      </c>
      <c r="D239" s="49" t="s">
        <v>283</v>
      </c>
      <c r="E239" s="49" t="s">
        <v>750</v>
      </c>
      <c r="F239" s="50" t="n">
        <v>1</v>
      </c>
      <c r="G239" s="49" t="s">
        <v>287</v>
      </c>
      <c r="H239" s="51" t="n">
        <v>0.003</v>
      </c>
      <c r="I239" s="51" t="n">
        <v>0.1761</v>
      </c>
      <c r="J239" s="51" t="n">
        <v>0.8209</v>
      </c>
      <c r="K239" s="49"/>
      <c r="L239" s="49"/>
      <c r="M239" s="49"/>
      <c r="N239" s="49"/>
      <c r="O239" s="49"/>
      <c r="P239" s="49"/>
      <c r="Q239" s="49"/>
      <c r="R239" s="49"/>
      <c r="S239" s="49" t="n">
        <v>0</v>
      </c>
      <c r="T239" s="49" t="n">
        <v>0</v>
      </c>
      <c r="U239" s="49" t="s">
        <v>751</v>
      </c>
    </row>
    <row r="240" customFormat="false" ht="15" hidden="false" customHeight="false" outlineLevel="0" collapsed="false">
      <c r="B240" s="48" t="n">
        <v>45017.6201736111</v>
      </c>
      <c r="C240" s="4" t="n">
        <f aca="false">YEAR(B240)</f>
        <v>2023</v>
      </c>
      <c r="D240" s="49" t="s">
        <v>283</v>
      </c>
      <c r="E240" s="49" t="s">
        <v>752</v>
      </c>
      <c r="F240" s="50" t="n">
        <v>1</v>
      </c>
      <c r="G240" s="49" t="s">
        <v>287</v>
      </c>
      <c r="H240" s="51" t="n">
        <v>0.0031</v>
      </c>
      <c r="I240" s="51" t="n">
        <v>0.1936</v>
      </c>
      <c r="J240" s="51" t="n">
        <v>0.8033</v>
      </c>
      <c r="K240" s="49"/>
      <c r="L240" s="49"/>
      <c r="M240" s="49"/>
      <c r="N240" s="49"/>
      <c r="O240" s="49"/>
      <c r="P240" s="49"/>
      <c r="Q240" s="49"/>
      <c r="R240" s="49"/>
      <c r="S240" s="49" t="n">
        <v>0</v>
      </c>
      <c r="T240" s="49" t="n">
        <v>0</v>
      </c>
      <c r="U240" s="49" t="s">
        <v>753</v>
      </c>
    </row>
    <row r="241" customFormat="false" ht="15" hidden="false" customHeight="false" outlineLevel="0" collapsed="false">
      <c r="B241" s="48" t="n">
        <v>45017.7500231482</v>
      </c>
      <c r="C241" s="4" t="n">
        <f aca="false">YEAR(B241)</f>
        <v>2023</v>
      </c>
      <c r="D241" s="49" t="s">
        <v>283</v>
      </c>
      <c r="E241" s="49" t="s">
        <v>754</v>
      </c>
      <c r="F241" s="50" t="n">
        <v>2</v>
      </c>
      <c r="G241" s="49" t="s">
        <v>290</v>
      </c>
      <c r="H241" s="51" t="n">
        <v>0.0115</v>
      </c>
      <c r="I241" s="51" t="n">
        <v>0.6929</v>
      </c>
      <c r="J241" s="51" t="n">
        <v>0.2956</v>
      </c>
      <c r="K241" s="49"/>
      <c r="L241" s="49"/>
      <c r="M241" s="49"/>
      <c r="N241" s="49"/>
      <c r="O241" s="49"/>
      <c r="P241" s="49"/>
      <c r="Q241" s="49"/>
      <c r="R241" s="49" t="s">
        <v>281</v>
      </c>
      <c r="S241" s="49" t="n">
        <v>1</v>
      </c>
      <c r="T241" s="49" t="n">
        <v>0</v>
      </c>
      <c r="U241" s="49" t="s">
        <v>755</v>
      </c>
    </row>
    <row r="242" customFormat="false" ht="15" hidden="false" customHeight="false" outlineLevel="0" collapsed="false">
      <c r="B242" s="48" t="n">
        <v>45018.1088078704</v>
      </c>
      <c r="C242" s="4" t="n">
        <f aca="false">YEAR(B242)</f>
        <v>2023</v>
      </c>
      <c r="D242" s="49" t="s">
        <v>278</v>
      </c>
      <c r="E242" s="49" t="s">
        <v>756</v>
      </c>
      <c r="F242" s="50" t="n">
        <v>8</v>
      </c>
      <c r="G242" s="49" t="s">
        <v>290</v>
      </c>
      <c r="H242" s="51" t="n">
        <v>0.1478</v>
      </c>
      <c r="I242" s="51" t="n">
        <v>0.7862</v>
      </c>
      <c r="J242" s="51" t="n">
        <v>0.066</v>
      </c>
      <c r="K242" s="49"/>
      <c r="L242" s="49"/>
      <c r="M242" s="49"/>
      <c r="N242" s="49"/>
      <c r="O242" s="49"/>
      <c r="P242" s="49"/>
      <c r="Q242" s="49"/>
      <c r="R242" s="49" t="s">
        <v>281</v>
      </c>
      <c r="S242" s="49" t="n">
        <v>0</v>
      </c>
      <c r="T242" s="49" t="n">
        <v>0</v>
      </c>
      <c r="U242" s="49" t="s">
        <v>757</v>
      </c>
    </row>
    <row r="243" customFormat="false" ht="15" hidden="false" customHeight="false" outlineLevel="0" collapsed="false">
      <c r="B243" s="48" t="n">
        <v>45018.3669907407</v>
      </c>
      <c r="C243" s="4" t="n">
        <f aca="false">YEAR(B243)</f>
        <v>2023</v>
      </c>
      <c r="D243" s="49" t="s">
        <v>283</v>
      </c>
      <c r="E243" s="49" t="s">
        <v>758</v>
      </c>
      <c r="F243" s="50" t="n">
        <v>1</v>
      </c>
      <c r="G243" s="49" t="s">
        <v>280</v>
      </c>
      <c r="H243" s="51" t="n">
        <v>0.4661</v>
      </c>
      <c r="I243" s="51" t="n">
        <v>0.4258</v>
      </c>
      <c r="J243" s="51" t="n">
        <v>0.1081</v>
      </c>
      <c r="K243" s="49"/>
      <c r="L243" s="49"/>
      <c r="M243" s="49"/>
      <c r="N243" s="49"/>
      <c r="O243" s="49"/>
      <c r="P243" s="49"/>
      <c r="Q243" s="49"/>
      <c r="R243" s="49"/>
      <c r="S243" s="49" t="n">
        <v>0</v>
      </c>
      <c r="T243" s="49" t="n">
        <v>0</v>
      </c>
      <c r="U243" s="49" t="s">
        <v>759</v>
      </c>
    </row>
    <row r="244" customFormat="false" ht="15" hidden="false" customHeight="false" outlineLevel="0" collapsed="false">
      <c r="B244" s="48" t="n">
        <v>45018.8894328704</v>
      </c>
      <c r="C244" s="4" t="n">
        <f aca="false">YEAR(B244)</f>
        <v>2023</v>
      </c>
      <c r="D244" s="49" t="s">
        <v>283</v>
      </c>
      <c r="E244" s="49" t="s">
        <v>760</v>
      </c>
      <c r="F244" s="50" t="n">
        <v>0</v>
      </c>
      <c r="G244" s="49" t="s">
        <v>290</v>
      </c>
      <c r="H244" s="51" t="n">
        <v>0.0143</v>
      </c>
      <c r="I244" s="51" t="n">
        <v>0.8281</v>
      </c>
      <c r="J244" s="51" t="n">
        <v>0.1575</v>
      </c>
      <c r="K244" s="49"/>
      <c r="L244" s="49"/>
      <c r="M244" s="49"/>
      <c r="N244" s="49"/>
      <c r="O244" s="49"/>
      <c r="P244" s="49"/>
      <c r="Q244" s="49"/>
      <c r="R244" s="49"/>
      <c r="S244" s="49" t="n">
        <v>1</v>
      </c>
      <c r="T244" s="49" t="n">
        <v>0</v>
      </c>
      <c r="U244" s="49" t="s">
        <v>761</v>
      </c>
    </row>
    <row r="245" customFormat="false" ht="15" hidden="false" customHeight="false" outlineLevel="0" collapsed="false">
      <c r="B245" s="48" t="n">
        <v>45019.1552083333</v>
      </c>
      <c r="C245" s="4" t="n">
        <f aca="false">YEAR(B245)</f>
        <v>2023</v>
      </c>
      <c r="D245" s="49" t="s">
        <v>278</v>
      </c>
      <c r="E245" s="49" t="s">
        <v>762</v>
      </c>
      <c r="F245" s="50" t="n">
        <v>32</v>
      </c>
      <c r="G245" s="49" t="s">
        <v>280</v>
      </c>
      <c r="H245" s="51" t="n">
        <v>0.8798</v>
      </c>
      <c r="I245" s="51" t="n">
        <v>0.1133</v>
      </c>
      <c r="J245" s="51" t="n">
        <v>0.0069</v>
      </c>
      <c r="K245" s="49"/>
      <c r="L245" s="49"/>
      <c r="M245" s="49"/>
      <c r="N245" s="49"/>
      <c r="O245" s="49"/>
      <c r="P245" s="49"/>
      <c r="Q245" s="49"/>
      <c r="R245" s="49"/>
      <c r="S245" s="49" t="n">
        <v>0</v>
      </c>
      <c r="T245" s="49" t="n">
        <v>0</v>
      </c>
      <c r="U245" s="49" t="s">
        <v>763</v>
      </c>
    </row>
    <row r="246" customFormat="false" ht="15" hidden="false" customHeight="false" outlineLevel="0" collapsed="false">
      <c r="B246" s="48" t="n">
        <v>45019.8758796296</v>
      </c>
      <c r="C246" s="4" t="n">
        <f aca="false">YEAR(B246)</f>
        <v>2023</v>
      </c>
      <c r="D246" s="49" t="s">
        <v>278</v>
      </c>
      <c r="E246" s="49" t="s">
        <v>764</v>
      </c>
      <c r="F246" s="50" t="n">
        <v>3</v>
      </c>
      <c r="G246" s="49" t="s">
        <v>290</v>
      </c>
      <c r="H246" s="51" t="n">
        <v>0.3398</v>
      </c>
      <c r="I246" s="51" t="n">
        <v>0.6156</v>
      </c>
      <c r="J246" s="51" t="n">
        <v>0.0446</v>
      </c>
      <c r="K246" s="49" t="s">
        <v>281</v>
      </c>
      <c r="L246" s="49"/>
      <c r="M246" s="49"/>
      <c r="N246" s="49"/>
      <c r="O246" s="49"/>
      <c r="P246" s="49"/>
      <c r="Q246" s="49"/>
      <c r="R246" s="49"/>
      <c r="S246" s="49" t="n">
        <v>0</v>
      </c>
      <c r="T246" s="49" t="n">
        <v>0</v>
      </c>
      <c r="U246" s="49" t="s">
        <v>765</v>
      </c>
    </row>
    <row r="247" customFormat="false" ht="15" hidden="false" customHeight="false" outlineLevel="0" collapsed="false">
      <c r="B247" s="48" t="n">
        <v>45019.9929513889</v>
      </c>
      <c r="C247" s="4" t="n">
        <f aca="false">YEAR(B247)</f>
        <v>2023</v>
      </c>
      <c r="D247" s="49" t="s">
        <v>278</v>
      </c>
      <c r="E247" s="49" t="s">
        <v>766</v>
      </c>
      <c r="F247" s="50" t="n">
        <v>10</v>
      </c>
      <c r="G247" s="49" t="s">
        <v>280</v>
      </c>
      <c r="H247" s="51" t="n">
        <v>0.7323</v>
      </c>
      <c r="I247" s="51" t="n">
        <v>0.2532</v>
      </c>
      <c r="J247" s="51" t="n">
        <v>0.0145</v>
      </c>
      <c r="K247" s="49" t="s">
        <v>281</v>
      </c>
      <c r="L247" s="49"/>
      <c r="M247" s="49"/>
      <c r="N247" s="49"/>
      <c r="O247" s="49"/>
      <c r="P247" s="49"/>
      <c r="Q247" s="49"/>
      <c r="R247" s="49"/>
      <c r="S247" s="49" t="n">
        <v>0</v>
      </c>
      <c r="T247" s="49" t="n">
        <v>0</v>
      </c>
      <c r="U247" s="49" t="s">
        <v>767</v>
      </c>
    </row>
    <row r="248" customFormat="false" ht="15" hidden="false" customHeight="false" outlineLevel="0" collapsed="false">
      <c r="B248" s="48" t="n">
        <v>45020.1331481482</v>
      </c>
      <c r="C248" s="4" t="n">
        <f aca="false">YEAR(B248)</f>
        <v>2023</v>
      </c>
      <c r="D248" s="49" t="s">
        <v>283</v>
      </c>
      <c r="E248" s="49" t="s">
        <v>768</v>
      </c>
      <c r="F248" s="50" t="n">
        <v>33</v>
      </c>
      <c r="G248" s="49" t="s">
        <v>290</v>
      </c>
      <c r="H248" s="51" t="n">
        <v>0.0211</v>
      </c>
      <c r="I248" s="51" t="n">
        <v>0.7958</v>
      </c>
      <c r="J248" s="51" t="n">
        <v>0.1831</v>
      </c>
      <c r="K248" s="49"/>
      <c r="L248" s="49"/>
      <c r="M248" s="49"/>
      <c r="N248" s="49"/>
      <c r="O248" s="49"/>
      <c r="P248" s="49"/>
      <c r="Q248" s="49"/>
      <c r="R248" s="49"/>
      <c r="S248" s="49" t="n">
        <v>0</v>
      </c>
      <c r="T248" s="49" t="n">
        <v>0</v>
      </c>
      <c r="U248" s="49" t="s">
        <v>769</v>
      </c>
    </row>
    <row r="249" customFormat="false" ht="15" hidden="false" customHeight="false" outlineLevel="0" collapsed="false">
      <c r="B249" s="48" t="n">
        <v>45020.9534027778</v>
      </c>
      <c r="C249" s="4" t="n">
        <f aca="false">YEAR(B249)</f>
        <v>2023</v>
      </c>
      <c r="D249" s="49" t="s">
        <v>278</v>
      </c>
      <c r="E249" s="49" t="s">
        <v>770</v>
      </c>
      <c r="F249" s="50" t="n">
        <v>46</v>
      </c>
      <c r="G249" s="49" t="s">
        <v>280</v>
      </c>
      <c r="H249" s="51" t="n">
        <v>0.8517</v>
      </c>
      <c r="I249" s="51" t="n">
        <v>0.1372</v>
      </c>
      <c r="J249" s="51" t="n">
        <v>0.011</v>
      </c>
      <c r="K249" s="49"/>
      <c r="L249" s="49"/>
      <c r="M249" s="49"/>
      <c r="N249" s="49"/>
      <c r="O249" s="49"/>
      <c r="P249" s="49"/>
      <c r="Q249" s="49"/>
      <c r="R249" s="49" t="s">
        <v>281</v>
      </c>
      <c r="S249" s="49" t="n">
        <v>0</v>
      </c>
      <c r="T249" s="49" t="n">
        <v>0</v>
      </c>
      <c r="U249" s="49" t="s">
        <v>771</v>
      </c>
    </row>
    <row r="250" customFormat="false" ht="15" hidden="false" customHeight="false" outlineLevel="0" collapsed="false">
      <c r="B250" s="48" t="n">
        <v>45021.1459606482</v>
      </c>
      <c r="C250" s="4" t="n">
        <f aca="false">YEAR(B250)</f>
        <v>2023</v>
      </c>
      <c r="D250" s="49" t="s">
        <v>283</v>
      </c>
      <c r="E250" s="49" t="s">
        <v>772</v>
      </c>
      <c r="F250" s="50" t="n">
        <v>1</v>
      </c>
      <c r="G250" s="49" t="s">
        <v>290</v>
      </c>
      <c r="H250" s="51" t="n">
        <v>0.005</v>
      </c>
      <c r="I250" s="51" t="n">
        <v>0.744</v>
      </c>
      <c r="J250" s="51" t="n">
        <v>0.251</v>
      </c>
      <c r="K250" s="49"/>
      <c r="L250" s="49"/>
      <c r="M250" s="49"/>
      <c r="N250" s="49"/>
      <c r="O250" s="49"/>
      <c r="P250" s="49"/>
      <c r="Q250" s="49"/>
      <c r="R250" s="49"/>
      <c r="S250" s="49" t="n">
        <v>0</v>
      </c>
      <c r="T250" s="49" t="n">
        <v>0</v>
      </c>
      <c r="U250" s="49" t="s">
        <v>773</v>
      </c>
    </row>
    <row r="251" customFormat="false" ht="15" hidden="false" customHeight="false" outlineLevel="0" collapsed="false">
      <c r="B251" s="48" t="n">
        <v>45021.1736805556</v>
      </c>
      <c r="C251" s="4" t="n">
        <f aca="false">YEAR(B251)</f>
        <v>2023</v>
      </c>
      <c r="D251" s="49" t="s">
        <v>283</v>
      </c>
      <c r="E251" s="49" t="s">
        <v>774</v>
      </c>
      <c r="F251" s="50" t="n">
        <v>2</v>
      </c>
      <c r="G251" s="49" t="s">
        <v>287</v>
      </c>
      <c r="H251" s="51" t="n">
        <v>0.007</v>
      </c>
      <c r="I251" s="51" t="n">
        <v>0.3792</v>
      </c>
      <c r="J251" s="51" t="n">
        <v>0.6138</v>
      </c>
      <c r="K251" s="49"/>
      <c r="L251" s="49"/>
      <c r="M251" s="49"/>
      <c r="N251" s="49"/>
      <c r="O251" s="49"/>
      <c r="P251" s="49"/>
      <c r="Q251" s="49"/>
      <c r="R251" s="49"/>
      <c r="S251" s="49" t="n">
        <v>0</v>
      </c>
      <c r="T251" s="49" t="n">
        <v>0</v>
      </c>
      <c r="U251" s="49" t="s">
        <v>775</v>
      </c>
    </row>
    <row r="252" customFormat="false" ht="15" hidden="false" customHeight="false" outlineLevel="0" collapsed="false">
      <c r="B252" s="48" t="n">
        <v>45021.5859027778</v>
      </c>
      <c r="C252" s="4" t="n">
        <f aca="false">YEAR(B252)</f>
        <v>2023</v>
      </c>
      <c r="D252" s="49" t="s">
        <v>283</v>
      </c>
      <c r="E252" s="49" t="s">
        <v>776</v>
      </c>
      <c r="F252" s="50" t="n">
        <v>1</v>
      </c>
      <c r="G252" s="49" t="s">
        <v>280</v>
      </c>
      <c r="H252" s="51" t="n">
        <v>0.7358</v>
      </c>
      <c r="I252" s="51" t="n">
        <v>0.2522</v>
      </c>
      <c r="J252" s="51" t="n">
        <v>0.012</v>
      </c>
      <c r="K252" s="49"/>
      <c r="L252" s="49"/>
      <c r="M252" s="49"/>
      <c r="N252" s="49"/>
      <c r="O252" s="49"/>
      <c r="P252" s="49"/>
      <c r="Q252" s="49"/>
      <c r="R252" s="49"/>
      <c r="S252" s="49" t="n">
        <v>1</v>
      </c>
      <c r="T252" s="49" t="n">
        <v>0</v>
      </c>
      <c r="U252" s="49" t="s">
        <v>777</v>
      </c>
    </row>
    <row r="253" customFormat="false" ht="15" hidden="false" customHeight="false" outlineLevel="0" collapsed="false">
      <c r="B253" s="48" t="n">
        <v>45021.8102893519</v>
      </c>
      <c r="C253" s="4" t="n">
        <f aca="false">YEAR(B253)</f>
        <v>2023</v>
      </c>
      <c r="D253" s="49" t="s">
        <v>278</v>
      </c>
      <c r="E253" s="49" t="s">
        <v>778</v>
      </c>
      <c r="F253" s="50" t="n">
        <v>5</v>
      </c>
      <c r="G253" s="49" t="s">
        <v>290</v>
      </c>
      <c r="H253" s="51" t="n">
        <v>0.1215</v>
      </c>
      <c r="I253" s="51" t="n">
        <v>0.7986</v>
      </c>
      <c r="J253" s="51" t="n">
        <v>0.0799</v>
      </c>
      <c r="K253" s="49"/>
      <c r="L253" s="49"/>
      <c r="M253" s="49"/>
      <c r="N253" s="49"/>
      <c r="O253" s="49" t="s">
        <v>281</v>
      </c>
      <c r="P253" s="49"/>
      <c r="Q253" s="49"/>
      <c r="R253" s="49"/>
      <c r="S253" s="49" t="n">
        <v>1</v>
      </c>
      <c r="T253" s="49" t="n">
        <v>0</v>
      </c>
      <c r="U253" s="49" t="s">
        <v>779</v>
      </c>
    </row>
    <row r="254" customFormat="false" ht="15" hidden="false" customHeight="false" outlineLevel="0" collapsed="false">
      <c r="B254" s="48" t="n">
        <v>45021.8937037037</v>
      </c>
      <c r="C254" s="4" t="n">
        <f aca="false">YEAR(B254)</f>
        <v>2023</v>
      </c>
      <c r="D254" s="49" t="s">
        <v>283</v>
      </c>
      <c r="E254" s="49" t="s">
        <v>780</v>
      </c>
      <c r="F254" s="50" t="n">
        <v>1</v>
      </c>
      <c r="G254" s="49" t="s">
        <v>290</v>
      </c>
      <c r="H254" s="51" t="n">
        <v>0.0248</v>
      </c>
      <c r="I254" s="51" t="n">
        <v>0.9478</v>
      </c>
      <c r="J254" s="51" t="n">
        <v>0.0274</v>
      </c>
      <c r="K254" s="49"/>
      <c r="L254" s="49"/>
      <c r="M254" s="49"/>
      <c r="N254" s="49"/>
      <c r="O254" s="49"/>
      <c r="P254" s="49"/>
      <c r="Q254" s="49"/>
      <c r="R254" s="49" t="s">
        <v>281</v>
      </c>
      <c r="S254" s="49" t="n">
        <v>1</v>
      </c>
      <c r="T254" s="49" t="n">
        <v>0</v>
      </c>
      <c r="U254" s="49" t="s">
        <v>781</v>
      </c>
    </row>
    <row r="255" customFormat="false" ht="15" hidden="false" customHeight="false" outlineLevel="0" collapsed="false">
      <c r="B255" s="48" t="n">
        <v>45021.9238657407</v>
      </c>
      <c r="C255" s="4" t="n">
        <f aca="false">YEAR(B255)</f>
        <v>2023</v>
      </c>
      <c r="D255" s="49" t="s">
        <v>278</v>
      </c>
      <c r="E255" s="49" t="s">
        <v>782</v>
      </c>
      <c r="F255" s="50" t="n">
        <v>3</v>
      </c>
      <c r="G255" s="49" t="s">
        <v>290</v>
      </c>
      <c r="H255" s="51" t="n">
        <v>0.0068</v>
      </c>
      <c r="I255" s="51" t="n">
        <v>0.9055</v>
      </c>
      <c r="J255" s="51" t="n">
        <v>0.0877</v>
      </c>
      <c r="K255" s="49"/>
      <c r="L255" s="49"/>
      <c r="M255" s="49"/>
      <c r="N255" s="49"/>
      <c r="O255" s="49"/>
      <c r="P255" s="49"/>
      <c r="Q255" s="49"/>
      <c r="R255" s="49"/>
      <c r="S255" s="49" t="n">
        <v>0</v>
      </c>
      <c r="T255" s="49" t="n">
        <v>0</v>
      </c>
      <c r="U255" s="49" t="s">
        <v>783</v>
      </c>
    </row>
    <row r="256" customFormat="false" ht="15" hidden="false" customHeight="false" outlineLevel="0" collapsed="false">
      <c r="B256" s="48" t="n">
        <v>45022.3853009259</v>
      </c>
      <c r="C256" s="4" t="n">
        <f aca="false">YEAR(B256)</f>
        <v>2023</v>
      </c>
      <c r="D256" s="49" t="s">
        <v>278</v>
      </c>
      <c r="E256" s="49" t="s">
        <v>784</v>
      </c>
      <c r="F256" s="50" t="n">
        <v>73</v>
      </c>
      <c r="G256" s="49" t="s">
        <v>280</v>
      </c>
      <c r="H256" s="51" t="n">
        <v>0.9345</v>
      </c>
      <c r="I256" s="51" t="n">
        <v>0.0596</v>
      </c>
      <c r="J256" s="51" t="n">
        <v>0.0059</v>
      </c>
      <c r="K256" s="49"/>
      <c r="L256" s="49"/>
      <c r="M256" s="49"/>
      <c r="N256" s="49"/>
      <c r="O256" s="49"/>
      <c r="P256" s="49"/>
      <c r="Q256" s="49"/>
      <c r="R256" s="49"/>
      <c r="S256" s="49" t="n">
        <v>0</v>
      </c>
      <c r="T256" s="49" t="n">
        <v>0</v>
      </c>
      <c r="U256" s="49" t="s">
        <v>785</v>
      </c>
    </row>
    <row r="257" customFormat="false" ht="15" hidden="false" customHeight="false" outlineLevel="0" collapsed="false">
      <c r="B257" s="48" t="n">
        <v>45022.5330208333</v>
      </c>
      <c r="C257" s="4" t="n">
        <f aca="false">YEAR(B257)</f>
        <v>2023</v>
      </c>
      <c r="D257" s="49" t="s">
        <v>283</v>
      </c>
      <c r="E257" s="49" t="s">
        <v>786</v>
      </c>
      <c r="F257" s="50" t="n">
        <v>1</v>
      </c>
      <c r="G257" s="49" t="s">
        <v>287</v>
      </c>
      <c r="H257" s="51" t="n">
        <v>0.0039</v>
      </c>
      <c r="I257" s="51" t="n">
        <v>0.0977</v>
      </c>
      <c r="J257" s="51" t="n">
        <v>0.8983</v>
      </c>
      <c r="K257" s="49"/>
      <c r="L257" s="49"/>
      <c r="M257" s="49"/>
      <c r="N257" s="49"/>
      <c r="O257" s="49"/>
      <c r="P257" s="49"/>
      <c r="Q257" s="49"/>
      <c r="R257" s="49"/>
      <c r="S257" s="49" t="n">
        <v>0</v>
      </c>
      <c r="T257" s="49" t="n">
        <v>0</v>
      </c>
      <c r="U257" s="49" t="s">
        <v>787</v>
      </c>
    </row>
    <row r="258" customFormat="false" ht="15" hidden="false" customHeight="false" outlineLevel="0" collapsed="false">
      <c r="B258" s="48" t="n">
        <v>45022.6079050926</v>
      </c>
      <c r="C258" s="4" t="n">
        <f aca="false">YEAR(B258)</f>
        <v>2023</v>
      </c>
      <c r="D258" s="49" t="s">
        <v>278</v>
      </c>
      <c r="E258" s="49" t="s">
        <v>788</v>
      </c>
      <c r="F258" s="50" t="n">
        <v>24</v>
      </c>
      <c r="G258" s="49" t="s">
        <v>290</v>
      </c>
      <c r="H258" s="51" t="n">
        <v>0.0865</v>
      </c>
      <c r="I258" s="51" t="n">
        <v>0.8803</v>
      </c>
      <c r="J258" s="51" t="n">
        <v>0.0333</v>
      </c>
      <c r="K258" s="49"/>
      <c r="L258" s="49"/>
      <c r="M258" s="49"/>
      <c r="N258" s="49"/>
      <c r="O258" s="49"/>
      <c r="P258" s="49"/>
      <c r="Q258" s="49"/>
      <c r="R258" s="49" t="s">
        <v>281</v>
      </c>
      <c r="S258" s="49" t="n">
        <v>0</v>
      </c>
      <c r="T258" s="49" t="n">
        <v>0</v>
      </c>
      <c r="U258" s="49" t="s">
        <v>789</v>
      </c>
    </row>
    <row r="259" customFormat="false" ht="15" hidden="false" customHeight="false" outlineLevel="0" collapsed="false">
      <c r="B259" s="48" t="n">
        <v>45023.0219097222</v>
      </c>
      <c r="C259" s="4" t="n">
        <f aca="false">YEAR(B259)</f>
        <v>2023</v>
      </c>
      <c r="D259" s="49" t="s">
        <v>278</v>
      </c>
      <c r="E259" s="49" t="s">
        <v>790</v>
      </c>
      <c r="F259" s="50" t="n">
        <v>2</v>
      </c>
      <c r="G259" s="49" t="s">
        <v>280</v>
      </c>
      <c r="H259" s="51" t="n">
        <v>0.7569</v>
      </c>
      <c r="I259" s="51" t="n">
        <v>0.2339</v>
      </c>
      <c r="J259" s="51" t="n">
        <v>0.0092</v>
      </c>
      <c r="K259" s="49" t="s">
        <v>281</v>
      </c>
      <c r="L259" s="49"/>
      <c r="M259" s="49"/>
      <c r="N259" s="49"/>
      <c r="O259" s="49"/>
      <c r="P259" s="49"/>
      <c r="Q259" s="49"/>
      <c r="R259" s="49"/>
      <c r="S259" s="49" t="n">
        <v>0</v>
      </c>
      <c r="T259" s="49" t="n">
        <v>0</v>
      </c>
      <c r="U259" s="49" t="s">
        <v>791</v>
      </c>
    </row>
    <row r="260" customFormat="false" ht="15" hidden="false" customHeight="false" outlineLevel="0" collapsed="false">
      <c r="B260" s="48" t="n">
        <v>45024.4176388889</v>
      </c>
      <c r="C260" s="4" t="n">
        <f aca="false">YEAR(B260)</f>
        <v>2023</v>
      </c>
      <c r="D260" s="49" t="s">
        <v>283</v>
      </c>
      <c r="E260" s="49" t="s">
        <v>487</v>
      </c>
      <c r="F260" s="50" t="n">
        <v>1</v>
      </c>
      <c r="G260" s="49" t="s">
        <v>287</v>
      </c>
      <c r="H260" s="51" t="n">
        <v>0.0017</v>
      </c>
      <c r="I260" s="51" t="n">
        <v>0.0126</v>
      </c>
      <c r="J260" s="51" t="n">
        <v>0.9857</v>
      </c>
      <c r="K260" s="49"/>
      <c r="L260" s="49"/>
      <c r="M260" s="49"/>
      <c r="N260" s="49"/>
      <c r="O260" s="49"/>
      <c r="P260" s="49"/>
      <c r="Q260" s="49"/>
      <c r="R260" s="49"/>
      <c r="S260" s="49" t="n">
        <v>0</v>
      </c>
      <c r="T260" s="49" t="n">
        <v>0</v>
      </c>
      <c r="U260" s="49" t="s">
        <v>792</v>
      </c>
    </row>
    <row r="261" customFormat="false" ht="15" hidden="false" customHeight="false" outlineLevel="0" collapsed="false">
      <c r="B261" s="48" t="n">
        <v>45024.4593634259</v>
      </c>
      <c r="C261" s="4" t="n">
        <f aca="false">YEAR(B261)</f>
        <v>2023</v>
      </c>
      <c r="D261" s="49" t="s">
        <v>283</v>
      </c>
      <c r="E261" s="49" t="s">
        <v>358</v>
      </c>
      <c r="F261" s="50" t="n">
        <v>2</v>
      </c>
      <c r="G261" s="49" t="s">
        <v>287</v>
      </c>
      <c r="H261" s="51" t="n">
        <v>0.0016</v>
      </c>
      <c r="I261" s="51" t="n">
        <v>0.0638</v>
      </c>
      <c r="J261" s="51" t="n">
        <v>0.9345</v>
      </c>
      <c r="K261" s="49"/>
      <c r="L261" s="49"/>
      <c r="M261" s="49"/>
      <c r="N261" s="49"/>
      <c r="O261" s="49"/>
      <c r="P261" s="49"/>
      <c r="Q261" s="49"/>
      <c r="R261" s="49"/>
      <c r="S261" s="49" t="n">
        <v>0</v>
      </c>
      <c r="T261" s="49" t="n">
        <v>0</v>
      </c>
      <c r="U261" s="49" t="s">
        <v>793</v>
      </c>
    </row>
    <row r="262" customFormat="false" ht="15" hidden="false" customHeight="false" outlineLevel="0" collapsed="false">
      <c r="B262" s="48" t="n">
        <v>45024.7114699074</v>
      </c>
      <c r="C262" s="4" t="n">
        <f aca="false">YEAR(B262)</f>
        <v>2023</v>
      </c>
      <c r="D262" s="49" t="s">
        <v>283</v>
      </c>
      <c r="E262" s="49" t="s">
        <v>794</v>
      </c>
      <c r="F262" s="50" t="n">
        <v>4</v>
      </c>
      <c r="G262" s="49" t="s">
        <v>287</v>
      </c>
      <c r="H262" s="51" t="n">
        <v>0.003</v>
      </c>
      <c r="I262" s="51" t="n">
        <v>0.2167</v>
      </c>
      <c r="J262" s="51" t="n">
        <v>0.7802</v>
      </c>
      <c r="K262" s="49"/>
      <c r="L262" s="49"/>
      <c r="M262" s="49"/>
      <c r="N262" s="49"/>
      <c r="O262" s="49"/>
      <c r="P262" s="49"/>
      <c r="Q262" s="49"/>
      <c r="R262" s="49"/>
      <c r="S262" s="49" t="n">
        <v>1</v>
      </c>
      <c r="T262" s="49" t="n">
        <v>0</v>
      </c>
      <c r="U262" s="49" t="s">
        <v>795</v>
      </c>
    </row>
    <row r="263" customFormat="false" ht="15" hidden="false" customHeight="false" outlineLevel="0" collapsed="false">
      <c r="B263" s="48" t="n">
        <v>45025.6926041667</v>
      </c>
      <c r="C263" s="4" t="n">
        <f aca="false">YEAR(B263)</f>
        <v>2023</v>
      </c>
      <c r="D263" s="49" t="s">
        <v>283</v>
      </c>
      <c r="E263" s="49" t="s">
        <v>796</v>
      </c>
      <c r="F263" s="50" t="n">
        <v>3</v>
      </c>
      <c r="G263" s="49" t="s">
        <v>287</v>
      </c>
      <c r="H263" s="51" t="n">
        <v>0.0142</v>
      </c>
      <c r="I263" s="51" t="n">
        <v>0.0842</v>
      </c>
      <c r="J263" s="51" t="n">
        <v>0.9017</v>
      </c>
      <c r="K263" s="49"/>
      <c r="L263" s="49"/>
      <c r="M263" s="49"/>
      <c r="N263" s="49"/>
      <c r="O263" s="49"/>
      <c r="P263" s="49"/>
      <c r="Q263" s="49"/>
      <c r="R263" s="49"/>
      <c r="S263" s="49" t="n">
        <v>0</v>
      </c>
      <c r="T263" s="49" t="n">
        <v>0</v>
      </c>
      <c r="U263" s="49" t="s">
        <v>797</v>
      </c>
    </row>
    <row r="264" customFormat="false" ht="15" hidden="false" customHeight="false" outlineLevel="0" collapsed="false">
      <c r="B264" s="48" t="n">
        <v>45025.8399652778</v>
      </c>
      <c r="C264" s="4" t="n">
        <f aca="false">YEAR(B264)</f>
        <v>2023</v>
      </c>
      <c r="D264" s="49" t="s">
        <v>283</v>
      </c>
      <c r="E264" s="49" t="s">
        <v>798</v>
      </c>
      <c r="F264" s="50" t="n">
        <v>1</v>
      </c>
      <c r="G264" s="49" t="s">
        <v>287</v>
      </c>
      <c r="H264" s="51" t="n">
        <v>0.0034</v>
      </c>
      <c r="I264" s="51" t="n">
        <v>0.1003</v>
      </c>
      <c r="J264" s="51" t="n">
        <v>0.8963</v>
      </c>
      <c r="K264" s="49"/>
      <c r="L264" s="49"/>
      <c r="M264" s="49"/>
      <c r="N264" s="49"/>
      <c r="O264" s="49"/>
      <c r="P264" s="49"/>
      <c r="Q264" s="49"/>
      <c r="R264" s="49"/>
      <c r="S264" s="49" t="n">
        <v>1</v>
      </c>
      <c r="T264" s="49" t="n">
        <v>0</v>
      </c>
      <c r="U264" s="49" t="s">
        <v>799</v>
      </c>
    </row>
    <row r="265" customFormat="false" ht="15" hidden="false" customHeight="false" outlineLevel="0" collapsed="false">
      <c r="B265" s="48" t="n">
        <v>45026.0807986111</v>
      </c>
      <c r="C265" s="4" t="n">
        <f aca="false">YEAR(B265)</f>
        <v>2023</v>
      </c>
      <c r="D265" s="49" t="s">
        <v>278</v>
      </c>
      <c r="E265" s="49" t="s">
        <v>800</v>
      </c>
      <c r="F265" s="50" t="n">
        <v>0</v>
      </c>
      <c r="G265" s="49" t="s">
        <v>290</v>
      </c>
      <c r="H265" s="51" t="n">
        <v>0.1963</v>
      </c>
      <c r="I265" s="51" t="n">
        <v>0.4617</v>
      </c>
      <c r="J265" s="51" t="n">
        <v>0.3421</v>
      </c>
      <c r="K265" s="49"/>
      <c r="L265" s="49"/>
      <c r="M265" s="49"/>
      <c r="N265" s="49"/>
      <c r="O265" s="49"/>
      <c r="P265" s="49"/>
      <c r="Q265" s="49" t="s">
        <v>281</v>
      </c>
      <c r="R265" s="49"/>
      <c r="S265" s="49" t="n">
        <v>0</v>
      </c>
      <c r="T265" s="49" t="n">
        <v>0</v>
      </c>
      <c r="U265" s="49" t="s">
        <v>801</v>
      </c>
    </row>
    <row r="266" customFormat="false" ht="15" hidden="false" customHeight="false" outlineLevel="0" collapsed="false">
      <c r="B266" s="48" t="n">
        <v>45026.7556597222</v>
      </c>
      <c r="C266" s="4" t="n">
        <f aca="false">YEAR(B266)</f>
        <v>2023</v>
      </c>
      <c r="D266" s="49" t="s">
        <v>283</v>
      </c>
      <c r="E266" s="49" t="s">
        <v>802</v>
      </c>
      <c r="F266" s="50" t="n">
        <v>334</v>
      </c>
      <c r="G266" s="49" t="s">
        <v>290</v>
      </c>
      <c r="H266" s="51" t="n">
        <v>0.2778</v>
      </c>
      <c r="I266" s="51" t="n">
        <v>0.5853</v>
      </c>
      <c r="J266" s="51" t="n">
        <v>0.1368</v>
      </c>
      <c r="K266" s="49"/>
      <c r="L266" s="49"/>
      <c r="M266" s="49"/>
      <c r="N266" s="49"/>
      <c r="O266" s="49"/>
      <c r="P266" s="49"/>
      <c r="Q266" s="49"/>
      <c r="R266" s="49"/>
      <c r="S266" s="49" t="n">
        <v>0</v>
      </c>
      <c r="T266" s="49" t="n">
        <v>0</v>
      </c>
      <c r="U266" s="49" t="s">
        <v>803</v>
      </c>
    </row>
    <row r="267" customFormat="false" ht="15" hidden="false" customHeight="false" outlineLevel="0" collapsed="false">
      <c r="B267" s="48" t="n">
        <v>45026.9677777778</v>
      </c>
      <c r="C267" s="4" t="n">
        <f aca="false">YEAR(B267)</f>
        <v>2023</v>
      </c>
      <c r="D267" s="49" t="s">
        <v>283</v>
      </c>
      <c r="E267" s="49" t="s">
        <v>804</v>
      </c>
      <c r="F267" s="50" t="n">
        <v>1</v>
      </c>
      <c r="G267" s="49" t="s">
        <v>290</v>
      </c>
      <c r="H267" s="51" t="n">
        <v>0.0101</v>
      </c>
      <c r="I267" s="51" t="n">
        <v>0.8787</v>
      </c>
      <c r="J267" s="51" t="n">
        <v>0.1112</v>
      </c>
      <c r="K267" s="49"/>
      <c r="L267" s="49"/>
      <c r="M267" s="49"/>
      <c r="N267" s="49"/>
      <c r="O267" s="49"/>
      <c r="P267" s="49"/>
      <c r="Q267" s="49"/>
      <c r="R267" s="49"/>
      <c r="S267" s="49" t="n">
        <v>1</v>
      </c>
      <c r="T267" s="49" t="n">
        <v>0</v>
      </c>
      <c r="U267" s="49" t="s">
        <v>805</v>
      </c>
    </row>
    <row r="268" customFormat="false" ht="15" hidden="false" customHeight="false" outlineLevel="0" collapsed="false">
      <c r="B268" s="48" t="n">
        <v>45027.0663194444</v>
      </c>
      <c r="C268" s="4" t="n">
        <f aca="false">YEAR(B268)</f>
        <v>2023</v>
      </c>
      <c r="D268" s="49" t="s">
        <v>283</v>
      </c>
      <c r="E268" s="49" t="s">
        <v>659</v>
      </c>
      <c r="F268" s="50" t="n">
        <v>1</v>
      </c>
      <c r="G268" s="49" t="s">
        <v>287</v>
      </c>
      <c r="H268" s="51" t="n">
        <v>0.0034</v>
      </c>
      <c r="I268" s="51" t="n">
        <v>0.1723</v>
      </c>
      <c r="J268" s="51" t="n">
        <v>0.8242</v>
      </c>
      <c r="K268" s="49"/>
      <c r="L268" s="49"/>
      <c r="M268" s="49"/>
      <c r="N268" s="49"/>
      <c r="O268" s="49"/>
      <c r="P268" s="49"/>
      <c r="Q268" s="49"/>
      <c r="R268" s="49"/>
      <c r="S268" s="49" t="n">
        <v>0</v>
      </c>
      <c r="T268" s="49" t="n">
        <v>0</v>
      </c>
      <c r="U268" s="49" t="s">
        <v>806</v>
      </c>
    </row>
    <row r="269" customFormat="false" ht="15" hidden="false" customHeight="false" outlineLevel="0" collapsed="false">
      <c r="B269" s="48" t="n">
        <v>45027.375775463</v>
      </c>
      <c r="C269" s="4" t="n">
        <f aca="false">YEAR(B269)</f>
        <v>2023</v>
      </c>
      <c r="D269" s="49" t="s">
        <v>283</v>
      </c>
      <c r="E269" s="49" t="s">
        <v>807</v>
      </c>
      <c r="F269" s="50" t="n">
        <v>1</v>
      </c>
      <c r="G269" s="49" t="s">
        <v>287</v>
      </c>
      <c r="H269" s="51" t="n">
        <v>0.0017</v>
      </c>
      <c r="I269" s="51" t="n">
        <v>0.011</v>
      </c>
      <c r="J269" s="51" t="n">
        <v>0.9873</v>
      </c>
      <c r="K269" s="49"/>
      <c r="L269" s="49"/>
      <c r="M269" s="49"/>
      <c r="N269" s="49"/>
      <c r="O269" s="49"/>
      <c r="P269" s="49"/>
      <c r="Q269" s="49"/>
      <c r="R269" s="49"/>
      <c r="S269" s="49" t="n">
        <v>0</v>
      </c>
      <c r="T269" s="49" t="n">
        <v>0</v>
      </c>
      <c r="U269" s="49" t="s">
        <v>808</v>
      </c>
    </row>
    <row r="270" customFormat="false" ht="15" hidden="false" customHeight="false" outlineLevel="0" collapsed="false">
      <c r="B270" s="48" t="n">
        <v>45027.5970833333</v>
      </c>
      <c r="C270" s="4" t="n">
        <f aca="false">YEAR(B270)</f>
        <v>2023</v>
      </c>
      <c r="D270" s="49" t="s">
        <v>283</v>
      </c>
      <c r="E270" s="49" t="s">
        <v>809</v>
      </c>
      <c r="F270" s="50" t="n">
        <v>10</v>
      </c>
      <c r="G270" s="49" t="s">
        <v>280</v>
      </c>
      <c r="H270" s="51" t="n">
        <v>0.4992</v>
      </c>
      <c r="I270" s="51" t="n">
        <v>0.4814</v>
      </c>
      <c r="J270" s="51" t="n">
        <v>0.0194</v>
      </c>
      <c r="K270" s="49"/>
      <c r="L270" s="49"/>
      <c r="M270" s="49"/>
      <c r="N270" s="49"/>
      <c r="O270" s="49"/>
      <c r="P270" s="49"/>
      <c r="Q270" s="49"/>
      <c r="R270" s="49"/>
      <c r="S270" s="49" t="n">
        <v>1</v>
      </c>
      <c r="T270" s="49" t="n">
        <v>0</v>
      </c>
      <c r="U270" s="49" t="s">
        <v>810</v>
      </c>
    </row>
    <row r="271" customFormat="false" ht="15" hidden="false" customHeight="false" outlineLevel="0" collapsed="false">
      <c r="B271" s="48" t="n">
        <v>45028.0407986111</v>
      </c>
      <c r="C271" s="4" t="n">
        <f aca="false">YEAR(B271)</f>
        <v>2023</v>
      </c>
      <c r="D271" s="49" t="s">
        <v>283</v>
      </c>
      <c r="E271" s="49" t="s">
        <v>811</v>
      </c>
      <c r="F271" s="50" t="n">
        <v>1</v>
      </c>
      <c r="G271" s="49" t="s">
        <v>287</v>
      </c>
      <c r="H271" s="51" t="n">
        <v>0.002</v>
      </c>
      <c r="I271" s="51" t="n">
        <v>0.0204</v>
      </c>
      <c r="J271" s="51" t="n">
        <v>0.9776</v>
      </c>
      <c r="K271" s="49"/>
      <c r="L271" s="49"/>
      <c r="M271" s="49"/>
      <c r="N271" s="49"/>
      <c r="O271" s="49"/>
      <c r="P271" s="49"/>
      <c r="Q271" s="49"/>
      <c r="R271" s="49"/>
      <c r="S271" s="49" t="n">
        <v>0</v>
      </c>
      <c r="T271" s="49" t="n">
        <v>0</v>
      </c>
      <c r="U271" s="49" t="s">
        <v>812</v>
      </c>
    </row>
    <row r="272" customFormat="false" ht="15" hidden="false" customHeight="false" outlineLevel="0" collapsed="false">
      <c r="B272" s="48" t="n">
        <v>45028.7423032407</v>
      </c>
      <c r="C272" s="4" t="n">
        <f aca="false">YEAR(B272)</f>
        <v>2023</v>
      </c>
      <c r="D272" s="49" t="s">
        <v>283</v>
      </c>
      <c r="E272" s="49" t="s">
        <v>813</v>
      </c>
      <c r="F272" s="50" t="n">
        <v>1</v>
      </c>
      <c r="G272" s="49" t="s">
        <v>290</v>
      </c>
      <c r="H272" s="51" t="n">
        <v>0.0328</v>
      </c>
      <c r="I272" s="51" t="n">
        <v>0.7559</v>
      </c>
      <c r="J272" s="51" t="n">
        <v>0.2114</v>
      </c>
      <c r="K272" s="49"/>
      <c r="L272" s="49"/>
      <c r="M272" s="49"/>
      <c r="N272" s="49"/>
      <c r="O272" s="49"/>
      <c r="P272" s="49"/>
      <c r="Q272" s="49"/>
      <c r="R272" s="49"/>
      <c r="S272" s="49" t="n">
        <v>0</v>
      </c>
      <c r="T272" s="49" t="n">
        <v>0</v>
      </c>
      <c r="U272" s="49" t="s">
        <v>814</v>
      </c>
    </row>
    <row r="273" customFormat="false" ht="15" hidden="false" customHeight="false" outlineLevel="0" collapsed="false">
      <c r="B273" s="48" t="n">
        <v>45028.8090393519</v>
      </c>
      <c r="C273" s="4" t="n">
        <f aca="false">YEAR(B273)</f>
        <v>2023</v>
      </c>
      <c r="D273" s="49" t="s">
        <v>278</v>
      </c>
      <c r="E273" s="49" t="s">
        <v>815</v>
      </c>
      <c r="F273" s="50" t="n">
        <v>23</v>
      </c>
      <c r="G273" s="49" t="s">
        <v>280</v>
      </c>
      <c r="H273" s="51" t="n">
        <v>0.6464</v>
      </c>
      <c r="I273" s="51" t="n">
        <v>0.341</v>
      </c>
      <c r="J273" s="51" t="n">
        <v>0.0126</v>
      </c>
      <c r="K273" s="49" t="s">
        <v>281</v>
      </c>
      <c r="L273" s="49"/>
      <c r="M273" s="49"/>
      <c r="N273" s="49"/>
      <c r="O273" s="49"/>
      <c r="P273" s="49"/>
      <c r="Q273" s="49"/>
      <c r="R273" s="49" t="s">
        <v>281</v>
      </c>
      <c r="S273" s="49" t="n">
        <v>0</v>
      </c>
      <c r="T273" s="49" t="n">
        <v>0</v>
      </c>
      <c r="U273" s="49" t="s">
        <v>816</v>
      </c>
    </row>
    <row r="274" customFormat="false" ht="15" hidden="false" customHeight="false" outlineLevel="0" collapsed="false">
      <c r="B274" s="48" t="n">
        <v>45029.0501041667</v>
      </c>
      <c r="C274" s="4" t="n">
        <f aca="false">YEAR(B274)</f>
        <v>2023</v>
      </c>
      <c r="D274" s="49" t="s">
        <v>278</v>
      </c>
      <c r="E274" s="49" t="s">
        <v>817</v>
      </c>
      <c r="F274" s="50" t="n">
        <v>4</v>
      </c>
      <c r="G274" s="49" t="s">
        <v>280</v>
      </c>
      <c r="H274" s="51" t="n">
        <v>0.6679</v>
      </c>
      <c r="I274" s="51" t="n">
        <v>0.3152</v>
      </c>
      <c r="J274" s="51" t="n">
        <v>0.017</v>
      </c>
      <c r="K274" s="49"/>
      <c r="L274" s="49"/>
      <c r="M274" s="49"/>
      <c r="N274" s="49"/>
      <c r="O274" s="49"/>
      <c r="P274" s="49"/>
      <c r="Q274" s="49"/>
      <c r="R274" s="49" t="s">
        <v>281</v>
      </c>
      <c r="S274" s="49" t="n">
        <v>0</v>
      </c>
      <c r="T274" s="49" t="n">
        <v>0</v>
      </c>
      <c r="U274" s="49" t="s">
        <v>818</v>
      </c>
    </row>
    <row r="275" customFormat="false" ht="15" hidden="false" customHeight="false" outlineLevel="0" collapsed="false">
      <c r="B275" s="48" t="n">
        <v>45029.1640393519</v>
      </c>
      <c r="C275" s="4" t="n">
        <f aca="false">YEAR(B275)</f>
        <v>2023</v>
      </c>
      <c r="D275" s="49" t="s">
        <v>283</v>
      </c>
      <c r="E275" s="49" t="s">
        <v>819</v>
      </c>
      <c r="F275" s="50" t="n">
        <v>1</v>
      </c>
      <c r="G275" s="49" t="s">
        <v>290</v>
      </c>
      <c r="H275" s="51" t="n">
        <v>0.0085</v>
      </c>
      <c r="I275" s="51" t="n">
        <v>0.9449</v>
      </c>
      <c r="J275" s="51" t="n">
        <v>0.0466</v>
      </c>
      <c r="K275" s="49"/>
      <c r="L275" s="49"/>
      <c r="M275" s="49"/>
      <c r="N275" s="49"/>
      <c r="O275" s="49"/>
      <c r="P275" s="49"/>
      <c r="Q275" s="49"/>
      <c r="R275" s="49"/>
      <c r="S275" s="49" t="n">
        <v>1</v>
      </c>
      <c r="T275" s="49" t="n">
        <v>0</v>
      </c>
      <c r="U275" s="49" t="s">
        <v>820</v>
      </c>
    </row>
    <row r="276" customFormat="false" ht="15" hidden="false" customHeight="false" outlineLevel="0" collapsed="false">
      <c r="B276" s="48" t="n">
        <v>45029.1687152778</v>
      </c>
      <c r="C276" s="4" t="n">
        <f aca="false">YEAR(B276)</f>
        <v>2023</v>
      </c>
      <c r="D276" s="49" t="s">
        <v>283</v>
      </c>
      <c r="E276" s="49" t="s">
        <v>821</v>
      </c>
      <c r="F276" s="50" t="n">
        <v>1</v>
      </c>
      <c r="G276" s="49" t="s">
        <v>290</v>
      </c>
      <c r="H276" s="51" t="n">
        <v>0.0913</v>
      </c>
      <c r="I276" s="51" t="n">
        <v>0.8489</v>
      </c>
      <c r="J276" s="51" t="n">
        <v>0.0598</v>
      </c>
      <c r="K276" s="49"/>
      <c r="L276" s="49"/>
      <c r="M276" s="49"/>
      <c r="N276" s="49"/>
      <c r="O276" s="49"/>
      <c r="P276" s="49"/>
      <c r="Q276" s="49"/>
      <c r="R276" s="49" t="s">
        <v>281</v>
      </c>
      <c r="S276" s="49" t="n">
        <v>1</v>
      </c>
      <c r="T276" s="49" t="n">
        <v>0</v>
      </c>
      <c r="U276" s="49" t="s">
        <v>822</v>
      </c>
    </row>
    <row r="277" customFormat="false" ht="15" hidden="false" customHeight="false" outlineLevel="0" collapsed="false">
      <c r="B277" s="48" t="n">
        <v>45029.4174074074</v>
      </c>
      <c r="C277" s="4" t="n">
        <f aca="false">YEAR(B277)</f>
        <v>2023</v>
      </c>
      <c r="D277" s="49" t="s">
        <v>283</v>
      </c>
      <c r="E277" s="49" t="s">
        <v>823</v>
      </c>
      <c r="F277" s="50" t="n">
        <v>1</v>
      </c>
      <c r="G277" s="49" t="s">
        <v>287</v>
      </c>
      <c r="H277" s="51" t="n">
        <v>0.0018</v>
      </c>
      <c r="I277" s="51" t="n">
        <v>0.0454</v>
      </c>
      <c r="J277" s="51" t="n">
        <v>0.9528</v>
      </c>
      <c r="K277" s="49"/>
      <c r="L277" s="49"/>
      <c r="M277" s="49"/>
      <c r="N277" s="49"/>
      <c r="O277" s="49"/>
      <c r="P277" s="49"/>
      <c r="Q277" s="49"/>
      <c r="R277" s="49"/>
      <c r="S277" s="49" t="n">
        <v>0</v>
      </c>
      <c r="T277" s="49" t="n">
        <v>0</v>
      </c>
      <c r="U277" s="49" t="s">
        <v>824</v>
      </c>
    </row>
    <row r="278" customFormat="false" ht="15" hidden="false" customHeight="false" outlineLevel="0" collapsed="false">
      <c r="B278" s="48" t="n">
        <v>45030.3289236111</v>
      </c>
      <c r="C278" s="4" t="n">
        <f aca="false">YEAR(B278)</f>
        <v>2023</v>
      </c>
      <c r="D278" s="49" t="s">
        <v>278</v>
      </c>
      <c r="E278" s="49" t="s">
        <v>825</v>
      </c>
      <c r="F278" s="50" t="n">
        <v>71</v>
      </c>
      <c r="G278" s="49" t="s">
        <v>280</v>
      </c>
      <c r="H278" s="51" t="n">
        <v>0.9354</v>
      </c>
      <c r="I278" s="51" t="n">
        <v>0.0594</v>
      </c>
      <c r="J278" s="51" t="n">
        <v>0.0053</v>
      </c>
      <c r="K278" s="49"/>
      <c r="L278" s="49"/>
      <c r="M278" s="49"/>
      <c r="N278" s="49"/>
      <c r="O278" s="49"/>
      <c r="P278" s="49"/>
      <c r="Q278" s="49"/>
      <c r="R278" s="49"/>
      <c r="S278" s="49" t="n">
        <v>0</v>
      </c>
      <c r="T278" s="49" t="n">
        <v>0</v>
      </c>
      <c r="U278" s="49" t="s">
        <v>826</v>
      </c>
    </row>
    <row r="279" customFormat="false" ht="15" hidden="false" customHeight="false" outlineLevel="0" collapsed="false">
      <c r="B279" s="48" t="n">
        <v>45030.4982291667</v>
      </c>
      <c r="C279" s="4" t="n">
        <f aca="false">YEAR(B279)</f>
        <v>2023</v>
      </c>
      <c r="D279" s="49" t="s">
        <v>278</v>
      </c>
      <c r="E279" s="49" t="s">
        <v>827</v>
      </c>
      <c r="F279" s="50" t="n">
        <v>50</v>
      </c>
      <c r="G279" s="49" t="s">
        <v>287</v>
      </c>
      <c r="H279" s="51" t="n">
        <v>0.0072</v>
      </c>
      <c r="I279" s="51" t="n">
        <v>0.1578</v>
      </c>
      <c r="J279" s="51" t="n">
        <v>0.835</v>
      </c>
      <c r="K279" s="49"/>
      <c r="L279" s="49"/>
      <c r="M279" s="49"/>
      <c r="N279" s="49"/>
      <c r="O279" s="49"/>
      <c r="P279" s="49"/>
      <c r="Q279" s="49"/>
      <c r="R279" s="49"/>
      <c r="S279" s="49" t="n">
        <v>0</v>
      </c>
      <c r="T279" s="49" t="n">
        <v>0</v>
      </c>
      <c r="U279" s="49" t="s">
        <v>828</v>
      </c>
    </row>
    <row r="280" customFormat="false" ht="15" hidden="false" customHeight="false" outlineLevel="0" collapsed="false">
      <c r="B280" s="48" t="n">
        <v>45031.082349537</v>
      </c>
      <c r="C280" s="4" t="n">
        <f aca="false">YEAR(B280)</f>
        <v>2023</v>
      </c>
      <c r="D280" s="49" t="s">
        <v>283</v>
      </c>
      <c r="E280" s="49" t="s">
        <v>829</v>
      </c>
      <c r="F280" s="50" t="n">
        <v>1</v>
      </c>
      <c r="G280" s="49" t="s">
        <v>290</v>
      </c>
      <c r="H280" s="51" t="n">
        <v>0.0039</v>
      </c>
      <c r="I280" s="51" t="n">
        <v>0.7365</v>
      </c>
      <c r="J280" s="51" t="n">
        <v>0.2597</v>
      </c>
      <c r="K280" s="49"/>
      <c r="L280" s="49"/>
      <c r="M280" s="49"/>
      <c r="N280" s="49"/>
      <c r="O280" s="49"/>
      <c r="P280" s="49"/>
      <c r="Q280" s="49"/>
      <c r="R280" s="49"/>
      <c r="S280" s="49" t="n">
        <v>0</v>
      </c>
      <c r="T280" s="49" t="n">
        <v>0</v>
      </c>
      <c r="U280" s="49" t="s">
        <v>830</v>
      </c>
    </row>
    <row r="281" customFormat="false" ht="15" hidden="false" customHeight="false" outlineLevel="0" collapsed="false">
      <c r="B281" s="48" t="n">
        <v>45031.6530787037</v>
      </c>
      <c r="C281" s="4" t="n">
        <f aca="false">YEAR(B281)</f>
        <v>2023</v>
      </c>
      <c r="D281" s="49" t="s">
        <v>283</v>
      </c>
      <c r="E281" s="49" t="s">
        <v>831</v>
      </c>
      <c r="F281" s="50" t="n">
        <v>1</v>
      </c>
      <c r="G281" s="49" t="s">
        <v>290</v>
      </c>
      <c r="H281" s="51" t="n">
        <v>0.2863</v>
      </c>
      <c r="I281" s="51" t="n">
        <v>0.6724</v>
      </c>
      <c r="J281" s="51" t="n">
        <v>0.0413</v>
      </c>
      <c r="K281" s="49"/>
      <c r="L281" s="49"/>
      <c r="M281" s="49"/>
      <c r="N281" s="49"/>
      <c r="O281" s="49"/>
      <c r="P281" s="49"/>
      <c r="Q281" s="49"/>
      <c r="R281" s="49"/>
      <c r="S281" s="49" t="n">
        <v>1</v>
      </c>
      <c r="T281" s="49" t="n">
        <v>0</v>
      </c>
      <c r="U281" s="49" t="s">
        <v>832</v>
      </c>
    </row>
    <row r="282" customFormat="false" ht="15" hidden="false" customHeight="false" outlineLevel="0" collapsed="false">
      <c r="B282" s="48" t="n">
        <v>45031.8611689815</v>
      </c>
      <c r="C282" s="4" t="n">
        <f aca="false">YEAR(B282)</f>
        <v>2023</v>
      </c>
      <c r="D282" s="49" t="s">
        <v>283</v>
      </c>
      <c r="E282" s="49" t="s">
        <v>833</v>
      </c>
      <c r="F282" s="50" t="n">
        <v>1</v>
      </c>
      <c r="G282" s="49" t="s">
        <v>280</v>
      </c>
      <c r="H282" s="51" t="n">
        <v>0.6734</v>
      </c>
      <c r="I282" s="51" t="n">
        <v>0.313</v>
      </c>
      <c r="J282" s="51" t="n">
        <v>0.0136</v>
      </c>
      <c r="K282" s="49"/>
      <c r="L282" s="49"/>
      <c r="M282" s="49"/>
      <c r="N282" s="49"/>
      <c r="O282" s="49"/>
      <c r="P282" s="49"/>
      <c r="Q282" s="49"/>
      <c r="R282" s="49"/>
      <c r="S282" s="49" t="n">
        <v>1</v>
      </c>
      <c r="T282" s="49" t="n">
        <v>0</v>
      </c>
      <c r="U282" s="49" t="s">
        <v>834</v>
      </c>
    </row>
    <row r="283" customFormat="false" ht="15" hidden="false" customHeight="false" outlineLevel="0" collapsed="false">
      <c r="B283" s="48" t="n">
        <v>45031.9415046296</v>
      </c>
      <c r="C283" s="4" t="n">
        <f aca="false">YEAR(B283)</f>
        <v>2023</v>
      </c>
      <c r="D283" s="49" t="s">
        <v>283</v>
      </c>
      <c r="E283" s="49" t="s">
        <v>835</v>
      </c>
      <c r="F283" s="50" t="n">
        <v>1</v>
      </c>
      <c r="G283" s="49" t="s">
        <v>287</v>
      </c>
      <c r="H283" s="51" t="n">
        <v>0.0021</v>
      </c>
      <c r="I283" s="51" t="n">
        <v>0.013</v>
      </c>
      <c r="J283" s="51" t="n">
        <v>0.9849</v>
      </c>
      <c r="K283" s="49"/>
      <c r="L283" s="49"/>
      <c r="M283" s="49"/>
      <c r="N283" s="49"/>
      <c r="O283" s="49"/>
      <c r="P283" s="49"/>
      <c r="Q283" s="49"/>
      <c r="R283" s="49" t="s">
        <v>281</v>
      </c>
      <c r="S283" s="49" t="n">
        <v>0</v>
      </c>
      <c r="T283" s="49" t="n">
        <v>0</v>
      </c>
      <c r="U283" s="49" t="s">
        <v>836</v>
      </c>
    </row>
    <row r="284" customFormat="false" ht="15" hidden="false" customHeight="false" outlineLevel="0" collapsed="false">
      <c r="B284" s="48" t="n">
        <v>45033.772337963</v>
      </c>
      <c r="C284" s="4" t="n">
        <f aca="false">YEAR(B284)</f>
        <v>2023</v>
      </c>
      <c r="D284" s="49" t="s">
        <v>283</v>
      </c>
      <c r="E284" s="49" t="s">
        <v>837</v>
      </c>
      <c r="F284" s="50" t="n">
        <v>76</v>
      </c>
      <c r="G284" s="49" t="s">
        <v>290</v>
      </c>
      <c r="H284" s="51" t="n">
        <v>0.0023</v>
      </c>
      <c r="I284" s="51" t="n">
        <v>0.5401</v>
      </c>
      <c r="J284" s="51" t="n">
        <v>0.4576</v>
      </c>
      <c r="K284" s="49"/>
      <c r="L284" s="49"/>
      <c r="M284" s="49"/>
      <c r="N284" s="49"/>
      <c r="O284" s="49"/>
      <c r="P284" s="49"/>
      <c r="Q284" s="49"/>
      <c r="R284" s="49"/>
      <c r="S284" s="49" t="n">
        <v>0</v>
      </c>
      <c r="T284" s="49" t="n">
        <v>0</v>
      </c>
      <c r="U284" s="49" t="s">
        <v>838</v>
      </c>
    </row>
    <row r="285" customFormat="false" ht="15" hidden="false" customHeight="false" outlineLevel="0" collapsed="false">
      <c r="B285" s="48" t="n">
        <v>45033.9253935185</v>
      </c>
      <c r="C285" s="4" t="n">
        <f aca="false">YEAR(B285)</f>
        <v>2023</v>
      </c>
      <c r="D285" s="49" t="s">
        <v>278</v>
      </c>
      <c r="E285" s="49" t="s">
        <v>839</v>
      </c>
      <c r="F285" s="50" t="n">
        <v>4</v>
      </c>
      <c r="G285" s="49" t="s">
        <v>287</v>
      </c>
      <c r="H285" s="51" t="n">
        <v>0.006</v>
      </c>
      <c r="I285" s="51" t="n">
        <v>0.0831</v>
      </c>
      <c r="J285" s="51" t="n">
        <v>0.9108</v>
      </c>
      <c r="K285" s="49"/>
      <c r="L285" s="49"/>
      <c r="M285" s="49"/>
      <c r="N285" s="49"/>
      <c r="O285" s="49"/>
      <c r="P285" s="49"/>
      <c r="Q285" s="49"/>
      <c r="R285" s="49"/>
      <c r="S285" s="49" t="n">
        <v>0</v>
      </c>
      <c r="T285" s="49" t="n">
        <v>0</v>
      </c>
      <c r="U285" s="49" t="s">
        <v>840</v>
      </c>
    </row>
    <row r="286" customFormat="false" ht="15" hidden="false" customHeight="false" outlineLevel="0" collapsed="false">
      <c r="B286" s="48" t="n">
        <v>45035.164537037</v>
      </c>
      <c r="C286" s="4" t="n">
        <f aca="false">YEAR(B286)</f>
        <v>2023</v>
      </c>
      <c r="D286" s="49" t="s">
        <v>283</v>
      </c>
      <c r="E286" s="49" t="s">
        <v>841</v>
      </c>
      <c r="F286" s="50" t="n">
        <v>17</v>
      </c>
      <c r="G286" s="49" t="s">
        <v>280</v>
      </c>
      <c r="H286" s="51" t="n">
        <v>0.8173</v>
      </c>
      <c r="I286" s="51" t="n">
        <v>0.1684</v>
      </c>
      <c r="J286" s="51" t="n">
        <v>0.0143</v>
      </c>
      <c r="K286" s="49" t="s">
        <v>281</v>
      </c>
      <c r="L286" s="49"/>
      <c r="M286" s="49"/>
      <c r="N286" s="49"/>
      <c r="O286" s="49"/>
      <c r="P286" s="49"/>
      <c r="Q286" s="49"/>
      <c r="R286" s="49"/>
      <c r="S286" s="49" t="n">
        <v>0</v>
      </c>
      <c r="T286" s="49" t="n">
        <v>0</v>
      </c>
      <c r="U286" s="49" t="s">
        <v>842</v>
      </c>
    </row>
    <row r="287" customFormat="false" ht="15" hidden="false" customHeight="false" outlineLevel="0" collapsed="false">
      <c r="B287" s="48" t="n">
        <v>45035.3941666667</v>
      </c>
      <c r="C287" s="4" t="n">
        <f aca="false">YEAR(B287)</f>
        <v>2023</v>
      </c>
      <c r="D287" s="49" t="s">
        <v>278</v>
      </c>
      <c r="E287" s="49" t="s">
        <v>843</v>
      </c>
      <c r="F287" s="50" t="n">
        <v>8</v>
      </c>
      <c r="G287" s="49" t="s">
        <v>280</v>
      </c>
      <c r="H287" s="51" t="n">
        <v>0.5282</v>
      </c>
      <c r="I287" s="51" t="n">
        <v>0.4276</v>
      </c>
      <c r="J287" s="51" t="n">
        <v>0.0442</v>
      </c>
      <c r="K287" s="49"/>
      <c r="L287" s="49"/>
      <c r="M287" s="49"/>
      <c r="N287" s="49"/>
      <c r="O287" s="49"/>
      <c r="P287" s="49"/>
      <c r="Q287" s="49"/>
      <c r="R287" s="49" t="s">
        <v>281</v>
      </c>
      <c r="S287" s="49" t="n">
        <v>0</v>
      </c>
      <c r="T287" s="49" t="n">
        <v>0</v>
      </c>
      <c r="U287" s="49" t="s">
        <v>844</v>
      </c>
    </row>
    <row r="288" customFormat="false" ht="15" hidden="false" customHeight="false" outlineLevel="0" collapsed="false">
      <c r="B288" s="48" t="n">
        <v>45035.5709606482</v>
      </c>
      <c r="C288" s="4" t="n">
        <f aca="false">YEAR(B288)</f>
        <v>2023</v>
      </c>
      <c r="D288" s="49" t="s">
        <v>283</v>
      </c>
      <c r="E288" s="49" t="s">
        <v>845</v>
      </c>
      <c r="F288" s="50" t="n">
        <v>6</v>
      </c>
      <c r="G288" s="49" t="s">
        <v>290</v>
      </c>
      <c r="H288" s="51" t="n">
        <v>0.4329</v>
      </c>
      <c r="I288" s="51" t="n">
        <v>0.5505</v>
      </c>
      <c r="J288" s="51" t="n">
        <v>0.0167</v>
      </c>
      <c r="K288" s="49"/>
      <c r="L288" s="49"/>
      <c r="M288" s="49"/>
      <c r="N288" s="49"/>
      <c r="O288" s="49"/>
      <c r="P288" s="49"/>
      <c r="Q288" s="49" t="s">
        <v>281</v>
      </c>
      <c r="R288" s="49"/>
      <c r="S288" s="49" t="n">
        <v>1</v>
      </c>
      <c r="T288" s="49" t="n">
        <v>0</v>
      </c>
      <c r="U288" s="49" t="s">
        <v>846</v>
      </c>
    </row>
    <row r="289" customFormat="false" ht="15" hidden="false" customHeight="false" outlineLevel="0" collapsed="false">
      <c r="B289" s="48" t="n">
        <v>45035.9576851852</v>
      </c>
      <c r="C289" s="4" t="n">
        <f aca="false">YEAR(B289)</f>
        <v>2023</v>
      </c>
      <c r="D289" s="49" t="s">
        <v>283</v>
      </c>
      <c r="E289" s="49" t="s">
        <v>847</v>
      </c>
      <c r="F289" s="50" t="n">
        <v>46</v>
      </c>
      <c r="G289" s="49" t="s">
        <v>287</v>
      </c>
      <c r="H289" s="51" t="n">
        <v>0.0039</v>
      </c>
      <c r="I289" s="51" t="n">
        <v>0.0686</v>
      </c>
      <c r="J289" s="51" t="n">
        <v>0.9275</v>
      </c>
      <c r="K289" s="49"/>
      <c r="L289" s="49"/>
      <c r="M289" s="49"/>
      <c r="N289" s="49"/>
      <c r="O289" s="49"/>
      <c r="P289" s="49"/>
      <c r="Q289" s="49"/>
      <c r="R289" s="49"/>
      <c r="S289" s="49" t="n">
        <v>0</v>
      </c>
      <c r="T289" s="49" t="n">
        <v>0</v>
      </c>
      <c r="U289" s="49" t="s">
        <v>848</v>
      </c>
    </row>
    <row r="290" customFormat="false" ht="15" hidden="false" customHeight="false" outlineLevel="0" collapsed="false">
      <c r="B290" s="48" t="n">
        <v>45037.4189930556</v>
      </c>
      <c r="C290" s="4" t="n">
        <f aca="false">YEAR(B290)</f>
        <v>2023</v>
      </c>
      <c r="D290" s="49" t="s">
        <v>283</v>
      </c>
      <c r="E290" s="49" t="s">
        <v>849</v>
      </c>
      <c r="F290" s="50" t="n">
        <v>1</v>
      </c>
      <c r="G290" s="49" t="s">
        <v>280</v>
      </c>
      <c r="H290" s="51" t="n">
        <v>0.9068</v>
      </c>
      <c r="I290" s="51" t="n">
        <v>0.087</v>
      </c>
      <c r="J290" s="51" t="n">
        <v>0.0062</v>
      </c>
      <c r="K290" s="49"/>
      <c r="L290" s="49"/>
      <c r="M290" s="49"/>
      <c r="N290" s="49"/>
      <c r="O290" s="49"/>
      <c r="P290" s="49"/>
      <c r="Q290" s="49"/>
      <c r="R290" s="49"/>
      <c r="S290" s="49" t="n">
        <v>0</v>
      </c>
      <c r="T290" s="49" t="n">
        <v>0</v>
      </c>
      <c r="U290" s="49" t="s">
        <v>850</v>
      </c>
    </row>
    <row r="291" customFormat="false" ht="15" hidden="false" customHeight="false" outlineLevel="0" collapsed="false">
      <c r="B291" s="48" t="n">
        <v>45039.654525463</v>
      </c>
      <c r="C291" s="4" t="n">
        <f aca="false">YEAR(B291)</f>
        <v>2023</v>
      </c>
      <c r="D291" s="49" t="s">
        <v>278</v>
      </c>
      <c r="E291" s="49" t="s">
        <v>851</v>
      </c>
      <c r="F291" s="50" t="n">
        <v>6</v>
      </c>
      <c r="G291" s="49" t="s">
        <v>290</v>
      </c>
      <c r="H291" s="51" t="n">
        <v>0.0539</v>
      </c>
      <c r="I291" s="51" t="n">
        <v>0.7295</v>
      </c>
      <c r="J291" s="51" t="n">
        <v>0.2166</v>
      </c>
      <c r="K291" s="49"/>
      <c r="L291" s="49"/>
      <c r="M291" s="49"/>
      <c r="N291" s="49"/>
      <c r="O291" s="49"/>
      <c r="P291" s="49" t="s">
        <v>281</v>
      </c>
      <c r="Q291" s="49"/>
      <c r="R291" s="49"/>
      <c r="S291" s="49" t="n">
        <v>0</v>
      </c>
      <c r="T291" s="49" t="n">
        <v>0</v>
      </c>
      <c r="U291" s="49" t="s">
        <v>852</v>
      </c>
    </row>
    <row r="292" customFormat="false" ht="15" hidden="false" customHeight="false" outlineLevel="0" collapsed="false">
      <c r="B292" s="48" t="n">
        <v>45040.9773263889</v>
      </c>
      <c r="C292" s="4" t="n">
        <f aca="false">YEAR(B292)</f>
        <v>2023</v>
      </c>
      <c r="D292" s="49" t="s">
        <v>278</v>
      </c>
      <c r="E292" s="49" t="s">
        <v>853</v>
      </c>
      <c r="F292" s="50" t="n">
        <v>3</v>
      </c>
      <c r="G292" s="49" t="s">
        <v>280</v>
      </c>
      <c r="H292" s="51" t="n">
        <v>0.9285</v>
      </c>
      <c r="I292" s="51" t="n">
        <v>0.0651</v>
      </c>
      <c r="J292" s="51" t="n">
        <v>0.0064</v>
      </c>
      <c r="K292" s="49"/>
      <c r="L292" s="49"/>
      <c r="M292" s="49"/>
      <c r="N292" s="49"/>
      <c r="O292" s="49"/>
      <c r="P292" s="49"/>
      <c r="Q292" s="49"/>
      <c r="R292" s="49"/>
      <c r="S292" s="49" t="n">
        <v>0</v>
      </c>
      <c r="T292" s="49" t="n">
        <v>0</v>
      </c>
      <c r="U292" s="49" t="s">
        <v>854</v>
      </c>
    </row>
    <row r="293" customFormat="false" ht="15" hidden="false" customHeight="false" outlineLevel="0" collapsed="false">
      <c r="B293" s="48" t="n">
        <v>45041.0711342593</v>
      </c>
      <c r="C293" s="4" t="n">
        <f aca="false">YEAR(B293)</f>
        <v>2023</v>
      </c>
      <c r="D293" s="49" t="s">
        <v>283</v>
      </c>
      <c r="E293" s="49" t="s">
        <v>855</v>
      </c>
      <c r="F293" s="50" t="n">
        <v>52</v>
      </c>
      <c r="G293" s="49" t="s">
        <v>280</v>
      </c>
      <c r="H293" s="51" t="n">
        <v>0.8886</v>
      </c>
      <c r="I293" s="51" t="n">
        <v>0.103</v>
      </c>
      <c r="J293" s="51" t="n">
        <v>0.0084</v>
      </c>
      <c r="K293" s="49" t="s">
        <v>281</v>
      </c>
      <c r="L293" s="49"/>
      <c r="M293" s="49"/>
      <c r="N293" s="49"/>
      <c r="O293" s="49"/>
      <c r="P293" s="49"/>
      <c r="Q293" s="49"/>
      <c r="R293" s="49"/>
      <c r="S293" s="49" t="n">
        <v>1</v>
      </c>
      <c r="T293" s="49" t="n">
        <v>0</v>
      </c>
      <c r="U293" s="49" t="s">
        <v>856</v>
      </c>
    </row>
    <row r="294" customFormat="false" ht="15" hidden="false" customHeight="false" outlineLevel="0" collapsed="false">
      <c r="B294" s="48" t="n">
        <v>45041.2879398148</v>
      </c>
      <c r="C294" s="4" t="n">
        <f aca="false">YEAR(B294)</f>
        <v>2023</v>
      </c>
      <c r="D294" s="49" t="s">
        <v>283</v>
      </c>
      <c r="E294" s="49" t="s">
        <v>857</v>
      </c>
      <c r="F294" s="50" t="n">
        <v>1</v>
      </c>
      <c r="G294" s="49" t="s">
        <v>290</v>
      </c>
      <c r="H294" s="51" t="n">
        <v>0.0668</v>
      </c>
      <c r="I294" s="51" t="n">
        <v>0.9141</v>
      </c>
      <c r="J294" s="51" t="n">
        <v>0.0191</v>
      </c>
      <c r="K294" s="49"/>
      <c r="L294" s="49"/>
      <c r="M294" s="49"/>
      <c r="N294" s="49"/>
      <c r="O294" s="49"/>
      <c r="P294" s="49"/>
      <c r="Q294" s="49"/>
      <c r="R294" s="49"/>
      <c r="S294" s="49" t="n">
        <v>1</v>
      </c>
      <c r="T294" s="49" t="n">
        <v>0</v>
      </c>
      <c r="U294" s="49" t="s">
        <v>858</v>
      </c>
    </row>
    <row r="295" customFormat="false" ht="15" hidden="false" customHeight="false" outlineLevel="0" collapsed="false">
      <c r="B295" s="48" t="n">
        <v>45041.6287731482</v>
      </c>
      <c r="C295" s="4" t="n">
        <f aca="false">YEAR(B295)</f>
        <v>2023</v>
      </c>
      <c r="D295" s="49" t="s">
        <v>283</v>
      </c>
      <c r="E295" s="49" t="s">
        <v>859</v>
      </c>
      <c r="F295" s="50" t="n">
        <v>15</v>
      </c>
      <c r="G295" s="49" t="s">
        <v>290</v>
      </c>
      <c r="H295" s="51" t="n">
        <v>0.0086</v>
      </c>
      <c r="I295" s="51" t="n">
        <v>0.5283</v>
      </c>
      <c r="J295" s="51" t="n">
        <v>0.4631</v>
      </c>
      <c r="K295" s="49"/>
      <c r="L295" s="49"/>
      <c r="M295" s="49"/>
      <c r="N295" s="49"/>
      <c r="O295" s="49"/>
      <c r="P295" s="49"/>
      <c r="Q295" s="49"/>
      <c r="R295" s="49"/>
      <c r="S295" s="49" t="n">
        <v>0</v>
      </c>
      <c r="T295" s="49" t="n">
        <v>0</v>
      </c>
      <c r="U295" s="49" t="s">
        <v>860</v>
      </c>
    </row>
    <row r="296" customFormat="false" ht="15" hidden="false" customHeight="false" outlineLevel="0" collapsed="false">
      <c r="B296" s="48" t="n">
        <v>45041.8633796296</v>
      </c>
      <c r="C296" s="4" t="n">
        <f aca="false">YEAR(B296)</f>
        <v>2023</v>
      </c>
      <c r="D296" s="49" t="s">
        <v>283</v>
      </c>
      <c r="E296" s="49" t="s">
        <v>861</v>
      </c>
      <c r="F296" s="50" t="n">
        <v>1</v>
      </c>
      <c r="G296" s="49" t="s">
        <v>287</v>
      </c>
      <c r="H296" s="51" t="n">
        <v>0.0026</v>
      </c>
      <c r="I296" s="51" t="n">
        <v>0.0687</v>
      </c>
      <c r="J296" s="51" t="n">
        <v>0.9287</v>
      </c>
      <c r="K296" s="49"/>
      <c r="L296" s="49"/>
      <c r="M296" s="49"/>
      <c r="N296" s="49"/>
      <c r="O296" s="49"/>
      <c r="P296" s="49"/>
      <c r="Q296" s="49"/>
      <c r="R296" s="49"/>
      <c r="S296" s="49" t="n">
        <v>0</v>
      </c>
      <c r="T296" s="49" t="n">
        <v>0</v>
      </c>
      <c r="U296" s="49" t="s">
        <v>862</v>
      </c>
    </row>
    <row r="297" customFormat="false" ht="15" hidden="false" customHeight="false" outlineLevel="0" collapsed="false">
      <c r="B297" s="48" t="n">
        <v>45041.9562384259</v>
      </c>
      <c r="C297" s="4" t="n">
        <f aca="false">YEAR(B297)</f>
        <v>2023</v>
      </c>
      <c r="D297" s="49" t="s">
        <v>283</v>
      </c>
      <c r="E297" s="49" t="s">
        <v>863</v>
      </c>
      <c r="F297" s="50" t="n">
        <v>131</v>
      </c>
      <c r="G297" s="49" t="s">
        <v>280</v>
      </c>
      <c r="H297" s="51" t="n">
        <v>0.5973</v>
      </c>
      <c r="I297" s="51" t="n">
        <v>0.2766</v>
      </c>
      <c r="J297" s="51" t="n">
        <v>0.1261</v>
      </c>
      <c r="K297" s="49"/>
      <c r="L297" s="49"/>
      <c r="M297" s="49"/>
      <c r="N297" s="49"/>
      <c r="O297" s="49"/>
      <c r="P297" s="49"/>
      <c r="Q297" s="49"/>
      <c r="R297" s="49"/>
      <c r="S297" s="49" t="n">
        <v>0</v>
      </c>
      <c r="T297" s="49" t="n">
        <v>0</v>
      </c>
      <c r="U297" s="49" t="s">
        <v>864</v>
      </c>
    </row>
    <row r="298" customFormat="false" ht="15" hidden="false" customHeight="false" outlineLevel="0" collapsed="false">
      <c r="B298" s="48" t="n">
        <v>45041.9593981481</v>
      </c>
      <c r="C298" s="4" t="n">
        <f aca="false">YEAR(B298)</f>
        <v>2023</v>
      </c>
      <c r="D298" s="49" t="s">
        <v>283</v>
      </c>
      <c r="E298" s="49" t="s">
        <v>865</v>
      </c>
      <c r="F298" s="50" t="n">
        <v>3</v>
      </c>
      <c r="G298" s="49" t="s">
        <v>290</v>
      </c>
      <c r="H298" s="51" t="n">
        <v>0.0051</v>
      </c>
      <c r="I298" s="51" t="n">
        <v>0.845</v>
      </c>
      <c r="J298" s="51" t="n">
        <v>0.1499</v>
      </c>
      <c r="K298" s="49"/>
      <c r="L298" s="49"/>
      <c r="M298" s="49"/>
      <c r="N298" s="49"/>
      <c r="O298" s="49"/>
      <c r="P298" s="49"/>
      <c r="Q298" s="49"/>
      <c r="R298" s="49"/>
      <c r="S298" s="49" t="n">
        <v>0</v>
      </c>
      <c r="T298" s="49" t="n">
        <v>0</v>
      </c>
      <c r="U298" s="49" t="s">
        <v>866</v>
      </c>
    </row>
    <row r="299" customFormat="false" ht="15" hidden="false" customHeight="false" outlineLevel="0" collapsed="false">
      <c r="B299" s="48" t="n">
        <v>45042.7252546296</v>
      </c>
      <c r="C299" s="4" t="n">
        <f aca="false">YEAR(B299)</f>
        <v>2023</v>
      </c>
      <c r="D299" s="49" t="s">
        <v>283</v>
      </c>
      <c r="E299" s="49" t="s">
        <v>867</v>
      </c>
      <c r="F299" s="50" t="n">
        <v>0</v>
      </c>
      <c r="G299" s="49" t="s">
        <v>280</v>
      </c>
      <c r="H299" s="51" t="n">
        <v>0.5173</v>
      </c>
      <c r="I299" s="51" t="n">
        <v>0.4619</v>
      </c>
      <c r="J299" s="51" t="n">
        <v>0.0207</v>
      </c>
      <c r="K299" s="49"/>
      <c r="L299" s="49"/>
      <c r="M299" s="49"/>
      <c r="N299" s="49"/>
      <c r="O299" s="49"/>
      <c r="P299" s="49"/>
      <c r="Q299" s="49"/>
      <c r="R299" s="49" t="s">
        <v>281</v>
      </c>
      <c r="S299" s="49" t="n">
        <v>0</v>
      </c>
      <c r="T299" s="49" t="n">
        <v>0</v>
      </c>
      <c r="U299" s="49" t="s">
        <v>868</v>
      </c>
    </row>
    <row r="300" customFormat="false" ht="15" hidden="false" customHeight="false" outlineLevel="0" collapsed="false">
      <c r="B300" s="48" t="n">
        <v>45042.7463888889</v>
      </c>
      <c r="C300" s="4" t="n">
        <f aca="false">YEAR(B300)</f>
        <v>2023</v>
      </c>
      <c r="D300" s="49" t="s">
        <v>278</v>
      </c>
      <c r="E300" s="49" t="s">
        <v>869</v>
      </c>
      <c r="F300" s="50" t="n">
        <v>6</v>
      </c>
      <c r="G300" s="49" t="s">
        <v>290</v>
      </c>
      <c r="H300" s="51" t="n">
        <v>0.0072</v>
      </c>
      <c r="I300" s="51" t="n">
        <v>0.5046</v>
      </c>
      <c r="J300" s="51" t="n">
        <v>0.4882</v>
      </c>
      <c r="K300" s="49"/>
      <c r="L300" s="49"/>
      <c r="M300" s="49"/>
      <c r="N300" s="49"/>
      <c r="O300" s="49"/>
      <c r="P300" s="49"/>
      <c r="Q300" s="49"/>
      <c r="R300" s="49"/>
      <c r="S300" s="49" t="n">
        <v>0</v>
      </c>
      <c r="T300" s="49" t="n">
        <v>0</v>
      </c>
      <c r="U300" s="49" t="s">
        <v>870</v>
      </c>
    </row>
    <row r="301" customFormat="false" ht="15" hidden="false" customHeight="false" outlineLevel="0" collapsed="false">
      <c r="B301" s="48" t="n">
        <v>45043.0288657407</v>
      </c>
      <c r="C301" s="4" t="n">
        <f aca="false">YEAR(B301)</f>
        <v>2023</v>
      </c>
      <c r="D301" s="49" t="s">
        <v>283</v>
      </c>
      <c r="E301" s="49" t="s">
        <v>871</v>
      </c>
      <c r="F301" s="50" t="n">
        <v>1</v>
      </c>
      <c r="G301" s="49" t="s">
        <v>290</v>
      </c>
      <c r="H301" s="51" t="n">
        <v>0.3981</v>
      </c>
      <c r="I301" s="51" t="n">
        <v>0.5878</v>
      </c>
      <c r="J301" s="51" t="n">
        <v>0.0141</v>
      </c>
      <c r="K301" s="49"/>
      <c r="L301" s="49"/>
      <c r="M301" s="49"/>
      <c r="N301" s="49"/>
      <c r="O301" s="49"/>
      <c r="P301" s="49"/>
      <c r="Q301" s="49"/>
      <c r="R301" s="49"/>
      <c r="S301" s="49" t="n">
        <v>1</v>
      </c>
      <c r="T301" s="49" t="n">
        <v>0</v>
      </c>
      <c r="U301" s="49" t="s">
        <v>872</v>
      </c>
    </row>
    <row r="302" customFormat="false" ht="15" hidden="false" customHeight="false" outlineLevel="0" collapsed="false">
      <c r="B302" s="48" t="n">
        <v>45044.1064699074</v>
      </c>
      <c r="C302" s="4" t="n">
        <f aca="false">YEAR(B302)</f>
        <v>2023</v>
      </c>
      <c r="D302" s="49" t="s">
        <v>278</v>
      </c>
      <c r="E302" s="49" t="s">
        <v>873</v>
      </c>
      <c r="F302" s="50" t="n">
        <v>2</v>
      </c>
      <c r="G302" s="49" t="s">
        <v>290</v>
      </c>
      <c r="H302" s="51" t="n">
        <v>0.327</v>
      </c>
      <c r="I302" s="51" t="n">
        <v>0.6242</v>
      </c>
      <c r="J302" s="51" t="n">
        <v>0.0488</v>
      </c>
      <c r="K302" s="49"/>
      <c r="L302" s="49"/>
      <c r="M302" s="49"/>
      <c r="N302" s="49"/>
      <c r="O302" s="49"/>
      <c r="P302" s="49"/>
      <c r="Q302" s="49"/>
      <c r="R302" s="49"/>
      <c r="S302" s="49" t="n">
        <v>0</v>
      </c>
      <c r="T302" s="49" t="n">
        <v>0</v>
      </c>
      <c r="U302" s="49" t="s">
        <v>874</v>
      </c>
    </row>
    <row r="303" customFormat="false" ht="15" hidden="false" customHeight="false" outlineLevel="0" collapsed="false">
      <c r="B303" s="48" t="n">
        <v>45044.9460532407</v>
      </c>
      <c r="C303" s="4" t="n">
        <f aca="false">YEAR(B303)</f>
        <v>2023</v>
      </c>
      <c r="D303" s="49" t="s">
        <v>278</v>
      </c>
      <c r="E303" s="49" t="s">
        <v>875</v>
      </c>
      <c r="F303" s="50" t="n">
        <v>8</v>
      </c>
      <c r="G303" s="49" t="s">
        <v>280</v>
      </c>
      <c r="H303" s="51" t="n">
        <v>0.726</v>
      </c>
      <c r="I303" s="51" t="n">
        <v>0.2515</v>
      </c>
      <c r="J303" s="51" t="n">
        <v>0.0225</v>
      </c>
      <c r="K303" s="49"/>
      <c r="L303" s="49"/>
      <c r="M303" s="49"/>
      <c r="N303" s="49"/>
      <c r="O303" s="49"/>
      <c r="P303" s="49"/>
      <c r="Q303" s="49" t="s">
        <v>281</v>
      </c>
      <c r="R303" s="49"/>
      <c r="S303" s="49" t="n">
        <v>0</v>
      </c>
      <c r="T303" s="49" t="n">
        <v>0</v>
      </c>
      <c r="U303" s="49" t="s">
        <v>876</v>
      </c>
    </row>
    <row r="304" customFormat="false" ht="15" hidden="false" customHeight="false" outlineLevel="0" collapsed="false">
      <c r="B304" s="48" t="n">
        <v>45045.072337963</v>
      </c>
      <c r="C304" s="4" t="n">
        <f aca="false">YEAR(B304)</f>
        <v>2023</v>
      </c>
      <c r="D304" s="49" t="s">
        <v>283</v>
      </c>
      <c r="E304" s="49" t="s">
        <v>877</v>
      </c>
      <c r="F304" s="50" t="n">
        <v>1</v>
      </c>
      <c r="G304" s="49" t="s">
        <v>280</v>
      </c>
      <c r="H304" s="51" t="n">
        <v>0.5119</v>
      </c>
      <c r="I304" s="51" t="n">
        <v>0.4652</v>
      </c>
      <c r="J304" s="51" t="n">
        <v>0.0229</v>
      </c>
      <c r="K304" s="49"/>
      <c r="L304" s="49"/>
      <c r="M304" s="49"/>
      <c r="N304" s="49"/>
      <c r="O304" s="49"/>
      <c r="P304" s="49"/>
      <c r="Q304" s="49"/>
      <c r="R304" s="49"/>
      <c r="S304" s="49" t="n">
        <v>0</v>
      </c>
      <c r="T304" s="49" t="n">
        <v>0</v>
      </c>
      <c r="U304" s="49" t="s">
        <v>878</v>
      </c>
    </row>
    <row r="305" customFormat="false" ht="15" hidden="false" customHeight="false" outlineLevel="0" collapsed="false">
      <c r="B305" s="48" t="n">
        <v>45045.8983333333</v>
      </c>
      <c r="C305" s="4" t="n">
        <f aca="false">YEAR(B305)</f>
        <v>2023</v>
      </c>
      <c r="D305" s="49" t="s">
        <v>283</v>
      </c>
      <c r="E305" s="49" t="s">
        <v>735</v>
      </c>
      <c r="F305" s="50" t="n">
        <v>4</v>
      </c>
      <c r="G305" s="49" t="s">
        <v>287</v>
      </c>
      <c r="H305" s="51" t="n">
        <v>0.0038</v>
      </c>
      <c r="I305" s="51" t="n">
        <v>0.2135</v>
      </c>
      <c r="J305" s="51" t="n">
        <v>0.7827</v>
      </c>
      <c r="K305" s="49"/>
      <c r="L305" s="49"/>
      <c r="M305" s="49"/>
      <c r="N305" s="49"/>
      <c r="O305" s="49"/>
      <c r="P305" s="49"/>
      <c r="Q305" s="49"/>
      <c r="R305" s="49"/>
      <c r="S305" s="49" t="n">
        <v>0</v>
      </c>
      <c r="T305" s="49" t="n">
        <v>0</v>
      </c>
      <c r="U305" s="49" t="s">
        <v>879</v>
      </c>
    </row>
    <row r="306" customFormat="false" ht="15" hidden="false" customHeight="false" outlineLevel="0" collapsed="false">
      <c r="B306" s="48" t="n">
        <v>45046.0914351852</v>
      </c>
      <c r="C306" s="4" t="n">
        <f aca="false">YEAR(B306)</f>
        <v>2023</v>
      </c>
      <c r="D306" s="49" t="s">
        <v>283</v>
      </c>
      <c r="E306" s="49" t="s">
        <v>880</v>
      </c>
      <c r="F306" s="50" t="n">
        <v>1</v>
      </c>
      <c r="G306" s="49" t="s">
        <v>290</v>
      </c>
      <c r="H306" s="51" t="n">
        <v>0.1454</v>
      </c>
      <c r="I306" s="51" t="n">
        <v>0.7788</v>
      </c>
      <c r="J306" s="51" t="n">
        <v>0.0758</v>
      </c>
      <c r="K306" s="49"/>
      <c r="L306" s="49"/>
      <c r="M306" s="49"/>
      <c r="N306" s="49"/>
      <c r="O306" s="49"/>
      <c r="P306" s="49"/>
      <c r="Q306" s="49"/>
      <c r="R306" s="49"/>
      <c r="S306" s="49" t="n">
        <v>1</v>
      </c>
      <c r="T306" s="49" t="n">
        <v>0</v>
      </c>
      <c r="U306" s="49" t="s">
        <v>881</v>
      </c>
    </row>
    <row r="307" customFormat="false" ht="15" hidden="false" customHeight="false" outlineLevel="0" collapsed="false">
      <c r="B307" s="48" t="n">
        <v>45046.2549074074</v>
      </c>
      <c r="C307" s="4" t="n">
        <f aca="false">YEAR(B307)</f>
        <v>2023</v>
      </c>
      <c r="D307" s="49" t="s">
        <v>283</v>
      </c>
      <c r="E307" s="49" t="s">
        <v>882</v>
      </c>
      <c r="F307" s="50" t="n">
        <v>1</v>
      </c>
      <c r="G307" s="49" t="s">
        <v>287</v>
      </c>
      <c r="H307" s="51" t="n">
        <v>0.0027</v>
      </c>
      <c r="I307" s="51" t="n">
        <v>0.0133</v>
      </c>
      <c r="J307" s="51" t="n">
        <v>0.984</v>
      </c>
      <c r="K307" s="49"/>
      <c r="L307" s="49"/>
      <c r="M307" s="49"/>
      <c r="N307" s="49"/>
      <c r="O307" s="49"/>
      <c r="P307" s="49"/>
      <c r="Q307" s="49"/>
      <c r="R307" s="49"/>
      <c r="S307" s="49" t="n">
        <v>0</v>
      </c>
      <c r="T307" s="49" t="n">
        <v>0</v>
      </c>
      <c r="U307" s="49" t="s">
        <v>883</v>
      </c>
    </row>
    <row r="308" customFormat="false" ht="15" hidden="false" customHeight="false" outlineLevel="0" collapsed="false">
      <c r="B308" s="48" t="n">
        <v>45046.888900463</v>
      </c>
      <c r="C308" s="4" t="n">
        <f aca="false">YEAR(B308)</f>
        <v>2023</v>
      </c>
      <c r="D308" s="49" t="s">
        <v>283</v>
      </c>
      <c r="E308" s="49" t="s">
        <v>884</v>
      </c>
      <c r="F308" s="50" t="n">
        <v>1</v>
      </c>
      <c r="G308" s="49" t="s">
        <v>290</v>
      </c>
      <c r="H308" s="51" t="n">
        <v>0.0083</v>
      </c>
      <c r="I308" s="51" t="n">
        <v>0.5343</v>
      </c>
      <c r="J308" s="51" t="n">
        <v>0.4575</v>
      </c>
      <c r="K308" s="49"/>
      <c r="L308" s="49"/>
      <c r="M308" s="49"/>
      <c r="N308" s="49"/>
      <c r="O308" s="49"/>
      <c r="P308" s="49"/>
      <c r="Q308" s="49"/>
      <c r="R308" s="49"/>
      <c r="S308" s="49" t="n">
        <v>0</v>
      </c>
      <c r="T308" s="49" t="n">
        <v>0</v>
      </c>
      <c r="U308" s="49" t="s">
        <v>885</v>
      </c>
    </row>
    <row r="309" customFormat="false" ht="15" hidden="false" customHeight="false" outlineLevel="0" collapsed="false">
      <c r="B309" s="48" t="n">
        <v>45047.6870601852</v>
      </c>
      <c r="C309" s="4" t="n">
        <f aca="false">YEAR(B309)</f>
        <v>2023</v>
      </c>
      <c r="D309" s="49" t="s">
        <v>283</v>
      </c>
      <c r="E309" s="49" t="s">
        <v>886</v>
      </c>
      <c r="F309" s="50" t="n">
        <v>1</v>
      </c>
      <c r="G309" s="49" t="s">
        <v>290</v>
      </c>
      <c r="H309" s="51" t="n">
        <v>0.01</v>
      </c>
      <c r="I309" s="51" t="n">
        <v>0.8966</v>
      </c>
      <c r="J309" s="51" t="n">
        <v>0.0934</v>
      </c>
      <c r="K309" s="49"/>
      <c r="L309" s="49"/>
      <c r="M309" s="49"/>
      <c r="N309" s="49"/>
      <c r="O309" s="49"/>
      <c r="P309" s="49"/>
      <c r="Q309" s="49"/>
      <c r="R309" s="49"/>
      <c r="S309" s="49" t="n">
        <v>0</v>
      </c>
      <c r="T309" s="49" t="n">
        <v>0</v>
      </c>
      <c r="U309" s="49" t="s">
        <v>887</v>
      </c>
    </row>
    <row r="310" customFormat="false" ht="15" hidden="false" customHeight="false" outlineLevel="0" collapsed="false">
      <c r="B310" s="48" t="n">
        <v>45048.100775463</v>
      </c>
      <c r="C310" s="4" t="n">
        <f aca="false">YEAR(B310)</f>
        <v>2023</v>
      </c>
      <c r="D310" s="49" t="s">
        <v>283</v>
      </c>
      <c r="E310" s="49" t="s">
        <v>888</v>
      </c>
      <c r="F310" s="50" t="n">
        <v>5</v>
      </c>
      <c r="G310" s="49" t="s">
        <v>287</v>
      </c>
      <c r="H310" s="51" t="n">
        <v>0.0065</v>
      </c>
      <c r="I310" s="51" t="n">
        <v>0.2688</v>
      </c>
      <c r="J310" s="51" t="n">
        <v>0.7247</v>
      </c>
      <c r="K310" s="49"/>
      <c r="L310" s="49"/>
      <c r="M310" s="49"/>
      <c r="N310" s="49"/>
      <c r="O310" s="49"/>
      <c r="P310" s="49"/>
      <c r="Q310" s="49"/>
      <c r="R310" s="49"/>
      <c r="S310" s="49" t="n">
        <v>0</v>
      </c>
      <c r="T310" s="49" t="n">
        <v>0</v>
      </c>
      <c r="U310" s="49" t="s">
        <v>889</v>
      </c>
    </row>
    <row r="311" customFormat="false" ht="15" hidden="false" customHeight="false" outlineLevel="0" collapsed="false">
      <c r="B311" s="48" t="n">
        <v>45048.3882175926</v>
      </c>
      <c r="C311" s="4" t="n">
        <f aca="false">YEAR(B311)</f>
        <v>2023</v>
      </c>
      <c r="D311" s="49" t="s">
        <v>283</v>
      </c>
      <c r="E311" s="49" t="s">
        <v>890</v>
      </c>
      <c r="F311" s="50" t="n">
        <v>2</v>
      </c>
      <c r="G311" s="49" t="s">
        <v>290</v>
      </c>
      <c r="H311" s="51" t="n">
        <v>0.424</v>
      </c>
      <c r="I311" s="51" t="n">
        <v>0.5634</v>
      </c>
      <c r="J311" s="51" t="n">
        <v>0.0126</v>
      </c>
      <c r="K311" s="49"/>
      <c r="L311" s="49"/>
      <c r="M311" s="49"/>
      <c r="N311" s="49"/>
      <c r="O311" s="49"/>
      <c r="P311" s="49"/>
      <c r="Q311" s="49"/>
      <c r="R311" s="49"/>
      <c r="S311" s="49" t="n">
        <v>1</v>
      </c>
      <c r="T311" s="49" t="n">
        <v>0</v>
      </c>
      <c r="U311" s="49" t="s">
        <v>891</v>
      </c>
    </row>
    <row r="312" customFormat="false" ht="15" hidden="false" customHeight="false" outlineLevel="0" collapsed="false">
      <c r="B312" s="48" t="n">
        <v>45049.0760069444</v>
      </c>
      <c r="C312" s="4" t="n">
        <f aca="false">YEAR(B312)</f>
        <v>2023</v>
      </c>
      <c r="D312" s="49" t="s">
        <v>278</v>
      </c>
      <c r="E312" s="49" t="s">
        <v>892</v>
      </c>
      <c r="F312" s="50" t="n">
        <v>206</v>
      </c>
      <c r="G312" s="49" t="s">
        <v>280</v>
      </c>
      <c r="H312" s="51" t="n">
        <v>0.9043</v>
      </c>
      <c r="I312" s="51" t="n">
        <v>0.0883</v>
      </c>
      <c r="J312" s="51" t="n">
        <v>0.0074</v>
      </c>
      <c r="K312" s="49"/>
      <c r="L312" s="49"/>
      <c r="M312" s="49"/>
      <c r="N312" s="49"/>
      <c r="O312" s="49"/>
      <c r="P312" s="49"/>
      <c r="Q312" s="49"/>
      <c r="R312" s="49"/>
      <c r="S312" s="49" t="n">
        <v>0</v>
      </c>
      <c r="T312" s="49" t="n">
        <v>0</v>
      </c>
      <c r="U312" s="49" t="s">
        <v>893</v>
      </c>
    </row>
    <row r="313" customFormat="false" ht="15" hidden="false" customHeight="false" outlineLevel="0" collapsed="false">
      <c r="B313" s="48" t="n">
        <v>45049.1870717593</v>
      </c>
      <c r="C313" s="4" t="n">
        <f aca="false">YEAR(B313)</f>
        <v>2023</v>
      </c>
      <c r="D313" s="49" t="s">
        <v>283</v>
      </c>
      <c r="E313" s="49" t="s">
        <v>894</v>
      </c>
      <c r="F313" s="50" t="n">
        <v>81</v>
      </c>
      <c r="G313" s="49" t="s">
        <v>287</v>
      </c>
      <c r="H313" s="51" t="n">
        <v>0.0084</v>
      </c>
      <c r="I313" s="51" t="n">
        <v>0.0735</v>
      </c>
      <c r="J313" s="51" t="n">
        <v>0.9181</v>
      </c>
      <c r="K313" s="49"/>
      <c r="L313" s="49"/>
      <c r="M313" s="49"/>
      <c r="N313" s="49"/>
      <c r="O313" s="49"/>
      <c r="P313" s="49"/>
      <c r="Q313" s="49"/>
      <c r="R313" s="49"/>
      <c r="S313" s="49" t="n">
        <v>0</v>
      </c>
      <c r="T313" s="49" t="n">
        <v>0</v>
      </c>
      <c r="U313" s="49" t="s">
        <v>895</v>
      </c>
    </row>
    <row r="314" customFormat="false" ht="15" hidden="false" customHeight="false" outlineLevel="0" collapsed="false">
      <c r="B314" s="48" t="n">
        <v>45049.3257523148</v>
      </c>
      <c r="C314" s="4" t="n">
        <f aca="false">YEAR(B314)</f>
        <v>2023</v>
      </c>
      <c r="D314" s="49" t="s">
        <v>283</v>
      </c>
      <c r="E314" s="49" t="s">
        <v>886</v>
      </c>
      <c r="F314" s="50" t="n">
        <v>2</v>
      </c>
      <c r="G314" s="49" t="s">
        <v>290</v>
      </c>
      <c r="H314" s="51" t="n">
        <v>0.01</v>
      </c>
      <c r="I314" s="51" t="n">
        <v>0.8966</v>
      </c>
      <c r="J314" s="51" t="n">
        <v>0.0934</v>
      </c>
      <c r="K314" s="49"/>
      <c r="L314" s="49"/>
      <c r="M314" s="49"/>
      <c r="N314" s="49"/>
      <c r="O314" s="49"/>
      <c r="P314" s="49"/>
      <c r="Q314" s="49"/>
      <c r="R314" s="49"/>
      <c r="S314" s="49" t="n">
        <v>0</v>
      </c>
      <c r="T314" s="49" t="n">
        <v>0</v>
      </c>
      <c r="U314" s="49" t="s">
        <v>896</v>
      </c>
    </row>
    <row r="315" customFormat="false" ht="15" hidden="false" customHeight="false" outlineLevel="0" collapsed="false">
      <c r="B315" s="48" t="n">
        <v>45049.3791319444</v>
      </c>
      <c r="C315" s="4" t="n">
        <f aca="false">YEAR(B315)</f>
        <v>2023</v>
      </c>
      <c r="D315" s="49" t="s">
        <v>283</v>
      </c>
      <c r="E315" s="49" t="s">
        <v>897</v>
      </c>
      <c r="F315" s="50" t="n">
        <v>1</v>
      </c>
      <c r="G315" s="49" t="s">
        <v>280</v>
      </c>
      <c r="H315" s="51" t="n">
        <v>0.5069</v>
      </c>
      <c r="I315" s="51" t="n">
        <v>0.4691</v>
      </c>
      <c r="J315" s="51" t="n">
        <v>0.024</v>
      </c>
      <c r="K315" s="49"/>
      <c r="L315" s="49"/>
      <c r="M315" s="49"/>
      <c r="N315" s="49"/>
      <c r="O315" s="49"/>
      <c r="P315" s="49"/>
      <c r="Q315" s="49"/>
      <c r="R315" s="49"/>
      <c r="S315" s="49" t="n">
        <v>1</v>
      </c>
      <c r="T315" s="49" t="n">
        <v>0</v>
      </c>
      <c r="U315" s="49" t="s">
        <v>898</v>
      </c>
    </row>
    <row r="316" customFormat="false" ht="15" hidden="false" customHeight="false" outlineLevel="0" collapsed="false">
      <c r="B316" s="48" t="n">
        <v>45049.7100810185</v>
      </c>
      <c r="C316" s="4" t="n">
        <f aca="false">YEAR(B316)</f>
        <v>2023</v>
      </c>
      <c r="D316" s="49" t="s">
        <v>283</v>
      </c>
      <c r="E316" s="49" t="s">
        <v>899</v>
      </c>
      <c r="F316" s="50" t="n">
        <v>3</v>
      </c>
      <c r="G316" s="49" t="s">
        <v>287</v>
      </c>
      <c r="H316" s="51" t="n">
        <v>0.0035</v>
      </c>
      <c r="I316" s="51" t="n">
        <v>0.0108</v>
      </c>
      <c r="J316" s="51" t="n">
        <v>0.9856</v>
      </c>
      <c r="K316" s="49"/>
      <c r="L316" s="49"/>
      <c r="M316" s="49"/>
      <c r="N316" s="49"/>
      <c r="O316" s="49"/>
      <c r="P316" s="49"/>
      <c r="Q316" s="49"/>
      <c r="R316" s="49"/>
      <c r="S316" s="49" t="n">
        <v>0</v>
      </c>
      <c r="T316" s="49" t="n">
        <v>0</v>
      </c>
      <c r="U316" s="49" t="s">
        <v>900</v>
      </c>
    </row>
    <row r="317" customFormat="false" ht="15" hidden="false" customHeight="false" outlineLevel="0" collapsed="false">
      <c r="B317" s="48" t="n">
        <v>45050.3287268519</v>
      </c>
      <c r="C317" s="4" t="n">
        <f aca="false">YEAR(B317)</f>
        <v>2023</v>
      </c>
      <c r="D317" s="49" t="s">
        <v>278</v>
      </c>
      <c r="E317" s="49" t="s">
        <v>901</v>
      </c>
      <c r="F317" s="50" t="n">
        <v>0</v>
      </c>
      <c r="G317" s="49" t="s">
        <v>280</v>
      </c>
      <c r="H317" s="51" t="n">
        <v>0.7659</v>
      </c>
      <c r="I317" s="51" t="n">
        <v>0.2246</v>
      </c>
      <c r="J317" s="51" t="n">
        <v>0.0095</v>
      </c>
      <c r="K317" s="49"/>
      <c r="L317" s="49"/>
      <c r="M317" s="49"/>
      <c r="N317" s="49"/>
      <c r="O317" s="49"/>
      <c r="P317" s="49"/>
      <c r="Q317" s="49"/>
      <c r="R317" s="49"/>
      <c r="S317" s="49" t="n">
        <v>0</v>
      </c>
      <c r="T317" s="49" t="n">
        <v>0</v>
      </c>
      <c r="U317" s="49" t="s">
        <v>902</v>
      </c>
    </row>
    <row r="318" customFormat="false" ht="15" hidden="false" customHeight="false" outlineLevel="0" collapsed="false">
      <c r="B318" s="48" t="n">
        <v>45050.3623842593</v>
      </c>
      <c r="C318" s="4" t="n">
        <f aca="false">YEAR(B318)</f>
        <v>2023</v>
      </c>
      <c r="D318" s="49" t="s">
        <v>283</v>
      </c>
      <c r="E318" s="49" t="s">
        <v>886</v>
      </c>
      <c r="F318" s="50" t="n">
        <v>1</v>
      </c>
      <c r="G318" s="49" t="s">
        <v>290</v>
      </c>
      <c r="H318" s="51" t="n">
        <v>0.01</v>
      </c>
      <c r="I318" s="51" t="n">
        <v>0.8966</v>
      </c>
      <c r="J318" s="51" t="n">
        <v>0.0934</v>
      </c>
      <c r="K318" s="49"/>
      <c r="L318" s="49"/>
      <c r="M318" s="49"/>
      <c r="N318" s="49"/>
      <c r="O318" s="49"/>
      <c r="P318" s="49"/>
      <c r="Q318" s="49"/>
      <c r="R318" s="49"/>
      <c r="S318" s="49" t="n">
        <v>0</v>
      </c>
      <c r="T318" s="49" t="n">
        <v>0</v>
      </c>
      <c r="U318" s="49" t="s">
        <v>903</v>
      </c>
    </row>
    <row r="319" customFormat="false" ht="15" hidden="false" customHeight="false" outlineLevel="0" collapsed="false">
      <c r="B319" s="48" t="n">
        <v>45050.5400231482</v>
      </c>
      <c r="C319" s="4" t="n">
        <f aca="false">YEAR(B319)</f>
        <v>2023</v>
      </c>
      <c r="D319" s="49" t="s">
        <v>283</v>
      </c>
      <c r="E319" s="49" t="s">
        <v>904</v>
      </c>
      <c r="F319" s="50" t="n">
        <v>9</v>
      </c>
      <c r="G319" s="49" t="s">
        <v>287</v>
      </c>
      <c r="H319" s="51" t="n">
        <v>0.0077</v>
      </c>
      <c r="I319" s="51" t="n">
        <v>0.0694</v>
      </c>
      <c r="J319" s="51" t="n">
        <v>0.9229</v>
      </c>
      <c r="K319" s="49"/>
      <c r="L319" s="49"/>
      <c r="M319" s="49"/>
      <c r="N319" s="49"/>
      <c r="O319" s="49"/>
      <c r="P319" s="49"/>
      <c r="Q319" s="49"/>
      <c r="R319" s="49"/>
      <c r="S319" s="49" t="n">
        <v>0</v>
      </c>
      <c r="T319" s="49" t="n">
        <v>0</v>
      </c>
      <c r="U319" s="49" t="s">
        <v>905</v>
      </c>
    </row>
    <row r="320" customFormat="false" ht="15" hidden="false" customHeight="false" outlineLevel="0" collapsed="false">
      <c r="B320" s="48" t="n">
        <v>45050.8146759259</v>
      </c>
      <c r="C320" s="4" t="n">
        <f aca="false">YEAR(B320)</f>
        <v>2023</v>
      </c>
      <c r="D320" s="49" t="s">
        <v>283</v>
      </c>
      <c r="E320" s="49" t="s">
        <v>906</v>
      </c>
      <c r="F320" s="50" t="n">
        <v>2</v>
      </c>
      <c r="G320" s="49" t="s">
        <v>290</v>
      </c>
      <c r="H320" s="51" t="n">
        <v>0.0246</v>
      </c>
      <c r="I320" s="51" t="n">
        <v>0.9496</v>
      </c>
      <c r="J320" s="51" t="n">
        <v>0.0258</v>
      </c>
      <c r="K320" s="49"/>
      <c r="L320" s="49"/>
      <c r="M320" s="49"/>
      <c r="N320" s="49"/>
      <c r="O320" s="49"/>
      <c r="P320" s="49"/>
      <c r="Q320" s="49"/>
      <c r="R320" s="49"/>
      <c r="S320" s="49" t="n">
        <v>1</v>
      </c>
      <c r="T320" s="49" t="n">
        <v>0</v>
      </c>
      <c r="U320" s="49" t="s">
        <v>907</v>
      </c>
    </row>
    <row r="321" customFormat="false" ht="15" hidden="false" customHeight="false" outlineLevel="0" collapsed="false">
      <c r="B321" s="48" t="n">
        <v>45051.7214583333</v>
      </c>
      <c r="C321" s="4" t="n">
        <f aca="false">YEAR(B321)</f>
        <v>2023</v>
      </c>
      <c r="D321" s="49" t="s">
        <v>283</v>
      </c>
      <c r="E321" s="49" t="s">
        <v>908</v>
      </c>
      <c r="F321" s="50" t="n">
        <v>1</v>
      </c>
      <c r="G321" s="49" t="s">
        <v>280</v>
      </c>
      <c r="H321" s="51" t="n">
        <v>0.8989</v>
      </c>
      <c r="I321" s="51" t="n">
        <v>0.0941</v>
      </c>
      <c r="J321" s="51" t="n">
        <v>0.007</v>
      </c>
      <c r="K321" s="49"/>
      <c r="L321" s="49"/>
      <c r="M321" s="49"/>
      <c r="N321" s="49"/>
      <c r="O321" s="49"/>
      <c r="P321" s="49"/>
      <c r="Q321" s="49"/>
      <c r="R321" s="49"/>
      <c r="S321" s="49" t="n">
        <v>0</v>
      </c>
      <c r="T321" s="49" t="n">
        <v>0</v>
      </c>
      <c r="U321" s="49" t="s">
        <v>909</v>
      </c>
    </row>
    <row r="322" customFormat="false" ht="15" hidden="false" customHeight="false" outlineLevel="0" collapsed="false">
      <c r="B322" s="48" t="n">
        <v>45052.2169791667</v>
      </c>
      <c r="C322" s="4" t="n">
        <f aca="false">YEAR(B322)</f>
        <v>2023</v>
      </c>
      <c r="D322" s="49" t="s">
        <v>283</v>
      </c>
      <c r="E322" s="49" t="s">
        <v>910</v>
      </c>
      <c r="F322" s="50" t="n">
        <v>2</v>
      </c>
      <c r="G322" s="49" t="s">
        <v>287</v>
      </c>
      <c r="H322" s="51" t="n">
        <v>0.0023</v>
      </c>
      <c r="I322" s="51" t="n">
        <v>0.0197</v>
      </c>
      <c r="J322" s="51" t="n">
        <v>0.978</v>
      </c>
      <c r="K322" s="49"/>
      <c r="L322" s="49"/>
      <c r="M322" s="49"/>
      <c r="N322" s="49"/>
      <c r="O322" s="49"/>
      <c r="P322" s="49"/>
      <c r="Q322" s="49"/>
      <c r="R322" s="49"/>
      <c r="S322" s="49" t="n">
        <v>1</v>
      </c>
      <c r="T322" s="49" t="n">
        <v>0</v>
      </c>
      <c r="U322" s="49" t="s">
        <v>911</v>
      </c>
    </row>
    <row r="323" customFormat="false" ht="15" hidden="false" customHeight="false" outlineLevel="0" collapsed="false">
      <c r="B323" s="48" t="n">
        <v>45053.3971296296</v>
      </c>
      <c r="C323" s="4" t="n">
        <f aca="false">YEAR(B323)</f>
        <v>2023</v>
      </c>
      <c r="D323" s="49" t="s">
        <v>283</v>
      </c>
      <c r="E323" s="49" t="s">
        <v>912</v>
      </c>
      <c r="F323" s="50" t="n">
        <v>1</v>
      </c>
      <c r="G323" s="49" t="s">
        <v>290</v>
      </c>
      <c r="H323" s="51" t="n">
        <v>0.0081</v>
      </c>
      <c r="I323" s="51" t="n">
        <v>0.8712</v>
      </c>
      <c r="J323" s="51" t="n">
        <v>0.1207</v>
      </c>
      <c r="K323" s="49"/>
      <c r="L323" s="49"/>
      <c r="M323" s="49"/>
      <c r="N323" s="49"/>
      <c r="O323" s="49"/>
      <c r="P323" s="49"/>
      <c r="Q323" s="49"/>
      <c r="R323" s="49"/>
      <c r="S323" s="49" t="n">
        <v>0</v>
      </c>
      <c r="T323" s="49" t="n">
        <v>0</v>
      </c>
      <c r="U323" s="49" t="s">
        <v>913</v>
      </c>
    </row>
    <row r="324" customFormat="false" ht="15" hidden="false" customHeight="false" outlineLevel="0" collapsed="false">
      <c r="B324" s="48" t="n">
        <v>45053.5107638889</v>
      </c>
      <c r="C324" s="4" t="n">
        <f aca="false">YEAR(B324)</f>
        <v>2023</v>
      </c>
      <c r="D324" s="49" t="s">
        <v>278</v>
      </c>
      <c r="E324" s="49" t="s">
        <v>914</v>
      </c>
      <c r="F324" s="50" t="n">
        <v>2</v>
      </c>
      <c r="G324" s="49" t="s">
        <v>290</v>
      </c>
      <c r="H324" s="51" t="n">
        <v>0.0286</v>
      </c>
      <c r="I324" s="51" t="n">
        <v>0.8213</v>
      </c>
      <c r="J324" s="51" t="n">
        <v>0.1501</v>
      </c>
      <c r="K324" s="49"/>
      <c r="L324" s="49"/>
      <c r="M324" s="49"/>
      <c r="N324" s="49"/>
      <c r="O324" s="49"/>
      <c r="P324" s="49"/>
      <c r="Q324" s="49"/>
      <c r="R324" s="49"/>
      <c r="S324" s="49" t="n">
        <v>0</v>
      </c>
      <c r="T324" s="49" t="n">
        <v>0</v>
      </c>
      <c r="U324" s="49" t="s">
        <v>915</v>
      </c>
    </row>
    <row r="325" customFormat="false" ht="15" hidden="false" customHeight="false" outlineLevel="0" collapsed="false">
      <c r="B325" s="48" t="n">
        <v>45053.9910185185</v>
      </c>
      <c r="C325" s="4" t="n">
        <f aca="false">YEAR(B325)</f>
        <v>2023</v>
      </c>
      <c r="D325" s="49" t="s">
        <v>278</v>
      </c>
      <c r="E325" s="49" t="s">
        <v>916</v>
      </c>
      <c r="F325" s="50" t="n">
        <v>1</v>
      </c>
      <c r="G325" s="49" t="s">
        <v>280</v>
      </c>
      <c r="H325" s="51" t="n">
        <v>0.8243</v>
      </c>
      <c r="I325" s="51" t="n">
        <v>0.1658</v>
      </c>
      <c r="J325" s="51" t="n">
        <v>0.0099</v>
      </c>
      <c r="K325" s="49"/>
      <c r="L325" s="49"/>
      <c r="M325" s="49"/>
      <c r="N325" s="49"/>
      <c r="O325" s="49"/>
      <c r="P325" s="49"/>
      <c r="Q325" s="49"/>
      <c r="R325" s="49"/>
      <c r="S325" s="49" t="n">
        <v>0</v>
      </c>
      <c r="T325" s="49" t="n">
        <v>0</v>
      </c>
      <c r="U325" s="49" t="s">
        <v>917</v>
      </c>
    </row>
    <row r="326" customFormat="false" ht="15" hidden="false" customHeight="false" outlineLevel="0" collapsed="false">
      <c r="B326" s="48" t="n">
        <v>45054.6422453704</v>
      </c>
      <c r="C326" s="4" t="n">
        <f aca="false">YEAR(B326)</f>
        <v>2023</v>
      </c>
      <c r="D326" s="49" t="s">
        <v>283</v>
      </c>
      <c r="E326" s="49" t="s">
        <v>918</v>
      </c>
      <c r="F326" s="50" t="n">
        <v>1</v>
      </c>
      <c r="G326" s="49" t="s">
        <v>290</v>
      </c>
      <c r="H326" s="51" t="n">
        <v>0.3122</v>
      </c>
      <c r="I326" s="51" t="n">
        <v>0.5561</v>
      </c>
      <c r="J326" s="51" t="n">
        <v>0.1317</v>
      </c>
      <c r="K326" s="49"/>
      <c r="L326" s="49"/>
      <c r="M326" s="49"/>
      <c r="N326" s="49"/>
      <c r="O326" s="49"/>
      <c r="P326" s="49"/>
      <c r="Q326" s="49"/>
      <c r="R326" s="49"/>
      <c r="S326" s="49" t="n">
        <v>1</v>
      </c>
      <c r="T326" s="49" t="n">
        <v>0</v>
      </c>
      <c r="U326" s="49" t="s">
        <v>919</v>
      </c>
    </row>
    <row r="327" customFormat="false" ht="15" hidden="false" customHeight="false" outlineLevel="0" collapsed="false">
      <c r="B327" s="48" t="n">
        <v>45054.9414930556</v>
      </c>
      <c r="C327" s="4" t="n">
        <f aca="false">YEAR(B327)</f>
        <v>2023</v>
      </c>
      <c r="D327" s="49" t="s">
        <v>283</v>
      </c>
      <c r="E327" s="49" t="s">
        <v>920</v>
      </c>
      <c r="F327" s="50" t="n">
        <v>0</v>
      </c>
      <c r="G327" s="49" t="s">
        <v>290</v>
      </c>
      <c r="H327" s="51" t="n">
        <v>0.4132</v>
      </c>
      <c r="I327" s="51" t="n">
        <v>0.5751</v>
      </c>
      <c r="J327" s="51" t="n">
        <v>0.0117</v>
      </c>
      <c r="K327" s="49"/>
      <c r="L327" s="49"/>
      <c r="M327" s="49"/>
      <c r="N327" s="49"/>
      <c r="O327" s="49"/>
      <c r="P327" s="49"/>
      <c r="Q327" s="49"/>
      <c r="R327" s="49"/>
      <c r="S327" s="49" t="n">
        <v>1</v>
      </c>
      <c r="T327" s="49" t="n">
        <v>0</v>
      </c>
      <c r="U327" s="49" t="s">
        <v>921</v>
      </c>
    </row>
    <row r="328" customFormat="false" ht="15" hidden="false" customHeight="false" outlineLevel="0" collapsed="false">
      <c r="B328" s="48" t="n">
        <v>45055.0761921296</v>
      </c>
      <c r="C328" s="4" t="n">
        <f aca="false">YEAR(B328)</f>
        <v>2023</v>
      </c>
      <c r="D328" s="49" t="s">
        <v>283</v>
      </c>
      <c r="E328" s="49" t="s">
        <v>922</v>
      </c>
      <c r="F328" s="50" t="n">
        <v>1</v>
      </c>
      <c r="G328" s="49" t="s">
        <v>287</v>
      </c>
      <c r="H328" s="51" t="n">
        <v>0.002</v>
      </c>
      <c r="I328" s="51" t="n">
        <v>0.0273</v>
      </c>
      <c r="J328" s="51" t="n">
        <v>0.9707</v>
      </c>
      <c r="K328" s="49"/>
      <c r="L328" s="49"/>
      <c r="M328" s="49"/>
      <c r="N328" s="49"/>
      <c r="O328" s="49"/>
      <c r="P328" s="49"/>
      <c r="Q328" s="49"/>
      <c r="R328" s="49"/>
      <c r="S328" s="49" t="n">
        <v>0</v>
      </c>
      <c r="T328" s="49" t="n">
        <v>0</v>
      </c>
      <c r="U328" s="49" t="s">
        <v>923</v>
      </c>
    </row>
    <row r="329" customFormat="false" ht="15" hidden="false" customHeight="false" outlineLevel="0" collapsed="false">
      <c r="B329" s="48" t="n">
        <v>45056.3948032407</v>
      </c>
      <c r="C329" s="4" t="n">
        <f aca="false">YEAR(B329)</f>
        <v>2023</v>
      </c>
      <c r="D329" s="49" t="s">
        <v>283</v>
      </c>
      <c r="E329" s="49" t="s">
        <v>924</v>
      </c>
      <c r="F329" s="50" t="n">
        <v>1</v>
      </c>
      <c r="G329" s="49" t="s">
        <v>290</v>
      </c>
      <c r="H329" s="51" t="n">
        <v>0.0098</v>
      </c>
      <c r="I329" s="51" t="n">
        <v>0.893</v>
      </c>
      <c r="J329" s="51" t="n">
        <v>0.0972</v>
      </c>
      <c r="K329" s="49"/>
      <c r="L329" s="49"/>
      <c r="M329" s="49"/>
      <c r="N329" s="49"/>
      <c r="O329" s="49"/>
      <c r="P329" s="49"/>
      <c r="Q329" s="49"/>
      <c r="R329" s="49"/>
      <c r="S329" s="49" t="n">
        <v>0</v>
      </c>
      <c r="T329" s="49" t="n">
        <v>0</v>
      </c>
      <c r="U329" s="49" t="s">
        <v>925</v>
      </c>
    </row>
    <row r="330" customFormat="false" ht="15" hidden="false" customHeight="false" outlineLevel="0" collapsed="false">
      <c r="B330" s="48" t="n">
        <v>45056.6702083333</v>
      </c>
      <c r="C330" s="4" t="n">
        <f aca="false">YEAR(B330)</f>
        <v>2023</v>
      </c>
      <c r="D330" s="49" t="s">
        <v>283</v>
      </c>
      <c r="E330" s="49" t="s">
        <v>926</v>
      </c>
      <c r="F330" s="50" t="n">
        <v>1</v>
      </c>
      <c r="G330" s="49" t="s">
        <v>290</v>
      </c>
      <c r="H330" s="51" t="n">
        <v>0.0092</v>
      </c>
      <c r="I330" s="51" t="n">
        <v>0.925</v>
      </c>
      <c r="J330" s="51" t="n">
        <v>0.0658</v>
      </c>
      <c r="K330" s="49"/>
      <c r="L330" s="49"/>
      <c r="M330" s="49"/>
      <c r="N330" s="49"/>
      <c r="O330" s="49"/>
      <c r="P330" s="49"/>
      <c r="Q330" s="49"/>
      <c r="R330" s="49"/>
      <c r="S330" s="49" t="n">
        <v>1</v>
      </c>
      <c r="T330" s="49" t="n">
        <v>0</v>
      </c>
      <c r="U330" s="49" t="s">
        <v>927</v>
      </c>
    </row>
    <row r="331" customFormat="false" ht="15" hidden="false" customHeight="false" outlineLevel="0" collapsed="false">
      <c r="B331" s="48" t="n">
        <v>45057.059525463</v>
      </c>
      <c r="C331" s="4" t="n">
        <f aca="false">YEAR(B331)</f>
        <v>2023</v>
      </c>
      <c r="D331" s="49" t="s">
        <v>283</v>
      </c>
      <c r="E331" s="49" t="s">
        <v>928</v>
      </c>
      <c r="F331" s="50" t="n">
        <v>2</v>
      </c>
      <c r="G331" s="49" t="s">
        <v>290</v>
      </c>
      <c r="H331" s="51" t="n">
        <v>0.0255</v>
      </c>
      <c r="I331" s="51" t="n">
        <v>0.9471</v>
      </c>
      <c r="J331" s="51" t="n">
        <v>0.0273</v>
      </c>
      <c r="K331" s="49"/>
      <c r="L331" s="49"/>
      <c r="M331" s="49"/>
      <c r="N331" s="49"/>
      <c r="O331" s="49"/>
      <c r="P331" s="49"/>
      <c r="Q331" s="49" t="s">
        <v>281</v>
      </c>
      <c r="R331" s="49"/>
      <c r="S331" s="49" t="n">
        <v>1</v>
      </c>
      <c r="T331" s="49" t="n">
        <v>0</v>
      </c>
      <c r="U331" s="49" t="s">
        <v>929</v>
      </c>
    </row>
    <row r="332" customFormat="false" ht="15" hidden="false" customHeight="false" outlineLevel="0" collapsed="false">
      <c r="B332" s="48" t="n">
        <v>45057.2803009259</v>
      </c>
      <c r="C332" s="4" t="n">
        <f aca="false">YEAR(B332)</f>
        <v>2023</v>
      </c>
      <c r="D332" s="49" t="s">
        <v>283</v>
      </c>
      <c r="E332" s="49" t="s">
        <v>930</v>
      </c>
      <c r="F332" s="50" t="n">
        <v>1</v>
      </c>
      <c r="G332" s="49" t="s">
        <v>290</v>
      </c>
      <c r="H332" s="51" t="n">
        <v>0.0121</v>
      </c>
      <c r="I332" s="51" t="n">
        <v>0.9274</v>
      </c>
      <c r="J332" s="51" t="n">
        <v>0.0605</v>
      </c>
      <c r="K332" s="49"/>
      <c r="L332" s="49"/>
      <c r="M332" s="49"/>
      <c r="N332" s="49"/>
      <c r="O332" s="49"/>
      <c r="P332" s="49"/>
      <c r="Q332" s="49"/>
      <c r="R332" s="49"/>
      <c r="S332" s="49" t="n">
        <v>0</v>
      </c>
      <c r="T332" s="49" t="n">
        <v>0</v>
      </c>
      <c r="U332" s="49" t="s">
        <v>931</v>
      </c>
    </row>
    <row r="333" customFormat="false" ht="15" hidden="false" customHeight="false" outlineLevel="0" collapsed="false">
      <c r="B333" s="48" t="n">
        <v>45057.7904050926</v>
      </c>
      <c r="C333" s="4" t="n">
        <f aca="false">YEAR(B333)</f>
        <v>2023</v>
      </c>
      <c r="D333" s="49" t="s">
        <v>278</v>
      </c>
      <c r="E333" s="49" t="s">
        <v>932</v>
      </c>
      <c r="F333" s="50" t="n">
        <v>1</v>
      </c>
      <c r="G333" s="49" t="s">
        <v>290</v>
      </c>
      <c r="H333" s="51" t="n">
        <v>0.3179</v>
      </c>
      <c r="I333" s="51" t="n">
        <v>0.397</v>
      </c>
      <c r="J333" s="51" t="n">
        <v>0.2851</v>
      </c>
      <c r="K333" s="49"/>
      <c r="L333" s="49"/>
      <c r="M333" s="49"/>
      <c r="N333" s="49"/>
      <c r="O333" s="49"/>
      <c r="P333" s="49"/>
      <c r="Q333" s="49"/>
      <c r="R333" s="49" t="s">
        <v>281</v>
      </c>
      <c r="S333" s="49" t="n">
        <v>0</v>
      </c>
      <c r="T333" s="49" t="n">
        <v>0</v>
      </c>
      <c r="U333" s="49" t="s">
        <v>933</v>
      </c>
    </row>
    <row r="334" customFormat="false" ht="15" hidden="false" customHeight="false" outlineLevel="0" collapsed="false">
      <c r="B334" s="48" t="n">
        <v>45058.153599537</v>
      </c>
      <c r="C334" s="4" t="n">
        <f aca="false">YEAR(B334)</f>
        <v>2023</v>
      </c>
      <c r="D334" s="49" t="s">
        <v>278</v>
      </c>
      <c r="E334" s="49" t="s">
        <v>934</v>
      </c>
      <c r="F334" s="50" t="n">
        <v>1</v>
      </c>
      <c r="G334" s="49" t="s">
        <v>290</v>
      </c>
      <c r="H334" s="51" t="n">
        <v>0.0313</v>
      </c>
      <c r="I334" s="51" t="n">
        <v>0.9039</v>
      </c>
      <c r="J334" s="51" t="n">
        <v>0.0649</v>
      </c>
      <c r="K334" s="49"/>
      <c r="L334" s="49"/>
      <c r="M334" s="49"/>
      <c r="N334" s="49"/>
      <c r="O334" s="49"/>
      <c r="P334" s="49"/>
      <c r="Q334" s="49"/>
      <c r="R334" s="49" t="s">
        <v>281</v>
      </c>
      <c r="S334" s="49" t="n">
        <v>0</v>
      </c>
      <c r="T334" s="49" t="n">
        <v>0</v>
      </c>
      <c r="U334" s="49" t="s">
        <v>935</v>
      </c>
    </row>
    <row r="335" customFormat="false" ht="15" hidden="false" customHeight="false" outlineLevel="0" collapsed="false">
      <c r="B335" s="48" t="n">
        <v>45058.3326967593</v>
      </c>
      <c r="C335" s="4" t="n">
        <f aca="false">YEAR(B335)</f>
        <v>2023</v>
      </c>
      <c r="D335" s="49" t="s">
        <v>283</v>
      </c>
      <c r="E335" s="49" t="s">
        <v>936</v>
      </c>
      <c r="F335" s="50" t="n">
        <v>1</v>
      </c>
      <c r="G335" s="49" t="s">
        <v>290</v>
      </c>
      <c r="H335" s="51" t="n">
        <v>0.0113</v>
      </c>
      <c r="I335" s="51" t="n">
        <v>0.5805</v>
      </c>
      <c r="J335" s="51" t="n">
        <v>0.4082</v>
      </c>
      <c r="K335" s="49"/>
      <c r="L335" s="49"/>
      <c r="M335" s="49"/>
      <c r="N335" s="49"/>
      <c r="O335" s="49"/>
      <c r="P335" s="49"/>
      <c r="Q335" s="49"/>
      <c r="R335" s="49"/>
      <c r="S335" s="49" t="n">
        <v>1</v>
      </c>
      <c r="T335" s="49" t="n">
        <v>0</v>
      </c>
      <c r="U335" s="49" t="s">
        <v>937</v>
      </c>
    </row>
    <row r="336" customFormat="false" ht="15" hidden="false" customHeight="false" outlineLevel="0" collapsed="false">
      <c r="B336" s="48" t="n">
        <v>45058.5687731481</v>
      </c>
      <c r="C336" s="4" t="n">
        <f aca="false">YEAR(B336)</f>
        <v>2023</v>
      </c>
      <c r="D336" s="49" t="s">
        <v>283</v>
      </c>
      <c r="E336" s="49" t="s">
        <v>938</v>
      </c>
      <c r="F336" s="50" t="n">
        <v>3</v>
      </c>
      <c r="G336" s="49" t="s">
        <v>280</v>
      </c>
      <c r="H336" s="51" t="n">
        <v>0.8506</v>
      </c>
      <c r="I336" s="51" t="n">
        <v>0.1433</v>
      </c>
      <c r="J336" s="51" t="n">
        <v>0.0061</v>
      </c>
      <c r="K336" s="49"/>
      <c r="L336" s="49"/>
      <c r="M336" s="49"/>
      <c r="N336" s="49"/>
      <c r="O336" s="49"/>
      <c r="P336" s="49"/>
      <c r="Q336" s="49"/>
      <c r="R336" s="49"/>
      <c r="S336" s="49" t="n">
        <v>1</v>
      </c>
      <c r="T336" s="49" t="n">
        <v>0</v>
      </c>
      <c r="U336" s="49" t="s">
        <v>939</v>
      </c>
    </row>
    <row r="337" customFormat="false" ht="15" hidden="false" customHeight="false" outlineLevel="0" collapsed="false">
      <c r="B337" s="48" t="n">
        <v>45058.5699074074</v>
      </c>
      <c r="C337" s="4" t="n">
        <f aca="false">YEAR(B337)</f>
        <v>2023</v>
      </c>
      <c r="D337" s="49" t="s">
        <v>278</v>
      </c>
      <c r="E337" s="49" t="s">
        <v>940</v>
      </c>
      <c r="F337" s="50" t="n">
        <v>2</v>
      </c>
      <c r="G337" s="49" t="s">
        <v>280</v>
      </c>
      <c r="H337" s="51" t="n">
        <v>0.8621</v>
      </c>
      <c r="I337" s="51" t="n">
        <v>0.1317</v>
      </c>
      <c r="J337" s="51" t="n">
        <v>0.0062</v>
      </c>
      <c r="K337" s="49" t="s">
        <v>281</v>
      </c>
      <c r="L337" s="49"/>
      <c r="M337" s="49"/>
      <c r="N337" s="49"/>
      <c r="O337" s="49"/>
      <c r="P337" s="49"/>
      <c r="Q337" s="49"/>
      <c r="R337" s="49"/>
      <c r="S337" s="49" t="n">
        <v>0</v>
      </c>
      <c r="T337" s="49" t="n">
        <v>0</v>
      </c>
      <c r="U337" s="49" t="s">
        <v>941</v>
      </c>
    </row>
    <row r="338" customFormat="false" ht="15" hidden="false" customHeight="false" outlineLevel="0" collapsed="false">
      <c r="B338" s="48" t="n">
        <v>45058.724537037</v>
      </c>
      <c r="C338" s="4" t="n">
        <f aca="false">YEAR(B338)</f>
        <v>2023</v>
      </c>
      <c r="D338" s="49" t="s">
        <v>283</v>
      </c>
      <c r="E338" s="49" t="s">
        <v>942</v>
      </c>
      <c r="F338" s="50" t="n">
        <v>1</v>
      </c>
      <c r="G338" s="49" t="s">
        <v>290</v>
      </c>
      <c r="H338" s="51" t="n">
        <v>0.0166</v>
      </c>
      <c r="I338" s="51" t="n">
        <v>0.9011</v>
      </c>
      <c r="J338" s="51" t="n">
        <v>0.0823</v>
      </c>
      <c r="K338" s="49"/>
      <c r="L338" s="49"/>
      <c r="M338" s="49"/>
      <c r="N338" s="49"/>
      <c r="O338" s="49"/>
      <c r="P338" s="49"/>
      <c r="Q338" s="49"/>
      <c r="R338" s="49" t="s">
        <v>281</v>
      </c>
      <c r="S338" s="49" t="n">
        <v>1</v>
      </c>
      <c r="T338" s="49" t="n">
        <v>0</v>
      </c>
      <c r="U338" s="49" t="s">
        <v>943</v>
      </c>
    </row>
    <row r="339" customFormat="false" ht="15" hidden="false" customHeight="false" outlineLevel="0" collapsed="false">
      <c r="B339" s="48" t="n">
        <v>45058.7355787037</v>
      </c>
      <c r="C339" s="4" t="n">
        <f aca="false">YEAR(B339)</f>
        <v>2023</v>
      </c>
      <c r="D339" s="49" t="s">
        <v>283</v>
      </c>
      <c r="E339" s="49" t="s">
        <v>944</v>
      </c>
      <c r="F339" s="50" t="n">
        <v>1</v>
      </c>
      <c r="G339" s="49" t="s">
        <v>290</v>
      </c>
      <c r="H339" s="51" t="n">
        <v>0.0074</v>
      </c>
      <c r="I339" s="51" t="n">
        <v>0.7846</v>
      </c>
      <c r="J339" s="51" t="n">
        <v>0.208</v>
      </c>
      <c r="K339" s="49"/>
      <c r="L339" s="49"/>
      <c r="M339" s="49"/>
      <c r="N339" s="49"/>
      <c r="O339" s="49"/>
      <c r="P339" s="49"/>
      <c r="Q339" s="49"/>
      <c r="R339" s="49" t="s">
        <v>281</v>
      </c>
      <c r="S339" s="49" t="n">
        <v>1</v>
      </c>
      <c r="T339" s="49" t="n">
        <v>0</v>
      </c>
      <c r="U339" s="49" t="s">
        <v>945</v>
      </c>
    </row>
    <row r="340" customFormat="false" ht="15" hidden="false" customHeight="false" outlineLevel="0" collapsed="false">
      <c r="B340" s="48" t="n">
        <v>45058.8799884259</v>
      </c>
      <c r="C340" s="4" t="n">
        <f aca="false">YEAR(B340)</f>
        <v>2023</v>
      </c>
      <c r="D340" s="49" t="s">
        <v>283</v>
      </c>
      <c r="E340" s="49" t="s">
        <v>946</v>
      </c>
      <c r="F340" s="50" t="n">
        <v>1</v>
      </c>
      <c r="G340" s="49" t="s">
        <v>290</v>
      </c>
      <c r="H340" s="51" t="n">
        <v>0.0671</v>
      </c>
      <c r="I340" s="51" t="n">
        <v>0.7951</v>
      </c>
      <c r="J340" s="51" t="n">
        <v>0.1378</v>
      </c>
      <c r="K340" s="49"/>
      <c r="L340" s="49"/>
      <c r="M340" s="49"/>
      <c r="N340" s="49"/>
      <c r="O340" s="49"/>
      <c r="P340" s="49"/>
      <c r="Q340" s="49"/>
      <c r="R340" s="49"/>
      <c r="S340" s="49" t="n">
        <v>1</v>
      </c>
      <c r="T340" s="49" t="n">
        <v>0</v>
      </c>
      <c r="U340" s="49" t="s">
        <v>947</v>
      </c>
    </row>
    <row r="341" customFormat="false" ht="15" hidden="false" customHeight="false" outlineLevel="0" collapsed="false">
      <c r="B341" s="48" t="n">
        <v>45059.6959953704</v>
      </c>
      <c r="C341" s="4" t="n">
        <f aca="false">YEAR(B341)</f>
        <v>2023</v>
      </c>
      <c r="D341" s="49" t="s">
        <v>283</v>
      </c>
      <c r="E341" s="49" t="s">
        <v>948</v>
      </c>
      <c r="F341" s="50" t="n">
        <v>1</v>
      </c>
      <c r="G341" s="49" t="s">
        <v>287</v>
      </c>
      <c r="H341" s="51" t="n">
        <v>0.0044</v>
      </c>
      <c r="I341" s="51" t="n">
        <v>0.3904</v>
      </c>
      <c r="J341" s="51" t="n">
        <v>0.6052</v>
      </c>
      <c r="K341" s="49"/>
      <c r="L341" s="49"/>
      <c r="M341" s="49"/>
      <c r="N341" s="49"/>
      <c r="O341" s="49"/>
      <c r="P341" s="49"/>
      <c r="Q341" s="49"/>
      <c r="R341" s="49"/>
      <c r="S341" s="49" t="n">
        <v>0</v>
      </c>
      <c r="T341" s="49" t="n">
        <v>0</v>
      </c>
      <c r="U341" s="49" t="s">
        <v>949</v>
      </c>
    </row>
    <row r="342" customFormat="false" ht="15" hidden="false" customHeight="false" outlineLevel="0" collapsed="false">
      <c r="B342" s="48" t="n">
        <v>45060.6997337963</v>
      </c>
      <c r="C342" s="4" t="n">
        <f aca="false">YEAR(B342)</f>
        <v>2023</v>
      </c>
      <c r="D342" s="49" t="s">
        <v>283</v>
      </c>
      <c r="E342" s="49" t="s">
        <v>930</v>
      </c>
      <c r="F342" s="50" t="n">
        <v>0</v>
      </c>
      <c r="G342" s="49" t="s">
        <v>290</v>
      </c>
      <c r="H342" s="51" t="n">
        <v>0.0121</v>
      </c>
      <c r="I342" s="51" t="n">
        <v>0.9274</v>
      </c>
      <c r="J342" s="51" t="n">
        <v>0.0605</v>
      </c>
      <c r="K342" s="49"/>
      <c r="L342" s="49"/>
      <c r="M342" s="49"/>
      <c r="N342" s="49"/>
      <c r="O342" s="49"/>
      <c r="P342" s="49"/>
      <c r="Q342" s="49"/>
      <c r="R342" s="49"/>
      <c r="S342" s="49" t="n">
        <v>0</v>
      </c>
      <c r="T342" s="49" t="n">
        <v>0</v>
      </c>
      <c r="U342" s="49" t="s">
        <v>950</v>
      </c>
    </row>
    <row r="343" customFormat="false" ht="15" hidden="false" customHeight="false" outlineLevel="0" collapsed="false">
      <c r="B343" s="48" t="n">
        <v>45060.8246527778</v>
      </c>
      <c r="C343" s="4" t="n">
        <f aca="false">YEAR(B343)</f>
        <v>2023</v>
      </c>
      <c r="D343" s="49" t="s">
        <v>283</v>
      </c>
      <c r="E343" s="49" t="s">
        <v>951</v>
      </c>
      <c r="F343" s="50" t="n">
        <v>1</v>
      </c>
      <c r="G343" s="49" t="s">
        <v>287</v>
      </c>
      <c r="H343" s="51" t="n">
        <v>0.0048</v>
      </c>
      <c r="I343" s="51" t="n">
        <v>0.4206</v>
      </c>
      <c r="J343" s="51" t="n">
        <v>0.5746</v>
      </c>
      <c r="K343" s="49"/>
      <c r="L343" s="49"/>
      <c r="M343" s="49"/>
      <c r="N343" s="49"/>
      <c r="O343" s="49"/>
      <c r="P343" s="49"/>
      <c r="Q343" s="49"/>
      <c r="R343" s="49"/>
      <c r="S343" s="49" t="n">
        <v>0</v>
      </c>
      <c r="T343" s="49" t="n">
        <v>0</v>
      </c>
      <c r="U343" s="49" t="s">
        <v>952</v>
      </c>
    </row>
    <row r="344" customFormat="false" ht="15" hidden="false" customHeight="false" outlineLevel="0" collapsed="false">
      <c r="B344" s="48" t="n">
        <v>45061.2695601852</v>
      </c>
      <c r="C344" s="4" t="n">
        <f aca="false">YEAR(B344)</f>
        <v>2023</v>
      </c>
      <c r="D344" s="49" t="s">
        <v>283</v>
      </c>
      <c r="E344" s="49" t="s">
        <v>930</v>
      </c>
      <c r="F344" s="50" t="n">
        <v>0</v>
      </c>
      <c r="G344" s="49" t="s">
        <v>290</v>
      </c>
      <c r="H344" s="51" t="n">
        <v>0.0121</v>
      </c>
      <c r="I344" s="51" t="n">
        <v>0.9274</v>
      </c>
      <c r="J344" s="51" t="n">
        <v>0.0605</v>
      </c>
      <c r="K344" s="49"/>
      <c r="L344" s="49"/>
      <c r="M344" s="49"/>
      <c r="N344" s="49"/>
      <c r="O344" s="49"/>
      <c r="P344" s="49"/>
      <c r="Q344" s="49"/>
      <c r="R344" s="49"/>
      <c r="S344" s="49" t="n">
        <v>0</v>
      </c>
      <c r="T344" s="49" t="n">
        <v>0</v>
      </c>
      <c r="U344" s="49" t="s">
        <v>953</v>
      </c>
    </row>
    <row r="345" customFormat="false" ht="15" hidden="false" customHeight="false" outlineLevel="0" collapsed="false">
      <c r="B345" s="48" t="n">
        <v>45062.068900463</v>
      </c>
      <c r="C345" s="4" t="n">
        <f aca="false">YEAR(B345)</f>
        <v>2023</v>
      </c>
      <c r="D345" s="49" t="s">
        <v>283</v>
      </c>
      <c r="E345" s="49" t="s">
        <v>954</v>
      </c>
      <c r="F345" s="50" t="n">
        <v>8</v>
      </c>
      <c r="G345" s="49" t="s">
        <v>287</v>
      </c>
      <c r="H345" s="51" t="n">
        <v>0.0135</v>
      </c>
      <c r="I345" s="51" t="n">
        <v>0.3546</v>
      </c>
      <c r="J345" s="51" t="n">
        <v>0.6319</v>
      </c>
      <c r="K345" s="49"/>
      <c r="L345" s="49"/>
      <c r="M345" s="49"/>
      <c r="N345" s="49"/>
      <c r="O345" s="49"/>
      <c r="P345" s="49"/>
      <c r="Q345" s="49"/>
      <c r="R345" s="49"/>
      <c r="S345" s="49" t="n">
        <v>0</v>
      </c>
      <c r="T345" s="49" t="n">
        <v>0</v>
      </c>
      <c r="U345" s="49" t="s">
        <v>955</v>
      </c>
    </row>
    <row r="346" customFormat="false" ht="15" hidden="false" customHeight="false" outlineLevel="0" collapsed="false">
      <c r="B346" s="48" t="n">
        <v>45062.3885185185</v>
      </c>
      <c r="C346" s="4" t="n">
        <f aca="false">YEAR(B346)</f>
        <v>2023</v>
      </c>
      <c r="D346" s="49" t="s">
        <v>283</v>
      </c>
      <c r="E346" s="49" t="s">
        <v>956</v>
      </c>
      <c r="F346" s="50" t="n">
        <v>1</v>
      </c>
      <c r="G346" s="49" t="s">
        <v>290</v>
      </c>
      <c r="H346" s="51" t="n">
        <v>0.2185</v>
      </c>
      <c r="I346" s="51" t="n">
        <v>0.7401</v>
      </c>
      <c r="J346" s="51" t="n">
        <v>0.0415</v>
      </c>
      <c r="K346" s="49"/>
      <c r="L346" s="49"/>
      <c r="M346" s="49"/>
      <c r="N346" s="49"/>
      <c r="O346" s="49"/>
      <c r="P346" s="49"/>
      <c r="Q346" s="49"/>
      <c r="R346" s="49"/>
      <c r="S346" s="49" t="n">
        <v>0</v>
      </c>
      <c r="T346" s="49" t="n">
        <v>0</v>
      </c>
      <c r="U346" s="49" t="s">
        <v>957</v>
      </c>
    </row>
    <row r="347" customFormat="false" ht="15" hidden="false" customHeight="false" outlineLevel="0" collapsed="false">
      <c r="B347" s="48" t="n">
        <v>45062.5362268519</v>
      </c>
      <c r="C347" s="4" t="n">
        <f aca="false">YEAR(B347)</f>
        <v>2023</v>
      </c>
      <c r="D347" s="49" t="s">
        <v>278</v>
      </c>
      <c r="E347" s="49" t="s">
        <v>958</v>
      </c>
      <c r="F347" s="50" t="n">
        <v>71</v>
      </c>
      <c r="G347" s="49" t="s">
        <v>290</v>
      </c>
      <c r="H347" s="51" t="n">
        <v>0.0024</v>
      </c>
      <c r="I347" s="51" t="n">
        <v>0.7945</v>
      </c>
      <c r="J347" s="51" t="n">
        <v>0.2031</v>
      </c>
      <c r="K347" s="49"/>
      <c r="L347" s="49"/>
      <c r="M347" s="49"/>
      <c r="N347" s="49"/>
      <c r="O347" s="49"/>
      <c r="P347" s="49"/>
      <c r="Q347" s="49"/>
      <c r="R347" s="49" t="s">
        <v>281</v>
      </c>
      <c r="S347" s="49" t="n">
        <v>0</v>
      </c>
      <c r="T347" s="49" t="n">
        <v>0</v>
      </c>
      <c r="U347" s="49" t="s">
        <v>959</v>
      </c>
    </row>
    <row r="348" customFormat="false" ht="15" hidden="false" customHeight="false" outlineLevel="0" collapsed="false">
      <c r="B348" s="48" t="n">
        <v>45062.9458217593</v>
      </c>
      <c r="C348" s="4" t="n">
        <f aca="false">YEAR(B348)</f>
        <v>2023</v>
      </c>
      <c r="D348" s="49" t="s">
        <v>283</v>
      </c>
      <c r="E348" s="49" t="s">
        <v>960</v>
      </c>
      <c r="F348" s="50" t="n">
        <v>2</v>
      </c>
      <c r="G348" s="49" t="s">
        <v>280</v>
      </c>
      <c r="H348" s="51" t="n">
        <v>0.927</v>
      </c>
      <c r="I348" s="51" t="n">
        <v>0.0676</v>
      </c>
      <c r="J348" s="51" t="n">
        <v>0.0054</v>
      </c>
      <c r="K348" s="49"/>
      <c r="L348" s="49"/>
      <c r="M348" s="49"/>
      <c r="N348" s="49"/>
      <c r="O348" s="49"/>
      <c r="P348" s="49"/>
      <c r="Q348" s="49" t="s">
        <v>281</v>
      </c>
      <c r="R348" s="49"/>
      <c r="S348" s="49" t="n">
        <v>1</v>
      </c>
      <c r="T348" s="49" t="n">
        <v>0</v>
      </c>
      <c r="U348" s="49" t="s">
        <v>961</v>
      </c>
    </row>
    <row r="349" customFormat="false" ht="15" hidden="false" customHeight="false" outlineLevel="0" collapsed="false">
      <c r="B349" s="48" t="n">
        <v>45063.1382175926</v>
      </c>
      <c r="C349" s="4" t="n">
        <f aca="false">YEAR(B349)</f>
        <v>2023</v>
      </c>
      <c r="D349" s="49" t="s">
        <v>283</v>
      </c>
      <c r="E349" s="49" t="s">
        <v>962</v>
      </c>
      <c r="F349" s="50" t="n">
        <v>1</v>
      </c>
      <c r="G349" s="49" t="s">
        <v>290</v>
      </c>
      <c r="H349" s="51" t="n">
        <v>0.0363</v>
      </c>
      <c r="I349" s="51" t="n">
        <v>0.789</v>
      </c>
      <c r="J349" s="51" t="n">
        <v>0.1747</v>
      </c>
      <c r="K349" s="49"/>
      <c r="L349" s="49"/>
      <c r="M349" s="49"/>
      <c r="N349" s="49"/>
      <c r="O349" s="49"/>
      <c r="P349" s="49"/>
      <c r="Q349" s="49"/>
      <c r="R349" s="49"/>
      <c r="S349" s="49" t="n">
        <v>1</v>
      </c>
      <c r="T349" s="49" t="n">
        <v>0</v>
      </c>
      <c r="U349" s="49" t="s">
        <v>963</v>
      </c>
    </row>
    <row r="350" customFormat="false" ht="15" hidden="false" customHeight="false" outlineLevel="0" collapsed="false">
      <c r="B350" s="48" t="n">
        <v>45063.1694791667</v>
      </c>
      <c r="C350" s="4" t="n">
        <f aca="false">YEAR(B350)</f>
        <v>2023</v>
      </c>
      <c r="D350" s="49" t="s">
        <v>278</v>
      </c>
      <c r="E350" s="49" t="s">
        <v>964</v>
      </c>
      <c r="F350" s="50" t="n">
        <v>2</v>
      </c>
      <c r="G350" s="49" t="s">
        <v>290</v>
      </c>
      <c r="H350" s="51" t="n">
        <v>0.1732</v>
      </c>
      <c r="I350" s="51" t="n">
        <v>0.8044</v>
      </c>
      <c r="J350" s="51" t="n">
        <v>0.0224</v>
      </c>
      <c r="K350" s="49"/>
      <c r="L350" s="49"/>
      <c r="M350" s="49"/>
      <c r="N350" s="49"/>
      <c r="O350" s="49"/>
      <c r="P350" s="49"/>
      <c r="Q350" s="49"/>
      <c r="R350" s="49"/>
      <c r="S350" s="49" t="n">
        <v>1</v>
      </c>
      <c r="T350" s="49" t="n">
        <v>0</v>
      </c>
      <c r="U350" s="49" t="s">
        <v>965</v>
      </c>
    </row>
    <row r="351" customFormat="false" ht="15" hidden="false" customHeight="false" outlineLevel="0" collapsed="false">
      <c r="B351" s="48" t="n">
        <v>45063.6807407407</v>
      </c>
      <c r="C351" s="4" t="n">
        <f aca="false">YEAR(B351)</f>
        <v>2023</v>
      </c>
      <c r="D351" s="49" t="s">
        <v>278</v>
      </c>
      <c r="E351" s="49" t="s">
        <v>966</v>
      </c>
      <c r="F351" s="50" t="n">
        <v>0</v>
      </c>
      <c r="G351" s="49" t="s">
        <v>280</v>
      </c>
      <c r="H351" s="51" t="n">
        <v>0.7772</v>
      </c>
      <c r="I351" s="51" t="n">
        <v>0.2124</v>
      </c>
      <c r="J351" s="51" t="n">
        <v>0.0104</v>
      </c>
      <c r="K351" s="49"/>
      <c r="L351" s="49"/>
      <c r="M351" s="49"/>
      <c r="N351" s="49"/>
      <c r="O351" s="49"/>
      <c r="P351" s="49"/>
      <c r="Q351" s="49"/>
      <c r="R351" s="49"/>
      <c r="S351" s="49" t="n">
        <v>0</v>
      </c>
      <c r="T351" s="49" t="n">
        <v>0</v>
      </c>
      <c r="U351" s="49" t="s">
        <v>967</v>
      </c>
    </row>
    <row r="352" customFormat="false" ht="15" hidden="false" customHeight="false" outlineLevel="0" collapsed="false">
      <c r="B352" s="48" t="n">
        <v>45064.5500347222</v>
      </c>
      <c r="C352" s="4" t="n">
        <f aca="false">YEAR(B352)</f>
        <v>2023</v>
      </c>
      <c r="D352" s="49" t="s">
        <v>283</v>
      </c>
      <c r="E352" s="49" t="s">
        <v>968</v>
      </c>
      <c r="F352" s="50" t="n">
        <v>1</v>
      </c>
      <c r="G352" s="49" t="s">
        <v>280</v>
      </c>
      <c r="H352" s="51" t="n">
        <v>0.8819</v>
      </c>
      <c r="I352" s="51" t="n">
        <v>0.1115</v>
      </c>
      <c r="J352" s="51" t="n">
        <v>0.0065</v>
      </c>
      <c r="K352" s="49"/>
      <c r="L352" s="49"/>
      <c r="M352" s="49"/>
      <c r="N352" s="49"/>
      <c r="O352" s="49"/>
      <c r="P352" s="49"/>
      <c r="Q352" s="49" t="s">
        <v>281</v>
      </c>
      <c r="R352" s="49"/>
      <c r="S352" s="49" t="n">
        <v>1</v>
      </c>
      <c r="T352" s="49" t="n">
        <v>0</v>
      </c>
      <c r="U352" s="49" t="s">
        <v>969</v>
      </c>
    </row>
    <row r="353" customFormat="false" ht="15" hidden="false" customHeight="false" outlineLevel="0" collapsed="false">
      <c r="B353" s="48" t="n">
        <v>45065.2402083333</v>
      </c>
      <c r="C353" s="4" t="n">
        <f aca="false">YEAR(B353)</f>
        <v>2023</v>
      </c>
      <c r="D353" s="49" t="s">
        <v>283</v>
      </c>
      <c r="E353" s="49" t="s">
        <v>930</v>
      </c>
      <c r="F353" s="50" t="n">
        <v>1</v>
      </c>
      <c r="G353" s="49" t="s">
        <v>290</v>
      </c>
      <c r="H353" s="51" t="n">
        <v>0.0121</v>
      </c>
      <c r="I353" s="51" t="n">
        <v>0.9274</v>
      </c>
      <c r="J353" s="51" t="n">
        <v>0.0605</v>
      </c>
      <c r="K353" s="49"/>
      <c r="L353" s="49"/>
      <c r="M353" s="49"/>
      <c r="N353" s="49"/>
      <c r="O353" s="49"/>
      <c r="P353" s="49"/>
      <c r="Q353" s="49"/>
      <c r="R353" s="49"/>
      <c r="S353" s="49" t="n">
        <v>0</v>
      </c>
      <c r="T353" s="49" t="n">
        <v>0</v>
      </c>
      <c r="U353" s="49" t="s">
        <v>970</v>
      </c>
    </row>
    <row r="354" customFormat="false" ht="15" hidden="false" customHeight="false" outlineLevel="0" collapsed="false">
      <c r="B354" s="48" t="n">
        <v>45065.4142592593</v>
      </c>
      <c r="C354" s="4" t="n">
        <f aca="false">YEAR(B354)</f>
        <v>2023</v>
      </c>
      <c r="D354" s="49" t="s">
        <v>283</v>
      </c>
      <c r="E354" s="49" t="s">
        <v>971</v>
      </c>
      <c r="F354" s="50" t="n">
        <v>2</v>
      </c>
      <c r="G354" s="49" t="s">
        <v>290</v>
      </c>
      <c r="H354" s="51" t="n">
        <v>0.1232</v>
      </c>
      <c r="I354" s="51" t="n">
        <v>0.8111</v>
      </c>
      <c r="J354" s="51" t="n">
        <v>0.0657</v>
      </c>
      <c r="K354" s="49"/>
      <c r="L354" s="49"/>
      <c r="M354" s="49"/>
      <c r="N354" s="49"/>
      <c r="O354" s="49"/>
      <c r="P354" s="49"/>
      <c r="Q354" s="49"/>
      <c r="R354" s="49" t="s">
        <v>281</v>
      </c>
      <c r="S354" s="49" t="n">
        <v>0</v>
      </c>
      <c r="T354" s="49" t="n">
        <v>0</v>
      </c>
      <c r="U354" s="49" t="s">
        <v>972</v>
      </c>
    </row>
    <row r="355" customFormat="false" ht="15" hidden="false" customHeight="false" outlineLevel="0" collapsed="false">
      <c r="B355" s="48" t="n">
        <v>45065.9724189815</v>
      </c>
      <c r="C355" s="4" t="n">
        <f aca="false">YEAR(B355)</f>
        <v>2023</v>
      </c>
      <c r="D355" s="49" t="s">
        <v>283</v>
      </c>
      <c r="E355" s="49" t="s">
        <v>973</v>
      </c>
      <c r="F355" s="50" t="n">
        <v>4</v>
      </c>
      <c r="G355" s="49" t="s">
        <v>290</v>
      </c>
      <c r="H355" s="51" t="n">
        <v>0.067</v>
      </c>
      <c r="I355" s="51" t="n">
        <v>0.7945</v>
      </c>
      <c r="J355" s="51" t="n">
        <v>0.1385</v>
      </c>
      <c r="K355" s="49"/>
      <c r="L355" s="49"/>
      <c r="M355" s="49"/>
      <c r="N355" s="49"/>
      <c r="O355" s="49"/>
      <c r="P355" s="49"/>
      <c r="Q355" s="49"/>
      <c r="R355" s="49"/>
      <c r="S355" s="49" t="n">
        <v>0</v>
      </c>
      <c r="T355" s="49" t="n">
        <v>0</v>
      </c>
      <c r="U355" s="49" t="s">
        <v>974</v>
      </c>
    </row>
    <row r="356" customFormat="false" ht="15" hidden="false" customHeight="false" outlineLevel="0" collapsed="false">
      <c r="B356" s="48" t="n">
        <v>45066.0789467593</v>
      </c>
      <c r="C356" s="4" t="n">
        <f aca="false">YEAR(B356)</f>
        <v>2023</v>
      </c>
      <c r="D356" s="49" t="s">
        <v>278</v>
      </c>
      <c r="E356" s="49" t="s">
        <v>975</v>
      </c>
      <c r="F356" s="50" t="n">
        <v>25</v>
      </c>
      <c r="G356" s="49" t="s">
        <v>287</v>
      </c>
      <c r="H356" s="51" t="n">
        <v>0.0104</v>
      </c>
      <c r="I356" s="51" t="n">
        <v>0.278</v>
      </c>
      <c r="J356" s="51" t="n">
        <v>0.7116</v>
      </c>
      <c r="K356" s="49"/>
      <c r="L356" s="49"/>
      <c r="M356" s="49"/>
      <c r="N356" s="49"/>
      <c r="O356" s="49"/>
      <c r="P356" s="49"/>
      <c r="Q356" s="49"/>
      <c r="R356" s="49" t="s">
        <v>281</v>
      </c>
      <c r="S356" s="49" t="n">
        <v>0</v>
      </c>
      <c r="T356" s="49" t="n">
        <v>0</v>
      </c>
      <c r="U356" s="49" t="s">
        <v>976</v>
      </c>
    </row>
    <row r="357" customFormat="false" ht="15" hidden="false" customHeight="false" outlineLevel="0" collapsed="false">
      <c r="B357" s="48" t="n">
        <v>45066.7085069444</v>
      </c>
      <c r="C357" s="4" t="n">
        <f aca="false">YEAR(B357)</f>
        <v>2023</v>
      </c>
      <c r="D357" s="49" t="s">
        <v>283</v>
      </c>
      <c r="E357" s="49" t="s">
        <v>977</v>
      </c>
      <c r="F357" s="50" t="n">
        <v>7</v>
      </c>
      <c r="G357" s="49" t="s">
        <v>287</v>
      </c>
      <c r="H357" s="51" t="n">
        <v>0.0082</v>
      </c>
      <c r="I357" s="51" t="n">
        <v>0.3113</v>
      </c>
      <c r="J357" s="51" t="n">
        <v>0.6805</v>
      </c>
      <c r="K357" s="49"/>
      <c r="L357" s="49"/>
      <c r="M357" s="49"/>
      <c r="N357" s="49"/>
      <c r="O357" s="49"/>
      <c r="P357" s="49"/>
      <c r="Q357" s="49"/>
      <c r="R357" s="49"/>
      <c r="S357" s="49" t="n">
        <v>0</v>
      </c>
      <c r="T357" s="49" t="n">
        <v>0</v>
      </c>
      <c r="U357" s="49" t="s">
        <v>978</v>
      </c>
    </row>
    <row r="358" customFormat="false" ht="15" hidden="false" customHeight="false" outlineLevel="0" collapsed="false">
      <c r="B358" s="48" t="n">
        <v>45067.0531944444</v>
      </c>
      <c r="C358" s="4" t="n">
        <f aca="false">YEAR(B358)</f>
        <v>2023</v>
      </c>
      <c r="D358" s="49" t="s">
        <v>278</v>
      </c>
      <c r="E358" s="49" t="s">
        <v>979</v>
      </c>
      <c r="F358" s="50" t="n">
        <v>1</v>
      </c>
      <c r="G358" s="49" t="s">
        <v>290</v>
      </c>
      <c r="H358" s="51" t="n">
        <v>0.0081</v>
      </c>
      <c r="I358" s="51" t="n">
        <v>0.9191</v>
      </c>
      <c r="J358" s="51" t="n">
        <v>0.0728</v>
      </c>
      <c r="K358" s="49"/>
      <c r="L358" s="49"/>
      <c r="M358" s="49"/>
      <c r="N358" s="49"/>
      <c r="O358" s="49"/>
      <c r="P358" s="49"/>
      <c r="Q358" s="49"/>
      <c r="R358" s="49"/>
      <c r="S358" s="49" t="n">
        <v>1</v>
      </c>
      <c r="T358" s="49" t="n">
        <v>0</v>
      </c>
      <c r="U358" s="49" t="s">
        <v>980</v>
      </c>
    </row>
    <row r="359" customFormat="false" ht="15" hidden="false" customHeight="false" outlineLevel="0" collapsed="false">
      <c r="B359" s="48" t="n">
        <v>45068.1638888889</v>
      </c>
      <c r="C359" s="4" t="n">
        <f aca="false">YEAR(B359)</f>
        <v>2023</v>
      </c>
      <c r="D359" s="49" t="s">
        <v>278</v>
      </c>
      <c r="E359" s="49" t="s">
        <v>981</v>
      </c>
      <c r="F359" s="50" t="n">
        <v>5</v>
      </c>
      <c r="G359" s="49" t="s">
        <v>280</v>
      </c>
      <c r="H359" s="51" t="n">
        <v>0.7011</v>
      </c>
      <c r="I359" s="51" t="n">
        <v>0.2853</v>
      </c>
      <c r="J359" s="51" t="n">
        <v>0.0136</v>
      </c>
      <c r="K359" s="49"/>
      <c r="L359" s="49"/>
      <c r="M359" s="49"/>
      <c r="N359" s="49"/>
      <c r="O359" s="49"/>
      <c r="P359" s="49"/>
      <c r="Q359" s="49"/>
      <c r="R359" s="49"/>
      <c r="S359" s="49" t="n">
        <v>0</v>
      </c>
      <c r="T359" s="49" t="n">
        <v>0</v>
      </c>
      <c r="U359" s="49" t="s">
        <v>982</v>
      </c>
    </row>
    <row r="360" customFormat="false" ht="15" hidden="false" customHeight="false" outlineLevel="0" collapsed="false">
      <c r="B360" s="48" t="n">
        <v>45068.3904166667</v>
      </c>
      <c r="C360" s="4" t="n">
        <f aca="false">YEAR(B360)</f>
        <v>2023</v>
      </c>
      <c r="D360" s="49" t="s">
        <v>283</v>
      </c>
      <c r="E360" s="49" t="s">
        <v>983</v>
      </c>
      <c r="F360" s="50" t="n">
        <v>1</v>
      </c>
      <c r="G360" s="49" t="s">
        <v>290</v>
      </c>
      <c r="H360" s="51" t="n">
        <v>0.1761</v>
      </c>
      <c r="I360" s="51" t="n">
        <v>0.8076</v>
      </c>
      <c r="J360" s="51" t="n">
        <v>0.0163</v>
      </c>
      <c r="K360" s="49"/>
      <c r="L360" s="49"/>
      <c r="M360" s="49"/>
      <c r="N360" s="49"/>
      <c r="O360" s="49"/>
      <c r="P360" s="49"/>
      <c r="Q360" s="49"/>
      <c r="R360" s="49"/>
      <c r="S360" s="49" t="n">
        <v>1</v>
      </c>
      <c r="T360" s="49" t="n">
        <v>0</v>
      </c>
      <c r="U360" s="49" t="s">
        <v>984</v>
      </c>
    </row>
    <row r="361" customFormat="false" ht="15" hidden="false" customHeight="false" outlineLevel="0" collapsed="false">
      <c r="B361" s="48" t="n">
        <v>45068.8403935185</v>
      </c>
      <c r="C361" s="4" t="n">
        <f aca="false">YEAR(B361)</f>
        <v>2023</v>
      </c>
      <c r="D361" s="49" t="s">
        <v>283</v>
      </c>
      <c r="E361" s="49" t="s">
        <v>985</v>
      </c>
      <c r="F361" s="50" t="n">
        <v>1</v>
      </c>
      <c r="G361" s="49" t="s">
        <v>290</v>
      </c>
      <c r="H361" s="51" t="n">
        <v>0.0216</v>
      </c>
      <c r="I361" s="51" t="n">
        <v>0.8928</v>
      </c>
      <c r="J361" s="51" t="n">
        <v>0.0856</v>
      </c>
      <c r="K361" s="49"/>
      <c r="L361" s="49"/>
      <c r="M361" s="49"/>
      <c r="N361" s="49"/>
      <c r="O361" s="49"/>
      <c r="P361" s="49"/>
      <c r="Q361" s="49"/>
      <c r="R361" s="49"/>
      <c r="S361" s="49" t="n">
        <v>1</v>
      </c>
      <c r="T361" s="49" t="n">
        <v>0</v>
      </c>
      <c r="U361" s="49" t="s">
        <v>986</v>
      </c>
    </row>
    <row r="362" customFormat="false" ht="15" hidden="false" customHeight="false" outlineLevel="0" collapsed="false">
      <c r="B362" s="48" t="n">
        <v>45068.9196527778</v>
      </c>
      <c r="C362" s="4" t="n">
        <f aca="false">YEAR(B362)</f>
        <v>2023</v>
      </c>
      <c r="D362" s="49" t="s">
        <v>278</v>
      </c>
      <c r="E362" s="49" t="s">
        <v>987</v>
      </c>
      <c r="F362" s="50" t="n">
        <v>6</v>
      </c>
      <c r="G362" s="49" t="s">
        <v>290</v>
      </c>
      <c r="H362" s="51" t="n">
        <v>0.0483</v>
      </c>
      <c r="I362" s="51" t="n">
        <v>0.8916</v>
      </c>
      <c r="J362" s="51" t="n">
        <v>0.06</v>
      </c>
      <c r="K362" s="49" t="s">
        <v>281</v>
      </c>
      <c r="L362" s="49"/>
      <c r="M362" s="49"/>
      <c r="N362" s="49"/>
      <c r="O362" s="49" t="s">
        <v>281</v>
      </c>
      <c r="P362" s="49"/>
      <c r="Q362" s="49" t="s">
        <v>281</v>
      </c>
      <c r="R362" s="49"/>
      <c r="S362" s="49" t="n">
        <v>0</v>
      </c>
      <c r="T362" s="49" t="n">
        <v>0</v>
      </c>
      <c r="U362" s="49" t="s">
        <v>988</v>
      </c>
    </row>
    <row r="363" customFormat="false" ht="15" hidden="false" customHeight="false" outlineLevel="0" collapsed="false">
      <c r="B363" s="48" t="n">
        <v>45069.1091435185</v>
      </c>
      <c r="C363" s="4" t="n">
        <f aca="false">YEAR(B363)</f>
        <v>2023</v>
      </c>
      <c r="D363" s="49" t="s">
        <v>283</v>
      </c>
      <c r="E363" s="49" t="s">
        <v>989</v>
      </c>
      <c r="F363" s="50" t="n">
        <v>1</v>
      </c>
      <c r="G363" s="49" t="s">
        <v>287</v>
      </c>
      <c r="H363" s="51" t="n">
        <v>0.0224</v>
      </c>
      <c r="I363" s="51" t="n">
        <v>0.0805</v>
      </c>
      <c r="J363" s="51" t="n">
        <v>0.8971</v>
      </c>
      <c r="K363" s="49"/>
      <c r="L363" s="49"/>
      <c r="M363" s="49"/>
      <c r="N363" s="49"/>
      <c r="O363" s="49"/>
      <c r="P363" s="49"/>
      <c r="Q363" s="49"/>
      <c r="R363" s="49"/>
      <c r="S363" s="49" t="n">
        <v>0</v>
      </c>
      <c r="T363" s="49" t="n">
        <v>0</v>
      </c>
      <c r="U363" s="49" t="s">
        <v>990</v>
      </c>
    </row>
    <row r="364" customFormat="false" ht="15" hidden="false" customHeight="false" outlineLevel="0" collapsed="false">
      <c r="B364" s="48" t="n">
        <v>45069.1800347222</v>
      </c>
      <c r="C364" s="4" t="n">
        <f aca="false">YEAR(B364)</f>
        <v>2023</v>
      </c>
      <c r="D364" s="49" t="s">
        <v>283</v>
      </c>
      <c r="E364" s="49" t="s">
        <v>991</v>
      </c>
      <c r="F364" s="50" t="n">
        <v>1</v>
      </c>
      <c r="G364" s="49" t="s">
        <v>287</v>
      </c>
      <c r="H364" s="51" t="n">
        <v>0.0055</v>
      </c>
      <c r="I364" s="51" t="n">
        <v>0.1416</v>
      </c>
      <c r="J364" s="51" t="n">
        <v>0.8529</v>
      </c>
      <c r="K364" s="49"/>
      <c r="L364" s="49"/>
      <c r="M364" s="49"/>
      <c r="N364" s="49"/>
      <c r="O364" s="49"/>
      <c r="P364" s="49"/>
      <c r="Q364" s="49"/>
      <c r="R364" s="49"/>
      <c r="S364" s="49" t="n">
        <v>0</v>
      </c>
      <c r="T364" s="49" t="n">
        <v>0</v>
      </c>
      <c r="U364" s="49" t="s">
        <v>992</v>
      </c>
    </row>
    <row r="365" customFormat="false" ht="15" hidden="false" customHeight="false" outlineLevel="0" collapsed="false">
      <c r="B365" s="48" t="n">
        <v>45069.1843865741</v>
      </c>
      <c r="C365" s="4" t="n">
        <f aca="false">YEAR(B365)</f>
        <v>2023</v>
      </c>
      <c r="D365" s="49" t="s">
        <v>278</v>
      </c>
      <c r="E365" s="49" t="s">
        <v>993</v>
      </c>
      <c r="F365" s="50" t="n">
        <v>0</v>
      </c>
      <c r="G365" s="49" t="s">
        <v>280</v>
      </c>
      <c r="H365" s="51" t="n">
        <v>0.7333</v>
      </c>
      <c r="I365" s="51" t="n">
        <v>0.2563</v>
      </c>
      <c r="J365" s="51" t="n">
        <v>0.0105</v>
      </c>
      <c r="K365" s="49"/>
      <c r="L365" s="49"/>
      <c r="M365" s="49"/>
      <c r="N365" s="49"/>
      <c r="O365" s="49"/>
      <c r="P365" s="49"/>
      <c r="Q365" s="49"/>
      <c r="R365" s="49"/>
      <c r="S365" s="49" t="n">
        <v>0</v>
      </c>
      <c r="T365" s="49" t="n">
        <v>0</v>
      </c>
      <c r="U365" s="49" t="s">
        <v>994</v>
      </c>
    </row>
    <row r="366" customFormat="false" ht="15" hidden="false" customHeight="false" outlineLevel="0" collapsed="false">
      <c r="B366" s="48" t="n">
        <v>45069.2788310185</v>
      </c>
      <c r="C366" s="4" t="n">
        <f aca="false">YEAR(B366)</f>
        <v>2023</v>
      </c>
      <c r="D366" s="49" t="s">
        <v>278</v>
      </c>
      <c r="E366" s="49" t="s">
        <v>995</v>
      </c>
      <c r="F366" s="50" t="n">
        <v>6</v>
      </c>
      <c r="G366" s="49" t="s">
        <v>287</v>
      </c>
      <c r="H366" s="51" t="n">
        <v>0.0205</v>
      </c>
      <c r="I366" s="51" t="n">
        <v>0.0418</v>
      </c>
      <c r="J366" s="51" t="n">
        <v>0.9376</v>
      </c>
      <c r="K366" s="49"/>
      <c r="L366" s="49"/>
      <c r="M366" s="49"/>
      <c r="N366" s="49"/>
      <c r="O366" s="49"/>
      <c r="P366" s="49" t="s">
        <v>281</v>
      </c>
      <c r="Q366" s="49"/>
      <c r="R366" s="49" t="s">
        <v>281</v>
      </c>
      <c r="S366" s="49" t="n">
        <v>0</v>
      </c>
      <c r="T366" s="49" t="n">
        <v>0</v>
      </c>
      <c r="U366" s="49" t="s">
        <v>996</v>
      </c>
    </row>
    <row r="367" customFormat="false" ht="15" hidden="false" customHeight="false" outlineLevel="0" collapsed="false">
      <c r="B367" s="48" t="n">
        <v>45070.0365393519</v>
      </c>
      <c r="C367" s="4" t="n">
        <f aca="false">YEAR(B367)</f>
        <v>2023</v>
      </c>
      <c r="D367" s="49" t="s">
        <v>283</v>
      </c>
      <c r="E367" s="49" t="s">
        <v>997</v>
      </c>
      <c r="F367" s="50" t="n">
        <v>0</v>
      </c>
      <c r="G367" s="49" t="s">
        <v>290</v>
      </c>
      <c r="H367" s="51" t="n">
        <v>0.067</v>
      </c>
      <c r="I367" s="51" t="n">
        <v>0.696</v>
      </c>
      <c r="J367" s="51" t="n">
        <v>0.237</v>
      </c>
      <c r="K367" s="49"/>
      <c r="L367" s="49"/>
      <c r="M367" s="49"/>
      <c r="N367" s="49"/>
      <c r="O367" s="49"/>
      <c r="P367" s="49"/>
      <c r="Q367" s="49"/>
      <c r="R367" s="49"/>
      <c r="S367" s="49" t="n">
        <v>0</v>
      </c>
      <c r="T367" s="49" t="n">
        <v>0</v>
      </c>
      <c r="U367" s="49" t="s">
        <v>998</v>
      </c>
    </row>
    <row r="368" customFormat="false" ht="15" hidden="false" customHeight="false" outlineLevel="0" collapsed="false">
      <c r="B368" s="48" t="n">
        <v>45070.1624189815</v>
      </c>
      <c r="C368" s="4" t="n">
        <f aca="false">YEAR(B368)</f>
        <v>2023</v>
      </c>
      <c r="D368" s="49" t="s">
        <v>283</v>
      </c>
      <c r="E368" s="49" t="s">
        <v>999</v>
      </c>
      <c r="F368" s="50" t="n">
        <v>1</v>
      </c>
      <c r="G368" s="49" t="s">
        <v>290</v>
      </c>
      <c r="H368" s="51" t="n">
        <v>0.106</v>
      </c>
      <c r="I368" s="51" t="n">
        <v>0.8621</v>
      </c>
      <c r="J368" s="51" t="n">
        <v>0.0319</v>
      </c>
      <c r="K368" s="49"/>
      <c r="L368" s="49"/>
      <c r="M368" s="49"/>
      <c r="N368" s="49"/>
      <c r="O368" s="49"/>
      <c r="P368" s="49"/>
      <c r="Q368" s="49"/>
      <c r="R368" s="49"/>
      <c r="S368" s="49" t="n">
        <v>1</v>
      </c>
      <c r="T368" s="49" t="n">
        <v>0</v>
      </c>
      <c r="U368" s="49" t="s">
        <v>1000</v>
      </c>
    </row>
    <row r="369" customFormat="false" ht="15" hidden="false" customHeight="false" outlineLevel="0" collapsed="false">
      <c r="B369" s="48" t="n">
        <v>45070.5640162037</v>
      </c>
      <c r="C369" s="4" t="n">
        <f aca="false">YEAR(B369)</f>
        <v>2023</v>
      </c>
      <c r="D369" s="49" t="s">
        <v>278</v>
      </c>
      <c r="E369" s="49" t="s">
        <v>1001</v>
      </c>
      <c r="F369" s="50" t="n">
        <v>15</v>
      </c>
      <c r="G369" s="49" t="s">
        <v>280</v>
      </c>
      <c r="H369" s="51" t="n">
        <v>0.6488</v>
      </c>
      <c r="I369" s="51" t="n">
        <v>0.3324</v>
      </c>
      <c r="J369" s="51" t="n">
        <v>0.0189</v>
      </c>
      <c r="K369" s="49"/>
      <c r="L369" s="49"/>
      <c r="M369" s="49"/>
      <c r="N369" s="49"/>
      <c r="O369" s="49"/>
      <c r="P369" s="49"/>
      <c r="Q369" s="49"/>
      <c r="R369" s="49"/>
      <c r="S369" s="49" t="n">
        <v>0</v>
      </c>
      <c r="T369" s="49" t="n">
        <v>0</v>
      </c>
      <c r="U369" s="49" t="s">
        <v>1002</v>
      </c>
    </row>
    <row r="370" customFormat="false" ht="15" hidden="false" customHeight="false" outlineLevel="0" collapsed="false">
      <c r="B370" s="48" t="n">
        <v>45070.5926388889</v>
      </c>
      <c r="C370" s="4" t="n">
        <f aca="false">YEAR(B370)</f>
        <v>2023</v>
      </c>
      <c r="D370" s="49" t="s">
        <v>283</v>
      </c>
      <c r="E370" s="49" t="s">
        <v>1003</v>
      </c>
      <c r="F370" s="50" t="n">
        <v>1</v>
      </c>
      <c r="G370" s="49" t="s">
        <v>287</v>
      </c>
      <c r="H370" s="51" t="n">
        <v>0.005</v>
      </c>
      <c r="I370" s="51" t="n">
        <v>0.2272</v>
      </c>
      <c r="J370" s="51" t="n">
        <v>0.7677</v>
      </c>
      <c r="K370" s="49"/>
      <c r="L370" s="49"/>
      <c r="M370" s="49"/>
      <c r="N370" s="49"/>
      <c r="O370" s="49"/>
      <c r="P370" s="49"/>
      <c r="Q370" s="49"/>
      <c r="R370" s="49"/>
      <c r="S370" s="49" t="n">
        <v>1</v>
      </c>
      <c r="T370" s="49" t="n">
        <v>0</v>
      </c>
      <c r="U370" s="49" t="s">
        <v>1004</v>
      </c>
    </row>
    <row r="371" customFormat="false" ht="15" hidden="false" customHeight="false" outlineLevel="0" collapsed="false">
      <c r="B371" s="48" t="n">
        <v>45070.6186689815</v>
      </c>
      <c r="C371" s="4" t="n">
        <f aca="false">YEAR(B371)</f>
        <v>2023</v>
      </c>
      <c r="D371" s="49" t="s">
        <v>283</v>
      </c>
      <c r="E371" s="49" t="s">
        <v>1005</v>
      </c>
      <c r="F371" s="50" t="n">
        <v>0</v>
      </c>
      <c r="G371" s="49" t="s">
        <v>287</v>
      </c>
      <c r="H371" s="51" t="n">
        <v>0.0035</v>
      </c>
      <c r="I371" s="51" t="n">
        <v>0.1673</v>
      </c>
      <c r="J371" s="51" t="n">
        <v>0.8293</v>
      </c>
      <c r="K371" s="49"/>
      <c r="L371" s="49"/>
      <c r="M371" s="49"/>
      <c r="N371" s="49"/>
      <c r="O371" s="49"/>
      <c r="P371" s="49"/>
      <c r="Q371" s="49"/>
      <c r="R371" s="49"/>
      <c r="S371" s="49" t="n">
        <v>0</v>
      </c>
      <c r="T371" s="49" t="n">
        <v>0</v>
      </c>
      <c r="U371" s="49" t="s">
        <v>1006</v>
      </c>
    </row>
    <row r="372" customFormat="false" ht="15" hidden="false" customHeight="false" outlineLevel="0" collapsed="false">
      <c r="B372" s="48" t="n">
        <v>45070.9837268519</v>
      </c>
      <c r="C372" s="4" t="n">
        <f aca="false">YEAR(B372)</f>
        <v>2023</v>
      </c>
      <c r="D372" s="49" t="s">
        <v>283</v>
      </c>
      <c r="E372" s="49" t="s">
        <v>1007</v>
      </c>
      <c r="F372" s="50" t="n">
        <v>1</v>
      </c>
      <c r="G372" s="49" t="s">
        <v>287</v>
      </c>
      <c r="H372" s="51" t="n">
        <v>0.0018</v>
      </c>
      <c r="I372" s="51" t="n">
        <v>0.0323</v>
      </c>
      <c r="J372" s="51" t="n">
        <v>0.966</v>
      </c>
      <c r="K372" s="49"/>
      <c r="L372" s="49"/>
      <c r="M372" s="49"/>
      <c r="N372" s="49"/>
      <c r="O372" s="49"/>
      <c r="P372" s="49"/>
      <c r="Q372" s="49"/>
      <c r="R372" s="49"/>
      <c r="S372" s="49" t="n">
        <v>0</v>
      </c>
      <c r="T372" s="49" t="n">
        <v>0</v>
      </c>
      <c r="U372" s="49" t="s">
        <v>1008</v>
      </c>
    </row>
    <row r="373" customFormat="false" ht="15" hidden="false" customHeight="false" outlineLevel="0" collapsed="false">
      <c r="B373" s="48" t="n">
        <v>45071.5223842593</v>
      </c>
      <c r="C373" s="4" t="n">
        <f aca="false">YEAR(B373)</f>
        <v>2023</v>
      </c>
      <c r="D373" s="49" t="s">
        <v>278</v>
      </c>
      <c r="E373" s="49" t="s">
        <v>1009</v>
      </c>
      <c r="F373" s="50" t="n">
        <v>11</v>
      </c>
      <c r="G373" s="49" t="s">
        <v>287</v>
      </c>
      <c r="H373" s="51" t="n">
        <v>0.0074</v>
      </c>
      <c r="I373" s="51" t="n">
        <v>0.3789</v>
      </c>
      <c r="J373" s="51" t="n">
        <v>0.6137</v>
      </c>
      <c r="K373" s="49"/>
      <c r="L373" s="49"/>
      <c r="M373" s="49"/>
      <c r="N373" s="49"/>
      <c r="O373" s="49"/>
      <c r="P373" s="49"/>
      <c r="Q373" s="49"/>
      <c r="R373" s="49"/>
      <c r="S373" s="49" t="n">
        <v>0</v>
      </c>
      <c r="T373" s="49" t="n">
        <v>0</v>
      </c>
      <c r="U373" s="49" t="s">
        <v>1010</v>
      </c>
    </row>
    <row r="374" customFormat="false" ht="15" hidden="false" customHeight="false" outlineLevel="0" collapsed="false">
      <c r="B374" s="48" t="n">
        <v>45071.5544097222</v>
      </c>
      <c r="C374" s="4" t="n">
        <f aca="false">YEAR(B374)</f>
        <v>2023</v>
      </c>
      <c r="D374" s="49" t="s">
        <v>283</v>
      </c>
      <c r="E374" s="49" t="s">
        <v>1011</v>
      </c>
      <c r="F374" s="50" t="n">
        <v>1</v>
      </c>
      <c r="G374" s="49" t="s">
        <v>287</v>
      </c>
      <c r="H374" s="51" t="n">
        <v>0.0054</v>
      </c>
      <c r="I374" s="51" t="n">
        <v>0.0714</v>
      </c>
      <c r="J374" s="51" t="n">
        <v>0.9232</v>
      </c>
      <c r="K374" s="49"/>
      <c r="L374" s="49"/>
      <c r="M374" s="49"/>
      <c r="N374" s="49"/>
      <c r="O374" s="49"/>
      <c r="P374" s="49"/>
      <c r="Q374" s="49"/>
      <c r="R374" s="49"/>
      <c r="S374" s="49" t="n">
        <v>0</v>
      </c>
      <c r="T374" s="49" t="n">
        <v>0</v>
      </c>
      <c r="U374" s="49" t="s">
        <v>1012</v>
      </c>
    </row>
    <row r="375" customFormat="false" ht="15" hidden="false" customHeight="false" outlineLevel="0" collapsed="false">
      <c r="B375" s="48" t="n">
        <v>45071.9388657407</v>
      </c>
      <c r="C375" s="4" t="n">
        <f aca="false">YEAR(B375)</f>
        <v>2023</v>
      </c>
      <c r="D375" s="49" t="s">
        <v>283</v>
      </c>
      <c r="E375" s="49" t="s">
        <v>1013</v>
      </c>
      <c r="F375" s="50" t="n">
        <v>1</v>
      </c>
      <c r="G375" s="49" t="s">
        <v>287</v>
      </c>
      <c r="H375" s="51" t="n">
        <v>0.0027</v>
      </c>
      <c r="I375" s="51" t="n">
        <v>0.0329</v>
      </c>
      <c r="J375" s="51" t="n">
        <v>0.9645</v>
      </c>
      <c r="K375" s="49"/>
      <c r="L375" s="49"/>
      <c r="M375" s="49"/>
      <c r="N375" s="49"/>
      <c r="O375" s="49"/>
      <c r="P375" s="49"/>
      <c r="Q375" s="49"/>
      <c r="R375" s="49"/>
      <c r="S375" s="49" t="n">
        <v>0</v>
      </c>
      <c r="T375" s="49" t="n">
        <v>0</v>
      </c>
      <c r="U375" s="49" t="s">
        <v>1014</v>
      </c>
    </row>
    <row r="376" customFormat="false" ht="15" hidden="false" customHeight="false" outlineLevel="0" collapsed="false">
      <c r="B376" s="48" t="n">
        <v>45072.0574768519</v>
      </c>
      <c r="C376" s="4" t="n">
        <f aca="false">YEAR(B376)</f>
        <v>2023</v>
      </c>
      <c r="D376" s="49" t="s">
        <v>278</v>
      </c>
      <c r="E376" s="49" t="s">
        <v>1015</v>
      </c>
      <c r="F376" s="50" t="n">
        <v>175</v>
      </c>
      <c r="G376" s="49" t="s">
        <v>287</v>
      </c>
      <c r="H376" s="51" t="n">
        <v>0.0259</v>
      </c>
      <c r="I376" s="51" t="n">
        <v>0.0849</v>
      </c>
      <c r="J376" s="51" t="n">
        <v>0.8891</v>
      </c>
      <c r="K376" s="49"/>
      <c r="L376" s="49"/>
      <c r="M376" s="49"/>
      <c r="N376" s="49"/>
      <c r="O376" s="49"/>
      <c r="P376" s="49"/>
      <c r="Q376" s="49"/>
      <c r="R376" s="49"/>
      <c r="S376" s="49" t="n">
        <v>0</v>
      </c>
      <c r="T376" s="49" t="n">
        <v>0</v>
      </c>
      <c r="U376" s="49" t="s">
        <v>1016</v>
      </c>
    </row>
    <row r="377" customFormat="false" ht="15" hidden="false" customHeight="false" outlineLevel="0" collapsed="false">
      <c r="B377" s="48" t="n">
        <v>45072.4288194445</v>
      </c>
      <c r="C377" s="4" t="n">
        <f aca="false">YEAR(B377)</f>
        <v>2023</v>
      </c>
      <c r="D377" s="49" t="s">
        <v>283</v>
      </c>
      <c r="E377" s="49" t="s">
        <v>1017</v>
      </c>
      <c r="F377" s="50" t="n">
        <v>1</v>
      </c>
      <c r="G377" s="49" t="s">
        <v>290</v>
      </c>
      <c r="H377" s="51" t="n">
        <v>0.042</v>
      </c>
      <c r="I377" s="51" t="n">
        <v>0.8914</v>
      </c>
      <c r="J377" s="51" t="n">
        <v>0.0666</v>
      </c>
      <c r="K377" s="49"/>
      <c r="L377" s="49"/>
      <c r="M377" s="49"/>
      <c r="N377" s="49"/>
      <c r="O377" s="49"/>
      <c r="P377" s="49"/>
      <c r="Q377" s="49"/>
      <c r="R377" s="49"/>
      <c r="S377" s="49" t="n">
        <v>0</v>
      </c>
      <c r="T377" s="49" t="n">
        <v>0</v>
      </c>
      <c r="U377" s="49" t="s">
        <v>1018</v>
      </c>
    </row>
    <row r="378" customFormat="false" ht="15" hidden="false" customHeight="false" outlineLevel="0" collapsed="false">
      <c r="B378" s="48" t="n">
        <v>45072.4622106482</v>
      </c>
      <c r="C378" s="4" t="n">
        <f aca="false">YEAR(B378)</f>
        <v>2023</v>
      </c>
      <c r="D378" s="49" t="s">
        <v>283</v>
      </c>
      <c r="E378" s="49" t="s">
        <v>1019</v>
      </c>
      <c r="F378" s="50" t="n">
        <v>1</v>
      </c>
      <c r="G378" s="49" t="s">
        <v>290</v>
      </c>
      <c r="H378" s="51" t="n">
        <v>0.0069</v>
      </c>
      <c r="I378" s="51" t="n">
        <v>0.6171</v>
      </c>
      <c r="J378" s="51" t="n">
        <v>0.376</v>
      </c>
      <c r="K378" s="49"/>
      <c r="L378" s="49"/>
      <c r="M378" s="49"/>
      <c r="N378" s="49"/>
      <c r="O378" s="49"/>
      <c r="P378" s="49"/>
      <c r="Q378" s="49"/>
      <c r="R378" s="49"/>
      <c r="S378" s="49" t="n">
        <v>1</v>
      </c>
      <c r="T378" s="49" t="n">
        <v>0</v>
      </c>
      <c r="U378" s="49" t="s">
        <v>1020</v>
      </c>
    </row>
    <row r="379" customFormat="false" ht="15" hidden="false" customHeight="false" outlineLevel="0" collapsed="false">
      <c r="B379" s="48" t="n">
        <v>45072.5696296296</v>
      </c>
      <c r="C379" s="4" t="n">
        <f aca="false">YEAR(B379)</f>
        <v>2023</v>
      </c>
      <c r="D379" s="49" t="s">
        <v>278</v>
      </c>
      <c r="E379" s="49" t="s">
        <v>1021</v>
      </c>
      <c r="F379" s="50" t="n">
        <v>1</v>
      </c>
      <c r="G379" s="49" t="s">
        <v>290</v>
      </c>
      <c r="H379" s="51" t="n">
        <v>0.2869</v>
      </c>
      <c r="I379" s="51" t="n">
        <v>0.3636</v>
      </c>
      <c r="J379" s="51" t="n">
        <v>0.3496</v>
      </c>
      <c r="K379" s="49"/>
      <c r="L379" s="49"/>
      <c r="M379" s="49"/>
      <c r="N379" s="49"/>
      <c r="O379" s="49"/>
      <c r="P379" s="49"/>
      <c r="Q379" s="49"/>
      <c r="R379" s="49" t="s">
        <v>281</v>
      </c>
      <c r="S379" s="49" t="n">
        <v>0</v>
      </c>
      <c r="T379" s="49" t="n">
        <v>0</v>
      </c>
      <c r="U379" s="49" t="s">
        <v>1022</v>
      </c>
    </row>
    <row r="380" customFormat="false" ht="15" hidden="false" customHeight="false" outlineLevel="0" collapsed="false">
      <c r="B380" s="48" t="n">
        <v>45072.658587963</v>
      </c>
      <c r="C380" s="4" t="n">
        <f aca="false">YEAR(B380)</f>
        <v>2023</v>
      </c>
      <c r="D380" s="49" t="s">
        <v>283</v>
      </c>
      <c r="E380" s="49" t="s">
        <v>1023</v>
      </c>
      <c r="F380" s="50" t="n">
        <v>1</v>
      </c>
      <c r="G380" s="49" t="s">
        <v>290</v>
      </c>
      <c r="H380" s="51" t="n">
        <v>0.0106</v>
      </c>
      <c r="I380" s="51" t="n">
        <v>0.8549</v>
      </c>
      <c r="J380" s="51" t="n">
        <v>0.1344</v>
      </c>
      <c r="K380" s="49"/>
      <c r="L380" s="49"/>
      <c r="M380" s="49"/>
      <c r="N380" s="49"/>
      <c r="O380" s="49"/>
      <c r="P380" s="49"/>
      <c r="Q380" s="49"/>
      <c r="R380" s="49"/>
      <c r="S380" s="49" t="n">
        <v>1</v>
      </c>
      <c r="T380" s="49" t="n">
        <v>0</v>
      </c>
      <c r="U380" s="49" t="s">
        <v>1024</v>
      </c>
    </row>
    <row r="381" customFormat="false" ht="15" hidden="false" customHeight="false" outlineLevel="0" collapsed="false">
      <c r="B381" s="48" t="n">
        <v>45072.8327777778</v>
      </c>
      <c r="C381" s="4" t="n">
        <f aca="false">YEAR(B381)</f>
        <v>2023</v>
      </c>
      <c r="D381" s="49" t="s">
        <v>278</v>
      </c>
      <c r="E381" s="49" t="s">
        <v>1025</v>
      </c>
      <c r="F381" s="50" t="n">
        <v>20</v>
      </c>
      <c r="G381" s="49" t="s">
        <v>280</v>
      </c>
      <c r="H381" s="51" t="n">
        <v>0.7595</v>
      </c>
      <c r="I381" s="51" t="n">
        <v>0.2252</v>
      </c>
      <c r="J381" s="51" t="n">
        <v>0.0154</v>
      </c>
      <c r="K381" s="49"/>
      <c r="L381" s="49"/>
      <c r="M381" s="49"/>
      <c r="N381" s="49"/>
      <c r="O381" s="49"/>
      <c r="P381" s="49"/>
      <c r="Q381" s="49"/>
      <c r="R381" s="49"/>
      <c r="S381" s="49" t="n">
        <v>0</v>
      </c>
      <c r="T381" s="49" t="n">
        <v>0</v>
      </c>
      <c r="U381" s="49" t="s">
        <v>1026</v>
      </c>
    </row>
    <row r="382" customFormat="false" ht="15" hidden="false" customHeight="false" outlineLevel="0" collapsed="false">
      <c r="B382" s="48" t="n">
        <v>45073.104212963</v>
      </c>
      <c r="C382" s="4" t="n">
        <f aca="false">YEAR(B382)</f>
        <v>2023</v>
      </c>
      <c r="D382" s="49" t="s">
        <v>283</v>
      </c>
      <c r="E382" s="49" t="s">
        <v>1027</v>
      </c>
      <c r="F382" s="50" t="n">
        <v>1</v>
      </c>
      <c r="G382" s="49" t="s">
        <v>290</v>
      </c>
      <c r="H382" s="51" t="n">
        <v>0.0131</v>
      </c>
      <c r="I382" s="51" t="n">
        <v>0.9409</v>
      </c>
      <c r="J382" s="51" t="n">
        <v>0.046</v>
      </c>
      <c r="K382" s="49"/>
      <c r="L382" s="49"/>
      <c r="M382" s="49"/>
      <c r="N382" s="49"/>
      <c r="O382" s="49"/>
      <c r="P382" s="49"/>
      <c r="Q382" s="49"/>
      <c r="R382" s="49"/>
      <c r="S382" s="49" t="n">
        <v>0</v>
      </c>
      <c r="T382" s="49" t="n">
        <v>0</v>
      </c>
      <c r="U382" s="49" t="s">
        <v>1028</v>
      </c>
    </row>
    <row r="383" customFormat="false" ht="15" hidden="false" customHeight="false" outlineLevel="0" collapsed="false">
      <c r="B383" s="48" t="n">
        <v>45075.0473958333</v>
      </c>
      <c r="C383" s="4" t="n">
        <f aca="false">YEAR(B383)</f>
        <v>2023</v>
      </c>
      <c r="D383" s="49" t="s">
        <v>283</v>
      </c>
      <c r="E383" s="49" t="s">
        <v>1029</v>
      </c>
      <c r="F383" s="50" t="n">
        <v>1</v>
      </c>
      <c r="G383" s="49" t="s">
        <v>290</v>
      </c>
      <c r="H383" s="51" t="n">
        <v>0.3561</v>
      </c>
      <c r="I383" s="51" t="n">
        <v>0.621</v>
      </c>
      <c r="J383" s="51" t="n">
        <v>0.0229</v>
      </c>
      <c r="K383" s="49"/>
      <c r="L383" s="49"/>
      <c r="M383" s="49"/>
      <c r="N383" s="49"/>
      <c r="O383" s="49"/>
      <c r="P383" s="49"/>
      <c r="Q383" s="49"/>
      <c r="R383" s="49" t="s">
        <v>281</v>
      </c>
      <c r="S383" s="49" t="n">
        <v>1</v>
      </c>
      <c r="T383" s="49" t="n">
        <v>0</v>
      </c>
      <c r="U383" s="49" t="s">
        <v>1030</v>
      </c>
    </row>
    <row r="384" customFormat="false" ht="15" hidden="false" customHeight="false" outlineLevel="0" collapsed="false">
      <c r="B384" s="48" t="n">
        <v>45075.7975</v>
      </c>
      <c r="C384" s="4" t="n">
        <f aca="false">YEAR(B384)</f>
        <v>2023</v>
      </c>
      <c r="D384" s="49" t="s">
        <v>283</v>
      </c>
      <c r="E384" s="49" t="s">
        <v>1031</v>
      </c>
      <c r="F384" s="50" t="n">
        <v>0</v>
      </c>
      <c r="G384" s="49" t="s">
        <v>290</v>
      </c>
      <c r="H384" s="51" t="n">
        <v>0.0785</v>
      </c>
      <c r="I384" s="51" t="n">
        <v>0.9014</v>
      </c>
      <c r="J384" s="51" t="n">
        <v>0.02</v>
      </c>
      <c r="K384" s="49"/>
      <c r="L384" s="49"/>
      <c r="M384" s="49"/>
      <c r="N384" s="49"/>
      <c r="O384" s="49"/>
      <c r="P384" s="49"/>
      <c r="Q384" s="49"/>
      <c r="R384" s="49" t="s">
        <v>281</v>
      </c>
      <c r="S384" s="49" t="n">
        <v>1</v>
      </c>
      <c r="T384" s="49" t="n">
        <v>0</v>
      </c>
      <c r="U384" s="49" t="s">
        <v>1032</v>
      </c>
    </row>
    <row r="385" customFormat="false" ht="15" hidden="false" customHeight="false" outlineLevel="0" collapsed="false">
      <c r="B385" s="48" t="n">
        <v>45076.2139930556</v>
      </c>
      <c r="C385" s="4" t="n">
        <f aca="false">YEAR(B385)</f>
        <v>2023</v>
      </c>
      <c r="D385" s="49" t="s">
        <v>278</v>
      </c>
      <c r="E385" s="49" t="s">
        <v>1033</v>
      </c>
      <c r="F385" s="50" t="n">
        <v>2</v>
      </c>
      <c r="G385" s="49" t="s">
        <v>287</v>
      </c>
      <c r="H385" s="51" t="n">
        <v>0.0202</v>
      </c>
      <c r="I385" s="51" t="n">
        <v>0.156</v>
      </c>
      <c r="J385" s="51" t="n">
        <v>0.8238</v>
      </c>
      <c r="K385" s="49"/>
      <c r="L385" s="49"/>
      <c r="M385" s="49"/>
      <c r="N385" s="49"/>
      <c r="O385" s="49"/>
      <c r="P385" s="49"/>
      <c r="Q385" s="49"/>
      <c r="R385" s="49" t="s">
        <v>281</v>
      </c>
      <c r="S385" s="49" t="n">
        <v>0</v>
      </c>
      <c r="T385" s="49" t="n">
        <v>0</v>
      </c>
      <c r="U385" s="49" t="s">
        <v>1034</v>
      </c>
    </row>
    <row r="386" customFormat="false" ht="15" hidden="false" customHeight="false" outlineLevel="0" collapsed="false">
      <c r="B386" s="48" t="n">
        <v>45080.7916435185</v>
      </c>
      <c r="C386" s="4" t="n">
        <f aca="false">YEAR(B386)</f>
        <v>2023</v>
      </c>
      <c r="D386" s="49" t="s">
        <v>283</v>
      </c>
      <c r="E386" s="49" t="s">
        <v>1035</v>
      </c>
      <c r="F386" s="50" t="n">
        <v>1</v>
      </c>
      <c r="G386" s="49" t="s">
        <v>287</v>
      </c>
      <c r="H386" s="51" t="n">
        <v>0.0041</v>
      </c>
      <c r="I386" s="51" t="n">
        <v>0.4444</v>
      </c>
      <c r="J386" s="51" t="n">
        <v>0.5515</v>
      </c>
      <c r="K386" s="49"/>
      <c r="L386" s="49"/>
      <c r="M386" s="49"/>
      <c r="N386" s="49"/>
      <c r="O386" s="49"/>
      <c r="P386" s="49"/>
      <c r="Q386" s="49"/>
      <c r="R386" s="49"/>
      <c r="S386" s="49" t="n">
        <v>0</v>
      </c>
      <c r="T386" s="49" t="n">
        <v>0</v>
      </c>
      <c r="U386" s="49" t="s">
        <v>1036</v>
      </c>
    </row>
    <row r="387" customFormat="false" ht="15" hidden="false" customHeight="false" outlineLevel="0" collapsed="false">
      <c r="B387" s="48" t="n">
        <v>45080.9443865741</v>
      </c>
      <c r="C387" s="4" t="n">
        <f aca="false">YEAR(B387)</f>
        <v>2023</v>
      </c>
      <c r="D387" s="49" t="s">
        <v>283</v>
      </c>
      <c r="E387" s="49" t="s">
        <v>1037</v>
      </c>
      <c r="F387" s="50" t="n">
        <v>1</v>
      </c>
      <c r="G387" s="49" t="s">
        <v>280</v>
      </c>
      <c r="H387" s="51" t="n">
        <v>0.6709</v>
      </c>
      <c r="I387" s="51" t="n">
        <v>0.3175</v>
      </c>
      <c r="J387" s="51" t="n">
        <v>0.0117</v>
      </c>
      <c r="K387" s="49"/>
      <c r="L387" s="49"/>
      <c r="M387" s="49"/>
      <c r="N387" s="49"/>
      <c r="O387" s="49"/>
      <c r="P387" s="49"/>
      <c r="Q387" s="49"/>
      <c r="R387" s="49" t="s">
        <v>281</v>
      </c>
      <c r="S387" s="49" t="n">
        <v>1</v>
      </c>
      <c r="T387" s="49" t="n">
        <v>0</v>
      </c>
      <c r="U387" s="49" t="s">
        <v>1038</v>
      </c>
    </row>
    <row r="388" customFormat="false" ht="15" hidden="false" customHeight="false" outlineLevel="0" collapsed="false">
      <c r="B388" s="48" t="n">
        <v>45081.4759375</v>
      </c>
      <c r="C388" s="4" t="n">
        <f aca="false">YEAR(B388)</f>
        <v>2023</v>
      </c>
      <c r="D388" s="49" t="s">
        <v>283</v>
      </c>
      <c r="E388" s="49" t="s">
        <v>1039</v>
      </c>
      <c r="F388" s="50" t="n">
        <v>1</v>
      </c>
      <c r="G388" s="49" t="s">
        <v>290</v>
      </c>
      <c r="H388" s="51" t="n">
        <v>0.015</v>
      </c>
      <c r="I388" s="51" t="n">
        <v>0.9193</v>
      </c>
      <c r="J388" s="51" t="n">
        <v>0.0657</v>
      </c>
      <c r="K388" s="49"/>
      <c r="L388" s="49"/>
      <c r="M388" s="49"/>
      <c r="N388" s="49"/>
      <c r="O388" s="49"/>
      <c r="P388" s="49"/>
      <c r="Q388" s="49"/>
      <c r="R388" s="49"/>
      <c r="S388" s="49" t="n">
        <v>1</v>
      </c>
      <c r="T388" s="49" t="n">
        <v>0</v>
      </c>
      <c r="U388" s="49" t="s">
        <v>1040</v>
      </c>
    </row>
    <row r="389" customFormat="false" ht="15" hidden="false" customHeight="false" outlineLevel="0" collapsed="false">
      <c r="B389" s="48" t="n">
        <v>45082.9094444444</v>
      </c>
      <c r="C389" s="4" t="n">
        <f aca="false">YEAR(B389)</f>
        <v>2023</v>
      </c>
      <c r="D389" s="49" t="s">
        <v>278</v>
      </c>
      <c r="E389" s="49" t="s">
        <v>1041</v>
      </c>
      <c r="F389" s="50" t="n">
        <v>1</v>
      </c>
      <c r="G389" s="49" t="s">
        <v>280</v>
      </c>
      <c r="H389" s="51" t="n">
        <v>0.7694</v>
      </c>
      <c r="I389" s="51" t="n">
        <v>0.2211</v>
      </c>
      <c r="J389" s="51" t="n">
        <v>0.0094</v>
      </c>
      <c r="K389" s="49"/>
      <c r="L389" s="49"/>
      <c r="M389" s="49"/>
      <c r="N389" s="49"/>
      <c r="O389" s="49"/>
      <c r="P389" s="49"/>
      <c r="Q389" s="49"/>
      <c r="R389" s="49"/>
      <c r="S389" s="49" t="n">
        <v>1</v>
      </c>
      <c r="T389" s="49" t="n">
        <v>0</v>
      </c>
      <c r="U389" s="49" t="s">
        <v>1042</v>
      </c>
    </row>
    <row r="390" customFormat="false" ht="15" hidden="false" customHeight="false" outlineLevel="0" collapsed="false">
      <c r="B390" s="48" t="n">
        <v>45085.6721412037</v>
      </c>
      <c r="C390" s="4" t="n">
        <f aca="false">YEAR(B390)</f>
        <v>2023</v>
      </c>
      <c r="D390" s="49" t="s">
        <v>283</v>
      </c>
      <c r="E390" s="49" t="s">
        <v>1043</v>
      </c>
      <c r="F390" s="50" t="n">
        <v>0</v>
      </c>
      <c r="G390" s="49" t="s">
        <v>287</v>
      </c>
      <c r="H390" s="51" t="n">
        <v>0.0041</v>
      </c>
      <c r="I390" s="51" t="n">
        <v>0.2744</v>
      </c>
      <c r="J390" s="51" t="n">
        <v>0.7215</v>
      </c>
      <c r="K390" s="49"/>
      <c r="L390" s="49"/>
      <c r="M390" s="49"/>
      <c r="N390" s="49"/>
      <c r="O390" s="49"/>
      <c r="P390" s="49"/>
      <c r="Q390" s="49"/>
      <c r="R390" s="49"/>
      <c r="S390" s="49" t="n">
        <v>0</v>
      </c>
      <c r="T390" s="49" t="n">
        <v>0</v>
      </c>
      <c r="U390" s="49" t="s">
        <v>1044</v>
      </c>
    </row>
    <row r="391" customFormat="false" ht="15" hidden="false" customHeight="false" outlineLevel="0" collapsed="false">
      <c r="B391" s="48" t="n">
        <v>45086.4802314815</v>
      </c>
      <c r="C391" s="4" t="n">
        <f aca="false">YEAR(B391)</f>
        <v>2023</v>
      </c>
      <c r="D391" s="49" t="s">
        <v>283</v>
      </c>
      <c r="E391" s="49" t="s">
        <v>1045</v>
      </c>
      <c r="F391" s="50" t="n">
        <v>0</v>
      </c>
      <c r="G391" s="49" t="s">
        <v>287</v>
      </c>
      <c r="H391" s="51" t="n">
        <v>0.0159</v>
      </c>
      <c r="I391" s="51" t="n">
        <v>0.1547</v>
      </c>
      <c r="J391" s="51" t="n">
        <v>0.8294</v>
      </c>
      <c r="K391" s="49"/>
      <c r="L391" s="49"/>
      <c r="M391" s="49"/>
      <c r="N391" s="49"/>
      <c r="O391" s="49"/>
      <c r="P391" s="49"/>
      <c r="Q391" s="49"/>
      <c r="R391" s="49"/>
      <c r="S391" s="49" t="n">
        <v>1</v>
      </c>
      <c r="T391" s="49" t="n">
        <v>0</v>
      </c>
      <c r="U391" s="49" t="s">
        <v>1046</v>
      </c>
    </row>
    <row r="392" customFormat="false" ht="15" hidden="false" customHeight="false" outlineLevel="0" collapsed="false">
      <c r="B392" s="48" t="n">
        <v>45087.2158449074</v>
      </c>
      <c r="C392" s="4" t="n">
        <f aca="false">YEAR(B392)</f>
        <v>2023</v>
      </c>
      <c r="D392" s="49" t="s">
        <v>278</v>
      </c>
      <c r="E392" s="49" t="s">
        <v>1047</v>
      </c>
      <c r="F392" s="50" t="n">
        <v>5</v>
      </c>
      <c r="G392" s="49" t="s">
        <v>290</v>
      </c>
      <c r="H392" s="51" t="n">
        <v>0.1979</v>
      </c>
      <c r="I392" s="51" t="n">
        <v>0.6639</v>
      </c>
      <c r="J392" s="51" t="n">
        <v>0.1382</v>
      </c>
      <c r="K392" s="49"/>
      <c r="L392" s="49"/>
      <c r="M392" s="49"/>
      <c r="N392" s="49"/>
      <c r="O392" s="49"/>
      <c r="P392" s="49"/>
      <c r="Q392" s="49"/>
      <c r="R392" s="49"/>
      <c r="S392" s="49" t="n">
        <v>0</v>
      </c>
      <c r="T392" s="49" t="n">
        <v>0</v>
      </c>
      <c r="U392" s="49" t="s">
        <v>1048</v>
      </c>
    </row>
    <row r="393" customFormat="false" ht="15" hidden="false" customHeight="false" outlineLevel="0" collapsed="false">
      <c r="B393" s="48" t="n">
        <v>45088.1839467593</v>
      </c>
      <c r="C393" s="4" t="n">
        <f aca="false">YEAR(B393)</f>
        <v>2023</v>
      </c>
      <c r="D393" s="49" t="s">
        <v>283</v>
      </c>
      <c r="E393" s="49" t="s">
        <v>1011</v>
      </c>
      <c r="F393" s="50" t="n">
        <v>1</v>
      </c>
      <c r="G393" s="49" t="s">
        <v>287</v>
      </c>
      <c r="H393" s="51" t="n">
        <v>0.0054</v>
      </c>
      <c r="I393" s="51" t="n">
        <v>0.0714</v>
      </c>
      <c r="J393" s="51" t="n">
        <v>0.9232</v>
      </c>
      <c r="K393" s="49"/>
      <c r="L393" s="49"/>
      <c r="M393" s="49"/>
      <c r="N393" s="49"/>
      <c r="O393" s="49"/>
      <c r="P393" s="49"/>
      <c r="Q393" s="49"/>
      <c r="R393" s="49"/>
      <c r="S393" s="49" t="n">
        <v>0</v>
      </c>
      <c r="T393" s="49" t="n">
        <v>0</v>
      </c>
      <c r="U393" s="49" t="s">
        <v>1049</v>
      </c>
    </row>
    <row r="394" customFormat="false" ht="15" hidden="false" customHeight="false" outlineLevel="0" collapsed="false">
      <c r="B394" s="48" t="n">
        <v>45088.2367939815</v>
      </c>
      <c r="C394" s="4" t="n">
        <f aca="false">YEAR(B394)</f>
        <v>2023</v>
      </c>
      <c r="D394" s="49" t="s">
        <v>278</v>
      </c>
      <c r="E394" s="49" t="s">
        <v>1050</v>
      </c>
      <c r="F394" s="50" t="n">
        <v>0</v>
      </c>
      <c r="G394" s="49" t="s">
        <v>290</v>
      </c>
      <c r="H394" s="51" t="n">
        <v>0.0205</v>
      </c>
      <c r="I394" s="51" t="n">
        <v>0.7391</v>
      </c>
      <c r="J394" s="51" t="n">
        <v>0.2404</v>
      </c>
      <c r="K394" s="49"/>
      <c r="L394" s="49"/>
      <c r="M394" s="49"/>
      <c r="N394" s="49"/>
      <c r="O394" s="49"/>
      <c r="P394" s="49"/>
      <c r="Q394" s="49"/>
      <c r="R394" s="49"/>
      <c r="S394" s="49" t="n">
        <v>0</v>
      </c>
      <c r="T394" s="49" t="n">
        <v>0</v>
      </c>
      <c r="U394" s="49" t="s">
        <v>1051</v>
      </c>
    </row>
    <row r="395" customFormat="false" ht="15" hidden="false" customHeight="false" outlineLevel="0" collapsed="false">
      <c r="B395" s="48" t="n">
        <v>45088.2410069444</v>
      </c>
      <c r="C395" s="4" t="n">
        <f aca="false">YEAR(B395)</f>
        <v>2023</v>
      </c>
      <c r="D395" s="49" t="s">
        <v>283</v>
      </c>
      <c r="E395" s="49" t="s">
        <v>1052</v>
      </c>
      <c r="F395" s="50" t="n">
        <v>1</v>
      </c>
      <c r="G395" s="49" t="s">
        <v>290</v>
      </c>
      <c r="H395" s="51" t="n">
        <v>0.0774</v>
      </c>
      <c r="I395" s="51" t="n">
        <v>0.8899</v>
      </c>
      <c r="J395" s="51" t="n">
        <v>0.0326</v>
      </c>
      <c r="K395" s="49"/>
      <c r="L395" s="49"/>
      <c r="M395" s="49"/>
      <c r="N395" s="49"/>
      <c r="O395" s="49"/>
      <c r="P395" s="49"/>
      <c r="Q395" s="49"/>
      <c r="R395" s="49"/>
      <c r="S395" s="49" t="n">
        <v>1</v>
      </c>
      <c r="T395" s="49" t="n">
        <v>0</v>
      </c>
      <c r="U395" s="49" t="s">
        <v>1053</v>
      </c>
    </row>
    <row r="396" customFormat="false" ht="15" hidden="false" customHeight="false" outlineLevel="0" collapsed="false">
      <c r="B396" s="48" t="n">
        <v>45089.0540972222</v>
      </c>
      <c r="C396" s="4" t="n">
        <f aca="false">YEAR(B396)</f>
        <v>2023</v>
      </c>
      <c r="D396" s="49" t="s">
        <v>283</v>
      </c>
      <c r="E396" s="49" t="s">
        <v>1054</v>
      </c>
      <c r="F396" s="50" t="n">
        <v>1</v>
      </c>
      <c r="G396" s="49" t="s">
        <v>290</v>
      </c>
      <c r="H396" s="51" t="n">
        <v>0.0145</v>
      </c>
      <c r="I396" s="51" t="n">
        <v>0.8708</v>
      </c>
      <c r="J396" s="51" t="n">
        <v>0.1147</v>
      </c>
      <c r="K396" s="49"/>
      <c r="L396" s="49"/>
      <c r="M396" s="49"/>
      <c r="N396" s="49"/>
      <c r="O396" s="49"/>
      <c r="P396" s="49"/>
      <c r="Q396" s="49"/>
      <c r="R396" s="49"/>
      <c r="S396" s="49" t="n">
        <v>1</v>
      </c>
      <c r="T396" s="49" t="n">
        <v>0</v>
      </c>
      <c r="U396" s="49" t="s">
        <v>1055</v>
      </c>
    </row>
    <row r="397" customFormat="false" ht="15" hidden="false" customHeight="false" outlineLevel="0" collapsed="false">
      <c r="B397" s="48" t="n">
        <v>45089.0591666667</v>
      </c>
      <c r="C397" s="4" t="n">
        <f aca="false">YEAR(B397)</f>
        <v>2023</v>
      </c>
      <c r="D397" s="49" t="s">
        <v>278</v>
      </c>
      <c r="E397" s="49" t="s">
        <v>1056</v>
      </c>
      <c r="F397" s="50" t="n">
        <v>1</v>
      </c>
      <c r="G397" s="49" t="s">
        <v>290</v>
      </c>
      <c r="H397" s="51" t="n">
        <v>0.2568</v>
      </c>
      <c r="I397" s="51" t="n">
        <v>0.6901</v>
      </c>
      <c r="J397" s="51" t="n">
        <v>0.0531</v>
      </c>
      <c r="K397" s="49"/>
      <c r="L397" s="49"/>
      <c r="M397" s="49"/>
      <c r="N397" s="49"/>
      <c r="O397" s="49"/>
      <c r="P397" s="49"/>
      <c r="Q397" s="49"/>
      <c r="R397" s="49"/>
      <c r="S397" s="49" t="n">
        <v>0</v>
      </c>
      <c r="T397" s="49" t="n">
        <v>0</v>
      </c>
      <c r="U397" s="49" t="s">
        <v>1057</v>
      </c>
    </row>
    <row r="398" customFormat="false" ht="15" hidden="false" customHeight="false" outlineLevel="0" collapsed="false">
      <c r="B398" s="48" t="n">
        <v>45090.5300578704</v>
      </c>
      <c r="C398" s="4" t="n">
        <f aca="false">YEAR(B398)</f>
        <v>2023</v>
      </c>
      <c r="D398" s="49" t="s">
        <v>278</v>
      </c>
      <c r="E398" s="49" t="s">
        <v>1058</v>
      </c>
      <c r="F398" s="50" t="n">
        <v>1</v>
      </c>
      <c r="G398" s="49" t="s">
        <v>290</v>
      </c>
      <c r="H398" s="51" t="n">
        <v>0.0227</v>
      </c>
      <c r="I398" s="51" t="n">
        <v>0.9415</v>
      </c>
      <c r="J398" s="51" t="n">
        <v>0.0358</v>
      </c>
      <c r="K398" s="49"/>
      <c r="L398" s="49"/>
      <c r="M398" s="49"/>
      <c r="N398" s="49"/>
      <c r="O398" s="49"/>
      <c r="P398" s="49"/>
      <c r="Q398" s="49"/>
      <c r="R398" s="49" t="s">
        <v>281</v>
      </c>
      <c r="S398" s="49" t="n">
        <v>1</v>
      </c>
      <c r="T398" s="49" t="n">
        <v>0</v>
      </c>
      <c r="U398" s="49" t="s">
        <v>1059</v>
      </c>
    </row>
    <row r="399" customFormat="false" ht="15" hidden="false" customHeight="false" outlineLevel="0" collapsed="false">
      <c r="B399" s="48" t="n">
        <v>45090.6780324074</v>
      </c>
      <c r="C399" s="4" t="n">
        <f aca="false">YEAR(B399)</f>
        <v>2023</v>
      </c>
      <c r="D399" s="49" t="s">
        <v>278</v>
      </c>
      <c r="E399" s="49" t="s">
        <v>1060</v>
      </c>
      <c r="F399" s="50" t="n">
        <v>47</v>
      </c>
      <c r="G399" s="49" t="s">
        <v>290</v>
      </c>
      <c r="H399" s="51" t="n">
        <v>0.2229</v>
      </c>
      <c r="I399" s="51" t="n">
        <v>0.7485</v>
      </c>
      <c r="J399" s="51" t="n">
        <v>0.0286</v>
      </c>
      <c r="K399" s="49"/>
      <c r="L399" s="49"/>
      <c r="M399" s="49"/>
      <c r="N399" s="49"/>
      <c r="O399" s="49"/>
      <c r="P399" s="49"/>
      <c r="Q399" s="49"/>
      <c r="R399" s="49" t="s">
        <v>281</v>
      </c>
      <c r="S399" s="49" t="n">
        <v>0</v>
      </c>
      <c r="T399" s="49" t="n">
        <v>0</v>
      </c>
      <c r="U399" s="49" t="s">
        <v>1061</v>
      </c>
    </row>
    <row r="400" customFormat="false" ht="15" hidden="false" customHeight="false" outlineLevel="0" collapsed="false">
      <c r="B400" s="48" t="n">
        <v>45091.5690162037</v>
      </c>
      <c r="C400" s="4" t="n">
        <f aca="false">YEAR(B400)</f>
        <v>2023</v>
      </c>
      <c r="D400" s="49" t="s">
        <v>283</v>
      </c>
      <c r="E400" s="49" t="s">
        <v>1062</v>
      </c>
      <c r="F400" s="50" t="n">
        <v>43</v>
      </c>
      <c r="G400" s="49" t="s">
        <v>287</v>
      </c>
      <c r="H400" s="51" t="n">
        <v>0.005</v>
      </c>
      <c r="I400" s="51" t="n">
        <v>0.0894</v>
      </c>
      <c r="J400" s="51" t="n">
        <v>0.9056</v>
      </c>
      <c r="K400" s="49"/>
      <c r="L400" s="49"/>
      <c r="M400" s="49"/>
      <c r="N400" s="49"/>
      <c r="O400" s="49"/>
      <c r="P400" s="49"/>
      <c r="Q400" s="49"/>
      <c r="R400" s="49"/>
      <c r="S400" s="49" t="n">
        <v>0</v>
      </c>
      <c r="T400" s="49" t="n">
        <v>0</v>
      </c>
      <c r="U400" s="49" t="s">
        <v>1063</v>
      </c>
    </row>
    <row r="401" customFormat="false" ht="15" hidden="false" customHeight="false" outlineLevel="0" collapsed="false">
      <c r="B401" s="48" t="n">
        <v>45092.1587731482</v>
      </c>
      <c r="C401" s="4" t="n">
        <f aca="false">YEAR(B401)</f>
        <v>2023</v>
      </c>
      <c r="D401" s="49" t="s">
        <v>283</v>
      </c>
      <c r="E401" s="49" t="s">
        <v>1064</v>
      </c>
      <c r="F401" s="50" t="n">
        <v>1</v>
      </c>
      <c r="G401" s="49" t="s">
        <v>290</v>
      </c>
      <c r="H401" s="51" t="n">
        <v>0.0313</v>
      </c>
      <c r="I401" s="51" t="n">
        <v>0.8746</v>
      </c>
      <c r="J401" s="51" t="n">
        <v>0.094</v>
      </c>
      <c r="K401" s="49"/>
      <c r="L401" s="49"/>
      <c r="M401" s="49"/>
      <c r="N401" s="49"/>
      <c r="O401" s="49"/>
      <c r="P401" s="49"/>
      <c r="Q401" s="49"/>
      <c r="R401" s="49"/>
      <c r="S401" s="49" t="n">
        <v>1</v>
      </c>
      <c r="T401" s="49" t="n">
        <v>0</v>
      </c>
      <c r="U401" s="49" t="s">
        <v>1065</v>
      </c>
    </row>
    <row r="402" customFormat="false" ht="15" hidden="false" customHeight="false" outlineLevel="0" collapsed="false">
      <c r="B402" s="48" t="n">
        <v>45092.4749421296</v>
      </c>
      <c r="C402" s="4" t="n">
        <f aca="false">YEAR(B402)</f>
        <v>2023</v>
      </c>
      <c r="D402" s="49" t="s">
        <v>283</v>
      </c>
      <c r="E402" s="49" t="s">
        <v>1066</v>
      </c>
      <c r="F402" s="50" t="n">
        <v>5</v>
      </c>
      <c r="G402" s="49" t="s">
        <v>280</v>
      </c>
      <c r="H402" s="51" t="n">
        <v>0.5678</v>
      </c>
      <c r="I402" s="51" t="n">
        <v>0.4142</v>
      </c>
      <c r="J402" s="51" t="n">
        <v>0.018</v>
      </c>
      <c r="K402" s="49"/>
      <c r="L402" s="49"/>
      <c r="M402" s="49"/>
      <c r="N402" s="49"/>
      <c r="O402" s="49"/>
      <c r="P402" s="49"/>
      <c r="Q402" s="49"/>
      <c r="R402" s="49"/>
      <c r="S402" s="49" t="n">
        <v>1</v>
      </c>
      <c r="T402" s="49" t="n">
        <v>0</v>
      </c>
      <c r="U402" s="49" t="s">
        <v>1067</v>
      </c>
    </row>
    <row r="403" customFormat="false" ht="15" hidden="false" customHeight="false" outlineLevel="0" collapsed="false">
      <c r="B403" s="48" t="n">
        <v>45093.7380671296</v>
      </c>
      <c r="C403" s="4" t="n">
        <f aca="false">YEAR(B403)</f>
        <v>2023</v>
      </c>
      <c r="D403" s="49" t="s">
        <v>283</v>
      </c>
      <c r="E403" s="49" t="s">
        <v>1068</v>
      </c>
      <c r="F403" s="50" t="n">
        <v>0</v>
      </c>
      <c r="G403" s="49" t="s">
        <v>290</v>
      </c>
      <c r="H403" s="51" t="n">
        <v>0.0085</v>
      </c>
      <c r="I403" s="51" t="n">
        <v>0.8113</v>
      </c>
      <c r="J403" s="51" t="n">
        <v>0.1802</v>
      </c>
      <c r="K403" s="49"/>
      <c r="L403" s="49"/>
      <c r="M403" s="49"/>
      <c r="N403" s="49"/>
      <c r="O403" s="49"/>
      <c r="P403" s="49"/>
      <c r="Q403" s="49"/>
      <c r="R403" s="49"/>
      <c r="S403" s="49" t="n">
        <v>1</v>
      </c>
      <c r="T403" s="49" t="n">
        <v>0</v>
      </c>
      <c r="U403" s="49" t="s">
        <v>1069</v>
      </c>
    </row>
    <row r="404" customFormat="false" ht="15" hidden="false" customHeight="false" outlineLevel="0" collapsed="false">
      <c r="B404" s="48" t="n">
        <v>45094.2180555556</v>
      </c>
      <c r="C404" s="4" t="n">
        <f aca="false">YEAR(B404)</f>
        <v>2023</v>
      </c>
      <c r="D404" s="49" t="s">
        <v>278</v>
      </c>
      <c r="E404" s="49" t="s">
        <v>1070</v>
      </c>
      <c r="F404" s="50" t="n">
        <v>9</v>
      </c>
      <c r="G404" s="49" t="s">
        <v>280</v>
      </c>
      <c r="H404" s="51" t="n">
        <v>0.65</v>
      </c>
      <c r="I404" s="51" t="n">
        <v>0.3161</v>
      </c>
      <c r="J404" s="51" t="n">
        <v>0.0339</v>
      </c>
      <c r="K404" s="49"/>
      <c r="L404" s="49"/>
      <c r="M404" s="49"/>
      <c r="N404" s="49"/>
      <c r="O404" s="49"/>
      <c r="P404" s="49"/>
      <c r="Q404" s="49"/>
      <c r="R404" s="49"/>
      <c r="S404" s="49" t="n">
        <v>0</v>
      </c>
      <c r="T404" s="49" t="n">
        <v>0</v>
      </c>
      <c r="U404" s="49" t="s">
        <v>1071</v>
      </c>
    </row>
    <row r="405" customFormat="false" ht="15" hidden="false" customHeight="false" outlineLevel="0" collapsed="false">
      <c r="B405" s="48" t="n">
        <v>45094.28375</v>
      </c>
      <c r="C405" s="4" t="n">
        <f aca="false">YEAR(B405)</f>
        <v>2023</v>
      </c>
      <c r="D405" s="49" t="s">
        <v>283</v>
      </c>
      <c r="E405" s="49" t="s">
        <v>1072</v>
      </c>
      <c r="F405" s="50" t="n">
        <v>1</v>
      </c>
      <c r="G405" s="49" t="s">
        <v>290</v>
      </c>
      <c r="H405" s="51" t="n">
        <v>0.004</v>
      </c>
      <c r="I405" s="51" t="n">
        <v>0.8673</v>
      </c>
      <c r="J405" s="51" t="n">
        <v>0.1286</v>
      </c>
      <c r="K405" s="49"/>
      <c r="L405" s="49"/>
      <c r="M405" s="49"/>
      <c r="N405" s="49"/>
      <c r="O405" s="49"/>
      <c r="P405" s="49"/>
      <c r="Q405" s="49"/>
      <c r="R405" s="49"/>
      <c r="S405" s="49" t="n">
        <v>0</v>
      </c>
      <c r="T405" s="49" t="n">
        <v>0</v>
      </c>
      <c r="U405" s="49" t="s">
        <v>1073</v>
      </c>
    </row>
    <row r="406" customFormat="false" ht="15" hidden="false" customHeight="false" outlineLevel="0" collapsed="false">
      <c r="B406" s="48" t="n">
        <v>45094.8858564815</v>
      </c>
      <c r="C406" s="4" t="n">
        <f aca="false">YEAR(B406)</f>
        <v>2023</v>
      </c>
      <c r="D406" s="49" t="s">
        <v>278</v>
      </c>
      <c r="E406" s="49" t="s">
        <v>1074</v>
      </c>
      <c r="F406" s="50" t="n">
        <v>4</v>
      </c>
      <c r="G406" s="49" t="s">
        <v>280</v>
      </c>
      <c r="H406" s="51" t="n">
        <v>0.5839</v>
      </c>
      <c r="I406" s="51" t="n">
        <v>0.277</v>
      </c>
      <c r="J406" s="51" t="n">
        <v>0.139</v>
      </c>
      <c r="K406" s="49" t="s">
        <v>281</v>
      </c>
      <c r="L406" s="49"/>
      <c r="M406" s="49"/>
      <c r="N406" s="49"/>
      <c r="O406" s="49"/>
      <c r="P406" s="49"/>
      <c r="Q406" s="49"/>
      <c r="R406" s="49"/>
      <c r="S406" s="49" t="n">
        <v>0</v>
      </c>
      <c r="T406" s="49" t="n">
        <v>0</v>
      </c>
      <c r="U406" s="49" t="s">
        <v>1075</v>
      </c>
    </row>
    <row r="407" customFormat="false" ht="15" hidden="false" customHeight="false" outlineLevel="0" collapsed="false">
      <c r="B407" s="48" t="n">
        <v>45095.5320023148</v>
      </c>
      <c r="C407" s="4" t="n">
        <f aca="false">YEAR(B407)</f>
        <v>2023</v>
      </c>
      <c r="D407" s="49" t="s">
        <v>283</v>
      </c>
      <c r="E407" s="49" t="s">
        <v>1076</v>
      </c>
      <c r="F407" s="50" t="n">
        <v>1</v>
      </c>
      <c r="G407" s="49" t="s">
        <v>280</v>
      </c>
      <c r="H407" s="51" t="n">
        <v>0.6595</v>
      </c>
      <c r="I407" s="51" t="n">
        <v>0.3308</v>
      </c>
      <c r="J407" s="51" t="n">
        <v>0.0097</v>
      </c>
      <c r="K407" s="49"/>
      <c r="L407" s="49"/>
      <c r="M407" s="49"/>
      <c r="N407" s="49"/>
      <c r="O407" s="49"/>
      <c r="P407" s="49"/>
      <c r="Q407" s="49"/>
      <c r="R407" s="49" t="s">
        <v>281</v>
      </c>
      <c r="S407" s="49" t="n">
        <v>1</v>
      </c>
      <c r="T407" s="49" t="n">
        <v>0</v>
      </c>
      <c r="U407" s="49" t="s">
        <v>1077</v>
      </c>
    </row>
    <row r="408" customFormat="false" ht="15" hidden="false" customHeight="false" outlineLevel="0" collapsed="false">
      <c r="B408" s="48" t="n">
        <v>45096.0923148148</v>
      </c>
      <c r="C408" s="4" t="n">
        <f aca="false">YEAR(B408)</f>
        <v>2023</v>
      </c>
      <c r="D408" s="49" t="s">
        <v>283</v>
      </c>
      <c r="E408" s="49" t="s">
        <v>1078</v>
      </c>
      <c r="F408" s="50" t="n">
        <v>1</v>
      </c>
      <c r="G408" s="49" t="s">
        <v>290</v>
      </c>
      <c r="H408" s="51" t="n">
        <v>0.161</v>
      </c>
      <c r="I408" s="51" t="n">
        <v>0.7077</v>
      </c>
      <c r="J408" s="51" t="n">
        <v>0.1313</v>
      </c>
      <c r="K408" s="49"/>
      <c r="L408" s="49"/>
      <c r="M408" s="49"/>
      <c r="N408" s="49"/>
      <c r="O408" s="49"/>
      <c r="P408" s="49"/>
      <c r="Q408" s="49"/>
      <c r="R408" s="49"/>
      <c r="S408" s="49" t="n">
        <v>0</v>
      </c>
      <c r="T408" s="49" t="n">
        <v>0</v>
      </c>
      <c r="U408" s="49" t="s">
        <v>1079</v>
      </c>
    </row>
    <row r="409" customFormat="false" ht="15" hidden="false" customHeight="false" outlineLevel="0" collapsed="false">
      <c r="B409" s="48" t="n">
        <v>45096.566875</v>
      </c>
      <c r="C409" s="4" t="n">
        <f aca="false">YEAR(B409)</f>
        <v>2023</v>
      </c>
      <c r="D409" s="49" t="s">
        <v>283</v>
      </c>
      <c r="E409" s="49" t="s">
        <v>1080</v>
      </c>
      <c r="F409" s="50" t="n">
        <v>1</v>
      </c>
      <c r="G409" s="49" t="s">
        <v>290</v>
      </c>
      <c r="H409" s="51" t="n">
        <v>0.0449</v>
      </c>
      <c r="I409" s="51" t="n">
        <v>0.797</v>
      </c>
      <c r="J409" s="51" t="n">
        <v>0.1581</v>
      </c>
      <c r="K409" s="49"/>
      <c r="L409" s="49"/>
      <c r="M409" s="49"/>
      <c r="N409" s="49"/>
      <c r="O409" s="49"/>
      <c r="P409" s="49"/>
      <c r="Q409" s="49"/>
      <c r="R409" s="49"/>
      <c r="S409" s="49" t="n">
        <v>1</v>
      </c>
      <c r="T409" s="49" t="n">
        <v>0</v>
      </c>
      <c r="U409" s="49" t="s">
        <v>1081</v>
      </c>
    </row>
    <row r="410" customFormat="false" ht="15" hidden="false" customHeight="false" outlineLevel="0" collapsed="false">
      <c r="B410" s="48" t="n">
        <v>45096.6010532407</v>
      </c>
      <c r="C410" s="4" t="n">
        <f aca="false">YEAR(B410)</f>
        <v>2023</v>
      </c>
      <c r="D410" s="49" t="s">
        <v>283</v>
      </c>
      <c r="E410" s="49" t="s">
        <v>1082</v>
      </c>
      <c r="F410" s="50" t="n">
        <v>1</v>
      </c>
      <c r="G410" s="49" t="s">
        <v>290</v>
      </c>
      <c r="H410" s="51" t="n">
        <v>0.0098</v>
      </c>
      <c r="I410" s="51" t="n">
        <v>0.6846</v>
      </c>
      <c r="J410" s="51" t="n">
        <v>0.3057</v>
      </c>
      <c r="K410" s="49"/>
      <c r="L410" s="49"/>
      <c r="M410" s="49"/>
      <c r="N410" s="49"/>
      <c r="O410" s="49"/>
      <c r="P410" s="49"/>
      <c r="Q410" s="49"/>
      <c r="R410" s="49"/>
      <c r="S410" s="49" t="n">
        <v>1</v>
      </c>
      <c r="T410" s="49" t="n">
        <v>0</v>
      </c>
      <c r="U410" s="49" t="s">
        <v>1083</v>
      </c>
    </row>
    <row r="411" customFormat="false" ht="15" hidden="false" customHeight="false" outlineLevel="0" collapsed="false">
      <c r="B411" s="48" t="n">
        <v>45097.3924884259</v>
      </c>
      <c r="C411" s="4" t="n">
        <f aca="false">YEAR(B411)</f>
        <v>2023</v>
      </c>
      <c r="D411" s="49" t="s">
        <v>278</v>
      </c>
      <c r="E411" s="49" t="s">
        <v>1084</v>
      </c>
      <c r="F411" s="50" t="n">
        <v>17</v>
      </c>
      <c r="G411" s="49" t="s">
        <v>290</v>
      </c>
      <c r="H411" s="51" t="n">
        <v>0.4535</v>
      </c>
      <c r="I411" s="51" t="n">
        <v>0.5325</v>
      </c>
      <c r="J411" s="51" t="n">
        <v>0.014</v>
      </c>
      <c r="K411" s="49"/>
      <c r="L411" s="49"/>
      <c r="M411" s="49"/>
      <c r="N411" s="49"/>
      <c r="O411" s="49"/>
      <c r="P411" s="49"/>
      <c r="Q411" s="49"/>
      <c r="R411" s="49"/>
      <c r="S411" s="49" t="n">
        <v>1</v>
      </c>
      <c r="T411" s="49" t="n">
        <v>0</v>
      </c>
      <c r="U411" s="49" t="s">
        <v>1085</v>
      </c>
    </row>
    <row r="412" customFormat="false" ht="15" hidden="false" customHeight="false" outlineLevel="0" collapsed="false">
      <c r="B412" s="48" t="n">
        <v>45097.4636921296</v>
      </c>
      <c r="C412" s="4" t="n">
        <f aca="false">YEAR(B412)</f>
        <v>2023</v>
      </c>
      <c r="D412" s="49" t="s">
        <v>283</v>
      </c>
      <c r="E412" s="49" t="s">
        <v>1086</v>
      </c>
      <c r="F412" s="50" t="n">
        <v>1</v>
      </c>
      <c r="G412" s="49" t="s">
        <v>280</v>
      </c>
      <c r="H412" s="51" t="n">
        <v>0.7483</v>
      </c>
      <c r="I412" s="51" t="n">
        <v>0.2377</v>
      </c>
      <c r="J412" s="51" t="n">
        <v>0.014</v>
      </c>
      <c r="K412" s="49"/>
      <c r="L412" s="49"/>
      <c r="M412" s="49"/>
      <c r="N412" s="49"/>
      <c r="O412" s="49"/>
      <c r="P412" s="49"/>
      <c r="Q412" s="49"/>
      <c r="R412" s="49"/>
      <c r="S412" s="49" t="n">
        <v>1</v>
      </c>
      <c r="T412" s="49" t="n">
        <v>0</v>
      </c>
      <c r="U412" s="49" t="s">
        <v>1087</v>
      </c>
    </row>
    <row r="413" customFormat="false" ht="15" hidden="false" customHeight="false" outlineLevel="0" collapsed="false">
      <c r="B413" s="48" t="n">
        <v>45097.8145601852</v>
      </c>
      <c r="C413" s="4" t="n">
        <f aca="false">YEAR(B413)</f>
        <v>2023</v>
      </c>
      <c r="D413" s="49" t="s">
        <v>278</v>
      </c>
      <c r="E413" s="49" t="s">
        <v>1088</v>
      </c>
      <c r="F413" s="50" t="n">
        <v>0</v>
      </c>
      <c r="G413" s="49" t="s">
        <v>280</v>
      </c>
      <c r="H413" s="51" t="n">
        <v>0.5869</v>
      </c>
      <c r="I413" s="51" t="n">
        <v>0.3937</v>
      </c>
      <c r="J413" s="51" t="n">
        <v>0.0194</v>
      </c>
      <c r="K413" s="49"/>
      <c r="L413" s="49"/>
      <c r="M413" s="49"/>
      <c r="N413" s="49"/>
      <c r="O413" s="49"/>
      <c r="P413" s="49"/>
      <c r="Q413" s="49"/>
      <c r="R413" s="49" t="s">
        <v>281</v>
      </c>
      <c r="S413" s="49" t="n">
        <v>0</v>
      </c>
      <c r="T413" s="49" t="n">
        <v>0</v>
      </c>
      <c r="U413" s="49" t="s">
        <v>1089</v>
      </c>
    </row>
    <row r="414" customFormat="false" ht="15" hidden="false" customHeight="false" outlineLevel="0" collapsed="false">
      <c r="B414" s="48" t="n">
        <v>45098.759224537</v>
      </c>
      <c r="C414" s="4" t="n">
        <f aca="false">YEAR(B414)</f>
        <v>2023</v>
      </c>
      <c r="D414" s="49" t="s">
        <v>283</v>
      </c>
      <c r="E414" s="49" t="s">
        <v>1090</v>
      </c>
      <c r="F414" s="50" t="n">
        <v>1</v>
      </c>
      <c r="G414" s="49" t="s">
        <v>280</v>
      </c>
      <c r="H414" s="51" t="n">
        <v>0.7478</v>
      </c>
      <c r="I414" s="51" t="n">
        <v>0.2416</v>
      </c>
      <c r="J414" s="51" t="n">
        <v>0.0106</v>
      </c>
      <c r="K414" s="49"/>
      <c r="L414" s="49"/>
      <c r="M414" s="49"/>
      <c r="N414" s="49"/>
      <c r="O414" s="49"/>
      <c r="P414" s="49"/>
      <c r="Q414" s="49"/>
      <c r="R414" s="49"/>
      <c r="S414" s="49" t="n">
        <v>1</v>
      </c>
      <c r="T414" s="49" t="n">
        <v>0</v>
      </c>
      <c r="U414" s="49" t="s">
        <v>1091</v>
      </c>
    </row>
    <row r="415" customFormat="false" ht="15" hidden="false" customHeight="false" outlineLevel="0" collapsed="false">
      <c r="B415" s="48" t="n">
        <v>45099.3147106482</v>
      </c>
      <c r="C415" s="4" t="n">
        <f aca="false">YEAR(B415)</f>
        <v>2023</v>
      </c>
      <c r="D415" s="49" t="s">
        <v>283</v>
      </c>
      <c r="E415" s="49" t="s">
        <v>1092</v>
      </c>
      <c r="F415" s="50" t="n">
        <v>7</v>
      </c>
      <c r="G415" s="49" t="s">
        <v>290</v>
      </c>
      <c r="H415" s="51" t="n">
        <v>0.1032</v>
      </c>
      <c r="I415" s="51" t="n">
        <v>0.8701</v>
      </c>
      <c r="J415" s="51" t="n">
        <v>0.0266</v>
      </c>
      <c r="K415" s="49"/>
      <c r="L415" s="49"/>
      <c r="M415" s="49"/>
      <c r="N415" s="49"/>
      <c r="O415" s="49"/>
      <c r="P415" s="49"/>
      <c r="Q415" s="49"/>
      <c r="R415" s="49" t="s">
        <v>281</v>
      </c>
      <c r="S415" s="49" t="n">
        <v>0</v>
      </c>
      <c r="T415" s="49" t="n">
        <v>0</v>
      </c>
      <c r="U415" s="49" t="s">
        <v>1093</v>
      </c>
    </row>
    <row r="416" customFormat="false" ht="15" hidden="false" customHeight="false" outlineLevel="0" collapsed="false">
      <c r="B416" s="48" t="n">
        <v>45100.2713425926</v>
      </c>
      <c r="C416" s="4" t="n">
        <f aca="false">YEAR(B416)</f>
        <v>2023</v>
      </c>
      <c r="D416" s="49" t="s">
        <v>283</v>
      </c>
      <c r="E416" s="49" t="s">
        <v>1094</v>
      </c>
      <c r="F416" s="50" t="n">
        <v>1</v>
      </c>
      <c r="G416" s="49" t="s">
        <v>290</v>
      </c>
      <c r="H416" s="51" t="n">
        <v>0.0113</v>
      </c>
      <c r="I416" s="51" t="n">
        <v>0.8267</v>
      </c>
      <c r="J416" s="51" t="n">
        <v>0.162</v>
      </c>
      <c r="K416" s="49"/>
      <c r="L416" s="49"/>
      <c r="M416" s="49"/>
      <c r="N416" s="49"/>
      <c r="O416" s="49"/>
      <c r="P416" s="49"/>
      <c r="Q416" s="49"/>
      <c r="R416" s="49"/>
      <c r="S416" s="49" t="n">
        <v>0</v>
      </c>
      <c r="T416" s="49" t="n">
        <v>0</v>
      </c>
      <c r="U416" s="49" t="s">
        <v>1095</v>
      </c>
    </row>
    <row r="417" customFormat="false" ht="15" hidden="false" customHeight="false" outlineLevel="0" collapsed="false">
      <c r="B417" s="48" t="n">
        <v>45100.4677083333</v>
      </c>
      <c r="C417" s="4" t="n">
        <f aca="false">YEAR(B417)</f>
        <v>2023</v>
      </c>
      <c r="D417" s="49" t="s">
        <v>283</v>
      </c>
      <c r="E417" s="49" t="s">
        <v>1096</v>
      </c>
      <c r="F417" s="50" t="n">
        <v>0</v>
      </c>
      <c r="G417" s="49" t="s">
        <v>290</v>
      </c>
      <c r="H417" s="51" t="n">
        <v>0.018</v>
      </c>
      <c r="I417" s="51" t="n">
        <v>0.9551</v>
      </c>
      <c r="J417" s="51" t="n">
        <v>0.0269</v>
      </c>
      <c r="K417" s="49"/>
      <c r="L417" s="49"/>
      <c r="M417" s="49"/>
      <c r="N417" s="49"/>
      <c r="O417" s="49"/>
      <c r="P417" s="49"/>
      <c r="Q417" s="49"/>
      <c r="R417" s="49"/>
      <c r="S417" s="49" t="n">
        <v>1</v>
      </c>
      <c r="T417" s="49" t="n">
        <v>0</v>
      </c>
      <c r="U417" s="49" t="s">
        <v>1097</v>
      </c>
    </row>
    <row r="418" customFormat="false" ht="15" hidden="false" customHeight="false" outlineLevel="0" collapsed="false">
      <c r="B418" s="48" t="n">
        <v>45100.6052662037</v>
      </c>
      <c r="C418" s="4" t="n">
        <f aca="false">YEAR(B418)</f>
        <v>2023</v>
      </c>
      <c r="D418" s="49" t="s">
        <v>283</v>
      </c>
      <c r="E418" s="49" t="s">
        <v>1098</v>
      </c>
      <c r="F418" s="50" t="n">
        <v>2</v>
      </c>
      <c r="G418" s="49" t="s">
        <v>287</v>
      </c>
      <c r="H418" s="51" t="n">
        <v>0.0055</v>
      </c>
      <c r="I418" s="51" t="n">
        <v>0.1051</v>
      </c>
      <c r="J418" s="51" t="n">
        <v>0.8894</v>
      </c>
      <c r="K418" s="49"/>
      <c r="L418" s="49"/>
      <c r="M418" s="49"/>
      <c r="N418" s="49"/>
      <c r="O418" s="49"/>
      <c r="P418" s="49"/>
      <c r="Q418" s="49"/>
      <c r="R418" s="49"/>
      <c r="S418" s="49" t="n">
        <v>1</v>
      </c>
      <c r="T418" s="49" t="n">
        <v>0</v>
      </c>
      <c r="U418" s="49" t="s">
        <v>1099</v>
      </c>
    </row>
    <row r="419" customFormat="false" ht="15" hidden="false" customHeight="false" outlineLevel="0" collapsed="false">
      <c r="B419" s="48" t="n">
        <v>45100.6167824074</v>
      </c>
      <c r="C419" s="4" t="n">
        <f aca="false">YEAR(B419)</f>
        <v>2023</v>
      </c>
      <c r="D419" s="49" t="s">
        <v>283</v>
      </c>
      <c r="E419" s="49" t="s">
        <v>1100</v>
      </c>
      <c r="F419" s="50" t="n">
        <v>1</v>
      </c>
      <c r="G419" s="49" t="s">
        <v>290</v>
      </c>
      <c r="H419" s="51" t="n">
        <v>0.0134</v>
      </c>
      <c r="I419" s="51" t="n">
        <v>0.9041</v>
      </c>
      <c r="J419" s="51" t="n">
        <v>0.0825</v>
      </c>
      <c r="K419" s="49"/>
      <c r="L419" s="49"/>
      <c r="M419" s="49"/>
      <c r="N419" s="49"/>
      <c r="O419" s="49"/>
      <c r="P419" s="49"/>
      <c r="Q419" s="49"/>
      <c r="R419" s="49"/>
      <c r="S419" s="49" t="n">
        <v>1</v>
      </c>
      <c r="T419" s="49" t="n">
        <v>0</v>
      </c>
      <c r="U419" s="49" t="s">
        <v>1101</v>
      </c>
    </row>
    <row r="420" customFormat="false" ht="15" hidden="false" customHeight="false" outlineLevel="0" collapsed="false">
      <c r="B420" s="48" t="n">
        <v>45100.8646759259</v>
      </c>
      <c r="C420" s="4" t="n">
        <f aca="false">YEAR(B420)</f>
        <v>2023</v>
      </c>
      <c r="D420" s="49" t="s">
        <v>283</v>
      </c>
      <c r="E420" s="49" t="s">
        <v>1102</v>
      </c>
      <c r="F420" s="50" t="n">
        <v>1</v>
      </c>
      <c r="G420" s="49" t="s">
        <v>290</v>
      </c>
      <c r="H420" s="51" t="n">
        <v>0.0078</v>
      </c>
      <c r="I420" s="51" t="n">
        <v>0.9471</v>
      </c>
      <c r="J420" s="51" t="n">
        <v>0.0451</v>
      </c>
      <c r="K420" s="49"/>
      <c r="L420" s="49"/>
      <c r="M420" s="49"/>
      <c r="N420" s="49"/>
      <c r="O420" s="49"/>
      <c r="P420" s="49"/>
      <c r="Q420" s="49"/>
      <c r="R420" s="49"/>
      <c r="S420" s="49" t="n">
        <v>1</v>
      </c>
      <c r="T420" s="49" t="n">
        <v>0</v>
      </c>
      <c r="U420" s="49" t="s">
        <v>1103</v>
      </c>
    </row>
    <row r="421" customFormat="false" ht="15" hidden="false" customHeight="false" outlineLevel="0" collapsed="false">
      <c r="B421" s="48" t="n">
        <v>45101.3792824074</v>
      </c>
      <c r="C421" s="4" t="n">
        <f aca="false">YEAR(B421)</f>
        <v>2023</v>
      </c>
      <c r="D421" s="49" t="s">
        <v>283</v>
      </c>
      <c r="E421" s="49" t="s">
        <v>1104</v>
      </c>
      <c r="F421" s="50" t="n">
        <v>1</v>
      </c>
      <c r="G421" s="49" t="s">
        <v>287</v>
      </c>
      <c r="H421" s="51" t="n">
        <v>0.002</v>
      </c>
      <c r="I421" s="51" t="n">
        <v>0.0182</v>
      </c>
      <c r="J421" s="51" t="n">
        <v>0.9798</v>
      </c>
      <c r="K421" s="49"/>
      <c r="L421" s="49"/>
      <c r="M421" s="49"/>
      <c r="N421" s="49"/>
      <c r="O421" s="49"/>
      <c r="P421" s="49"/>
      <c r="Q421" s="49"/>
      <c r="R421" s="49"/>
      <c r="S421" s="49" t="n">
        <v>1</v>
      </c>
      <c r="T421" s="49" t="n">
        <v>0</v>
      </c>
      <c r="U421" s="49" t="s">
        <v>1105</v>
      </c>
    </row>
    <row r="422" customFormat="false" ht="15" hidden="false" customHeight="false" outlineLevel="0" collapsed="false">
      <c r="B422" s="48" t="n">
        <v>45101.3805787037</v>
      </c>
      <c r="C422" s="4" t="n">
        <f aca="false">YEAR(B422)</f>
        <v>2023</v>
      </c>
      <c r="D422" s="49" t="s">
        <v>283</v>
      </c>
      <c r="E422" s="49" t="s">
        <v>1106</v>
      </c>
      <c r="F422" s="50" t="n">
        <v>1</v>
      </c>
      <c r="G422" s="49" t="s">
        <v>287</v>
      </c>
      <c r="H422" s="51" t="n">
        <v>0.0017</v>
      </c>
      <c r="I422" s="51" t="n">
        <v>0.0112</v>
      </c>
      <c r="J422" s="51" t="n">
        <v>0.9871</v>
      </c>
      <c r="K422" s="49"/>
      <c r="L422" s="49"/>
      <c r="M422" s="49"/>
      <c r="N422" s="49"/>
      <c r="O422" s="49"/>
      <c r="P422" s="49"/>
      <c r="Q422" s="49"/>
      <c r="R422" s="49"/>
      <c r="S422" s="49" t="n">
        <v>0</v>
      </c>
      <c r="T422" s="49" t="n">
        <v>0</v>
      </c>
      <c r="U422" s="49" t="s">
        <v>1107</v>
      </c>
    </row>
    <row r="423" customFormat="false" ht="15" hidden="false" customHeight="false" outlineLevel="0" collapsed="false">
      <c r="B423" s="48" t="n">
        <v>45101.43125</v>
      </c>
      <c r="C423" s="4" t="n">
        <f aca="false">YEAR(B423)</f>
        <v>2023</v>
      </c>
      <c r="D423" s="49" t="s">
        <v>283</v>
      </c>
      <c r="E423" s="49" t="s">
        <v>1108</v>
      </c>
      <c r="F423" s="50" t="n">
        <v>14</v>
      </c>
      <c r="G423" s="49" t="s">
        <v>290</v>
      </c>
      <c r="H423" s="51" t="n">
        <v>0.1015</v>
      </c>
      <c r="I423" s="51" t="n">
        <v>0.8812</v>
      </c>
      <c r="J423" s="51" t="n">
        <v>0.0173</v>
      </c>
      <c r="K423" s="49"/>
      <c r="L423" s="49"/>
      <c r="M423" s="49"/>
      <c r="N423" s="49"/>
      <c r="O423" s="49"/>
      <c r="P423" s="49"/>
      <c r="Q423" s="49"/>
      <c r="R423" s="49"/>
      <c r="S423" s="49" t="n">
        <v>1</v>
      </c>
      <c r="T423" s="49" t="n">
        <v>0</v>
      </c>
      <c r="U423" s="49" t="s">
        <v>1109</v>
      </c>
    </row>
    <row r="424" customFormat="false" ht="15" hidden="false" customHeight="false" outlineLevel="0" collapsed="false">
      <c r="B424" s="48" t="n">
        <v>45101.9468402778</v>
      </c>
      <c r="C424" s="4" t="n">
        <f aca="false">YEAR(B424)</f>
        <v>2023</v>
      </c>
      <c r="D424" s="49" t="s">
        <v>283</v>
      </c>
      <c r="E424" s="49" t="s">
        <v>1110</v>
      </c>
      <c r="F424" s="50" t="n">
        <v>3</v>
      </c>
      <c r="G424" s="49" t="s">
        <v>287</v>
      </c>
      <c r="H424" s="51" t="n">
        <v>0.0026</v>
      </c>
      <c r="I424" s="51" t="n">
        <v>0.0236</v>
      </c>
      <c r="J424" s="51" t="n">
        <v>0.9738</v>
      </c>
      <c r="K424" s="49"/>
      <c r="L424" s="49"/>
      <c r="M424" s="49"/>
      <c r="N424" s="49"/>
      <c r="O424" s="49"/>
      <c r="P424" s="49"/>
      <c r="Q424" s="49"/>
      <c r="R424" s="49"/>
      <c r="S424" s="49" t="n">
        <v>0</v>
      </c>
      <c r="T424" s="49" t="n">
        <v>0</v>
      </c>
      <c r="U424" s="49" t="s">
        <v>1111</v>
      </c>
    </row>
    <row r="425" customFormat="false" ht="15" hidden="false" customHeight="false" outlineLevel="0" collapsed="false">
      <c r="B425" s="48" t="n">
        <v>45102.1878587963</v>
      </c>
      <c r="C425" s="4" t="n">
        <f aca="false">YEAR(B425)</f>
        <v>2023</v>
      </c>
      <c r="D425" s="49" t="s">
        <v>283</v>
      </c>
      <c r="E425" s="49" t="s">
        <v>1112</v>
      </c>
      <c r="F425" s="50" t="n">
        <v>9</v>
      </c>
      <c r="G425" s="49" t="s">
        <v>290</v>
      </c>
      <c r="H425" s="51" t="n">
        <v>0.1095</v>
      </c>
      <c r="I425" s="51" t="n">
        <v>0.8648</v>
      </c>
      <c r="J425" s="51" t="n">
        <v>0.0256</v>
      </c>
      <c r="K425" s="49"/>
      <c r="L425" s="49"/>
      <c r="M425" s="49"/>
      <c r="N425" s="49"/>
      <c r="O425" s="49"/>
      <c r="P425" s="49"/>
      <c r="Q425" s="49" t="s">
        <v>281</v>
      </c>
      <c r="R425" s="49"/>
      <c r="S425" s="49" t="n">
        <v>1</v>
      </c>
      <c r="T425" s="49" t="n">
        <v>0</v>
      </c>
      <c r="U425" s="49" t="s">
        <v>1113</v>
      </c>
    </row>
    <row r="426" customFormat="false" ht="15" hidden="false" customHeight="false" outlineLevel="0" collapsed="false">
      <c r="B426" s="48" t="n">
        <v>45103.0082638889</v>
      </c>
      <c r="C426" s="4" t="n">
        <f aca="false">YEAR(B426)</f>
        <v>2023</v>
      </c>
      <c r="D426" s="49" t="s">
        <v>283</v>
      </c>
      <c r="E426" s="49" t="s">
        <v>1114</v>
      </c>
      <c r="F426" s="50" t="n">
        <v>10</v>
      </c>
      <c r="G426" s="49" t="s">
        <v>290</v>
      </c>
      <c r="H426" s="51" t="n">
        <v>0.0044</v>
      </c>
      <c r="I426" s="51" t="n">
        <v>0.8119</v>
      </c>
      <c r="J426" s="51" t="n">
        <v>0.1837</v>
      </c>
      <c r="K426" s="49"/>
      <c r="L426" s="49"/>
      <c r="M426" s="49"/>
      <c r="N426" s="49"/>
      <c r="O426" s="49"/>
      <c r="P426" s="49"/>
      <c r="Q426" s="49"/>
      <c r="R426" s="49"/>
      <c r="S426" s="49" t="n">
        <v>0</v>
      </c>
      <c r="T426" s="49" t="n">
        <v>0</v>
      </c>
      <c r="U426" s="49" t="s">
        <v>1115</v>
      </c>
    </row>
    <row r="427" customFormat="false" ht="15" hidden="false" customHeight="false" outlineLevel="0" collapsed="false">
      <c r="B427" s="48" t="n">
        <v>45103.6374537037</v>
      </c>
      <c r="C427" s="4" t="n">
        <f aca="false">YEAR(B427)</f>
        <v>2023</v>
      </c>
      <c r="D427" s="49" t="s">
        <v>283</v>
      </c>
      <c r="E427" s="49" t="s">
        <v>1116</v>
      </c>
      <c r="F427" s="50" t="n">
        <v>2</v>
      </c>
      <c r="G427" s="49" t="s">
        <v>290</v>
      </c>
      <c r="H427" s="51" t="n">
        <v>0.0329</v>
      </c>
      <c r="I427" s="51" t="n">
        <v>0.9267</v>
      </c>
      <c r="J427" s="51" t="n">
        <v>0.0403</v>
      </c>
      <c r="K427" s="49"/>
      <c r="L427" s="49"/>
      <c r="M427" s="49"/>
      <c r="N427" s="49"/>
      <c r="O427" s="49"/>
      <c r="P427" s="49"/>
      <c r="Q427" s="49"/>
      <c r="R427" s="49"/>
      <c r="S427" s="49" t="n">
        <v>1</v>
      </c>
      <c r="T427" s="49" t="n">
        <v>0</v>
      </c>
      <c r="U427" s="49" t="s">
        <v>1117</v>
      </c>
    </row>
    <row r="428" customFormat="false" ht="15" hidden="false" customHeight="false" outlineLevel="0" collapsed="false">
      <c r="B428" s="48" t="n">
        <v>45104.1571875</v>
      </c>
      <c r="C428" s="4" t="n">
        <f aca="false">YEAR(B428)</f>
        <v>2023</v>
      </c>
      <c r="D428" s="49" t="s">
        <v>283</v>
      </c>
      <c r="E428" s="49" t="s">
        <v>1118</v>
      </c>
      <c r="F428" s="50" t="n">
        <v>11</v>
      </c>
      <c r="G428" s="49" t="s">
        <v>290</v>
      </c>
      <c r="H428" s="51" t="n">
        <v>0.018</v>
      </c>
      <c r="I428" s="51" t="n">
        <v>0.8438</v>
      </c>
      <c r="J428" s="51" t="n">
        <v>0.1382</v>
      </c>
      <c r="K428" s="49"/>
      <c r="L428" s="49"/>
      <c r="M428" s="49"/>
      <c r="N428" s="49"/>
      <c r="O428" s="49"/>
      <c r="P428" s="49"/>
      <c r="Q428" s="49"/>
      <c r="R428" s="49"/>
      <c r="S428" s="49" t="n">
        <v>0</v>
      </c>
      <c r="T428" s="49" t="n">
        <v>0</v>
      </c>
      <c r="U428" s="49" t="s">
        <v>1119</v>
      </c>
    </row>
    <row r="429" customFormat="false" ht="15" hidden="false" customHeight="false" outlineLevel="0" collapsed="false">
      <c r="B429" s="48" t="n">
        <v>45104.9355208333</v>
      </c>
      <c r="C429" s="4" t="n">
        <f aca="false">YEAR(B429)</f>
        <v>2023</v>
      </c>
      <c r="D429" s="49" t="s">
        <v>278</v>
      </c>
      <c r="E429" s="49" t="s">
        <v>1120</v>
      </c>
      <c r="F429" s="50" t="n">
        <v>4</v>
      </c>
      <c r="G429" s="49" t="s">
        <v>280</v>
      </c>
      <c r="H429" s="51" t="n">
        <v>0.7796</v>
      </c>
      <c r="I429" s="51" t="n">
        <v>0.2086</v>
      </c>
      <c r="J429" s="51" t="n">
        <v>0.0118</v>
      </c>
      <c r="K429" s="49"/>
      <c r="L429" s="49"/>
      <c r="M429" s="49"/>
      <c r="N429" s="49"/>
      <c r="O429" s="49"/>
      <c r="P429" s="49"/>
      <c r="Q429" s="49"/>
      <c r="R429" s="49" t="s">
        <v>281</v>
      </c>
      <c r="S429" s="49" t="n">
        <v>0</v>
      </c>
      <c r="T429" s="49" t="n">
        <v>0</v>
      </c>
      <c r="U429" s="49" t="s">
        <v>1121</v>
      </c>
    </row>
    <row r="430" customFormat="false" ht="15" hidden="false" customHeight="false" outlineLevel="0" collapsed="false">
      <c r="B430" s="48" t="n">
        <v>45104.9423263889</v>
      </c>
      <c r="C430" s="4" t="n">
        <f aca="false">YEAR(B430)</f>
        <v>2023</v>
      </c>
      <c r="D430" s="49" t="s">
        <v>283</v>
      </c>
      <c r="E430" s="49" t="s">
        <v>1122</v>
      </c>
      <c r="F430" s="50" t="n">
        <v>4</v>
      </c>
      <c r="G430" s="49" t="s">
        <v>280</v>
      </c>
      <c r="H430" s="51" t="n">
        <v>0.7932</v>
      </c>
      <c r="I430" s="51" t="n">
        <v>0.1953</v>
      </c>
      <c r="J430" s="51" t="n">
        <v>0.0116</v>
      </c>
      <c r="K430" s="49"/>
      <c r="L430" s="49"/>
      <c r="M430" s="49"/>
      <c r="N430" s="49"/>
      <c r="O430" s="49"/>
      <c r="P430" s="49"/>
      <c r="Q430" s="49"/>
      <c r="R430" s="49" t="s">
        <v>281</v>
      </c>
      <c r="S430" s="49" t="n">
        <v>0</v>
      </c>
      <c r="T430" s="49" t="n">
        <v>0</v>
      </c>
      <c r="U430" s="49" t="s">
        <v>1123</v>
      </c>
    </row>
    <row r="431" customFormat="false" ht="15" hidden="false" customHeight="false" outlineLevel="0" collapsed="false">
      <c r="B431" s="48" t="n">
        <v>45105.4299189815</v>
      </c>
      <c r="C431" s="4" t="n">
        <f aca="false">YEAR(B431)</f>
        <v>2023</v>
      </c>
      <c r="D431" s="49" t="s">
        <v>283</v>
      </c>
      <c r="E431" s="49" t="s">
        <v>1124</v>
      </c>
      <c r="F431" s="50" t="n">
        <v>2</v>
      </c>
      <c r="G431" s="49" t="s">
        <v>287</v>
      </c>
      <c r="H431" s="51" t="n">
        <v>0.0314</v>
      </c>
      <c r="I431" s="51" t="n">
        <v>0.4104</v>
      </c>
      <c r="J431" s="51" t="n">
        <v>0.5582</v>
      </c>
      <c r="K431" s="49"/>
      <c r="L431" s="49"/>
      <c r="M431" s="49"/>
      <c r="N431" s="49"/>
      <c r="O431" s="49"/>
      <c r="P431" s="49"/>
      <c r="Q431" s="49"/>
      <c r="R431" s="49" t="s">
        <v>281</v>
      </c>
      <c r="S431" s="49" t="n">
        <v>1</v>
      </c>
      <c r="T431" s="49" t="n">
        <v>0</v>
      </c>
      <c r="U431" s="49" t="s">
        <v>1125</v>
      </c>
    </row>
    <row r="432" customFormat="false" ht="15" hidden="false" customHeight="false" outlineLevel="0" collapsed="false">
      <c r="B432" s="48" t="n">
        <v>45105.8672222222</v>
      </c>
      <c r="C432" s="4" t="n">
        <f aca="false">YEAR(B432)</f>
        <v>2023</v>
      </c>
      <c r="D432" s="49" t="s">
        <v>283</v>
      </c>
      <c r="E432" s="49" t="s">
        <v>1126</v>
      </c>
      <c r="F432" s="50" t="n">
        <v>16</v>
      </c>
      <c r="G432" s="49" t="s">
        <v>287</v>
      </c>
      <c r="H432" s="51" t="n">
        <v>0.0242</v>
      </c>
      <c r="I432" s="51" t="n">
        <v>0.162</v>
      </c>
      <c r="J432" s="51" t="n">
        <v>0.8139</v>
      </c>
      <c r="K432" s="49"/>
      <c r="L432" s="49"/>
      <c r="M432" s="49"/>
      <c r="N432" s="49"/>
      <c r="O432" s="49"/>
      <c r="P432" s="49"/>
      <c r="Q432" s="49"/>
      <c r="R432" s="49" t="s">
        <v>281</v>
      </c>
      <c r="S432" s="49" t="n">
        <v>0</v>
      </c>
      <c r="T432" s="49" t="n">
        <v>0</v>
      </c>
      <c r="U432" s="49" t="s">
        <v>1127</v>
      </c>
    </row>
    <row r="433" customFormat="false" ht="15" hidden="false" customHeight="false" outlineLevel="0" collapsed="false">
      <c r="B433" s="48" t="n">
        <v>45106.6488425926</v>
      </c>
      <c r="C433" s="4" t="n">
        <f aca="false">YEAR(B433)</f>
        <v>2023</v>
      </c>
      <c r="D433" s="49" t="s">
        <v>283</v>
      </c>
      <c r="E433" s="49" t="s">
        <v>1128</v>
      </c>
      <c r="F433" s="50" t="n">
        <v>2</v>
      </c>
      <c r="G433" s="49" t="s">
        <v>290</v>
      </c>
      <c r="H433" s="51" t="n">
        <v>0.4108</v>
      </c>
      <c r="I433" s="51" t="n">
        <v>0.5652</v>
      </c>
      <c r="J433" s="51" t="n">
        <v>0.024</v>
      </c>
      <c r="K433" s="49"/>
      <c r="L433" s="49"/>
      <c r="M433" s="49"/>
      <c r="N433" s="49"/>
      <c r="O433" s="49"/>
      <c r="P433" s="49"/>
      <c r="Q433" s="49"/>
      <c r="R433" s="49" t="s">
        <v>281</v>
      </c>
      <c r="S433" s="49" t="n">
        <v>1</v>
      </c>
      <c r="T433" s="49" t="n">
        <v>0</v>
      </c>
      <c r="U433" s="49" t="s">
        <v>1129</v>
      </c>
    </row>
    <row r="434" customFormat="false" ht="15" hidden="false" customHeight="false" outlineLevel="0" collapsed="false">
      <c r="B434" s="48" t="n">
        <v>45106.947974537</v>
      </c>
      <c r="C434" s="4" t="n">
        <f aca="false">YEAR(B434)</f>
        <v>2023</v>
      </c>
      <c r="D434" s="49" t="s">
        <v>283</v>
      </c>
      <c r="E434" s="49" t="s">
        <v>1130</v>
      </c>
      <c r="F434" s="50" t="n">
        <v>4</v>
      </c>
      <c r="G434" s="49" t="s">
        <v>280</v>
      </c>
      <c r="H434" s="51" t="n">
        <v>0.729</v>
      </c>
      <c r="I434" s="51" t="n">
        <v>0.2538</v>
      </c>
      <c r="J434" s="51" t="n">
        <v>0.0172</v>
      </c>
      <c r="K434" s="49"/>
      <c r="L434" s="49"/>
      <c r="M434" s="49"/>
      <c r="N434" s="49"/>
      <c r="O434" s="49"/>
      <c r="P434" s="49"/>
      <c r="Q434" s="49"/>
      <c r="R434" s="49"/>
      <c r="S434" s="49" t="n">
        <v>0</v>
      </c>
      <c r="T434" s="49" t="n">
        <v>0</v>
      </c>
      <c r="U434" s="49" t="s">
        <v>1131</v>
      </c>
    </row>
    <row r="435" customFormat="false" ht="15" hidden="false" customHeight="false" outlineLevel="0" collapsed="false">
      <c r="B435" s="48" t="n">
        <v>45107.562349537</v>
      </c>
      <c r="C435" s="4" t="n">
        <f aca="false">YEAR(B435)</f>
        <v>2023</v>
      </c>
      <c r="D435" s="49" t="s">
        <v>278</v>
      </c>
      <c r="E435" s="49" t="s">
        <v>1132</v>
      </c>
      <c r="F435" s="50" t="n">
        <v>8</v>
      </c>
      <c r="G435" s="49" t="s">
        <v>280</v>
      </c>
      <c r="H435" s="51" t="n">
        <v>0.6823</v>
      </c>
      <c r="I435" s="51" t="n">
        <v>0.294</v>
      </c>
      <c r="J435" s="51" t="n">
        <v>0.0237</v>
      </c>
      <c r="K435" s="49" t="s">
        <v>281</v>
      </c>
      <c r="L435" s="49"/>
      <c r="M435" s="49"/>
      <c r="N435" s="49"/>
      <c r="O435" s="49"/>
      <c r="P435" s="49"/>
      <c r="Q435" s="49"/>
      <c r="R435" s="49" t="s">
        <v>281</v>
      </c>
      <c r="S435" s="49" t="n">
        <v>0</v>
      </c>
      <c r="T435" s="49" t="n">
        <v>0</v>
      </c>
      <c r="U435" s="49" t="s">
        <v>1133</v>
      </c>
    </row>
    <row r="436" customFormat="false" ht="15" hidden="false" customHeight="false" outlineLevel="0" collapsed="false">
      <c r="B436" s="48" t="n">
        <v>45108.0877199074</v>
      </c>
      <c r="C436" s="4" t="n">
        <f aca="false">YEAR(B436)</f>
        <v>2023</v>
      </c>
      <c r="D436" s="49" t="s">
        <v>283</v>
      </c>
      <c r="E436" s="49" t="s">
        <v>1134</v>
      </c>
      <c r="F436" s="50" t="n">
        <v>2</v>
      </c>
      <c r="G436" s="49" t="s">
        <v>280</v>
      </c>
      <c r="H436" s="51" t="n">
        <v>0.6838</v>
      </c>
      <c r="I436" s="51" t="n">
        <v>0.3032</v>
      </c>
      <c r="J436" s="51" t="n">
        <v>0.013</v>
      </c>
      <c r="K436" s="49"/>
      <c r="L436" s="49"/>
      <c r="M436" s="49"/>
      <c r="N436" s="49"/>
      <c r="O436" s="49"/>
      <c r="P436" s="49"/>
      <c r="Q436" s="49"/>
      <c r="R436" s="49" t="s">
        <v>281</v>
      </c>
      <c r="S436" s="49" t="n">
        <v>0</v>
      </c>
      <c r="T436" s="49" t="n">
        <v>0</v>
      </c>
      <c r="U436" s="49" t="s">
        <v>1135</v>
      </c>
    </row>
    <row r="437" customFormat="false" ht="15" hidden="false" customHeight="false" outlineLevel="0" collapsed="false">
      <c r="B437" s="48" t="n">
        <v>45108.352650463</v>
      </c>
      <c r="C437" s="4" t="n">
        <f aca="false">YEAR(B437)</f>
        <v>2023</v>
      </c>
      <c r="D437" s="49" t="s">
        <v>283</v>
      </c>
      <c r="E437" s="49" t="s">
        <v>1136</v>
      </c>
      <c r="F437" s="50" t="n">
        <v>1</v>
      </c>
      <c r="G437" s="49" t="s">
        <v>280</v>
      </c>
      <c r="H437" s="51" t="n">
        <v>0.8136</v>
      </c>
      <c r="I437" s="51" t="n">
        <v>0.1758</v>
      </c>
      <c r="J437" s="51" t="n">
        <v>0.0106</v>
      </c>
      <c r="K437" s="49"/>
      <c r="L437" s="49"/>
      <c r="M437" s="49"/>
      <c r="N437" s="49"/>
      <c r="O437" s="49"/>
      <c r="P437" s="49"/>
      <c r="Q437" s="49"/>
      <c r="R437" s="49"/>
      <c r="S437" s="49" t="n">
        <v>0</v>
      </c>
      <c r="T437" s="49" t="n">
        <v>0</v>
      </c>
      <c r="U437" s="49" t="s">
        <v>1137</v>
      </c>
    </row>
    <row r="438" customFormat="false" ht="15" hidden="false" customHeight="false" outlineLevel="0" collapsed="false">
      <c r="B438" s="48" t="n">
        <v>45108.4684953704</v>
      </c>
      <c r="C438" s="4" t="n">
        <f aca="false">YEAR(B438)</f>
        <v>2023</v>
      </c>
      <c r="D438" s="49" t="s">
        <v>283</v>
      </c>
      <c r="E438" s="49" t="s">
        <v>1138</v>
      </c>
      <c r="F438" s="50" t="n">
        <v>2</v>
      </c>
      <c r="G438" s="49" t="s">
        <v>280</v>
      </c>
      <c r="H438" s="51" t="n">
        <v>0.6746</v>
      </c>
      <c r="I438" s="51" t="n">
        <v>0.2475</v>
      </c>
      <c r="J438" s="51" t="n">
        <v>0.0778</v>
      </c>
      <c r="K438" s="49"/>
      <c r="L438" s="49"/>
      <c r="M438" s="49"/>
      <c r="N438" s="49"/>
      <c r="O438" s="49"/>
      <c r="P438" s="49"/>
      <c r="Q438" s="49"/>
      <c r="R438" s="49"/>
      <c r="S438" s="49" t="n">
        <v>0</v>
      </c>
      <c r="T438" s="49" t="n">
        <v>0</v>
      </c>
      <c r="U438" s="49" t="s">
        <v>1139</v>
      </c>
    </row>
    <row r="439" customFormat="false" ht="15" hidden="false" customHeight="false" outlineLevel="0" collapsed="false">
      <c r="B439" s="48" t="n">
        <v>45109.7955092593</v>
      </c>
      <c r="C439" s="4" t="n">
        <f aca="false">YEAR(B439)</f>
        <v>2023</v>
      </c>
      <c r="D439" s="49" t="s">
        <v>278</v>
      </c>
      <c r="E439" s="49" t="s">
        <v>1140</v>
      </c>
      <c r="F439" s="50" t="n">
        <v>3</v>
      </c>
      <c r="G439" s="49" t="s">
        <v>280</v>
      </c>
      <c r="H439" s="51" t="n">
        <v>0.7217</v>
      </c>
      <c r="I439" s="51" t="n">
        <v>0.2617</v>
      </c>
      <c r="J439" s="51" t="n">
        <v>0.0166</v>
      </c>
      <c r="K439" s="49"/>
      <c r="L439" s="49"/>
      <c r="M439" s="49"/>
      <c r="N439" s="49"/>
      <c r="O439" s="49"/>
      <c r="P439" s="49"/>
      <c r="Q439" s="49"/>
      <c r="R439" s="49"/>
      <c r="S439" s="49" t="n">
        <v>0</v>
      </c>
      <c r="T439" s="49" t="n">
        <v>0</v>
      </c>
      <c r="U439" s="49" t="s">
        <v>1141</v>
      </c>
    </row>
    <row r="440" customFormat="false" ht="15" hidden="false" customHeight="false" outlineLevel="0" collapsed="false">
      <c r="B440" s="48" t="n">
        <v>45110.6870601852</v>
      </c>
      <c r="C440" s="4" t="n">
        <f aca="false">YEAR(B440)</f>
        <v>2023</v>
      </c>
      <c r="D440" s="49" t="s">
        <v>283</v>
      </c>
      <c r="E440" s="49" t="s">
        <v>1142</v>
      </c>
      <c r="F440" s="50" t="n">
        <v>1</v>
      </c>
      <c r="G440" s="49" t="s">
        <v>287</v>
      </c>
      <c r="H440" s="51" t="n">
        <v>0.0027</v>
      </c>
      <c r="I440" s="51" t="n">
        <v>0.0515</v>
      </c>
      <c r="J440" s="51" t="n">
        <v>0.9457</v>
      </c>
      <c r="K440" s="49"/>
      <c r="L440" s="49"/>
      <c r="M440" s="49"/>
      <c r="N440" s="49"/>
      <c r="O440" s="49"/>
      <c r="P440" s="49"/>
      <c r="Q440" s="49"/>
      <c r="R440" s="49"/>
      <c r="S440" s="49" t="n">
        <v>1</v>
      </c>
      <c r="T440" s="49" t="n">
        <v>0</v>
      </c>
      <c r="U440" s="49" t="s">
        <v>1143</v>
      </c>
    </row>
    <row r="441" customFormat="false" ht="15" hidden="false" customHeight="false" outlineLevel="0" collapsed="false">
      <c r="B441" s="48" t="n">
        <v>45110.7893171296</v>
      </c>
      <c r="C441" s="4" t="n">
        <f aca="false">YEAR(B441)</f>
        <v>2023</v>
      </c>
      <c r="D441" s="49" t="s">
        <v>278</v>
      </c>
      <c r="E441" s="49" t="s">
        <v>1144</v>
      </c>
      <c r="F441" s="50" t="n">
        <v>62</v>
      </c>
      <c r="G441" s="49" t="s">
        <v>280</v>
      </c>
      <c r="H441" s="51" t="n">
        <v>0.8243</v>
      </c>
      <c r="I441" s="51" t="n">
        <v>0.1666</v>
      </c>
      <c r="J441" s="51" t="n">
        <v>0.0091</v>
      </c>
      <c r="K441" s="49"/>
      <c r="L441" s="49"/>
      <c r="M441" s="49"/>
      <c r="N441" s="49"/>
      <c r="O441" s="49"/>
      <c r="P441" s="49"/>
      <c r="Q441" s="49"/>
      <c r="R441" s="49" t="s">
        <v>281</v>
      </c>
      <c r="S441" s="49" t="n">
        <v>0</v>
      </c>
      <c r="T441" s="49" t="n">
        <v>0</v>
      </c>
      <c r="U441" s="49" t="s">
        <v>1145</v>
      </c>
    </row>
    <row r="442" customFormat="false" ht="15" hidden="false" customHeight="false" outlineLevel="0" collapsed="false">
      <c r="B442" s="48" t="n">
        <v>45111.115162037</v>
      </c>
      <c r="C442" s="4" t="n">
        <f aca="false">YEAR(B442)</f>
        <v>2023</v>
      </c>
      <c r="D442" s="49" t="s">
        <v>278</v>
      </c>
      <c r="E442" s="49" t="s">
        <v>1146</v>
      </c>
      <c r="F442" s="50" t="n">
        <v>1</v>
      </c>
      <c r="G442" s="49" t="s">
        <v>280</v>
      </c>
      <c r="H442" s="51" t="n">
        <v>0.789</v>
      </c>
      <c r="I442" s="51" t="n">
        <v>0.1991</v>
      </c>
      <c r="J442" s="51" t="n">
        <v>0.0119</v>
      </c>
      <c r="K442" s="49"/>
      <c r="L442" s="49"/>
      <c r="M442" s="49"/>
      <c r="N442" s="49"/>
      <c r="O442" s="49"/>
      <c r="P442" s="49"/>
      <c r="Q442" s="49"/>
      <c r="R442" s="49"/>
      <c r="S442" s="49" t="n">
        <v>0</v>
      </c>
      <c r="T442" s="49" t="n">
        <v>0</v>
      </c>
      <c r="U442" s="49" t="s">
        <v>1147</v>
      </c>
    </row>
    <row r="443" customFormat="false" ht="15" hidden="false" customHeight="false" outlineLevel="0" collapsed="false">
      <c r="B443" s="48" t="n">
        <v>45111.5686458333</v>
      </c>
      <c r="C443" s="4" t="n">
        <f aca="false">YEAR(B443)</f>
        <v>2023</v>
      </c>
      <c r="D443" s="49" t="s">
        <v>283</v>
      </c>
      <c r="E443" s="49" t="s">
        <v>1148</v>
      </c>
      <c r="F443" s="50" t="n">
        <v>1</v>
      </c>
      <c r="G443" s="49" t="s">
        <v>287</v>
      </c>
      <c r="H443" s="51" t="n">
        <v>0.002</v>
      </c>
      <c r="I443" s="51" t="n">
        <v>0.1458</v>
      </c>
      <c r="J443" s="51" t="n">
        <v>0.8522</v>
      </c>
      <c r="K443" s="49"/>
      <c r="L443" s="49"/>
      <c r="M443" s="49"/>
      <c r="N443" s="49"/>
      <c r="O443" s="49"/>
      <c r="P443" s="49"/>
      <c r="Q443" s="49"/>
      <c r="R443" s="49"/>
      <c r="S443" s="49" t="n">
        <v>0</v>
      </c>
      <c r="T443" s="49" t="n">
        <v>0</v>
      </c>
      <c r="U443" s="49" t="s">
        <v>1149</v>
      </c>
    </row>
    <row r="444" customFormat="false" ht="15" hidden="false" customHeight="false" outlineLevel="0" collapsed="false">
      <c r="B444" s="48" t="n">
        <v>45115.5291782407</v>
      </c>
      <c r="C444" s="4" t="n">
        <f aca="false">YEAR(B444)</f>
        <v>2023</v>
      </c>
      <c r="D444" s="49" t="s">
        <v>283</v>
      </c>
      <c r="E444" s="49" t="s">
        <v>1150</v>
      </c>
      <c r="F444" s="50" t="n">
        <v>1</v>
      </c>
      <c r="G444" s="49" t="s">
        <v>280</v>
      </c>
      <c r="H444" s="51" t="n">
        <v>0.7265</v>
      </c>
      <c r="I444" s="51" t="n">
        <v>0.2441</v>
      </c>
      <c r="J444" s="51" t="n">
        <v>0.0294</v>
      </c>
      <c r="K444" s="49"/>
      <c r="L444" s="49"/>
      <c r="M444" s="49"/>
      <c r="N444" s="49"/>
      <c r="O444" s="49"/>
      <c r="P444" s="49"/>
      <c r="Q444" s="49"/>
      <c r="R444" s="49"/>
      <c r="S444" s="49" t="n">
        <v>0</v>
      </c>
      <c r="T444" s="49" t="n">
        <v>0</v>
      </c>
      <c r="U444" s="49" t="s">
        <v>1151</v>
      </c>
    </row>
    <row r="445" customFormat="false" ht="15" hidden="false" customHeight="false" outlineLevel="0" collapsed="false">
      <c r="B445" s="48" t="n">
        <v>45116.7608217593</v>
      </c>
      <c r="C445" s="4" t="n">
        <f aca="false">YEAR(B445)</f>
        <v>2023</v>
      </c>
      <c r="D445" s="49" t="s">
        <v>283</v>
      </c>
      <c r="E445" s="49" t="s">
        <v>1152</v>
      </c>
      <c r="F445" s="50" t="n">
        <v>1</v>
      </c>
      <c r="G445" s="49" t="s">
        <v>280</v>
      </c>
      <c r="H445" s="51" t="n">
        <v>0.5334</v>
      </c>
      <c r="I445" s="51" t="n">
        <v>0.4009</v>
      </c>
      <c r="J445" s="51" t="n">
        <v>0.0658</v>
      </c>
      <c r="K445" s="49"/>
      <c r="L445" s="49"/>
      <c r="M445" s="49"/>
      <c r="N445" s="49"/>
      <c r="O445" s="49"/>
      <c r="P445" s="49"/>
      <c r="Q445" s="49"/>
      <c r="R445" s="49"/>
      <c r="S445" s="49" t="n">
        <v>0</v>
      </c>
      <c r="T445" s="49" t="n">
        <v>0</v>
      </c>
      <c r="U445" s="49" t="s">
        <v>1153</v>
      </c>
    </row>
    <row r="446" customFormat="false" ht="15" hidden="false" customHeight="false" outlineLevel="0" collapsed="false">
      <c r="B446" s="48" t="n">
        <v>45117.5824189815</v>
      </c>
      <c r="C446" s="4" t="n">
        <f aca="false">YEAR(B446)</f>
        <v>2023</v>
      </c>
      <c r="D446" s="49" t="s">
        <v>283</v>
      </c>
      <c r="E446" s="49" t="s">
        <v>1154</v>
      </c>
      <c r="F446" s="50" t="n">
        <v>1</v>
      </c>
      <c r="G446" s="49" t="s">
        <v>290</v>
      </c>
      <c r="H446" s="51" t="n">
        <v>0.2773</v>
      </c>
      <c r="I446" s="51" t="n">
        <v>0.6982</v>
      </c>
      <c r="J446" s="51" t="n">
        <v>0.0245</v>
      </c>
      <c r="K446" s="49"/>
      <c r="L446" s="49"/>
      <c r="M446" s="49"/>
      <c r="N446" s="49"/>
      <c r="O446" s="49"/>
      <c r="P446" s="49"/>
      <c r="Q446" s="49"/>
      <c r="R446" s="49"/>
      <c r="S446" s="49" t="n">
        <v>0</v>
      </c>
      <c r="T446" s="49" t="n">
        <v>0</v>
      </c>
      <c r="U446" s="49" t="s">
        <v>1155</v>
      </c>
    </row>
    <row r="447" customFormat="false" ht="15" hidden="false" customHeight="false" outlineLevel="0" collapsed="false">
      <c r="B447" s="48" t="n">
        <v>45118.0060416667</v>
      </c>
      <c r="C447" s="4" t="n">
        <f aca="false">YEAR(B447)</f>
        <v>2023</v>
      </c>
      <c r="D447" s="49" t="s">
        <v>278</v>
      </c>
      <c r="E447" s="49" t="s">
        <v>1156</v>
      </c>
      <c r="F447" s="50" t="n">
        <v>2</v>
      </c>
      <c r="G447" s="49" t="s">
        <v>280</v>
      </c>
      <c r="H447" s="51" t="n">
        <v>0.732</v>
      </c>
      <c r="I447" s="51" t="n">
        <v>0.2574</v>
      </c>
      <c r="J447" s="51" t="n">
        <v>0.0106</v>
      </c>
      <c r="K447" s="49"/>
      <c r="L447" s="49"/>
      <c r="M447" s="49"/>
      <c r="N447" s="49"/>
      <c r="O447" s="49"/>
      <c r="P447" s="49"/>
      <c r="Q447" s="49"/>
      <c r="R447" s="49"/>
      <c r="S447" s="49" t="n">
        <v>0</v>
      </c>
      <c r="T447" s="49" t="n">
        <v>0</v>
      </c>
      <c r="U447" s="49" t="s">
        <v>1157</v>
      </c>
    </row>
    <row r="448" customFormat="false" ht="15" hidden="false" customHeight="false" outlineLevel="0" collapsed="false">
      <c r="B448" s="48" t="n">
        <v>45118.0747222222</v>
      </c>
      <c r="C448" s="4" t="n">
        <f aca="false">YEAR(B448)</f>
        <v>2023</v>
      </c>
      <c r="D448" s="49" t="s">
        <v>283</v>
      </c>
      <c r="E448" s="49" t="s">
        <v>1158</v>
      </c>
      <c r="F448" s="50" t="n">
        <v>1</v>
      </c>
      <c r="G448" s="49" t="s">
        <v>280</v>
      </c>
      <c r="H448" s="51" t="n">
        <v>0.5998</v>
      </c>
      <c r="I448" s="51" t="n">
        <v>0.3839</v>
      </c>
      <c r="J448" s="51" t="n">
        <v>0.0163</v>
      </c>
      <c r="K448" s="49"/>
      <c r="L448" s="49"/>
      <c r="M448" s="49"/>
      <c r="N448" s="49"/>
      <c r="O448" s="49"/>
      <c r="P448" s="49"/>
      <c r="Q448" s="49"/>
      <c r="R448" s="49"/>
      <c r="S448" s="49" t="n">
        <v>1</v>
      </c>
      <c r="T448" s="49" t="n">
        <v>0</v>
      </c>
      <c r="U448" s="49" t="s">
        <v>1159</v>
      </c>
    </row>
    <row r="449" customFormat="false" ht="15" hidden="false" customHeight="false" outlineLevel="0" collapsed="false">
      <c r="B449" s="48" t="n">
        <v>45118.0945833333</v>
      </c>
      <c r="C449" s="4" t="n">
        <f aca="false">YEAR(B449)</f>
        <v>2023</v>
      </c>
      <c r="D449" s="49" t="s">
        <v>283</v>
      </c>
      <c r="E449" s="49" t="s">
        <v>1160</v>
      </c>
      <c r="F449" s="50" t="n">
        <v>1</v>
      </c>
      <c r="G449" s="49" t="s">
        <v>290</v>
      </c>
      <c r="H449" s="51" t="n">
        <v>0.179</v>
      </c>
      <c r="I449" s="51" t="n">
        <v>0.8021</v>
      </c>
      <c r="J449" s="51" t="n">
        <v>0.0189</v>
      </c>
      <c r="K449" s="49"/>
      <c r="L449" s="49"/>
      <c r="M449" s="49"/>
      <c r="N449" s="49"/>
      <c r="O449" s="49"/>
      <c r="P449" s="49"/>
      <c r="Q449" s="49"/>
      <c r="R449" s="49"/>
      <c r="S449" s="49" t="n">
        <v>1</v>
      </c>
      <c r="T449" s="49" t="n">
        <v>0</v>
      </c>
      <c r="U449" s="49" t="s">
        <v>1161</v>
      </c>
    </row>
    <row r="450" customFormat="false" ht="15" hidden="false" customHeight="false" outlineLevel="0" collapsed="false">
      <c r="B450" s="48" t="n">
        <v>45118.0969212963</v>
      </c>
      <c r="C450" s="4" t="n">
        <f aca="false">YEAR(B450)</f>
        <v>2023</v>
      </c>
      <c r="D450" s="49" t="s">
        <v>278</v>
      </c>
      <c r="E450" s="49" t="s">
        <v>1162</v>
      </c>
      <c r="F450" s="50" t="n">
        <v>7</v>
      </c>
      <c r="G450" s="49" t="s">
        <v>290</v>
      </c>
      <c r="H450" s="51" t="n">
        <v>0.4425</v>
      </c>
      <c r="I450" s="51" t="n">
        <v>0.5344</v>
      </c>
      <c r="J450" s="51" t="n">
        <v>0.0231</v>
      </c>
      <c r="K450" s="49"/>
      <c r="L450" s="49"/>
      <c r="M450" s="49"/>
      <c r="N450" s="49"/>
      <c r="O450" s="49"/>
      <c r="P450" s="49"/>
      <c r="Q450" s="49"/>
      <c r="R450" s="49"/>
      <c r="S450" s="49" t="n">
        <v>0</v>
      </c>
      <c r="T450" s="49" t="n">
        <v>0</v>
      </c>
      <c r="U450" s="49" t="s">
        <v>1163</v>
      </c>
    </row>
    <row r="451" customFormat="false" ht="15" hidden="false" customHeight="false" outlineLevel="0" collapsed="false">
      <c r="B451" s="48" t="n">
        <v>45118.2024421296</v>
      </c>
      <c r="C451" s="4" t="n">
        <f aca="false">YEAR(B451)</f>
        <v>2023</v>
      </c>
      <c r="D451" s="49" t="s">
        <v>283</v>
      </c>
      <c r="E451" s="49" t="s">
        <v>1164</v>
      </c>
      <c r="F451" s="50" t="n">
        <v>1</v>
      </c>
      <c r="G451" s="49" t="s">
        <v>290</v>
      </c>
      <c r="H451" s="51" t="n">
        <v>0.0136</v>
      </c>
      <c r="I451" s="51" t="n">
        <v>0.8003</v>
      </c>
      <c r="J451" s="51" t="n">
        <v>0.1861</v>
      </c>
      <c r="K451" s="49"/>
      <c r="L451" s="49"/>
      <c r="M451" s="49"/>
      <c r="N451" s="49"/>
      <c r="O451" s="49"/>
      <c r="P451" s="49"/>
      <c r="Q451" s="49"/>
      <c r="R451" s="49"/>
      <c r="S451" s="49" t="n">
        <v>0</v>
      </c>
      <c r="T451" s="49" t="n">
        <v>0</v>
      </c>
      <c r="U451" s="49" t="s">
        <v>1165</v>
      </c>
    </row>
    <row r="452" customFormat="false" ht="15" hidden="false" customHeight="false" outlineLevel="0" collapsed="false">
      <c r="B452" s="48" t="n">
        <v>45118.7044907407</v>
      </c>
      <c r="C452" s="4" t="n">
        <f aca="false">YEAR(B452)</f>
        <v>2023</v>
      </c>
      <c r="D452" s="49" t="s">
        <v>283</v>
      </c>
      <c r="E452" s="49" t="s">
        <v>1166</v>
      </c>
      <c r="F452" s="50" t="n">
        <v>0</v>
      </c>
      <c r="G452" s="49" t="s">
        <v>287</v>
      </c>
      <c r="H452" s="51" t="n">
        <v>0.002</v>
      </c>
      <c r="I452" s="51" t="n">
        <v>0.0695</v>
      </c>
      <c r="J452" s="51" t="n">
        <v>0.9285</v>
      </c>
      <c r="K452" s="49"/>
      <c r="L452" s="49"/>
      <c r="M452" s="49"/>
      <c r="N452" s="49"/>
      <c r="O452" s="49"/>
      <c r="P452" s="49"/>
      <c r="Q452" s="49"/>
      <c r="R452" s="49"/>
      <c r="S452" s="49" t="n">
        <v>0</v>
      </c>
      <c r="T452" s="49" t="n">
        <v>0</v>
      </c>
      <c r="U452" s="49" t="s">
        <v>1167</v>
      </c>
    </row>
    <row r="453" customFormat="false" ht="15" hidden="false" customHeight="false" outlineLevel="0" collapsed="false">
      <c r="B453" s="48" t="n">
        <v>45119.1232638889</v>
      </c>
      <c r="C453" s="4" t="n">
        <f aca="false">YEAR(B453)</f>
        <v>2023</v>
      </c>
      <c r="D453" s="49" t="s">
        <v>278</v>
      </c>
      <c r="E453" s="49" t="s">
        <v>1168</v>
      </c>
      <c r="F453" s="50" t="n">
        <v>3</v>
      </c>
      <c r="G453" s="49" t="s">
        <v>280</v>
      </c>
      <c r="H453" s="51" t="n">
        <v>0.8706</v>
      </c>
      <c r="I453" s="51" t="n">
        <v>0.1219</v>
      </c>
      <c r="J453" s="51" t="n">
        <v>0.0075</v>
      </c>
      <c r="K453" s="49"/>
      <c r="L453" s="49"/>
      <c r="M453" s="49"/>
      <c r="N453" s="49"/>
      <c r="O453" s="49"/>
      <c r="P453" s="49"/>
      <c r="Q453" s="49"/>
      <c r="R453" s="49" t="s">
        <v>281</v>
      </c>
      <c r="S453" s="49" t="n">
        <v>0</v>
      </c>
      <c r="T453" s="49" t="n">
        <v>0</v>
      </c>
      <c r="U453" s="49" t="s">
        <v>1169</v>
      </c>
    </row>
    <row r="454" customFormat="false" ht="15" hidden="false" customHeight="false" outlineLevel="0" collapsed="false">
      <c r="B454" s="48" t="n">
        <v>45119.9760069445</v>
      </c>
      <c r="C454" s="4" t="n">
        <f aca="false">YEAR(B454)</f>
        <v>2023</v>
      </c>
      <c r="D454" s="49" t="s">
        <v>283</v>
      </c>
      <c r="E454" s="49" t="s">
        <v>1170</v>
      </c>
      <c r="F454" s="50" t="n">
        <v>141</v>
      </c>
      <c r="G454" s="49" t="s">
        <v>287</v>
      </c>
      <c r="H454" s="51" t="n">
        <v>0.0056</v>
      </c>
      <c r="I454" s="51" t="n">
        <v>0.2341</v>
      </c>
      <c r="J454" s="51" t="n">
        <v>0.7603</v>
      </c>
      <c r="K454" s="49"/>
      <c r="L454" s="49"/>
      <c r="M454" s="49"/>
      <c r="N454" s="49"/>
      <c r="O454" s="49"/>
      <c r="P454" s="49"/>
      <c r="Q454" s="49"/>
      <c r="R454" s="49"/>
      <c r="S454" s="49" t="n">
        <v>0</v>
      </c>
      <c r="T454" s="49" t="n">
        <v>0</v>
      </c>
      <c r="U454" s="49" t="s">
        <v>1171</v>
      </c>
    </row>
    <row r="455" customFormat="false" ht="15" hidden="false" customHeight="false" outlineLevel="0" collapsed="false">
      <c r="B455" s="48" t="n">
        <v>45120.0925694444</v>
      </c>
      <c r="C455" s="4" t="n">
        <f aca="false">YEAR(B455)</f>
        <v>2023</v>
      </c>
      <c r="D455" s="49" t="s">
        <v>283</v>
      </c>
      <c r="E455" s="49" t="s">
        <v>1172</v>
      </c>
      <c r="F455" s="50" t="n">
        <v>3</v>
      </c>
      <c r="G455" s="49" t="s">
        <v>290</v>
      </c>
      <c r="H455" s="51" t="n">
        <v>0.0333</v>
      </c>
      <c r="I455" s="51" t="n">
        <v>0.5196</v>
      </c>
      <c r="J455" s="51" t="n">
        <v>0.4471</v>
      </c>
      <c r="K455" s="49"/>
      <c r="L455" s="49"/>
      <c r="M455" s="49"/>
      <c r="N455" s="49"/>
      <c r="O455" s="49"/>
      <c r="P455" s="49"/>
      <c r="Q455" s="49"/>
      <c r="R455" s="49"/>
      <c r="S455" s="49" t="n">
        <v>0</v>
      </c>
      <c r="T455" s="49" t="n">
        <v>0</v>
      </c>
      <c r="U455" s="49" t="s">
        <v>1173</v>
      </c>
    </row>
    <row r="456" customFormat="false" ht="15" hidden="false" customHeight="false" outlineLevel="0" collapsed="false">
      <c r="B456" s="48" t="n">
        <v>45120.7578009259</v>
      </c>
      <c r="C456" s="4" t="n">
        <f aca="false">YEAR(B456)</f>
        <v>2023</v>
      </c>
      <c r="D456" s="49" t="s">
        <v>283</v>
      </c>
      <c r="E456" s="49" t="s">
        <v>1174</v>
      </c>
      <c r="F456" s="50" t="n">
        <v>0</v>
      </c>
      <c r="G456" s="49" t="s">
        <v>287</v>
      </c>
      <c r="H456" s="51" t="n">
        <v>0.1051</v>
      </c>
      <c r="I456" s="51" t="n">
        <v>0.4008</v>
      </c>
      <c r="J456" s="51" t="n">
        <v>0.4941</v>
      </c>
      <c r="K456" s="49"/>
      <c r="L456" s="49"/>
      <c r="M456" s="49"/>
      <c r="N456" s="49"/>
      <c r="O456" s="49"/>
      <c r="P456" s="49"/>
      <c r="Q456" s="49"/>
      <c r="R456" s="49"/>
      <c r="S456" s="49" t="n">
        <v>0</v>
      </c>
      <c r="T456" s="49" t="n">
        <v>0</v>
      </c>
      <c r="U456" s="49" t="s">
        <v>1175</v>
      </c>
    </row>
    <row r="457" customFormat="false" ht="15" hidden="false" customHeight="false" outlineLevel="0" collapsed="false">
      <c r="B457" s="48" t="n">
        <v>45120.7884143519</v>
      </c>
      <c r="C457" s="4" t="n">
        <f aca="false">YEAR(B457)</f>
        <v>2023</v>
      </c>
      <c r="D457" s="49" t="s">
        <v>283</v>
      </c>
      <c r="E457" s="49" t="s">
        <v>1176</v>
      </c>
      <c r="F457" s="50" t="n">
        <v>2</v>
      </c>
      <c r="G457" s="49" t="s">
        <v>280</v>
      </c>
      <c r="H457" s="51" t="n">
        <v>0.8541</v>
      </c>
      <c r="I457" s="51" t="n">
        <v>0.1363</v>
      </c>
      <c r="J457" s="51" t="n">
        <v>0.0096</v>
      </c>
      <c r="K457" s="49"/>
      <c r="L457" s="49"/>
      <c r="M457" s="49"/>
      <c r="N457" s="49"/>
      <c r="O457" s="49"/>
      <c r="P457" s="49"/>
      <c r="Q457" s="49"/>
      <c r="R457" s="49"/>
      <c r="S457" s="49" t="n">
        <v>0</v>
      </c>
      <c r="T457" s="49" t="n">
        <v>0</v>
      </c>
      <c r="U457" s="49" t="s">
        <v>1177</v>
      </c>
    </row>
    <row r="458" customFormat="false" ht="15" hidden="false" customHeight="false" outlineLevel="0" collapsed="false">
      <c r="B458" s="48" t="n">
        <v>45120.8920601852</v>
      </c>
      <c r="C458" s="4" t="n">
        <f aca="false">YEAR(B458)</f>
        <v>2023</v>
      </c>
      <c r="D458" s="49" t="s">
        <v>283</v>
      </c>
      <c r="E458" s="49" t="s">
        <v>1178</v>
      </c>
      <c r="F458" s="50" t="n">
        <v>1</v>
      </c>
      <c r="G458" s="49" t="s">
        <v>280</v>
      </c>
      <c r="H458" s="51" t="n">
        <v>0.7193</v>
      </c>
      <c r="I458" s="51" t="n">
        <v>0.2264</v>
      </c>
      <c r="J458" s="51" t="n">
        <v>0.0543</v>
      </c>
      <c r="K458" s="49"/>
      <c r="L458" s="49"/>
      <c r="M458" s="49"/>
      <c r="N458" s="49"/>
      <c r="O458" s="49"/>
      <c r="P458" s="49"/>
      <c r="Q458" s="49"/>
      <c r="R458" s="49" t="s">
        <v>281</v>
      </c>
      <c r="S458" s="49" t="n">
        <v>0</v>
      </c>
      <c r="T458" s="49" t="n">
        <v>1</v>
      </c>
      <c r="U458" s="49" t="s">
        <v>1179</v>
      </c>
    </row>
    <row r="459" customFormat="false" ht="15" hidden="false" customHeight="false" outlineLevel="0" collapsed="false">
      <c r="B459" s="48" t="n">
        <v>45121.0819328704</v>
      </c>
      <c r="C459" s="4" t="n">
        <f aca="false">YEAR(B459)</f>
        <v>2023</v>
      </c>
      <c r="D459" s="49" t="s">
        <v>283</v>
      </c>
      <c r="E459" s="49" t="s">
        <v>1180</v>
      </c>
      <c r="F459" s="50" t="n">
        <v>2</v>
      </c>
      <c r="G459" s="49" t="s">
        <v>290</v>
      </c>
      <c r="H459" s="51" t="n">
        <v>0.0098</v>
      </c>
      <c r="I459" s="51" t="n">
        <v>0.869</v>
      </c>
      <c r="J459" s="51" t="n">
        <v>0.1212</v>
      </c>
      <c r="K459" s="49"/>
      <c r="L459" s="49"/>
      <c r="M459" s="49"/>
      <c r="N459" s="49"/>
      <c r="O459" s="49"/>
      <c r="P459" s="49"/>
      <c r="Q459" s="49"/>
      <c r="R459" s="49"/>
      <c r="S459" s="49" t="n">
        <v>0</v>
      </c>
      <c r="T459" s="49" t="n">
        <v>0</v>
      </c>
      <c r="U459" s="49" t="s">
        <v>1181</v>
      </c>
    </row>
    <row r="460" customFormat="false" ht="15" hidden="false" customHeight="false" outlineLevel="0" collapsed="false">
      <c r="B460" s="48" t="n">
        <v>45121.2253125</v>
      </c>
      <c r="C460" s="4" t="n">
        <f aca="false">YEAR(B460)</f>
        <v>2023</v>
      </c>
      <c r="D460" s="49" t="s">
        <v>278</v>
      </c>
      <c r="E460" s="49" t="s">
        <v>1182</v>
      </c>
      <c r="F460" s="50" t="n">
        <v>1</v>
      </c>
      <c r="G460" s="49" t="s">
        <v>280</v>
      </c>
      <c r="H460" s="51" t="n">
        <v>0.9294</v>
      </c>
      <c r="I460" s="51" t="n">
        <v>0.0632</v>
      </c>
      <c r="J460" s="51" t="n">
        <v>0.0074</v>
      </c>
      <c r="K460" s="49"/>
      <c r="L460" s="49"/>
      <c r="M460" s="49"/>
      <c r="N460" s="49"/>
      <c r="O460" s="49"/>
      <c r="P460" s="49"/>
      <c r="Q460" s="49"/>
      <c r="R460" s="49"/>
      <c r="S460" s="49" t="n">
        <v>0</v>
      </c>
      <c r="T460" s="49" t="n">
        <v>0</v>
      </c>
      <c r="U460" s="49" t="s">
        <v>1183</v>
      </c>
    </row>
    <row r="461" customFormat="false" ht="15" hidden="false" customHeight="false" outlineLevel="0" collapsed="false">
      <c r="B461" s="48" t="n">
        <v>45121.3841782407</v>
      </c>
      <c r="C461" s="4" t="n">
        <f aca="false">YEAR(B461)</f>
        <v>2023</v>
      </c>
      <c r="D461" s="49" t="s">
        <v>278</v>
      </c>
      <c r="E461" s="49" t="s">
        <v>1184</v>
      </c>
      <c r="F461" s="50" t="n">
        <v>7</v>
      </c>
      <c r="G461" s="49" t="s">
        <v>290</v>
      </c>
      <c r="H461" s="51" t="n">
        <v>0.4905</v>
      </c>
      <c r="I461" s="51" t="n">
        <v>0.4959</v>
      </c>
      <c r="J461" s="51" t="n">
        <v>0.0137</v>
      </c>
      <c r="K461" s="49"/>
      <c r="L461" s="49"/>
      <c r="M461" s="49"/>
      <c r="N461" s="49"/>
      <c r="O461" s="49"/>
      <c r="P461" s="49"/>
      <c r="Q461" s="49"/>
      <c r="R461" s="49"/>
      <c r="S461" s="49" t="n">
        <v>0</v>
      </c>
      <c r="T461" s="49" t="n">
        <v>0</v>
      </c>
      <c r="U461" s="49" t="s">
        <v>1185</v>
      </c>
    </row>
    <row r="462" customFormat="false" ht="15" hidden="false" customHeight="false" outlineLevel="0" collapsed="false">
      <c r="B462" s="48" t="n">
        <v>45121.7325347222</v>
      </c>
      <c r="C462" s="4" t="n">
        <f aca="false">YEAR(B462)</f>
        <v>2023</v>
      </c>
      <c r="D462" s="49" t="s">
        <v>283</v>
      </c>
      <c r="E462" s="49" t="s">
        <v>1186</v>
      </c>
      <c r="F462" s="50" t="n">
        <v>0</v>
      </c>
      <c r="G462" s="49" t="s">
        <v>290</v>
      </c>
      <c r="H462" s="51" t="n">
        <v>0.3719</v>
      </c>
      <c r="I462" s="51" t="n">
        <v>0.5881</v>
      </c>
      <c r="J462" s="51" t="n">
        <v>0.0399</v>
      </c>
      <c r="K462" s="49"/>
      <c r="L462" s="49"/>
      <c r="M462" s="49"/>
      <c r="N462" s="49"/>
      <c r="O462" s="49"/>
      <c r="P462" s="49"/>
      <c r="Q462" s="49"/>
      <c r="R462" s="49" t="s">
        <v>281</v>
      </c>
      <c r="S462" s="49" t="n">
        <v>0</v>
      </c>
      <c r="T462" s="49" t="n">
        <v>0</v>
      </c>
      <c r="U462" s="49" t="s">
        <v>1187</v>
      </c>
    </row>
    <row r="463" customFormat="false" ht="15" hidden="false" customHeight="false" outlineLevel="0" collapsed="false">
      <c r="B463" s="48" t="n">
        <v>45121.9551273148</v>
      </c>
      <c r="C463" s="4" t="n">
        <f aca="false">YEAR(B463)</f>
        <v>2023</v>
      </c>
      <c r="D463" s="49" t="s">
        <v>283</v>
      </c>
      <c r="E463" s="49" t="s">
        <v>1188</v>
      </c>
      <c r="F463" s="50" t="n">
        <v>2</v>
      </c>
      <c r="G463" s="49" t="s">
        <v>280</v>
      </c>
      <c r="H463" s="51" t="n">
        <v>0.7046</v>
      </c>
      <c r="I463" s="51" t="n">
        <v>0.2813</v>
      </c>
      <c r="J463" s="51" t="n">
        <v>0.0141</v>
      </c>
      <c r="K463" s="49"/>
      <c r="L463" s="49"/>
      <c r="M463" s="49"/>
      <c r="N463" s="49"/>
      <c r="O463" s="49"/>
      <c r="P463" s="49"/>
      <c r="Q463" s="49"/>
      <c r="R463" s="49"/>
      <c r="S463" s="49" t="n">
        <v>0</v>
      </c>
      <c r="T463" s="49" t="n">
        <v>0</v>
      </c>
      <c r="U463" s="49" t="s">
        <v>1189</v>
      </c>
    </row>
    <row r="464" customFormat="false" ht="15" hidden="false" customHeight="false" outlineLevel="0" collapsed="false">
      <c r="B464" s="48" t="n">
        <v>45122.1040393519</v>
      </c>
      <c r="C464" s="4" t="n">
        <f aca="false">YEAR(B464)</f>
        <v>2023</v>
      </c>
      <c r="D464" s="49" t="s">
        <v>283</v>
      </c>
      <c r="E464" s="49" t="s">
        <v>1190</v>
      </c>
      <c r="F464" s="50" t="n">
        <v>1</v>
      </c>
      <c r="G464" s="49" t="s">
        <v>290</v>
      </c>
      <c r="H464" s="51" t="n">
        <v>0.0752</v>
      </c>
      <c r="I464" s="51" t="n">
        <v>0.8918</v>
      </c>
      <c r="J464" s="51" t="n">
        <v>0.033</v>
      </c>
      <c r="K464" s="49"/>
      <c r="L464" s="49"/>
      <c r="M464" s="49"/>
      <c r="N464" s="49"/>
      <c r="O464" s="49"/>
      <c r="P464" s="49"/>
      <c r="Q464" s="49"/>
      <c r="R464" s="49"/>
      <c r="S464" s="49" t="n">
        <v>0</v>
      </c>
      <c r="T464" s="49" t="n">
        <v>0</v>
      </c>
      <c r="U464" s="49" t="s">
        <v>1191</v>
      </c>
    </row>
    <row r="465" customFormat="false" ht="15" hidden="false" customHeight="false" outlineLevel="0" collapsed="false">
      <c r="B465" s="48" t="n">
        <v>45122.173275463</v>
      </c>
      <c r="C465" s="4" t="n">
        <f aca="false">YEAR(B465)</f>
        <v>2023</v>
      </c>
      <c r="D465" s="49" t="s">
        <v>278</v>
      </c>
      <c r="E465" s="49" t="s">
        <v>1192</v>
      </c>
      <c r="F465" s="50" t="n">
        <v>5</v>
      </c>
      <c r="G465" s="49" t="s">
        <v>280</v>
      </c>
      <c r="H465" s="51" t="n">
        <v>0.8743</v>
      </c>
      <c r="I465" s="51" t="n">
        <v>0.1171</v>
      </c>
      <c r="J465" s="51" t="n">
        <v>0.0085</v>
      </c>
      <c r="K465" s="49" t="s">
        <v>281</v>
      </c>
      <c r="L465" s="49"/>
      <c r="M465" s="49"/>
      <c r="N465" s="49"/>
      <c r="O465" s="49"/>
      <c r="P465" s="49"/>
      <c r="Q465" s="49"/>
      <c r="R465" s="49" t="s">
        <v>281</v>
      </c>
      <c r="S465" s="49" t="n">
        <v>0</v>
      </c>
      <c r="T465" s="49" t="n">
        <v>0</v>
      </c>
      <c r="U465" s="49" t="s">
        <v>1193</v>
      </c>
    </row>
    <row r="466" customFormat="false" ht="15" hidden="false" customHeight="false" outlineLevel="0" collapsed="false">
      <c r="B466" s="48" t="n">
        <v>45122.8134027778</v>
      </c>
      <c r="C466" s="4" t="n">
        <f aca="false">YEAR(B466)</f>
        <v>2023</v>
      </c>
      <c r="D466" s="49" t="s">
        <v>278</v>
      </c>
      <c r="E466" s="49" t="s">
        <v>1194</v>
      </c>
      <c r="F466" s="50" t="n">
        <v>2</v>
      </c>
      <c r="G466" s="49" t="s">
        <v>280</v>
      </c>
      <c r="H466" s="51" t="n">
        <v>0.6406</v>
      </c>
      <c r="I466" s="51" t="n">
        <v>0.3252</v>
      </c>
      <c r="J466" s="51" t="n">
        <v>0.0342</v>
      </c>
      <c r="K466" s="49"/>
      <c r="L466" s="49"/>
      <c r="M466" s="49"/>
      <c r="N466" s="49"/>
      <c r="O466" s="49"/>
      <c r="P466" s="49"/>
      <c r="Q466" s="49"/>
      <c r="R466" s="49" t="s">
        <v>281</v>
      </c>
      <c r="S466" s="49" t="n">
        <v>0</v>
      </c>
      <c r="T466" s="49" t="n">
        <v>0</v>
      </c>
      <c r="U466" s="49" t="s">
        <v>1195</v>
      </c>
    </row>
    <row r="467" customFormat="false" ht="15" hidden="false" customHeight="false" outlineLevel="0" collapsed="false">
      <c r="B467" s="48" t="n">
        <v>45123.1789930556</v>
      </c>
      <c r="C467" s="4" t="n">
        <f aca="false">YEAR(B467)</f>
        <v>2023</v>
      </c>
      <c r="D467" s="49" t="s">
        <v>283</v>
      </c>
      <c r="E467" s="49" t="s">
        <v>1196</v>
      </c>
      <c r="F467" s="50" t="n">
        <v>1</v>
      </c>
      <c r="G467" s="49" t="s">
        <v>280</v>
      </c>
      <c r="H467" s="51" t="n">
        <v>0.5867</v>
      </c>
      <c r="I467" s="51" t="n">
        <v>0.3925</v>
      </c>
      <c r="J467" s="51" t="n">
        <v>0.0208</v>
      </c>
      <c r="K467" s="49"/>
      <c r="L467" s="49"/>
      <c r="M467" s="49"/>
      <c r="N467" s="49"/>
      <c r="O467" s="49"/>
      <c r="P467" s="49"/>
      <c r="Q467" s="49"/>
      <c r="R467" s="49" t="s">
        <v>281</v>
      </c>
      <c r="S467" s="49" t="n">
        <v>0</v>
      </c>
      <c r="T467" s="49" t="n">
        <v>0</v>
      </c>
      <c r="U467" s="49" t="s">
        <v>1197</v>
      </c>
    </row>
    <row r="468" customFormat="false" ht="15" hidden="false" customHeight="false" outlineLevel="0" collapsed="false">
      <c r="B468" s="48" t="n">
        <v>45124.6122453704</v>
      </c>
      <c r="C468" s="4" t="n">
        <f aca="false">YEAR(B468)</f>
        <v>2023</v>
      </c>
      <c r="D468" s="49" t="s">
        <v>283</v>
      </c>
      <c r="E468" s="49" t="s">
        <v>1198</v>
      </c>
      <c r="F468" s="50" t="n">
        <v>1</v>
      </c>
      <c r="G468" s="49" t="s">
        <v>290</v>
      </c>
      <c r="H468" s="51" t="n">
        <v>0.0167</v>
      </c>
      <c r="I468" s="51" t="n">
        <v>0.7731</v>
      </c>
      <c r="J468" s="51" t="n">
        <v>0.2102</v>
      </c>
      <c r="K468" s="49"/>
      <c r="L468" s="49"/>
      <c r="M468" s="49"/>
      <c r="N468" s="49"/>
      <c r="O468" s="49"/>
      <c r="P468" s="49"/>
      <c r="Q468" s="49"/>
      <c r="R468" s="49"/>
      <c r="S468" s="49" t="n">
        <v>0</v>
      </c>
      <c r="T468" s="49" t="n">
        <v>0</v>
      </c>
      <c r="U468" s="49" t="s">
        <v>1199</v>
      </c>
    </row>
    <row r="469" customFormat="false" ht="15" hidden="false" customHeight="false" outlineLevel="0" collapsed="false">
      <c r="B469" s="48" t="n">
        <v>45124.8443634259</v>
      </c>
      <c r="C469" s="4" t="n">
        <f aca="false">YEAR(B469)</f>
        <v>2023</v>
      </c>
      <c r="D469" s="49" t="s">
        <v>283</v>
      </c>
      <c r="E469" s="49" t="s">
        <v>1200</v>
      </c>
      <c r="F469" s="50" t="n">
        <v>4</v>
      </c>
      <c r="G469" s="49" t="s">
        <v>290</v>
      </c>
      <c r="H469" s="51" t="n">
        <v>0.0169</v>
      </c>
      <c r="I469" s="51" t="n">
        <v>0.5451</v>
      </c>
      <c r="J469" s="51" t="n">
        <v>0.438</v>
      </c>
      <c r="K469" s="49"/>
      <c r="L469" s="49"/>
      <c r="M469" s="49"/>
      <c r="N469" s="49"/>
      <c r="O469" s="49"/>
      <c r="P469" s="49"/>
      <c r="Q469" s="49"/>
      <c r="R469" s="49"/>
      <c r="S469" s="49" t="n">
        <v>0</v>
      </c>
      <c r="T469" s="49" t="n">
        <v>0</v>
      </c>
      <c r="U469" s="49" t="s">
        <v>1201</v>
      </c>
    </row>
    <row r="470" customFormat="false" ht="15" hidden="false" customHeight="false" outlineLevel="0" collapsed="false">
      <c r="B470" s="48" t="n">
        <v>45124.9240740741</v>
      </c>
      <c r="C470" s="4" t="n">
        <f aca="false">YEAR(B470)</f>
        <v>2023</v>
      </c>
      <c r="D470" s="49" t="s">
        <v>283</v>
      </c>
      <c r="E470" s="49" t="s">
        <v>1202</v>
      </c>
      <c r="F470" s="50" t="n">
        <v>1</v>
      </c>
      <c r="G470" s="49" t="s">
        <v>290</v>
      </c>
      <c r="H470" s="51" t="n">
        <v>0.2462</v>
      </c>
      <c r="I470" s="51" t="n">
        <v>0.6545</v>
      </c>
      <c r="J470" s="51" t="n">
        <v>0.0993</v>
      </c>
      <c r="K470" s="49" t="s">
        <v>281</v>
      </c>
      <c r="L470" s="49"/>
      <c r="M470" s="49"/>
      <c r="N470" s="49"/>
      <c r="O470" s="49"/>
      <c r="P470" s="49"/>
      <c r="Q470" s="49"/>
      <c r="R470" s="49"/>
      <c r="S470" s="49" t="n">
        <v>0</v>
      </c>
      <c r="T470" s="49" t="n">
        <v>0</v>
      </c>
      <c r="U470" s="49" t="s">
        <v>1203</v>
      </c>
    </row>
    <row r="471" customFormat="false" ht="15" hidden="false" customHeight="false" outlineLevel="0" collapsed="false">
      <c r="B471" s="48" t="n">
        <v>45124.9887037037</v>
      </c>
      <c r="C471" s="4" t="n">
        <f aca="false">YEAR(B471)</f>
        <v>2023</v>
      </c>
      <c r="D471" s="49" t="s">
        <v>283</v>
      </c>
      <c r="E471" s="49" t="s">
        <v>1204</v>
      </c>
      <c r="F471" s="50" t="n">
        <v>36</v>
      </c>
      <c r="G471" s="49" t="s">
        <v>280</v>
      </c>
      <c r="H471" s="51" t="n">
        <v>0.5901</v>
      </c>
      <c r="I471" s="51" t="n">
        <v>0.3865</v>
      </c>
      <c r="J471" s="51" t="n">
        <v>0.0234</v>
      </c>
      <c r="K471" s="49"/>
      <c r="L471" s="49"/>
      <c r="M471" s="49"/>
      <c r="N471" s="49"/>
      <c r="O471" s="49"/>
      <c r="P471" s="49"/>
      <c r="Q471" s="49" t="s">
        <v>281</v>
      </c>
      <c r="R471" s="49" t="s">
        <v>281</v>
      </c>
      <c r="S471" s="49" t="n">
        <v>0</v>
      </c>
      <c r="T471" s="49" t="n">
        <v>0</v>
      </c>
      <c r="U471" s="49" t="s">
        <v>1205</v>
      </c>
    </row>
    <row r="472" customFormat="false" ht="15" hidden="false" customHeight="false" outlineLevel="0" collapsed="false">
      <c r="B472" s="48" t="n">
        <v>45125.1455439815</v>
      </c>
      <c r="C472" s="4" t="n">
        <f aca="false">YEAR(B472)</f>
        <v>2023</v>
      </c>
      <c r="D472" s="49" t="s">
        <v>283</v>
      </c>
      <c r="E472" s="49" t="s">
        <v>1206</v>
      </c>
      <c r="F472" s="50" t="n">
        <v>1</v>
      </c>
      <c r="G472" s="49" t="s">
        <v>290</v>
      </c>
      <c r="H472" s="51" t="n">
        <v>0.0124</v>
      </c>
      <c r="I472" s="51" t="n">
        <v>0.5434</v>
      </c>
      <c r="J472" s="51" t="n">
        <v>0.4443</v>
      </c>
      <c r="K472" s="49"/>
      <c r="L472" s="49"/>
      <c r="M472" s="49"/>
      <c r="N472" s="49"/>
      <c r="O472" s="49"/>
      <c r="P472" s="49"/>
      <c r="Q472" s="49"/>
      <c r="R472" s="49"/>
      <c r="S472" s="49" t="n">
        <v>0</v>
      </c>
      <c r="T472" s="49" t="n">
        <v>0</v>
      </c>
      <c r="U472" s="49" t="s">
        <v>1207</v>
      </c>
    </row>
    <row r="473" customFormat="false" ht="15" hidden="false" customHeight="false" outlineLevel="0" collapsed="false">
      <c r="B473" s="48" t="n">
        <v>45125.1694328704</v>
      </c>
      <c r="C473" s="4" t="n">
        <f aca="false">YEAR(B473)</f>
        <v>2023</v>
      </c>
      <c r="D473" s="49" t="s">
        <v>283</v>
      </c>
      <c r="E473" s="49" t="s">
        <v>1208</v>
      </c>
      <c r="F473" s="50" t="n">
        <v>3</v>
      </c>
      <c r="G473" s="49" t="s">
        <v>290</v>
      </c>
      <c r="H473" s="51" t="n">
        <v>0.0047</v>
      </c>
      <c r="I473" s="51" t="n">
        <v>0.9133</v>
      </c>
      <c r="J473" s="51" t="n">
        <v>0.082</v>
      </c>
      <c r="K473" s="49"/>
      <c r="L473" s="49"/>
      <c r="M473" s="49"/>
      <c r="N473" s="49"/>
      <c r="O473" s="49"/>
      <c r="P473" s="49"/>
      <c r="Q473" s="49"/>
      <c r="R473" s="49"/>
      <c r="S473" s="49" t="n">
        <v>0</v>
      </c>
      <c r="T473" s="49" t="n">
        <v>0</v>
      </c>
      <c r="U473" s="49" t="s">
        <v>1209</v>
      </c>
    </row>
    <row r="474" customFormat="false" ht="15" hidden="false" customHeight="false" outlineLevel="0" collapsed="false">
      <c r="B474" s="48" t="n">
        <v>45125.211875</v>
      </c>
      <c r="C474" s="4" t="n">
        <f aca="false">YEAR(B474)</f>
        <v>2023</v>
      </c>
      <c r="D474" s="49" t="s">
        <v>278</v>
      </c>
      <c r="E474" s="49" t="s">
        <v>1210</v>
      </c>
      <c r="F474" s="50" t="n">
        <v>1</v>
      </c>
      <c r="G474" s="49" t="s">
        <v>290</v>
      </c>
      <c r="H474" s="51" t="n">
        <v>0.0179</v>
      </c>
      <c r="I474" s="51" t="n">
        <v>0.9086</v>
      </c>
      <c r="J474" s="51" t="n">
        <v>0.0736</v>
      </c>
      <c r="K474" s="49"/>
      <c r="L474" s="49"/>
      <c r="M474" s="49"/>
      <c r="N474" s="49"/>
      <c r="O474" s="49"/>
      <c r="P474" s="49"/>
      <c r="Q474" s="49"/>
      <c r="R474" s="49" t="s">
        <v>281</v>
      </c>
      <c r="S474" s="49" t="n">
        <v>1</v>
      </c>
      <c r="T474" s="49" t="n">
        <v>0</v>
      </c>
      <c r="U474" s="49" t="s">
        <v>1211</v>
      </c>
    </row>
    <row r="475" customFormat="false" ht="15" hidden="false" customHeight="false" outlineLevel="0" collapsed="false">
      <c r="B475" s="48" t="n">
        <v>45125.7346875</v>
      </c>
      <c r="C475" s="4" t="n">
        <f aca="false">YEAR(B475)</f>
        <v>2023</v>
      </c>
      <c r="D475" s="49" t="s">
        <v>283</v>
      </c>
      <c r="E475" s="49" t="s">
        <v>1212</v>
      </c>
      <c r="F475" s="50" t="n">
        <v>2</v>
      </c>
      <c r="G475" s="49" t="s">
        <v>280</v>
      </c>
      <c r="H475" s="51" t="n">
        <v>0.9098</v>
      </c>
      <c r="I475" s="51" t="n">
        <v>0.0786</v>
      </c>
      <c r="J475" s="51" t="n">
        <v>0.0116</v>
      </c>
      <c r="K475" s="49"/>
      <c r="L475" s="49"/>
      <c r="M475" s="49"/>
      <c r="N475" s="49"/>
      <c r="O475" s="49"/>
      <c r="P475" s="49" t="s">
        <v>281</v>
      </c>
      <c r="Q475" s="49"/>
      <c r="R475" s="49"/>
      <c r="S475" s="49" t="n">
        <v>0</v>
      </c>
      <c r="T475" s="49" t="n">
        <v>0</v>
      </c>
      <c r="U475" s="49" t="s">
        <v>1213</v>
      </c>
    </row>
    <row r="476" customFormat="false" ht="15" hidden="false" customHeight="false" outlineLevel="0" collapsed="false">
      <c r="B476" s="48" t="n">
        <v>45126.5794328704</v>
      </c>
      <c r="C476" s="4" t="n">
        <f aca="false">YEAR(B476)</f>
        <v>2023</v>
      </c>
      <c r="D476" s="49" t="s">
        <v>278</v>
      </c>
      <c r="E476" s="49" t="s">
        <v>1214</v>
      </c>
      <c r="F476" s="50" t="n">
        <v>215</v>
      </c>
      <c r="G476" s="49" t="s">
        <v>290</v>
      </c>
      <c r="H476" s="51" t="n">
        <v>0.278</v>
      </c>
      <c r="I476" s="51" t="n">
        <v>0.5019</v>
      </c>
      <c r="J476" s="51" t="n">
        <v>0.2201</v>
      </c>
      <c r="K476" s="49"/>
      <c r="L476" s="49"/>
      <c r="M476" s="49"/>
      <c r="N476" s="49"/>
      <c r="O476" s="49"/>
      <c r="P476" s="49"/>
      <c r="Q476" s="49"/>
      <c r="R476" s="49"/>
      <c r="S476" s="49" t="n">
        <v>0</v>
      </c>
      <c r="T476" s="49" t="n">
        <v>0</v>
      </c>
      <c r="U476" s="49" t="s">
        <v>1215</v>
      </c>
    </row>
    <row r="477" customFormat="false" ht="15" hidden="false" customHeight="false" outlineLevel="0" collapsed="false">
      <c r="B477" s="48" t="n">
        <v>45126.6688541667</v>
      </c>
      <c r="C477" s="4" t="n">
        <f aca="false">YEAR(B477)</f>
        <v>2023</v>
      </c>
      <c r="D477" s="49" t="s">
        <v>283</v>
      </c>
      <c r="E477" s="49" t="s">
        <v>1216</v>
      </c>
      <c r="F477" s="50" t="n">
        <v>2</v>
      </c>
      <c r="G477" s="49" t="s">
        <v>290</v>
      </c>
      <c r="H477" s="51" t="n">
        <v>0.0067</v>
      </c>
      <c r="I477" s="51" t="n">
        <v>0.7814</v>
      </c>
      <c r="J477" s="51" t="n">
        <v>0.2119</v>
      </c>
      <c r="K477" s="49"/>
      <c r="L477" s="49"/>
      <c r="M477" s="49"/>
      <c r="N477" s="49"/>
      <c r="O477" s="49"/>
      <c r="P477" s="49"/>
      <c r="Q477" s="49"/>
      <c r="R477" s="49"/>
      <c r="S477" s="49" t="n">
        <v>0</v>
      </c>
      <c r="T477" s="49" t="n">
        <v>0</v>
      </c>
      <c r="U477" s="49" t="s">
        <v>1217</v>
      </c>
    </row>
    <row r="478" customFormat="false" ht="15" hidden="false" customHeight="false" outlineLevel="0" collapsed="false">
      <c r="B478" s="48" t="n">
        <v>45126.7469791667</v>
      </c>
      <c r="C478" s="4" t="n">
        <f aca="false">YEAR(B478)</f>
        <v>2023</v>
      </c>
      <c r="D478" s="49" t="s">
        <v>283</v>
      </c>
      <c r="E478" s="49" t="s">
        <v>1218</v>
      </c>
      <c r="F478" s="50" t="n">
        <v>1</v>
      </c>
      <c r="G478" s="49" t="s">
        <v>290</v>
      </c>
      <c r="H478" s="51" t="n">
        <v>0.0154</v>
      </c>
      <c r="I478" s="51" t="n">
        <v>0.7423</v>
      </c>
      <c r="J478" s="51" t="n">
        <v>0.2423</v>
      </c>
      <c r="K478" s="49"/>
      <c r="L478" s="49"/>
      <c r="M478" s="49"/>
      <c r="N478" s="49"/>
      <c r="O478" s="49"/>
      <c r="P478" s="49"/>
      <c r="Q478" s="49"/>
      <c r="R478" s="49"/>
      <c r="S478" s="49" t="n">
        <v>0</v>
      </c>
      <c r="T478" s="49" t="n">
        <v>0</v>
      </c>
      <c r="U478" s="49" t="s">
        <v>1219</v>
      </c>
    </row>
    <row r="479" customFormat="false" ht="15" hidden="false" customHeight="false" outlineLevel="0" collapsed="false">
      <c r="B479" s="48" t="n">
        <v>45126.7565509259</v>
      </c>
      <c r="C479" s="4" t="n">
        <f aca="false">YEAR(B479)</f>
        <v>2023</v>
      </c>
      <c r="D479" s="49" t="s">
        <v>283</v>
      </c>
      <c r="E479" s="49" t="s">
        <v>1220</v>
      </c>
      <c r="F479" s="50" t="n">
        <v>1</v>
      </c>
      <c r="G479" s="49" t="s">
        <v>280</v>
      </c>
      <c r="H479" s="51" t="n">
        <v>0.7785</v>
      </c>
      <c r="I479" s="51" t="n">
        <v>0.2115</v>
      </c>
      <c r="J479" s="51" t="n">
        <v>0.01</v>
      </c>
      <c r="K479" s="49"/>
      <c r="L479" s="49"/>
      <c r="M479" s="49"/>
      <c r="N479" s="49"/>
      <c r="O479" s="49"/>
      <c r="P479" s="49"/>
      <c r="Q479" s="49"/>
      <c r="R479" s="49" t="s">
        <v>281</v>
      </c>
      <c r="S479" s="49" t="n">
        <v>0</v>
      </c>
      <c r="T479" s="49" t="n">
        <v>0</v>
      </c>
      <c r="U479" s="49" t="s">
        <v>1221</v>
      </c>
    </row>
    <row r="480" customFormat="false" ht="15" hidden="false" customHeight="false" outlineLevel="0" collapsed="false">
      <c r="B480" s="48" t="n">
        <v>45127.5505324074</v>
      </c>
      <c r="C480" s="4" t="n">
        <f aca="false">YEAR(B480)</f>
        <v>2023</v>
      </c>
      <c r="D480" s="49" t="s">
        <v>283</v>
      </c>
      <c r="E480" s="49" t="s">
        <v>1222</v>
      </c>
      <c r="F480" s="50" t="n">
        <v>1</v>
      </c>
      <c r="G480" s="49" t="s">
        <v>290</v>
      </c>
      <c r="H480" s="51" t="n">
        <v>0.4748</v>
      </c>
      <c r="I480" s="51" t="n">
        <v>0.5112</v>
      </c>
      <c r="J480" s="51" t="n">
        <v>0.014</v>
      </c>
      <c r="K480" s="49"/>
      <c r="L480" s="49"/>
      <c r="M480" s="49"/>
      <c r="N480" s="49"/>
      <c r="O480" s="49"/>
      <c r="P480" s="49"/>
      <c r="Q480" s="49"/>
      <c r="R480" s="49" t="s">
        <v>281</v>
      </c>
      <c r="S480" s="49" t="n">
        <v>1</v>
      </c>
      <c r="T480" s="49" t="n">
        <v>0</v>
      </c>
      <c r="U480" s="49" t="s">
        <v>1223</v>
      </c>
    </row>
    <row r="481" customFormat="false" ht="15" hidden="false" customHeight="false" outlineLevel="0" collapsed="false">
      <c r="B481" s="48" t="n">
        <v>45130.0766666667</v>
      </c>
      <c r="C481" s="4" t="n">
        <f aca="false">YEAR(B481)</f>
        <v>2023</v>
      </c>
      <c r="D481" s="49" t="s">
        <v>283</v>
      </c>
      <c r="E481" s="49" t="s">
        <v>1224</v>
      </c>
      <c r="F481" s="50" t="n">
        <v>0</v>
      </c>
      <c r="G481" s="49" t="s">
        <v>290</v>
      </c>
      <c r="H481" s="51" t="n">
        <v>0.0852</v>
      </c>
      <c r="I481" s="51" t="n">
        <v>0.7697</v>
      </c>
      <c r="J481" s="51" t="n">
        <v>0.1451</v>
      </c>
      <c r="K481" s="49"/>
      <c r="L481" s="49"/>
      <c r="M481" s="49"/>
      <c r="N481" s="49"/>
      <c r="O481" s="49"/>
      <c r="P481" s="49"/>
      <c r="Q481" s="49"/>
      <c r="R481" s="49"/>
      <c r="S481" s="49" t="n">
        <v>0</v>
      </c>
      <c r="T481" s="49" t="n">
        <v>0</v>
      </c>
      <c r="U481" s="49" t="s">
        <v>1225</v>
      </c>
    </row>
    <row r="482" customFormat="false" ht="15" hidden="false" customHeight="false" outlineLevel="0" collapsed="false">
      <c r="B482" s="48" t="n">
        <v>45130.3062268519</v>
      </c>
      <c r="C482" s="4" t="n">
        <f aca="false">YEAR(B482)</f>
        <v>2023</v>
      </c>
      <c r="D482" s="49" t="s">
        <v>278</v>
      </c>
      <c r="E482" s="49" t="s">
        <v>1226</v>
      </c>
      <c r="F482" s="50" t="n">
        <v>1</v>
      </c>
      <c r="G482" s="49" t="s">
        <v>287</v>
      </c>
      <c r="H482" s="51" t="n">
        <v>0.004</v>
      </c>
      <c r="I482" s="51" t="n">
        <v>0.2581</v>
      </c>
      <c r="J482" s="51" t="n">
        <v>0.7379</v>
      </c>
      <c r="K482" s="49"/>
      <c r="L482" s="49"/>
      <c r="M482" s="49"/>
      <c r="N482" s="49"/>
      <c r="O482" s="49"/>
      <c r="P482" s="49"/>
      <c r="Q482" s="49"/>
      <c r="R482" s="49"/>
      <c r="S482" s="49" t="n">
        <v>1</v>
      </c>
      <c r="T482" s="49" t="n">
        <v>0</v>
      </c>
      <c r="U482" s="49" t="s">
        <v>1227</v>
      </c>
    </row>
    <row r="483" customFormat="false" ht="15" hidden="false" customHeight="false" outlineLevel="0" collapsed="false">
      <c r="B483" s="48" t="n">
        <v>45130.4467013889</v>
      </c>
      <c r="C483" s="4" t="n">
        <f aca="false">YEAR(B483)</f>
        <v>2023</v>
      </c>
      <c r="D483" s="49" t="s">
        <v>278</v>
      </c>
      <c r="E483" s="49" t="s">
        <v>1228</v>
      </c>
      <c r="F483" s="50" t="n">
        <v>2</v>
      </c>
      <c r="G483" s="49" t="s">
        <v>280</v>
      </c>
      <c r="H483" s="51" t="n">
        <v>0.5125</v>
      </c>
      <c r="I483" s="51" t="n">
        <v>0.4547</v>
      </c>
      <c r="J483" s="51" t="n">
        <v>0.0328</v>
      </c>
      <c r="K483" s="49"/>
      <c r="L483" s="49"/>
      <c r="M483" s="49"/>
      <c r="N483" s="49"/>
      <c r="O483" s="49"/>
      <c r="P483" s="49"/>
      <c r="Q483" s="49"/>
      <c r="R483" s="49"/>
      <c r="S483" s="49" t="n">
        <v>0</v>
      </c>
      <c r="T483" s="49" t="n">
        <v>0</v>
      </c>
      <c r="U483" s="49" t="s">
        <v>1229</v>
      </c>
    </row>
    <row r="484" customFormat="false" ht="15" hidden="false" customHeight="false" outlineLevel="0" collapsed="false">
      <c r="B484" s="48" t="n">
        <v>45131.6624768519</v>
      </c>
      <c r="C484" s="4" t="n">
        <f aca="false">YEAR(B484)</f>
        <v>2023</v>
      </c>
      <c r="D484" s="49" t="s">
        <v>283</v>
      </c>
      <c r="E484" s="49" t="s">
        <v>1230</v>
      </c>
      <c r="F484" s="50" t="n">
        <v>3</v>
      </c>
      <c r="G484" s="49" t="s">
        <v>290</v>
      </c>
      <c r="H484" s="51" t="n">
        <v>0.1742</v>
      </c>
      <c r="I484" s="51" t="n">
        <v>0.7843</v>
      </c>
      <c r="J484" s="51" t="n">
        <v>0.0415</v>
      </c>
      <c r="K484" s="49"/>
      <c r="L484" s="49"/>
      <c r="M484" s="49"/>
      <c r="N484" s="49"/>
      <c r="O484" s="49"/>
      <c r="P484" s="49"/>
      <c r="Q484" s="49"/>
      <c r="R484" s="49"/>
      <c r="S484" s="49" t="n">
        <v>0</v>
      </c>
      <c r="T484" s="49" t="n">
        <v>0</v>
      </c>
      <c r="U484" s="49" t="s">
        <v>1231</v>
      </c>
    </row>
    <row r="485" customFormat="false" ht="15" hidden="false" customHeight="false" outlineLevel="0" collapsed="false">
      <c r="B485" s="48" t="n">
        <v>45131.7254513889</v>
      </c>
      <c r="C485" s="4" t="n">
        <f aca="false">YEAR(B485)</f>
        <v>2023</v>
      </c>
      <c r="D485" s="49" t="s">
        <v>283</v>
      </c>
      <c r="E485" s="49" t="s">
        <v>1232</v>
      </c>
      <c r="F485" s="50" t="n">
        <v>5</v>
      </c>
      <c r="G485" s="49" t="s">
        <v>290</v>
      </c>
      <c r="H485" s="51" t="n">
        <v>0.1324</v>
      </c>
      <c r="I485" s="51" t="n">
        <v>0.6729</v>
      </c>
      <c r="J485" s="51" t="n">
        <v>0.1947</v>
      </c>
      <c r="K485" s="49" t="s">
        <v>281</v>
      </c>
      <c r="L485" s="49"/>
      <c r="M485" s="49"/>
      <c r="N485" s="49"/>
      <c r="O485" s="49"/>
      <c r="P485" s="49"/>
      <c r="Q485" s="49"/>
      <c r="R485" s="49"/>
      <c r="S485" s="49" t="n">
        <v>0</v>
      </c>
      <c r="T485" s="49" t="n">
        <v>0</v>
      </c>
      <c r="U485" s="49" t="s">
        <v>1233</v>
      </c>
    </row>
    <row r="486" customFormat="false" ht="15" hidden="false" customHeight="false" outlineLevel="0" collapsed="false">
      <c r="B486" s="48" t="n">
        <v>45131.7486226852</v>
      </c>
      <c r="C486" s="4" t="n">
        <f aca="false">YEAR(B486)</f>
        <v>2023</v>
      </c>
      <c r="D486" s="49" t="s">
        <v>283</v>
      </c>
      <c r="E486" s="49" t="s">
        <v>1234</v>
      </c>
      <c r="F486" s="50" t="n">
        <v>2</v>
      </c>
      <c r="G486" s="49" t="s">
        <v>287</v>
      </c>
      <c r="H486" s="51" t="n">
        <v>0.0023</v>
      </c>
      <c r="I486" s="51" t="n">
        <v>0.0509</v>
      </c>
      <c r="J486" s="51" t="n">
        <v>0.9469</v>
      </c>
      <c r="K486" s="49"/>
      <c r="L486" s="49"/>
      <c r="M486" s="49"/>
      <c r="N486" s="49"/>
      <c r="O486" s="49"/>
      <c r="P486" s="49"/>
      <c r="Q486" s="49" t="s">
        <v>281</v>
      </c>
      <c r="R486" s="49"/>
      <c r="S486" s="49" t="n">
        <v>0</v>
      </c>
      <c r="T486" s="49" t="n">
        <v>0</v>
      </c>
      <c r="U486" s="49" t="s">
        <v>1235</v>
      </c>
    </row>
    <row r="487" customFormat="false" ht="15" hidden="false" customHeight="false" outlineLevel="0" collapsed="false">
      <c r="B487" s="48" t="n">
        <v>45131.9005671296</v>
      </c>
      <c r="C487" s="4" t="n">
        <f aca="false">YEAR(B487)</f>
        <v>2023</v>
      </c>
      <c r="D487" s="49" t="s">
        <v>283</v>
      </c>
      <c r="E487" s="49" t="s">
        <v>1236</v>
      </c>
      <c r="F487" s="50" t="n">
        <v>43</v>
      </c>
      <c r="G487" s="49" t="s">
        <v>287</v>
      </c>
      <c r="H487" s="51" t="n">
        <v>0.1841</v>
      </c>
      <c r="I487" s="51" t="n">
        <v>0.2335</v>
      </c>
      <c r="J487" s="51" t="n">
        <v>0.5824</v>
      </c>
      <c r="K487" s="49"/>
      <c r="L487" s="49"/>
      <c r="M487" s="49"/>
      <c r="N487" s="49"/>
      <c r="O487" s="49"/>
      <c r="P487" s="49"/>
      <c r="Q487" s="49"/>
      <c r="R487" s="49" t="s">
        <v>281</v>
      </c>
      <c r="S487" s="49" t="n">
        <v>0</v>
      </c>
      <c r="T487" s="49" t="n">
        <v>0</v>
      </c>
      <c r="U487" s="49" t="s">
        <v>1237</v>
      </c>
    </row>
    <row r="488" customFormat="false" ht="15" hidden="false" customHeight="false" outlineLevel="0" collapsed="false">
      <c r="B488" s="48" t="n">
        <v>45132.0927314815</v>
      </c>
      <c r="C488" s="4" t="n">
        <f aca="false">YEAR(B488)</f>
        <v>2023</v>
      </c>
      <c r="D488" s="49" t="s">
        <v>283</v>
      </c>
      <c r="E488" s="49" t="s">
        <v>1238</v>
      </c>
      <c r="F488" s="50" t="n">
        <v>5</v>
      </c>
      <c r="G488" s="49" t="s">
        <v>287</v>
      </c>
      <c r="H488" s="51" t="n">
        <v>0.0083</v>
      </c>
      <c r="I488" s="51" t="n">
        <v>0.4182</v>
      </c>
      <c r="J488" s="51" t="n">
        <v>0.5736</v>
      </c>
      <c r="K488" s="49"/>
      <c r="L488" s="49"/>
      <c r="M488" s="49"/>
      <c r="N488" s="49"/>
      <c r="O488" s="49"/>
      <c r="P488" s="49"/>
      <c r="Q488" s="49"/>
      <c r="R488" s="49" t="s">
        <v>281</v>
      </c>
      <c r="S488" s="49" t="n">
        <v>0</v>
      </c>
      <c r="T488" s="49" t="n">
        <v>0</v>
      </c>
      <c r="U488" s="49" t="s">
        <v>1239</v>
      </c>
    </row>
    <row r="489" customFormat="false" ht="15" hidden="false" customHeight="false" outlineLevel="0" collapsed="false">
      <c r="B489" s="48" t="n">
        <v>45132.2118402778</v>
      </c>
      <c r="C489" s="4" t="n">
        <f aca="false">YEAR(B489)</f>
        <v>2023</v>
      </c>
      <c r="D489" s="49" t="s">
        <v>283</v>
      </c>
      <c r="E489" s="49" t="s">
        <v>1240</v>
      </c>
      <c r="F489" s="50" t="n">
        <v>5</v>
      </c>
      <c r="G489" s="49" t="s">
        <v>287</v>
      </c>
      <c r="H489" s="51" t="n">
        <v>0.0172</v>
      </c>
      <c r="I489" s="51" t="n">
        <v>0.2647</v>
      </c>
      <c r="J489" s="51" t="n">
        <v>0.7181</v>
      </c>
      <c r="K489" s="49"/>
      <c r="L489" s="49"/>
      <c r="M489" s="49"/>
      <c r="N489" s="49"/>
      <c r="O489" s="49"/>
      <c r="P489" s="49"/>
      <c r="Q489" s="49"/>
      <c r="R489" s="49"/>
      <c r="S489" s="49" t="n">
        <v>0</v>
      </c>
      <c r="T489" s="49" t="n">
        <v>0</v>
      </c>
      <c r="U489" s="49" t="s">
        <v>1241</v>
      </c>
    </row>
    <row r="490" customFormat="false" ht="15" hidden="false" customHeight="false" outlineLevel="0" collapsed="false">
      <c r="B490" s="48" t="n">
        <v>45132.3889814815</v>
      </c>
      <c r="C490" s="4" t="n">
        <f aca="false">YEAR(B490)</f>
        <v>2023</v>
      </c>
      <c r="D490" s="49" t="s">
        <v>283</v>
      </c>
      <c r="E490" s="49" t="s">
        <v>1242</v>
      </c>
      <c r="F490" s="50" t="n">
        <v>1</v>
      </c>
      <c r="G490" s="49" t="s">
        <v>280</v>
      </c>
      <c r="H490" s="51" t="n">
        <v>0.846</v>
      </c>
      <c r="I490" s="51" t="n">
        <v>0.1425</v>
      </c>
      <c r="J490" s="51" t="n">
        <v>0.0116</v>
      </c>
      <c r="K490" s="49"/>
      <c r="L490" s="49"/>
      <c r="M490" s="49"/>
      <c r="N490" s="49"/>
      <c r="O490" s="49"/>
      <c r="P490" s="49"/>
      <c r="Q490" s="49"/>
      <c r="R490" s="49" t="s">
        <v>281</v>
      </c>
      <c r="S490" s="49" t="n">
        <v>0</v>
      </c>
      <c r="T490" s="49" t="n">
        <v>0</v>
      </c>
      <c r="U490" s="49" t="s">
        <v>1243</v>
      </c>
    </row>
    <row r="491" customFormat="false" ht="15" hidden="false" customHeight="false" outlineLevel="0" collapsed="false">
      <c r="B491" s="48" t="n">
        <v>45132.6573726852</v>
      </c>
      <c r="C491" s="4" t="n">
        <f aca="false">YEAR(B491)</f>
        <v>2023</v>
      </c>
      <c r="D491" s="49" t="s">
        <v>283</v>
      </c>
      <c r="E491" s="49" t="s">
        <v>1244</v>
      </c>
      <c r="F491" s="50" t="n">
        <v>2</v>
      </c>
      <c r="G491" s="49" t="s">
        <v>290</v>
      </c>
      <c r="H491" s="51" t="n">
        <v>0.4632</v>
      </c>
      <c r="I491" s="51" t="n">
        <v>0.5051</v>
      </c>
      <c r="J491" s="51" t="n">
        <v>0.0318</v>
      </c>
      <c r="K491" s="49" t="s">
        <v>281</v>
      </c>
      <c r="L491" s="49"/>
      <c r="M491" s="49"/>
      <c r="N491" s="49"/>
      <c r="O491" s="49"/>
      <c r="P491" s="49"/>
      <c r="Q491" s="49"/>
      <c r="R491" s="49"/>
      <c r="S491" s="49" t="n">
        <v>0</v>
      </c>
      <c r="T491" s="49" t="n">
        <v>0</v>
      </c>
      <c r="U491" s="49" t="s">
        <v>1245</v>
      </c>
    </row>
    <row r="492" customFormat="false" ht="15" hidden="false" customHeight="false" outlineLevel="0" collapsed="false">
      <c r="B492" s="48" t="n">
        <v>45132.8941898148</v>
      </c>
      <c r="C492" s="4" t="n">
        <f aca="false">YEAR(B492)</f>
        <v>2023</v>
      </c>
      <c r="D492" s="49" t="s">
        <v>283</v>
      </c>
      <c r="E492" s="49" t="s">
        <v>1246</v>
      </c>
      <c r="F492" s="50" t="n">
        <v>1</v>
      </c>
      <c r="G492" s="49" t="s">
        <v>290</v>
      </c>
      <c r="H492" s="51" t="n">
        <v>0.0743</v>
      </c>
      <c r="I492" s="51" t="n">
        <v>0.7364</v>
      </c>
      <c r="J492" s="51" t="n">
        <v>0.1893</v>
      </c>
      <c r="K492" s="49"/>
      <c r="L492" s="49"/>
      <c r="M492" s="49"/>
      <c r="N492" s="49"/>
      <c r="O492" s="49"/>
      <c r="P492" s="49"/>
      <c r="Q492" s="49"/>
      <c r="R492" s="49"/>
      <c r="S492" s="49" t="n">
        <v>0</v>
      </c>
      <c r="T492" s="49" t="n">
        <v>0</v>
      </c>
      <c r="U492" s="49" t="s">
        <v>1247</v>
      </c>
    </row>
    <row r="493" customFormat="false" ht="15" hidden="false" customHeight="false" outlineLevel="0" collapsed="false">
      <c r="B493" s="48" t="n">
        <v>45134.2076736111</v>
      </c>
      <c r="C493" s="4" t="n">
        <f aca="false">YEAR(B493)</f>
        <v>2023</v>
      </c>
      <c r="D493" s="49" t="s">
        <v>283</v>
      </c>
      <c r="E493" s="49" t="s">
        <v>1248</v>
      </c>
      <c r="F493" s="50" t="n">
        <v>1</v>
      </c>
      <c r="G493" s="49" t="s">
        <v>280</v>
      </c>
      <c r="H493" s="51" t="n">
        <v>0.7925</v>
      </c>
      <c r="I493" s="51" t="n">
        <v>0.1755</v>
      </c>
      <c r="J493" s="51" t="n">
        <v>0.032</v>
      </c>
      <c r="K493" s="49"/>
      <c r="L493" s="49"/>
      <c r="M493" s="49"/>
      <c r="N493" s="49"/>
      <c r="O493" s="49"/>
      <c r="P493" s="49"/>
      <c r="Q493" s="49"/>
      <c r="R493" s="49"/>
      <c r="S493" s="49" t="n">
        <v>0</v>
      </c>
      <c r="T493" s="49" t="n">
        <v>0</v>
      </c>
      <c r="U493" s="49" t="s">
        <v>1249</v>
      </c>
    </row>
    <row r="494" customFormat="false" ht="15" hidden="false" customHeight="false" outlineLevel="0" collapsed="false">
      <c r="B494" s="48" t="n">
        <v>45134.4043287037</v>
      </c>
      <c r="C494" s="4" t="n">
        <f aca="false">YEAR(B494)</f>
        <v>2023</v>
      </c>
      <c r="D494" s="49" t="s">
        <v>278</v>
      </c>
      <c r="E494" s="49" t="s">
        <v>1250</v>
      </c>
      <c r="F494" s="50" t="n">
        <v>11</v>
      </c>
      <c r="G494" s="49" t="s">
        <v>280</v>
      </c>
      <c r="H494" s="51" t="n">
        <v>0.7565</v>
      </c>
      <c r="I494" s="51" t="n">
        <v>0.23</v>
      </c>
      <c r="J494" s="51" t="n">
        <v>0.0135</v>
      </c>
      <c r="K494" s="49"/>
      <c r="L494" s="49"/>
      <c r="M494" s="49"/>
      <c r="N494" s="49"/>
      <c r="O494" s="49"/>
      <c r="P494" s="49"/>
      <c r="Q494" s="49"/>
      <c r="R494" s="49"/>
      <c r="S494" s="49" t="n">
        <v>0</v>
      </c>
      <c r="T494" s="49" t="n">
        <v>0</v>
      </c>
      <c r="U494" s="49" t="s">
        <v>1251</v>
      </c>
    </row>
    <row r="495" customFormat="false" ht="15" hidden="false" customHeight="false" outlineLevel="0" collapsed="false">
      <c r="B495" s="48" t="n">
        <v>45134.83</v>
      </c>
      <c r="C495" s="4" t="n">
        <f aca="false">YEAR(B495)</f>
        <v>2023</v>
      </c>
      <c r="D495" s="49" t="s">
        <v>283</v>
      </c>
      <c r="E495" s="49" t="s">
        <v>1252</v>
      </c>
      <c r="F495" s="50" t="n">
        <v>1</v>
      </c>
      <c r="G495" s="49" t="s">
        <v>290</v>
      </c>
      <c r="H495" s="51" t="n">
        <v>0.123</v>
      </c>
      <c r="I495" s="51" t="n">
        <v>0.5669</v>
      </c>
      <c r="J495" s="51" t="n">
        <v>0.3101</v>
      </c>
      <c r="K495" s="49"/>
      <c r="L495" s="49"/>
      <c r="M495" s="49"/>
      <c r="N495" s="49"/>
      <c r="O495" s="49"/>
      <c r="P495" s="49"/>
      <c r="Q495" s="49"/>
      <c r="R495" s="49"/>
      <c r="S495" s="49" t="n">
        <v>0</v>
      </c>
      <c r="T495" s="49" t="n">
        <v>0</v>
      </c>
      <c r="U495" s="49" t="s">
        <v>1253</v>
      </c>
    </row>
    <row r="496" customFormat="false" ht="15" hidden="false" customHeight="false" outlineLevel="0" collapsed="false">
      <c r="B496" s="48" t="n">
        <v>45134.9678472222</v>
      </c>
      <c r="C496" s="4" t="n">
        <f aca="false">YEAR(B496)</f>
        <v>2023</v>
      </c>
      <c r="D496" s="49" t="s">
        <v>283</v>
      </c>
      <c r="E496" s="49" t="s">
        <v>1254</v>
      </c>
      <c r="F496" s="50" t="n">
        <v>1</v>
      </c>
      <c r="G496" s="49" t="s">
        <v>290</v>
      </c>
      <c r="H496" s="51" t="n">
        <v>0.0335</v>
      </c>
      <c r="I496" s="51" t="n">
        <v>0.8241</v>
      </c>
      <c r="J496" s="51" t="n">
        <v>0.1424</v>
      </c>
      <c r="K496" s="49"/>
      <c r="L496" s="49"/>
      <c r="M496" s="49"/>
      <c r="N496" s="49"/>
      <c r="O496" s="49"/>
      <c r="P496" s="49"/>
      <c r="Q496" s="49"/>
      <c r="R496" s="49"/>
      <c r="S496" s="49" t="n">
        <v>0</v>
      </c>
      <c r="T496" s="49" t="n">
        <v>0</v>
      </c>
      <c r="U496" s="49" t="s">
        <v>1255</v>
      </c>
    </row>
    <row r="497" customFormat="false" ht="15" hidden="false" customHeight="false" outlineLevel="0" collapsed="false">
      <c r="B497" s="48" t="n">
        <v>45135.1412384259</v>
      </c>
      <c r="C497" s="4" t="n">
        <f aca="false">YEAR(B497)</f>
        <v>2023</v>
      </c>
      <c r="D497" s="49" t="s">
        <v>283</v>
      </c>
      <c r="E497" s="49" t="s">
        <v>1256</v>
      </c>
      <c r="F497" s="50" t="n">
        <v>1</v>
      </c>
      <c r="G497" s="49" t="s">
        <v>287</v>
      </c>
      <c r="H497" s="51" t="n">
        <v>0.0019</v>
      </c>
      <c r="I497" s="51" t="n">
        <v>0.082</v>
      </c>
      <c r="J497" s="51" t="n">
        <v>0.9161</v>
      </c>
      <c r="K497" s="49"/>
      <c r="L497" s="49"/>
      <c r="M497" s="49"/>
      <c r="N497" s="49"/>
      <c r="O497" s="49"/>
      <c r="P497" s="49"/>
      <c r="Q497" s="49"/>
      <c r="R497" s="49"/>
      <c r="S497" s="49" t="n">
        <v>1</v>
      </c>
      <c r="T497" s="49" t="n">
        <v>0</v>
      </c>
      <c r="U497" s="49" t="s">
        <v>1257</v>
      </c>
    </row>
    <row r="498" customFormat="false" ht="15" hidden="false" customHeight="false" outlineLevel="0" collapsed="false">
      <c r="B498" s="48" t="n">
        <v>45135.6506018519</v>
      </c>
      <c r="C498" s="4" t="n">
        <f aca="false">YEAR(B498)</f>
        <v>2023</v>
      </c>
      <c r="D498" s="49" t="s">
        <v>278</v>
      </c>
      <c r="E498" s="49" t="s">
        <v>1258</v>
      </c>
      <c r="F498" s="50" t="n">
        <v>3</v>
      </c>
      <c r="G498" s="49" t="s">
        <v>290</v>
      </c>
      <c r="H498" s="51" t="n">
        <v>0.0625</v>
      </c>
      <c r="I498" s="51" t="n">
        <v>0.7849</v>
      </c>
      <c r="J498" s="51" t="n">
        <v>0.1526</v>
      </c>
      <c r="K498" s="49"/>
      <c r="L498" s="49"/>
      <c r="M498" s="49"/>
      <c r="N498" s="49"/>
      <c r="O498" s="49"/>
      <c r="P498" s="49"/>
      <c r="Q498" s="49" t="s">
        <v>281</v>
      </c>
      <c r="R498" s="49"/>
      <c r="S498" s="49" t="n">
        <v>0</v>
      </c>
      <c r="T498" s="49" t="n">
        <v>0</v>
      </c>
      <c r="U498" s="49" t="s">
        <v>1259</v>
      </c>
    </row>
    <row r="499" customFormat="false" ht="15" hidden="false" customHeight="false" outlineLevel="0" collapsed="false">
      <c r="B499" s="48" t="n">
        <v>45135.9902777778</v>
      </c>
      <c r="C499" s="4" t="n">
        <f aca="false">YEAR(B499)</f>
        <v>2023</v>
      </c>
      <c r="D499" s="49" t="s">
        <v>283</v>
      </c>
      <c r="E499" s="49" t="s">
        <v>1260</v>
      </c>
      <c r="F499" s="50" t="n">
        <v>1</v>
      </c>
      <c r="G499" s="49" t="s">
        <v>290</v>
      </c>
      <c r="H499" s="51" t="n">
        <v>0.01</v>
      </c>
      <c r="I499" s="51" t="n">
        <v>0.6932</v>
      </c>
      <c r="J499" s="51" t="n">
        <v>0.2968</v>
      </c>
      <c r="K499" s="49"/>
      <c r="L499" s="49"/>
      <c r="M499" s="49"/>
      <c r="N499" s="49"/>
      <c r="O499" s="49"/>
      <c r="P499" s="49"/>
      <c r="Q499" s="49"/>
      <c r="R499" s="49"/>
      <c r="S499" s="49" t="n">
        <v>1</v>
      </c>
      <c r="T499" s="49" t="n">
        <v>0</v>
      </c>
      <c r="U499" s="49" t="s">
        <v>1261</v>
      </c>
    </row>
    <row r="500" customFormat="false" ht="15" hidden="false" customHeight="false" outlineLevel="0" collapsed="false">
      <c r="B500" s="48" t="n">
        <v>45136.9116319444</v>
      </c>
      <c r="C500" s="4" t="n">
        <f aca="false">YEAR(B500)</f>
        <v>2023</v>
      </c>
      <c r="D500" s="49" t="s">
        <v>283</v>
      </c>
      <c r="E500" s="49" t="s">
        <v>1262</v>
      </c>
      <c r="F500" s="50" t="n">
        <v>1</v>
      </c>
      <c r="G500" s="49" t="s">
        <v>280</v>
      </c>
      <c r="H500" s="51" t="n">
        <v>0.8687</v>
      </c>
      <c r="I500" s="51" t="n">
        <v>0.1175</v>
      </c>
      <c r="J500" s="51" t="n">
        <v>0.0137</v>
      </c>
      <c r="K500" s="49"/>
      <c r="L500" s="49"/>
      <c r="M500" s="49"/>
      <c r="N500" s="49"/>
      <c r="O500" s="49"/>
      <c r="P500" s="49"/>
      <c r="Q500" s="49"/>
      <c r="R500" s="49"/>
      <c r="S500" s="49" t="n">
        <v>0</v>
      </c>
      <c r="T500" s="49" t="n">
        <v>0</v>
      </c>
      <c r="U500" s="49" t="s">
        <v>1263</v>
      </c>
    </row>
    <row r="501" customFormat="false" ht="15" hidden="false" customHeight="false" outlineLevel="0" collapsed="false">
      <c r="B501" s="48" t="n">
        <v>45137.1522800926</v>
      </c>
      <c r="C501" s="4" t="n">
        <f aca="false">YEAR(B501)</f>
        <v>2023</v>
      </c>
      <c r="D501" s="49" t="s">
        <v>278</v>
      </c>
      <c r="E501" s="49" t="s">
        <v>1264</v>
      </c>
      <c r="F501" s="50" t="n">
        <v>8</v>
      </c>
      <c r="G501" s="49" t="s">
        <v>290</v>
      </c>
      <c r="H501" s="51" t="n">
        <v>0.4906</v>
      </c>
      <c r="I501" s="51" t="n">
        <v>0.4916</v>
      </c>
      <c r="J501" s="51" t="n">
        <v>0.0178</v>
      </c>
      <c r="K501" s="49"/>
      <c r="L501" s="49"/>
      <c r="M501" s="49"/>
      <c r="N501" s="49"/>
      <c r="O501" s="49"/>
      <c r="P501" s="49"/>
      <c r="Q501" s="49"/>
      <c r="R501" s="49"/>
      <c r="S501" s="49" t="n">
        <v>0</v>
      </c>
      <c r="T501" s="49" t="n">
        <v>0</v>
      </c>
      <c r="U501" s="49" t="s">
        <v>1265</v>
      </c>
    </row>
    <row r="502" customFormat="false" ht="15" hidden="false" customHeight="false" outlineLevel="0" collapsed="false">
      <c r="B502" s="48" t="n">
        <v>45137.4058564815</v>
      </c>
      <c r="C502" s="4" t="n">
        <f aca="false">YEAR(B502)</f>
        <v>2023</v>
      </c>
      <c r="D502" s="49" t="s">
        <v>283</v>
      </c>
      <c r="E502" s="49" t="s">
        <v>1266</v>
      </c>
      <c r="F502" s="50" t="n">
        <v>1</v>
      </c>
      <c r="G502" s="49" t="s">
        <v>290</v>
      </c>
      <c r="H502" s="51" t="n">
        <v>0.0141</v>
      </c>
      <c r="I502" s="51" t="n">
        <v>0.8369</v>
      </c>
      <c r="J502" s="51" t="n">
        <v>0.1491</v>
      </c>
      <c r="K502" s="49"/>
      <c r="L502" s="49"/>
      <c r="M502" s="49"/>
      <c r="N502" s="49"/>
      <c r="O502" s="49"/>
      <c r="P502" s="49"/>
      <c r="Q502" s="49"/>
      <c r="R502" s="49"/>
      <c r="S502" s="49" t="n">
        <v>0</v>
      </c>
      <c r="T502" s="49" t="n">
        <v>0</v>
      </c>
      <c r="U502" s="49" t="s">
        <v>1267</v>
      </c>
    </row>
    <row r="503" customFormat="false" ht="15" hidden="false" customHeight="false" outlineLevel="0" collapsed="false">
      <c r="B503" s="48" t="n">
        <v>45137.644525463</v>
      </c>
      <c r="C503" s="4" t="n">
        <f aca="false">YEAR(B503)</f>
        <v>2023</v>
      </c>
      <c r="D503" s="49" t="s">
        <v>283</v>
      </c>
      <c r="E503" s="49" t="s">
        <v>1268</v>
      </c>
      <c r="F503" s="50" t="n">
        <v>1</v>
      </c>
      <c r="G503" s="49" t="s">
        <v>290</v>
      </c>
      <c r="H503" s="51" t="n">
        <v>0.0932</v>
      </c>
      <c r="I503" s="51" t="n">
        <v>0.8623</v>
      </c>
      <c r="J503" s="51" t="n">
        <v>0.0445</v>
      </c>
      <c r="K503" s="49"/>
      <c r="L503" s="49"/>
      <c r="M503" s="49"/>
      <c r="N503" s="49"/>
      <c r="O503" s="49"/>
      <c r="P503" s="49"/>
      <c r="Q503" s="49"/>
      <c r="R503" s="49" t="s">
        <v>281</v>
      </c>
      <c r="S503" s="49" t="n">
        <v>0</v>
      </c>
      <c r="T503" s="49" t="n">
        <v>0</v>
      </c>
      <c r="U503" s="49" t="s">
        <v>1269</v>
      </c>
    </row>
    <row r="504" customFormat="false" ht="15" hidden="false" customHeight="false" outlineLevel="0" collapsed="false">
      <c r="B504" s="48" t="n">
        <v>45138.2627314815</v>
      </c>
      <c r="C504" s="4" t="n">
        <f aca="false">YEAR(B504)</f>
        <v>2023</v>
      </c>
      <c r="D504" s="49" t="s">
        <v>283</v>
      </c>
      <c r="E504" s="49" t="s">
        <v>1270</v>
      </c>
      <c r="F504" s="50" t="n">
        <v>2</v>
      </c>
      <c r="G504" s="49" t="s">
        <v>280</v>
      </c>
      <c r="H504" s="51" t="n">
        <v>0.8283</v>
      </c>
      <c r="I504" s="51" t="n">
        <v>0.1563</v>
      </c>
      <c r="J504" s="51" t="n">
        <v>0.0154</v>
      </c>
      <c r="K504" s="49"/>
      <c r="L504" s="49" t="s">
        <v>281</v>
      </c>
      <c r="M504" s="49"/>
      <c r="N504" s="49"/>
      <c r="O504" s="49"/>
      <c r="P504" s="49"/>
      <c r="Q504" s="49"/>
      <c r="R504" s="49"/>
      <c r="S504" s="49" t="n">
        <v>0</v>
      </c>
      <c r="T504" s="49" t="n">
        <v>0</v>
      </c>
      <c r="U504" s="49" t="s">
        <v>1271</v>
      </c>
    </row>
    <row r="505" customFormat="false" ht="15" hidden="false" customHeight="false" outlineLevel="0" collapsed="false">
      <c r="B505" s="48" t="n">
        <v>45138.4598032407</v>
      </c>
      <c r="C505" s="4" t="n">
        <f aca="false">YEAR(B505)</f>
        <v>2023</v>
      </c>
      <c r="D505" s="49" t="s">
        <v>283</v>
      </c>
      <c r="E505" s="49" t="s">
        <v>1272</v>
      </c>
      <c r="F505" s="50" t="n">
        <v>1</v>
      </c>
      <c r="G505" s="49" t="s">
        <v>290</v>
      </c>
      <c r="H505" s="51" t="n">
        <v>0.0099</v>
      </c>
      <c r="I505" s="51" t="n">
        <v>0.9049</v>
      </c>
      <c r="J505" s="51" t="n">
        <v>0.0852</v>
      </c>
      <c r="K505" s="49"/>
      <c r="L505" s="49"/>
      <c r="M505" s="49"/>
      <c r="N505" s="49"/>
      <c r="O505" s="49"/>
      <c r="P505" s="49"/>
      <c r="Q505" s="49"/>
      <c r="R505" s="49"/>
      <c r="S505" s="49" t="n">
        <v>1</v>
      </c>
      <c r="T505" s="49" t="n">
        <v>0</v>
      </c>
      <c r="U505" s="49" t="s">
        <v>1273</v>
      </c>
    </row>
    <row r="506" customFormat="false" ht="15" hidden="false" customHeight="false" outlineLevel="0" collapsed="false">
      <c r="B506" s="48" t="n">
        <v>45139.5915162037</v>
      </c>
      <c r="C506" s="4" t="n">
        <f aca="false">YEAR(B506)</f>
        <v>2023</v>
      </c>
      <c r="D506" s="49" t="s">
        <v>283</v>
      </c>
      <c r="E506" s="49" t="s">
        <v>1274</v>
      </c>
      <c r="F506" s="50" t="n">
        <v>1</v>
      </c>
      <c r="G506" s="49" t="s">
        <v>280</v>
      </c>
      <c r="H506" s="51" t="n">
        <v>0.779</v>
      </c>
      <c r="I506" s="51" t="n">
        <v>0.2049</v>
      </c>
      <c r="J506" s="51" t="n">
        <v>0.0161</v>
      </c>
      <c r="K506" s="49"/>
      <c r="L506" s="49"/>
      <c r="M506" s="49"/>
      <c r="N506" s="49"/>
      <c r="O506" s="49"/>
      <c r="P506" s="49"/>
      <c r="Q506" s="49" t="s">
        <v>281</v>
      </c>
      <c r="R506" s="49"/>
      <c r="S506" s="49" t="n">
        <v>0</v>
      </c>
      <c r="T506" s="49" t="n">
        <v>0</v>
      </c>
      <c r="U506" s="49" t="s">
        <v>1275</v>
      </c>
    </row>
    <row r="507" customFormat="false" ht="15" hidden="false" customHeight="false" outlineLevel="0" collapsed="false">
      <c r="B507" s="48" t="n">
        <v>45139.6187152778</v>
      </c>
      <c r="C507" s="4" t="n">
        <f aca="false">YEAR(B507)</f>
        <v>2023</v>
      </c>
      <c r="D507" s="49" t="s">
        <v>278</v>
      </c>
      <c r="E507" s="49" t="s">
        <v>1276</v>
      </c>
      <c r="F507" s="50" t="n">
        <v>6</v>
      </c>
      <c r="G507" s="49" t="s">
        <v>280</v>
      </c>
      <c r="H507" s="51" t="n">
        <v>0.6933</v>
      </c>
      <c r="I507" s="51" t="n">
        <v>0.2888</v>
      </c>
      <c r="J507" s="51" t="n">
        <v>0.0179</v>
      </c>
      <c r="K507" s="49"/>
      <c r="L507" s="49"/>
      <c r="M507" s="49"/>
      <c r="N507" s="49"/>
      <c r="O507" s="49"/>
      <c r="P507" s="49"/>
      <c r="Q507" s="49"/>
      <c r="R507" s="49"/>
      <c r="S507" s="49" t="n">
        <v>0</v>
      </c>
      <c r="T507" s="49" t="n">
        <v>0</v>
      </c>
      <c r="U507" s="49" t="s">
        <v>1277</v>
      </c>
    </row>
    <row r="508" customFormat="false" ht="15" hidden="false" customHeight="false" outlineLevel="0" collapsed="false">
      <c r="B508" s="48" t="n">
        <v>45139.6280208333</v>
      </c>
      <c r="C508" s="4" t="n">
        <f aca="false">YEAR(B508)</f>
        <v>2023</v>
      </c>
      <c r="D508" s="49" t="s">
        <v>283</v>
      </c>
      <c r="E508" s="49" t="s">
        <v>1278</v>
      </c>
      <c r="F508" s="50" t="n">
        <v>1</v>
      </c>
      <c r="G508" s="49" t="s">
        <v>280</v>
      </c>
      <c r="H508" s="51" t="n">
        <v>0.6567</v>
      </c>
      <c r="I508" s="51" t="n">
        <v>0.3145</v>
      </c>
      <c r="J508" s="51" t="n">
        <v>0.0287</v>
      </c>
      <c r="K508" s="49"/>
      <c r="L508" s="49"/>
      <c r="M508" s="49"/>
      <c r="N508" s="49"/>
      <c r="O508" s="49"/>
      <c r="P508" s="49"/>
      <c r="Q508" s="49"/>
      <c r="R508" s="49"/>
      <c r="S508" s="49" t="n">
        <v>0</v>
      </c>
      <c r="T508" s="49" t="n">
        <v>0</v>
      </c>
      <c r="U508" s="49" t="s">
        <v>1279</v>
      </c>
    </row>
    <row r="509" customFormat="false" ht="15" hidden="false" customHeight="false" outlineLevel="0" collapsed="false">
      <c r="B509" s="48" t="n">
        <v>45139.7205208333</v>
      </c>
      <c r="C509" s="4" t="n">
        <f aca="false">YEAR(B509)</f>
        <v>2023</v>
      </c>
      <c r="D509" s="49" t="s">
        <v>278</v>
      </c>
      <c r="E509" s="49" t="s">
        <v>1280</v>
      </c>
      <c r="F509" s="50" t="n">
        <v>3</v>
      </c>
      <c r="G509" s="49" t="s">
        <v>290</v>
      </c>
      <c r="H509" s="51" t="n">
        <v>0.2821</v>
      </c>
      <c r="I509" s="51" t="n">
        <v>0.5133</v>
      </c>
      <c r="J509" s="51" t="n">
        <v>0.2046</v>
      </c>
      <c r="K509" s="49"/>
      <c r="L509" s="49"/>
      <c r="M509" s="49"/>
      <c r="N509" s="49"/>
      <c r="O509" s="49"/>
      <c r="P509" s="49"/>
      <c r="Q509" s="49"/>
      <c r="R509" s="49"/>
      <c r="S509" s="49" t="n">
        <v>0</v>
      </c>
      <c r="T509" s="49" t="n">
        <v>0</v>
      </c>
      <c r="U509" s="49" t="s">
        <v>1281</v>
      </c>
    </row>
    <row r="510" customFormat="false" ht="15" hidden="false" customHeight="false" outlineLevel="0" collapsed="false">
      <c r="B510" s="48" t="n">
        <v>45140.0457638889</v>
      </c>
      <c r="C510" s="4" t="n">
        <f aca="false">YEAR(B510)</f>
        <v>2023</v>
      </c>
      <c r="D510" s="49" t="s">
        <v>283</v>
      </c>
      <c r="E510" s="49" t="s">
        <v>1282</v>
      </c>
      <c r="F510" s="50" t="n">
        <v>1</v>
      </c>
      <c r="G510" s="49" t="s">
        <v>290</v>
      </c>
      <c r="H510" s="51" t="n">
        <v>0.0036</v>
      </c>
      <c r="I510" s="51" t="n">
        <v>0.7117</v>
      </c>
      <c r="J510" s="51" t="n">
        <v>0.2847</v>
      </c>
      <c r="K510" s="49"/>
      <c r="L510" s="49"/>
      <c r="M510" s="49"/>
      <c r="N510" s="49"/>
      <c r="O510" s="49"/>
      <c r="P510" s="49"/>
      <c r="Q510" s="49"/>
      <c r="R510" s="49"/>
      <c r="S510" s="49" t="n">
        <v>1</v>
      </c>
      <c r="T510" s="49" t="n">
        <v>0</v>
      </c>
      <c r="U510" s="49" t="s">
        <v>1283</v>
      </c>
    </row>
    <row r="511" customFormat="false" ht="15" hidden="false" customHeight="false" outlineLevel="0" collapsed="false">
      <c r="B511" s="48" t="n">
        <v>45140.0501736111</v>
      </c>
      <c r="C511" s="4" t="n">
        <f aca="false">YEAR(B511)</f>
        <v>2023</v>
      </c>
      <c r="D511" s="49" t="s">
        <v>283</v>
      </c>
      <c r="E511" s="49" t="s">
        <v>1284</v>
      </c>
      <c r="F511" s="50" t="n">
        <v>1</v>
      </c>
      <c r="G511" s="49" t="s">
        <v>290</v>
      </c>
      <c r="H511" s="51" t="n">
        <v>0.0106</v>
      </c>
      <c r="I511" s="51" t="n">
        <v>0.7399</v>
      </c>
      <c r="J511" s="51" t="n">
        <v>0.2495</v>
      </c>
      <c r="K511" s="49"/>
      <c r="L511" s="49"/>
      <c r="M511" s="49"/>
      <c r="N511" s="49"/>
      <c r="O511" s="49"/>
      <c r="P511" s="49"/>
      <c r="Q511" s="49"/>
      <c r="R511" s="49"/>
      <c r="S511" s="49" t="n">
        <v>0</v>
      </c>
      <c r="T511" s="49" t="n">
        <v>0</v>
      </c>
      <c r="U511" s="49" t="s">
        <v>1285</v>
      </c>
    </row>
    <row r="512" customFormat="false" ht="15" hidden="false" customHeight="false" outlineLevel="0" collapsed="false">
      <c r="B512" s="48" t="n">
        <v>45140.1583333333</v>
      </c>
      <c r="C512" s="4" t="n">
        <f aca="false">YEAR(B512)</f>
        <v>2023</v>
      </c>
      <c r="D512" s="49" t="s">
        <v>278</v>
      </c>
      <c r="E512" s="49" t="s">
        <v>1286</v>
      </c>
      <c r="F512" s="50" t="n">
        <v>0</v>
      </c>
      <c r="G512" s="49" t="s">
        <v>280</v>
      </c>
      <c r="H512" s="51" t="n">
        <v>0.8226</v>
      </c>
      <c r="I512" s="51" t="n">
        <v>0.1702</v>
      </c>
      <c r="J512" s="51" t="n">
        <v>0.0072</v>
      </c>
      <c r="K512" s="49"/>
      <c r="L512" s="49"/>
      <c r="M512" s="49"/>
      <c r="N512" s="49"/>
      <c r="O512" s="49"/>
      <c r="P512" s="49"/>
      <c r="Q512" s="49"/>
      <c r="R512" s="49"/>
      <c r="S512" s="49" t="n">
        <v>0</v>
      </c>
      <c r="T512" s="49" t="n">
        <v>0</v>
      </c>
      <c r="U512" s="49" t="s">
        <v>1287</v>
      </c>
    </row>
    <row r="513" customFormat="false" ht="15" hidden="false" customHeight="false" outlineLevel="0" collapsed="false">
      <c r="B513" s="48" t="n">
        <v>45140.6500462963</v>
      </c>
      <c r="C513" s="4" t="n">
        <f aca="false">YEAR(B513)</f>
        <v>2023</v>
      </c>
      <c r="D513" s="49" t="s">
        <v>283</v>
      </c>
      <c r="E513" s="49" t="s">
        <v>1288</v>
      </c>
      <c r="F513" s="50" t="n">
        <v>1</v>
      </c>
      <c r="G513" s="49" t="s">
        <v>290</v>
      </c>
      <c r="H513" s="51" t="n">
        <v>0.3203</v>
      </c>
      <c r="I513" s="51" t="n">
        <v>0.6383</v>
      </c>
      <c r="J513" s="51" t="n">
        <v>0.0415</v>
      </c>
      <c r="K513" s="49"/>
      <c r="L513" s="49"/>
      <c r="M513" s="49"/>
      <c r="N513" s="49"/>
      <c r="O513" s="49"/>
      <c r="P513" s="49"/>
      <c r="Q513" s="49"/>
      <c r="R513" s="49"/>
      <c r="S513" s="49" t="n">
        <v>0</v>
      </c>
      <c r="T513" s="49" t="n">
        <v>0</v>
      </c>
      <c r="U513" s="49" t="s">
        <v>1289</v>
      </c>
    </row>
    <row r="514" customFormat="false" ht="15" hidden="false" customHeight="false" outlineLevel="0" collapsed="false">
      <c r="B514" s="48" t="n">
        <v>45141.5414699074</v>
      </c>
      <c r="C514" s="4" t="n">
        <f aca="false">YEAR(B514)</f>
        <v>2023</v>
      </c>
      <c r="D514" s="49" t="s">
        <v>283</v>
      </c>
      <c r="E514" s="49" t="s">
        <v>1290</v>
      </c>
      <c r="F514" s="50" t="n">
        <v>2</v>
      </c>
      <c r="G514" s="49" t="s">
        <v>290</v>
      </c>
      <c r="H514" s="51" t="n">
        <v>0.0047</v>
      </c>
      <c r="I514" s="51" t="n">
        <v>0.6027</v>
      </c>
      <c r="J514" s="51" t="n">
        <v>0.3926</v>
      </c>
      <c r="K514" s="49"/>
      <c r="L514" s="49"/>
      <c r="M514" s="49"/>
      <c r="N514" s="49"/>
      <c r="O514" s="49"/>
      <c r="P514" s="49"/>
      <c r="Q514" s="49"/>
      <c r="R514" s="49"/>
      <c r="S514" s="49" t="n">
        <v>0</v>
      </c>
      <c r="T514" s="49" t="n">
        <v>0</v>
      </c>
      <c r="U514" s="49" t="s">
        <v>1291</v>
      </c>
    </row>
    <row r="515" customFormat="false" ht="15" hidden="false" customHeight="false" outlineLevel="0" collapsed="false">
      <c r="B515" s="48" t="n">
        <v>45142.3603356482</v>
      </c>
      <c r="C515" s="4" t="n">
        <f aca="false">YEAR(B515)</f>
        <v>2023</v>
      </c>
      <c r="D515" s="49" t="s">
        <v>283</v>
      </c>
      <c r="E515" s="49" t="s">
        <v>1292</v>
      </c>
      <c r="F515" s="50" t="n">
        <v>3</v>
      </c>
      <c r="G515" s="49" t="s">
        <v>280</v>
      </c>
      <c r="H515" s="51" t="n">
        <v>0.7441</v>
      </c>
      <c r="I515" s="51" t="n">
        <v>0.2429</v>
      </c>
      <c r="J515" s="51" t="n">
        <v>0.013</v>
      </c>
      <c r="K515" s="49"/>
      <c r="L515" s="49"/>
      <c r="M515" s="49"/>
      <c r="N515" s="49"/>
      <c r="O515" s="49"/>
      <c r="P515" s="49"/>
      <c r="Q515" s="49"/>
      <c r="R515" s="49"/>
      <c r="S515" s="49" t="n">
        <v>0</v>
      </c>
      <c r="T515" s="49" t="n">
        <v>0</v>
      </c>
      <c r="U515" s="49" t="s">
        <v>1293</v>
      </c>
    </row>
    <row r="516" customFormat="false" ht="15" hidden="false" customHeight="false" outlineLevel="0" collapsed="false">
      <c r="B516" s="48" t="n">
        <v>45142.8136921296</v>
      </c>
      <c r="C516" s="4" t="n">
        <f aca="false">YEAR(B516)</f>
        <v>2023</v>
      </c>
      <c r="D516" s="49" t="s">
        <v>283</v>
      </c>
      <c r="E516" s="49" t="s">
        <v>1294</v>
      </c>
      <c r="F516" s="50" t="n">
        <v>1</v>
      </c>
      <c r="G516" s="49" t="s">
        <v>280</v>
      </c>
      <c r="H516" s="51" t="n">
        <v>0.8032</v>
      </c>
      <c r="I516" s="51" t="n">
        <v>0.1862</v>
      </c>
      <c r="J516" s="51" t="n">
        <v>0.0105</v>
      </c>
      <c r="K516" s="49"/>
      <c r="L516" s="49"/>
      <c r="M516" s="49"/>
      <c r="N516" s="49"/>
      <c r="O516" s="49"/>
      <c r="P516" s="49"/>
      <c r="Q516" s="49"/>
      <c r="R516" s="49"/>
      <c r="S516" s="49" t="n">
        <v>0</v>
      </c>
      <c r="T516" s="49" t="n">
        <v>0</v>
      </c>
      <c r="U516" s="49" t="s">
        <v>1295</v>
      </c>
    </row>
    <row r="517" customFormat="false" ht="15" hidden="false" customHeight="false" outlineLevel="0" collapsed="false">
      <c r="B517" s="48" t="n">
        <v>45143.9275347222</v>
      </c>
      <c r="C517" s="4" t="n">
        <f aca="false">YEAR(B517)</f>
        <v>2023</v>
      </c>
      <c r="D517" s="49" t="s">
        <v>283</v>
      </c>
      <c r="E517" s="49" t="s">
        <v>1296</v>
      </c>
      <c r="F517" s="50" t="n">
        <v>1</v>
      </c>
      <c r="G517" s="49" t="s">
        <v>290</v>
      </c>
      <c r="H517" s="51" t="n">
        <v>0.0199</v>
      </c>
      <c r="I517" s="51" t="n">
        <v>0.951</v>
      </c>
      <c r="J517" s="51" t="n">
        <v>0.0291</v>
      </c>
      <c r="K517" s="49"/>
      <c r="L517" s="49"/>
      <c r="M517" s="49"/>
      <c r="N517" s="49"/>
      <c r="O517" s="49"/>
      <c r="P517" s="49"/>
      <c r="Q517" s="49" t="s">
        <v>281</v>
      </c>
      <c r="R517" s="49"/>
      <c r="S517" s="49" t="n">
        <v>0</v>
      </c>
      <c r="T517" s="49" t="n">
        <v>0</v>
      </c>
      <c r="U517" s="49" t="s">
        <v>1297</v>
      </c>
    </row>
    <row r="518" customFormat="false" ht="15" hidden="false" customHeight="false" outlineLevel="0" collapsed="false">
      <c r="B518" s="48" t="n">
        <v>45144.0128009259</v>
      </c>
      <c r="C518" s="4" t="n">
        <f aca="false">YEAR(B518)</f>
        <v>2023</v>
      </c>
      <c r="D518" s="49" t="s">
        <v>283</v>
      </c>
      <c r="E518" s="49" t="s">
        <v>1298</v>
      </c>
      <c r="F518" s="50" t="n">
        <v>1</v>
      </c>
      <c r="G518" s="49" t="s">
        <v>290</v>
      </c>
      <c r="H518" s="51" t="n">
        <v>0.0729</v>
      </c>
      <c r="I518" s="51" t="n">
        <v>0.8369</v>
      </c>
      <c r="J518" s="51" t="n">
        <v>0.0902</v>
      </c>
      <c r="K518" s="49"/>
      <c r="L518" s="49"/>
      <c r="M518" s="49"/>
      <c r="N518" s="49"/>
      <c r="O518" s="49"/>
      <c r="P518" s="49"/>
      <c r="Q518" s="49"/>
      <c r="R518" s="49"/>
      <c r="S518" s="49" t="n">
        <v>0</v>
      </c>
      <c r="T518" s="49" t="n">
        <v>0</v>
      </c>
      <c r="U518" s="49" t="s">
        <v>1299</v>
      </c>
    </row>
    <row r="519" customFormat="false" ht="15" hidden="false" customHeight="false" outlineLevel="0" collapsed="false">
      <c r="B519" s="48" t="n">
        <v>45144.3817476852</v>
      </c>
      <c r="C519" s="4" t="n">
        <f aca="false">YEAR(B519)</f>
        <v>2023</v>
      </c>
      <c r="D519" s="49" t="s">
        <v>283</v>
      </c>
      <c r="E519" s="49" t="s">
        <v>1300</v>
      </c>
      <c r="F519" s="50" t="n">
        <v>2</v>
      </c>
      <c r="G519" s="49" t="s">
        <v>280</v>
      </c>
      <c r="H519" s="51" t="n">
        <v>0.7512</v>
      </c>
      <c r="I519" s="51" t="n">
        <v>0.2395</v>
      </c>
      <c r="J519" s="51" t="n">
        <v>0.0093</v>
      </c>
      <c r="K519" s="49"/>
      <c r="L519" s="49"/>
      <c r="M519" s="49"/>
      <c r="N519" s="49"/>
      <c r="O519" s="49"/>
      <c r="P519" s="49"/>
      <c r="Q519" s="49"/>
      <c r="R519" s="49"/>
      <c r="S519" s="49" t="n">
        <v>0</v>
      </c>
      <c r="T519" s="49" t="n">
        <v>0</v>
      </c>
      <c r="U519" s="49" t="s">
        <v>1301</v>
      </c>
    </row>
    <row r="520" customFormat="false" ht="15" hidden="false" customHeight="false" outlineLevel="0" collapsed="false">
      <c r="B520" s="48" t="n">
        <v>45144.6749189815</v>
      </c>
      <c r="C520" s="4" t="n">
        <f aca="false">YEAR(B520)</f>
        <v>2023</v>
      </c>
      <c r="D520" s="49" t="s">
        <v>283</v>
      </c>
      <c r="E520" s="49" t="s">
        <v>1302</v>
      </c>
      <c r="F520" s="50" t="n">
        <v>21</v>
      </c>
      <c r="G520" s="49" t="s">
        <v>280</v>
      </c>
      <c r="H520" s="51" t="n">
        <v>0.9002</v>
      </c>
      <c r="I520" s="51" t="n">
        <v>0.0896</v>
      </c>
      <c r="J520" s="51" t="n">
        <v>0.0101</v>
      </c>
      <c r="K520" s="49" t="s">
        <v>281</v>
      </c>
      <c r="L520" s="49"/>
      <c r="M520" s="49"/>
      <c r="N520" s="49"/>
      <c r="O520" s="49"/>
      <c r="P520" s="49"/>
      <c r="Q520" s="49"/>
      <c r="R520" s="49" t="s">
        <v>281</v>
      </c>
      <c r="S520" s="49" t="n">
        <v>0</v>
      </c>
      <c r="T520" s="49" t="n">
        <v>0</v>
      </c>
      <c r="U520" s="49" t="s">
        <v>1303</v>
      </c>
    </row>
    <row r="521" customFormat="false" ht="15" hidden="false" customHeight="false" outlineLevel="0" collapsed="false">
      <c r="B521" s="48" t="n">
        <v>45145.6968171296</v>
      </c>
      <c r="C521" s="4" t="n">
        <f aca="false">YEAR(B521)</f>
        <v>2023</v>
      </c>
      <c r="D521" s="49" t="s">
        <v>283</v>
      </c>
      <c r="E521" s="49" t="s">
        <v>1304</v>
      </c>
      <c r="F521" s="50" t="n">
        <v>3</v>
      </c>
      <c r="G521" s="49" t="s">
        <v>280</v>
      </c>
      <c r="H521" s="51" t="n">
        <v>0.8725</v>
      </c>
      <c r="I521" s="51" t="n">
        <v>0.1201</v>
      </c>
      <c r="J521" s="51" t="n">
        <v>0.0074</v>
      </c>
      <c r="K521" s="49"/>
      <c r="L521" s="49"/>
      <c r="M521" s="49"/>
      <c r="N521" s="49"/>
      <c r="O521" s="49"/>
      <c r="P521" s="49"/>
      <c r="Q521" s="49"/>
      <c r="R521" s="49" t="s">
        <v>281</v>
      </c>
      <c r="S521" s="49" t="n">
        <v>0</v>
      </c>
      <c r="T521" s="49" t="n">
        <v>0</v>
      </c>
      <c r="U521" s="49" t="s">
        <v>1305</v>
      </c>
    </row>
    <row r="522" customFormat="false" ht="15" hidden="false" customHeight="false" outlineLevel="0" collapsed="false">
      <c r="B522" s="48" t="n">
        <v>45145.8516550926</v>
      </c>
      <c r="C522" s="4" t="n">
        <f aca="false">YEAR(B522)</f>
        <v>2023</v>
      </c>
      <c r="D522" s="49" t="s">
        <v>283</v>
      </c>
      <c r="E522" s="49" t="s">
        <v>1306</v>
      </c>
      <c r="F522" s="50" t="n">
        <v>0</v>
      </c>
      <c r="G522" s="49" t="s">
        <v>290</v>
      </c>
      <c r="H522" s="51" t="n">
        <v>0.0054</v>
      </c>
      <c r="I522" s="51" t="n">
        <v>0.7351</v>
      </c>
      <c r="J522" s="51" t="n">
        <v>0.2595</v>
      </c>
      <c r="K522" s="49"/>
      <c r="L522" s="49"/>
      <c r="M522" s="49"/>
      <c r="N522" s="49"/>
      <c r="O522" s="49"/>
      <c r="P522" s="49"/>
      <c r="Q522" s="49"/>
      <c r="R522" s="49"/>
      <c r="S522" s="49" t="n">
        <v>0</v>
      </c>
      <c r="T522" s="49" t="n">
        <v>0</v>
      </c>
      <c r="U522" s="49" t="s">
        <v>1307</v>
      </c>
    </row>
    <row r="523" customFormat="false" ht="15" hidden="false" customHeight="false" outlineLevel="0" collapsed="false">
      <c r="B523" s="48" t="n">
        <v>45146.1718634259</v>
      </c>
      <c r="C523" s="4" t="n">
        <f aca="false">YEAR(B523)</f>
        <v>2023</v>
      </c>
      <c r="D523" s="49" t="s">
        <v>283</v>
      </c>
      <c r="E523" s="49" t="s">
        <v>1308</v>
      </c>
      <c r="F523" s="50" t="n">
        <v>0</v>
      </c>
      <c r="G523" s="49" t="s">
        <v>287</v>
      </c>
      <c r="H523" s="51" t="n">
        <v>0.0024</v>
      </c>
      <c r="I523" s="51" t="n">
        <v>0.0197</v>
      </c>
      <c r="J523" s="51" t="n">
        <v>0.9779</v>
      </c>
      <c r="K523" s="49"/>
      <c r="L523" s="49"/>
      <c r="M523" s="49"/>
      <c r="N523" s="49"/>
      <c r="O523" s="49"/>
      <c r="P523" s="49"/>
      <c r="Q523" s="49"/>
      <c r="R523" s="49"/>
      <c r="S523" s="49" t="n">
        <v>0</v>
      </c>
      <c r="T523" s="49" t="n">
        <v>0</v>
      </c>
      <c r="U523" s="49" t="s">
        <v>1309</v>
      </c>
    </row>
    <row r="524" customFormat="false" ht="15" hidden="false" customHeight="false" outlineLevel="0" collapsed="false">
      <c r="B524" s="48" t="n">
        <v>45146.1971064815</v>
      </c>
      <c r="C524" s="4" t="n">
        <f aca="false">YEAR(B524)</f>
        <v>2023</v>
      </c>
      <c r="D524" s="49" t="s">
        <v>283</v>
      </c>
      <c r="E524" s="49" t="s">
        <v>1310</v>
      </c>
      <c r="F524" s="50" t="n">
        <v>2</v>
      </c>
      <c r="G524" s="49" t="s">
        <v>280</v>
      </c>
      <c r="H524" s="51" t="n">
        <v>0.6575</v>
      </c>
      <c r="I524" s="51" t="n">
        <v>0.2327</v>
      </c>
      <c r="J524" s="51" t="n">
        <v>0.1098</v>
      </c>
      <c r="K524" s="49"/>
      <c r="L524" s="49"/>
      <c r="M524" s="49"/>
      <c r="N524" s="49"/>
      <c r="O524" s="49"/>
      <c r="P524" s="49"/>
      <c r="Q524" s="49"/>
      <c r="R524" s="49"/>
      <c r="S524" s="49" t="n">
        <v>0</v>
      </c>
      <c r="T524" s="49" t="n">
        <v>0</v>
      </c>
      <c r="U524" s="49" t="s">
        <v>1311</v>
      </c>
    </row>
    <row r="525" customFormat="false" ht="15" hidden="false" customHeight="false" outlineLevel="0" collapsed="false">
      <c r="B525" s="48" t="n">
        <v>45146.3972800926</v>
      </c>
      <c r="C525" s="4" t="n">
        <f aca="false">YEAR(B525)</f>
        <v>2023</v>
      </c>
      <c r="D525" s="49" t="s">
        <v>283</v>
      </c>
      <c r="E525" s="49" t="s">
        <v>1312</v>
      </c>
      <c r="F525" s="50" t="n">
        <v>7</v>
      </c>
      <c r="G525" s="49" t="s">
        <v>290</v>
      </c>
      <c r="H525" s="51" t="n">
        <v>0.0052</v>
      </c>
      <c r="I525" s="51" t="n">
        <v>0.9009</v>
      </c>
      <c r="J525" s="51" t="n">
        <v>0.0939</v>
      </c>
      <c r="K525" s="49"/>
      <c r="L525" s="49"/>
      <c r="M525" s="49"/>
      <c r="N525" s="49"/>
      <c r="O525" s="49"/>
      <c r="P525" s="49"/>
      <c r="Q525" s="49"/>
      <c r="R525" s="49" t="s">
        <v>281</v>
      </c>
      <c r="S525" s="49" t="n">
        <v>0</v>
      </c>
      <c r="T525" s="49" t="n">
        <v>0</v>
      </c>
      <c r="U525" s="49" t="s">
        <v>1313</v>
      </c>
    </row>
    <row r="526" customFormat="false" ht="15" hidden="false" customHeight="false" outlineLevel="0" collapsed="false">
      <c r="B526" s="48" t="n">
        <v>45146.5390046296</v>
      </c>
      <c r="C526" s="4" t="n">
        <f aca="false">YEAR(B526)</f>
        <v>2023</v>
      </c>
      <c r="D526" s="49" t="s">
        <v>278</v>
      </c>
      <c r="E526" s="49" t="s">
        <v>1314</v>
      </c>
      <c r="F526" s="50" t="n">
        <v>74</v>
      </c>
      <c r="G526" s="49" t="s">
        <v>290</v>
      </c>
      <c r="H526" s="51" t="n">
        <v>0.0044</v>
      </c>
      <c r="I526" s="51" t="n">
        <v>0.6003</v>
      </c>
      <c r="J526" s="51" t="n">
        <v>0.3953</v>
      </c>
      <c r="K526" s="49"/>
      <c r="L526" s="49"/>
      <c r="M526" s="49"/>
      <c r="N526" s="49"/>
      <c r="O526" s="49"/>
      <c r="P526" s="49"/>
      <c r="Q526" s="49"/>
      <c r="R526" s="49" t="s">
        <v>281</v>
      </c>
      <c r="S526" s="49" t="n">
        <v>0</v>
      </c>
      <c r="T526" s="49" t="n">
        <v>0</v>
      </c>
      <c r="U526" s="49" t="s">
        <v>1315</v>
      </c>
    </row>
    <row r="527" customFormat="false" ht="15" hidden="false" customHeight="false" outlineLevel="0" collapsed="false">
      <c r="B527" s="48" t="n">
        <v>45146.7361226852</v>
      </c>
      <c r="C527" s="4" t="n">
        <f aca="false">YEAR(B527)</f>
        <v>2023</v>
      </c>
      <c r="D527" s="49" t="s">
        <v>283</v>
      </c>
      <c r="E527" s="49" t="s">
        <v>1316</v>
      </c>
      <c r="F527" s="50" t="n">
        <v>1</v>
      </c>
      <c r="G527" s="49" t="s">
        <v>287</v>
      </c>
      <c r="H527" s="51" t="n">
        <v>0.0025</v>
      </c>
      <c r="I527" s="51" t="n">
        <v>0.0575</v>
      </c>
      <c r="J527" s="51" t="n">
        <v>0.94</v>
      </c>
      <c r="K527" s="49"/>
      <c r="L527" s="49"/>
      <c r="M527" s="49"/>
      <c r="N527" s="49"/>
      <c r="O527" s="49"/>
      <c r="P527" s="49"/>
      <c r="Q527" s="49"/>
      <c r="R527" s="49"/>
      <c r="S527" s="49" t="n">
        <v>0</v>
      </c>
      <c r="T527" s="49" t="n">
        <v>0</v>
      </c>
      <c r="U527" s="49" t="s">
        <v>1317</v>
      </c>
    </row>
    <row r="528" customFormat="false" ht="15" hidden="false" customHeight="false" outlineLevel="0" collapsed="false">
      <c r="B528" s="48" t="n">
        <v>45147.0646296296</v>
      </c>
      <c r="C528" s="4" t="n">
        <f aca="false">YEAR(B528)</f>
        <v>2023</v>
      </c>
      <c r="D528" s="49" t="s">
        <v>283</v>
      </c>
      <c r="E528" s="49" t="s">
        <v>1318</v>
      </c>
      <c r="F528" s="50" t="n">
        <v>1</v>
      </c>
      <c r="G528" s="49" t="s">
        <v>290</v>
      </c>
      <c r="H528" s="51" t="n">
        <v>0.0231</v>
      </c>
      <c r="I528" s="51" t="n">
        <v>0.6038</v>
      </c>
      <c r="J528" s="51" t="n">
        <v>0.3731</v>
      </c>
      <c r="K528" s="49"/>
      <c r="L528" s="49"/>
      <c r="M528" s="49"/>
      <c r="N528" s="49"/>
      <c r="O528" s="49"/>
      <c r="P528" s="49"/>
      <c r="Q528" s="49"/>
      <c r="R528" s="49"/>
      <c r="S528" s="49" t="n">
        <v>1</v>
      </c>
      <c r="T528" s="49" t="n">
        <v>0</v>
      </c>
      <c r="U528" s="49" t="s">
        <v>1319</v>
      </c>
    </row>
    <row r="529" customFormat="false" ht="15" hidden="false" customHeight="false" outlineLevel="0" collapsed="false">
      <c r="B529" s="48" t="n">
        <v>45147.6461689815</v>
      </c>
      <c r="C529" s="4" t="n">
        <f aca="false">YEAR(B529)</f>
        <v>2023</v>
      </c>
      <c r="D529" s="49" t="s">
        <v>283</v>
      </c>
      <c r="E529" s="49" t="s">
        <v>1320</v>
      </c>
      <c r="F529" s="50" t="n">
        <v>1</v>
      </c>
      <c r="G529" s="49" t="s">
        <v>287</v>
      </c>
      <c r="H529" s="51" t="n">
        <v>0.0036</v>
      </c>
      <c r="I529" s="51" t="n">
        <v>0.3166</v>
      </c>
      <c r="J529" s="51" t="n">
        <v>0.6798</v>
      </c>
      <c r="K529" s="49"/>
      <c r="L529" s="49"/>
      <c r="M529" s="49"/>
      <c r="N529" s="49"/>
      <c r="O529" s="49"/>
      <c r="P529" s="49"/>
      <c r="Q529" s="49"/>
      <c r="R529" s="49"/>
      <c r="S529" s="49" t="n">
        <v>0</v>
      </c>
      <c r="T529" s="49" t="n">
        <v>0</v>
      </c>
      <c r="U529" s="49" t="s">
        <v>1321</v>
      </c>
    </row>
    <row r="530" customFormat="false" ht="15" hidden="false" customHeight="false" outlineLevel="0" collapsed="false">
      <c r="B530" s="48" t="n">
        <v>45148.6413310185</v>
      </c>
      <c r="C530" s="4" t="n">
        <f aca="false">YEAR(B530)</f>
        <v>2023</v>
      </c>
      <c r="D530" s="49" t="s">
        <v>283</v>
      </c>
      <c r="E530" s="49" t="s">
        <v>1322</v>
      </c>
      <c r="F530" s="50" t="n">
        <v>1</v>
      </c>
      <c r="G530" s="49" t="s">
        <v>290</v>
      </c>
      <c r="H530" s="51" t="n">
        <v>0.0333</v>
      </c>
      <c r="I530" s="51" t="n">
        <v>0.9075</v>
      </c>
      <c r="J530" s="51" t="n">
        <v>0.0593</v>
      </c>
      <c r="K530" s="49"/>
      <c r="L530" s="49"/>
      <c r="M530" s="49"/>
      <c r="N530" s="49"/>
      <c r="O530" s="49"/>
      <c r="P530" s="49"/>
      <c r="Q530" s="49"/>
      <c r="R530" s="49"/>
      <c r="S530" s="49" t="n">
        <v>1</v>
      </c>
      <c r="T530" s="49" t="n">
        <v>0</v>
      </c>
      <c r="U530" s="49" t="s">
        <v>1323</v>
      </c>
    </row>
    <row r="531" customFormat="false" ht="15" hidden="false" customHeight="false" outlineLevel="0" collapsed="false">
      <c r="B531" s="48" t="n">
        <v>45148.8952777778</v>
      </c>
      <c r="C531" s="4" t="n">
        <f aca="false">YEAR(B531)</f>
        <v>2023</v>
      </c>
      <c r="D531" s="49" t="s">
        <v>278</v>
      </c>
      <c r="E531" s="49" t="s">
        <v>1324</v>
      </c>
      <c r="F531" s="50" t="n">
        <v>1</v>
      </c>
      <c r="G531" s="49" t="s">
        <v>287</v>
      </c>
      <c r="H531" s="51" t="n">
        <v>0.0027</v>
      </c>
      <c r="I531" s="51" t="n">
        <v>0.1865</v>
      </c>
      <c r="J531" s="51" t="n">
        <v>0.8108</v>
      </c>
      <c r="K531" s="49"/>
      <c r="L531" s="49"/>
      <c r="M531" s="49"/>
      <c r="N531" s="49"/>
      <c r="O531" s="49"/>
      <c r="P531" s="49"/>
      <c r="Q531" s="49"/>
      <c r="R531" s="49" t="s">
        <v>281</v>
      </c>
      <c r="S531" s="49" t="n">
        <v>0</v>
      </c>
      <c r="T531" s="49" t="n">
        <v>0</v>
      </c>
      <c r="U531" s="49" t="s">
        <v>1325</v>
      </c>
    </row>
    <row r="532" customFormat="false" ht="15" hidden="false" customHeight="false" outlineLevel="0" collapsed="false">
      <c r="B532" s="48" t="n">
        <v>45148.9310532407</v>
      </c>
      <c r="C532" s="4" t="n">
        <f aca="false">YEAR(B532)</f>
        <v>2023</v>
      </c>
      <c r="D532" s="49" t="s">
        <v>283</v>
      </c>
      <c r="E532" s="49" t="s">
        <v>1326</v>
      </c>
      <c r="F532" s="50" t="n">
        <v>3</v>
      </c>
      <c r="G532" s="49" t="s">
        <v>280</v>
      </c>
      <c r="H532" s="51" t="n">
        <v>0.752</v>
      </c>
      <c r="I532" s="51" t="n">
        <v>0.21</v>
      </c>
      <c r="J532" s="51" t="n">
        <v>0.0381</v>
      </c>
      <c r="K532" s="49"/>
      <c r="L532" s="49"/>
      <c r="M532" s="49"/>
      <c r="N532" s="49"/>
      <c r="O532" s="49"/>
      <c r="P532" s="49"/>
      <c r="Q532" s="49"/>
      <c r="R532" s="49"/>
      <c r="S532" s="49" t="n">
        <v>0</v>
      </c>
      <c r="T532" s="49" t="n">
        <v>0</v>
      </c>
      <c r="U532" s="49" t="s">
        <v>1327</v>
      </c>
    </row>
    <row r="533" customFormat="false" ht="15" hidden="false" customHeight="false" outlineLevel="0" collapsed="false">
      <c r="B533" s="48" t="n">
        <v>45149.1025231482</v>
      </c>
      <c r="C533" s="4" t="n">
        <f aca="false">YEAR(B533)</f>
        <v>2023</v>
      </c>
      <c r="D533" s="49" t="s">
        <v>278</v>
      </c>
      <c r="E533" s="49" t="s">
        <v>1328</v>
      </c>
      <c r="F533" s="50" t="n">
        <v>6</v>
      </c>
      <c r="G533" s="49" t="s">
        <v>280</v>
      </c>
      <c r="H533" s="51" t="n">
        <v>0.8221</v>
      </c>
      <c r="I533" s="51" t="n">
        <v>0.1637</v>
      </c>
      <c r="J533" s="51" t="n">
        <v>0.0142</v>
      </c>
      <c r="K533" s="49"/>
      <c r="L533" s="49"/>
      <c r="M533" s="49"/>
      <c r="N533" s="49"/>
      <c r="O533" s="49"/>
      <c r="P533" s="49"/>
      <c r="Q533" s="49"/>
      <c r="R533" s="49"/>
      <c r="S533" s="49" t="n">
        <v>0</v>
      </c>
      <c r="T533" s="49" t="n">
        <v>0</v>
      </c>
      <c r="U533" s="49" t="s">
        <v>1329</v>
      </c>
    </row>
    <row r="534" customFormat="false" ht="15" hidden="false" customHeight="false" outlineLevel="0" collapsed="false">
      <c r="B534" s="48" t="n">
        <v>45149.2345601852</v>
      </c>
      <c r="C534" s="4" t="n">
        <f aca="false">YEAR(B534)</f>
        <v>2023</v>
      </c>
      <c r="D534" s="49" t="s">
        <v>283</v>
      </c>
      <c r="E534" s="49" t="s">
        <v>1330</v>
      </c>
      <c r="F534" s="50" t="n">
        <v>0</v>
      </c>
      <c r="G534" s="49" t="s">
        <v>290</v>
      </c>
      <c r="H534" s="51" t="n">
        <v>0.4075</v>
      </c>
      <c r="I534" s="51" t="n">
        <v>0.5206</v>
      </c>
      <c r="J534" s="51" t="n">
        <v>0.0719</v>
      </c>
      <c r="K534" s="49"/>
      <c r="L534" s="49"/>
      <c r="M534" s="49"/>
      <c r="N534" s="49"/>
      <c r="O534" s="49"/>
      <c r="P534" s="49"/>
      <c r="Q534" s="49"/>
      <c r="R534" s="49"/>
      <c r="S534" s="49" t="n">
        <v>0</v>
      </c>
      <c r="T534" s="49" t="n">
        <v>0</v>
      </c>
      <c r="U534" s="49" t="s">
        <v>1331</v>
      </c>
    </row>
    <row r="535" customFormat="false" ht="15" hidden="false" customHeight="false" outlineLevel="0" collapsed="false">
      <c r="B535" s="48" t="n">
        <v>45149.5899305556</v>
      </c>
      <c r="C535" s="4" t="n">
        <f aca="false">YEAR(B535)</f>
        <v>2023</v>
      </c>
      <c r="D535" s="49" t="s">
        <v>278</v>
      </c>
      <c r="E535" s="49" t="s">
        <v>1332</v>
      </c>
      <c r="F535" s="50" t="n">
        <v>1</v>
      </c>
      <c r="G535" s="49" t="s">
        <v>287</v>
      </c>
      <c r="H535" s="51" t="n">
        <v>0.0445</v>
      </c>
      <c r="I535" s="51" t="n">
        <v>0.3932</v>
      </c>
      <c r="J535" s="51" t="n">
        <v>0.5623</v>
      </c>
      <c r="K535" s="49"/>
      <c r="L535" s="49"/>
      <c r="M535" s="49"/>
      <c r="N535" s="49"/>
      <c r="O535" s="49"/>
      <c r="P535" s="49"/>
      <c r="Q535" s="49"/>
      <c r="R535" s="49"/>
      <c r="S535" s="49" t="n">
        <v>0</v>
      </c>
      <c r="T535" s="49" t="n">
        <v>0</v>
      </c>
      <c r="U535" s="49" t="s">
        <v>1333</v>
      </c>
    </row>
    <row r="536" customFormat="false" ht="15" hidden="false" customHeight="false" outlineLevel="0" collapsed="false">
      <c r="B536" s="48" t="n">
        <v>45150.0483449074</v>
      </c>
      <c r="C536" s="4" t="n">
        <f aca="false">YEAR(B536)</f>
        <v>2023</v>
      </c>
      <c r="D536" s="49" t="s">
        <v>283</v>
      </c>
      <c r="E536" s="49" t="s">
        <v>1334</v>
      </c>
      <c r="F536" s="50" t="n">
        <v>1</v>
      </c>
      <c r="G536" s="49" t="s">
        <v>280</v>
      </c>
      <c r="H536" s="51" t="n">
        <v>0.8285</v>
      </c>
      <c r="I536" s="51" t="n">
        <v>0.1626</v>
      </c>
      <c r="J536" s="51" t="n">
        <v>0.0089</v>
      </c>
      <c r="K536" s="49"/>
      <c r="L536" s="49"/>
      <c r="M536" s="49"/>
      <c r="N536" s="49"/>
      <c r="O536" s="49"/>
      <c r="P536" s="49"/>
      <c r="Q536" s="49"/>
      <c r="R536" s="49"/>
      <c r="S536" s="49" t="n">
        <v>0</v>
      </c>
      <c r="T536" s="49" t="n">
        <v>0</v>
      </c>
      <c r="U536" s="49" t="s">
        <v>1335</v>
      </c>
    </row>
    <row r="537" customFormat="false" ht="15" hidden="false" customHeight="false" outlineLevel="0" collapsed="false">
      <c r="B537" s="48" t="n">
        <v>45150.4947916667</v>
      </c>
      <c r="C537" s="4" t="n">
        <f aca="false">YEAR(B537)</f>
        <v>2023</v>
      </c>
      <c r="D537" s="49" t="s">
        <v>283</v>
      </c>
      <c r="E537" s="49" t="s">
        <v>1336</v>
      </c>
      <c r="F537" s="50" t="n">
        <v>1</v>
      </c>
      <c r="G537" s="49" t="s">
        <v>280</v>
      </c>
      <c r="H537" s="51" t="n">
        <v>0.6638</v>
      </c>
      <c r="I537" s="51" t="n">
        <v>0.3168</v>
      </c>
      <c r="J537" s="51" t="n">
        <v>0.0194</v>
      </c>
      <c r="K537" s="49"/>
      <c r="L537" s="49"/>
      <c r="M537" s="49"/>
      <c r="N537" s="49"/>
      <c r="O537" s="49"/>
      <c r="P537" s="49"/>
      <c r="Q537" s="49" t="s">
        <v>281</v>
      </c>
      <c r="R537" s="49"/>
      <c r="S537" s="49" t="n">
        <v>0</v>
      </c>
      <c r="T537" s="49" t="n">
        <v>0</v>
      </c>
      <c r="U537" s="49" t="s">
        <v>1337</v>
      </c>
    </row>
    <row r="538" customFormat="false" ht="15" hidden="false" customHeight="false" outlineLevel="0" collapsed="false">
      <c r="B538" s="48" t="n">
        <v>45150.8239930556</v>
      </c>
      <c r="C538" s="4" t="n">
        <f aca="false">YEAR(B538)</f>
        <v>2023</v>
      </c>
      <c r="D538" s="49" t="s">
        <v>278</v>
      </c>
      <c r="E538" s="49" t="s">
        <v>1338</v>
      </c>
      <c r="F538" s="50" t="n">
        <v>1</v>
      </c>
      <c r="G538" s="49" t="s">
        <v>280</v>
      </c>
      <c r="H538" s="51" t="n">
        <v>0.5867</v>
      </c>
      <c r="I538" s="51" t="n">
        <v>0.4001</v>
      </c>
      <c r="J538" s="51" t="n">
        <v>0.0132</v>
      </c>
      <c r="K538" s="49"/>
      <c r="L538" s="49"/>
      <c r="M538" s="49"/>
      <c r="N538" s="49"/>
      <c r="O538" s="49"/>
      <c r="P538" s="49"/>
      <c r="Q538" s="49"/>
      <c r="R538" s="49"/>
      <c r="S538" s="49" t="n">
        <v>0</v>
      </c>
      <c r="T538" s="49" t="n">
        <v>0</v>
      </c>
      <c r="U538" s="49" t="s">
        <v>1339</v>
      </c>
    </row>
    <row r="539" customFormat="false" ht="15" hidden="false" customHeight="false" outlineLevel="0" collapsed="false">
      <c r="B539" s="48" t="n">
        <v>45151.3847106482</v>
      </c>
      <c r="C539" s="4" t="n">
        <f aca="false">YEAR(B539)</f>
        <v>2023</v>
      </c>
      <c r="D539" s="49" t="s">
        <v>283</v>
      </c>
      <c r="E539" s="49" t="s">
        <v>1340</v>
      </c>
      <c r="F539" s="50" t="n">
        <v>0</v>
      </c>
      <c r="G539" s="49" t="s">
        <v>287</v>
      </c>
      <c r="H539" s="51" t="n">
        <v>0.0024</v>
      </c>
      <c r="I539" s="51" t="n">
        <v>0.0238</v>
      </c>
      <c r="J539" s="51" t="n">
        <v>0.9737</v>
      </c>
      <c r="K539" s="49"/>
      <c r="L539" s="49"/>
      <c r="M539" s="49"/>
      <c r="N539" s="49"/>
      <c r="O539" s="49"/>
      <c r="P539" s="49"/>
      <c r="Q539" s="49"/>
      <c r="R539" s="49"/>
      <c r="S539" s="49" t="n">
        <v>0</v>
      </c>
      <c r="T539" s="49" t="n">
        <v>0</v>
      </c>
      <c r="U539" s="49" t="s">
        <v>1341</v>
      </c>
    </row>
    <row r="540" customFormat="false" ht="15" hidden="false" customHeight="false" outlineLevel="0" collapsed="false">
      <c r="B540" s="48" t="n">
        <v>45153.9897106482</v>
      </c>
      <c r="C540" s="4" t="n">
        <f aca="false">YEAR(B540)</f>
        <v>2023</v>
      </c>
      <c r="D540" s="49" t="s">
        <v>283</v>
      </c>
      <c r="E540" s="49" t="s">
        <v>1342</v>
      </c>
      <c r="F540" s="50" t="n">
        <v>1</v>
      </c>
      <c r="G540" s="49" t="s">
        <v>290</v>
      </c>
      <c r="H540" s="51" t="n">
        <v>0.0131</v>
      </c>
      <c r="I540" s="51" t="n">
        <v>0.8062</v>
      </c>
      <c r="J540" s="51" t="n">
        <v>0.1807</v>
      </c>
      <c r="K540" s="49"/>
      <c r="L540" s="49"/>
      <c r="M540" s="49"/>
      <c r="N540" s="49"/>
      <c r="O540" s="49"/>
      <c r="P540" s="49"/>
      <c r="Q540" s="49"/>
      <c r="R540" s="49"/>
      <c r="S540" s="49" t="n">
        <v>1</v>
      </c>
      <c r="T540" s="49" t="n">
        <v>0</v>
      </c>
      <c r="U540" s="49" t="s">
        <v>1343</v>
      </c>
    </row>
    <row r="541" customFormat="false" ht="15" hidden="false" customHeight="false" outlineLevel="0" collapsed="false">
      <c r="B541" s="48" t="n">
        <v>45154.6338773148</v>
      </c>
      <c r="C541" s="4" t="n">
        <f aca="false">YEAR(B541)</f>
        <v>2023</v>
      </c>
      <c r="D541" s="49" t="s">
        <v>278</v>
      </c>
      <c r="E541" s="49" t="s">
        <v>1344</v>
      </c>
      <c r="F541" s="50" t="n">
        <v>4</v>
      </c>
      <c r="G541" s="49" t="s">
        <v>280</v>
      </c>
      <c r="H541" s="51" t="n">
        <v>0.4745</v>
      </c>
      <c r="I541" s="51" t="n">
        <v>0.4721</v>
      </c>
      <c r="J541" s="51" t="n">
        <v>0.0534</v>
      </c>
      <c r="K541" s="49"/>
      <c r="L541" s="49"/>
      <c r="M541" s="49"/>
      <c r="N541" s="49"/>
      <c r="O541" s="49"/>
      <c r="P541" s="49"/>
      <c r="Q541" s="49"/>
      <c r="R541" s="49"/>
      <c r="S541" s="49" t="n">
        <v>0</v>
      </c>
      <c r="T541" s="49" t="n">
        <v>0</v>
      </c>
      <c r="U541" s="49" t="s">
        <v>1345</v>
      </c>
    </row>
    <row r="542" customFormat="false" ht="15" hidden="false" customHeight="false" outlineLevel="0" collapsed="false">
      <c r="B542" s="48" t="n">
        <v>45155.6805439815</v>
      </c>
      <c r="C542" s="4" t="n">
        <f aca="false">YEAR(B542)</f>
        <v>2023</v>
      </c>
      <c r="D542" s="49" t="s">
        <v>283</v>
      </c>
      <c r="E542" s="49" t="s">
        <v>1346</v>
      </c>
      <c r="F542" s="50" t="n">
        <v>1</v>
      </c>
      <c r="G542" s="49" t="s">
        <v>280</v>
      </c>
      <c r="H542" s="51" t="n">
        <v>0.6394</v>
      </c>
      <c r="I542" s="51" t="n">
        <v>0.3437</v>
      </c>
      <c r="J542" s="51" t="n">
        <v>0.0169</v>
      </c>
      <c r="K542" s="49"/>
      <c r="L542" s="49"/>
      <c r="M542" s="49"/>
      <c r="N542" s="49"/>
      <c r="O542" s="49"/>
      <c r="P542" s="49"/>
      <c r="Q542" s="49"/>
      <c r="R542" s="49"/>
      <c r="S542" s="49" t="n">
        <v>0</v>
      </c>
      <c r="T542" s="49" t="n">
        <v>0</v>
      </c>
      <c r="U542" s="49" t="s">
        <v>1347</v>
      </c>
    </row>
    <row r="543" customFormat="false" ht="15" hidden="false" customHeight="false" outlineLevel="0" collapsed="false">
      <c r="B543" s="48" t="n">
        <v>45155.7846643519</v>
      </c>
      <c r="C543" s="4" t="n">
        <f aca="false">YEAR(B543)</f>
        <v>2023</v>
      </c>
      <c r="D543" s="49" t="s">
        <v>283</v>
      </c>
      <c r="E543" s="49" t="s">
        <v>1348</v>
      </c>
      <c r="F543" s="50" t="n">
        <v>1</v>
      </c>
      <c r="G543" s="49" t="s">
        <v>280</v>
      </c>
      <c r="H543" s="51" t="n">
        <v>0.735</v>
      </c>
      <c r="I543" s="51" t="n">
        <v>0.2546</v>
      </c>
      <c r="J543" s="51" t="n">
        <v>0.0104</v>
      </c>
      <c r="K543" s="49"/>
      <c r="L543" s="49"/>
      <c r="M543" s="49"/>
      <c r="N543" s="49"/>
      <c r="O543" s="49"/>
      <c r="P543" s="49"/>
      <c r="Q543" s="49"/>
      <c r="R543" s="49" t="s">
        <v>281</v>
      </c>
      <c r="S543" s="49" t="n">
        <v>0</v>
      </c>
      <c r="T543" s="49" t="n">
        <v>0</v>
      </c>
      <c r="U543" s="49" t="s">
        <v>1349</v>
      </c>
    </row>
    <row r="544" customFormat="false" ht="15" hidden="false" customHeight="false" outlineLevel="0" collapsed="false">
      <c r="B544" s="48" t="n">
        <v>45157.0766319444</v>
      </c>
      <c r="C544" s="4" t="n">
        <f aca="false">YEAR(B544)</f>
        <v>2023</v>
      </c>
      <c r="D544" s="49" t="s">
        <v>283</v>
      </c>
      <c r="E544" s="49" t="s">
        <v>1350</v>
      </c>
      <c r="F544" s="50" t="n">
        <v>2</v>
      </c>
      <c r="G544" s="49" t="s">
        <v>290</v>
      </c>
      <c r="H544" s="51" t="n">
        <v>0.0103</v>
      </c>
      <c r="I544" s="51" t="n">
        <v>0.8489</v>
      </c>
      <c r="J544" s="51" t="n">
        <v>0.1407</v>
      </c>
      <c r="K544" s="49"/>
      <c r="L544" s="49"/>
      <c r="M544" s="49"/>
      <c r="N544" s="49"/>
      <c r="O544" s="49"/>
      <c r="P544" s="49"/>
      <c r="Q544" s="49"/>
      <c r="R544" s="49"/>
      <c r="S544" s="49" t="n">
        <v>0</v>
      </c>
      <c r="T544" s="49" t="n">
        <v>0</v>
      </c>
      <c r="U544" s="49" t="s">
        <v>1351</v>
      </c>
    </row>
    <row r="545" customFormat="false" ht="15" hidden="false" customHeight="false" outlineLevel="0" collapsed="false">
      <c r="B545" s="48" t="n">
        <v>45157.5778935185</v>
      </c>
      <c r="C545" s="4" t="n">
        <f aca="false">YEAR(B545)</f>
        <v>2023</v>
      </c>
      <c r="D545" s="49" t="s">
        <v>283</v>
      </c>
      <c r="E545" s="49" t="s">
        <v>1352</v>
      </c>
      <c r="F545" s="50" t="n">
        <v>2</v>
      </c>
      <c r="G545" s="49" t="s">
        <v>287</v>
      </c>
      <c r="H545" s="51" t="n">
        <v>0.1084</v>
      </c>
      <c r="I545" s="51" t="n">
        <v>0.4204</v>
      </c>
      <c r="J545" s="51" t="n">
        <v>0.4712</v>
      </c>
      <c r="K545" s="49"/>
      <c r="L545" s="49"/>
      <c r="M545" s="49"/>
      <c r="N545" s="49"/>
      <c r="O545" s="49"/>
      <c r="P545" s="49"/>
      <c r="Q545" s="49"/>
      <c r="R545" s="49"/>
      <c r="S545" s="49" t="n">
        <v>0</v>
      </c>
      <c r="T545" s="49" t="n">
        <v>0</v>
      </c>
      <c r="U545" s="49" t="s">
        <v>1353</v>
      </c>
    </row>
    <row r="546" customFormat="false" ht="15" hidden="false" customHeight="false" outlineLevel="0" collapsed="false">
      <c r="B546" s="48" t="n">
        <v>45157.7378935185</v>
      </c>
      <c r="C546" s="4" t="n">
        <f aca="false">YEAR(B546)</f>
        <v>2023</v>
      </c>
      <c r="D546" s="49" t="s">
        <v>283</v>
      </c>
      <c r="E546" s="49" t="s">
        <v>1354</v>
      </c>
      <c r="F546" s="50" t="n">
        <v>1</v>
      </c>
      <c r="G546" s="49" t="s">
        <v>280</v>
      </c>
      <c r="H546" s="51" t="n">
        <v>0.8996</v>
      </c>
      <c r="I546" s="51" t="n">
        <v>0.0934</v>
      </c>
      <c r="J546" s="51" t="n">
        <v>0.007</v>
      </c>
      <c r="K546" s="49"/>
      <c r="L546" s="49"/>
      <c r="M546" s="49"/>
      <c r="N546" s="49"/>
      <c r="O546" s="49"/>
      <c r="P546" s="49"/>
      <c r="Q546" s="49"/>
      <c r="R546" s="49"/>
      <c r="S546" s="49" t="n">
        <v>0</v>
      </c>
      <c r="T546" s="49" t="n">
        <v>0</v>
      </c>
      <c r="U546" s="49" t="s">
        <v>1355</v>
      </c>
    </row>
    <row r="547" customFormat="false" ht="15" hidden="false" customHeight="false" outlineLevel="0" collapsed="false">
      <c r="B547" s="48" t="n">
        <v>45158.2008796296</v>
      </c>
      <c r="C547" s="4" t="n">
        <f aca="false">YEAR(B547)</f>
        <v>2023</v>
      </c>
      <c r="D547" s="49" t="s">
        <v>283</v>
      </c>
      <c r="E547" s="49" t="s">
        <v>1356</v>
      </c>
      <c r="F547" s="50" t="n">
        <v>5</v>
      </c>
      <c r="G547" s="49" t="s">
        <v>280</v>
      </c>
      <c r="H547" s="51" t="n">
        <v>0.612</v>
      </c>
      <c r="I547" s="51" t="n">
        <v>0.3371</v>
      </c>
      <c r="J547" s="51" t="n">
        <v>0.0509</v>
      </c>
      <c r="K547" s="49"/>
      <c r="L547" s="49"/>
      <c r="M547" s="49"/>
      <c r="N547" s="49"/>
      <c r="O547" s="49"/>
      <c r="P547" s="49"/>
      <c r="Q547" s="49"/>
      <c r="R547" s="49"/>
      <c r="S547" s="49" t="n">
        <v>0</v>
      </c>
      <c r="T547" s="49" t="n">
        <v>0</v>
      </c>
      <c r="U547" s="49" t="s">
        <v>1357</v>
      </c>
    </row>
    <row r="548" customFormat="false" ht="15" hidden="false" customHeight="false" outlineLevel="0" collapsed="false">
      <c r="B548" s="48" t="n">
        <v>45158.282337963</v>
      </c>
      <c r="C548" s="4" t="n">
        <f aca="false">YEAR(B548)</f>
        <v>2023</v>
      </c>
      <c r="D548" s="49" t="s">
        <v>283</v>
      </c>
      <c r="E548" s="49" t="s">
        <v>1358</v>
      </c>
      <c r="F548" s="50" t="n">
        <v>1</v>
      </c>
      <c r="G548" s="49" t="s">
        <v>280</v>
      </c>
      <c r="H548" s="51" t="n">
        <v>0.8488</v>
      </c>
      <c r="I548" s="51" t="n">
        <v>0.1412</v>
      </c>
      <c r="J548" s="51" t="n">
        <v>0.01</v>
      </c>
      <c r="K548" s="49"/>
      <c r="L548" s="49"/>
      <c r="M548" s="49"/>
      <c r="N548" s="49"/>
      <c r="O548" s="49"/>
      <c r="P548" s="49"/>
      <c r="Q548" s="49"/>
      <c r="R548" s="49"/>
      <c r="S548" s="49" t="n">
        <v>0</v>
      </c>
      <c r="T548" s="49" t="n">
        <v>0</v>
      </c>
      <c r="U548" s="49" t="s">
        <v>1359</v>
      </c>
    </row>
    <row r="549" customFormat="false" ht="15" hidden="false" customHeight="false" outlineLevel="0" collapsed="false">
      <c r="B549" s="48" t="n">
        <v>45159.1440393519</v>
      </c>
      <c r="C549" s="4" t="n">
        <f aca="false">YEAR(B549)</f>
        <v>2023</v>
      </c>
      <c r="D549" s="49" t="s">
        <v>283</v>
      </c>
      <c r="E549" s="49" t="s">
        <v>1360</v>
      </c>
      <c r="F549" s="50" t="n">
        <v>5</v>
      </c>
      <c r="G549" s="49" t="s">
        <v>287</v>
      </c>
      <c r="H549" s="51" t="n">
        <v>0.0077</v>
      </c>
      <c r="I549" s="51" t="n">
        <v>0.1925</v>
      </c>
      <c r="J549" s="51" t="n">
        <v>0.7997</v>
      </c>
      <c r="K549" s="49"/>
      <c r="L549" s="49"/>
      <c r="M549" s="49"/>
      <c r="N549" s="49"/>
      <c r="O549" s="49"/>
      <c r="P549" s="49"/>
      <c r="Q549" s="49"/>
      <c r="R549" s="49"/>
      <c r="S549" s="49" t="n">
        <v>0</v>
      </c>
      <c r="T549" s="49" t="n">
        <v>0</v>
      </c>
      <c r="U549" s="49" t="s">
        <v>1361</v>
      </c>
    </row>
    <row r="550" customFormat="false" ht="15" hidden="false" customHeight="false" outlineLevel="0" collapsed="false">
      <c r="B550" s="48" t="n">
        <v>45159.7132291667</v>
      </c>
      <c r="C550" s="4" t="n">
        <f aca="false">YEAR(B550)</f>
        <v>2023</v>
      </c>
      <c r="D550" s="49" t="s">
        <v>283</v>
      </c>
      <c r="E550" s="49" t="s">
        <v>1362</v>
      </c>
      <c r="F550" s="50" t="n">
        <v>1</v>
      </c>
      <c r="G550" s="49" t="s">
        <v>287</v>
      </c>
      <c r="H550" s="51" t="n">
        <v>0.0042</v>
      </c>
      <c r="I550" s="51" t="n">
        <v>0.2029</v>
      </c>
      <c r="J550" s="51" t="n">
        <v>0.7929</v>
      </c>
      <c r="K550" s="49"/>
      <c r="L550" s="49"/>
      <c r="M550" s="49"/>
      <c r="N550" s="49"/>
      <c r="O550" s="49"/>
      <c r="P550" s="49"/>
      <c r="Q550" s="49"/>
      <c r="R550" s="49"/>
      <c r="S550" s="49" t="n">
        <v>0</v>
      </c>
      <c r="T550" s="49" t="n">
        <v>0</v>
      </c>
      <c r="U550" s="49" t="s">
        <v>1363</v>
      </c>
    </row>
    <row r="551" customFormat="false" ht="15" hidden="false" customHeight="false" outlineLevel="0" collapsed="false">
      <c r="B551" s="48" t="n">
        <v>45159.8343981481</v>
      </c>
      <c r="C551" s="4" t="n">
        <f aca="false">YEAR(B551)</f>
        <v>2023</v>
      </c>
      <c r="D551" s="49" t="s">
        <v>283</v>
      </c>
      <c r="E551" s="49" t="s">
        <v>1364</v>
      </c>
      <c r="F551" s="50" t="n">
        <v>1</v>
      </c>
      <c r="G551" s="49" t="s">
        <v>287</v>
      </c>
      <c r="H551" s="51" t="n">
        <v>0.0025</v>
      </c>
      <c r="I551" s="51" t="n">
        <v>0.3809</v>
      </c>
      <c r="J551" s="51" t="n">
        <v>0.6166</v>
      </c>
      <c r="K551" s="49"/>
      <c r="L551" s="49"/>
      <c r="M551" s="49"/>
      <c r="N551" s="49"/>
      <c r="O551" s="49"/>
      <c r="P551" s="49"/>
      <c r="Q551" s="49"/>
      <c r="R551" s="49"/>
      <c r="S551" s="49" t="n">
        <v>0</v>
      </c>
      <c r="T551" s="49" t="n">
        <v>0</v>
      </c>
      <c r="U551" s="49" t="s">
        <v>1365</v>
      </c>
    </row>
    <row r="552" customFormat="false" ht="15" hidden="false" customHeight="false" outlineLevel="0" collapsed="false">
      <c r="B552" s="48" t="n">
        <v>45159.8367824074</v>
      </c>
      <c r="C552" s="4" t="n">
        <f aca="false">YEAR(B552)</f>
        <v>2023</v>
      </c>
      <c r="D552" s="49" t="s">
        <v>283</v>
      </c>
      <c r="E552" s="49" t="s">
        <v>1366</v>
      </c>
      <c r="F552" s="50" t="n">
        <v>1</v>
      </c>
      <c r="G552" s="49" t="s">
        <v>290</v>
      </c>
      <c r="H552" s="51" t="n">
        <v>0.0023</v>
      </c>
      <c r="I552" s="51" t="n">
        <v>0.8063</v>
      </c>
      <c r="J552" s="51" t="n">
        <v>0.1914</v>
      </c>
      <c r="K552" s="49"/>
      <c r="L552" s="49"/>
      <c r="M552" s="49"/>
      <c r="N552" s="49"/>
      <c r="O552" s="49"/>
      <c r="P552" s="49"/>
      <c r="Q552" s="49"/>
      <c r="R552" s="49"/>
      <c r="S552" s="49" t="n">
        <v>0</v>
      </c>
      <c r="T552" s="49" t="n">
        <v>0</v>
      </c>
      <c r="U552" s="49" t="s">
        <v>1367</v>
      </c>
    </row>
    <row r="553" customFormat="false" ht="15" hidden="false" customHeight="false" outlineLevel="0" collapsed="false">
      <c r="B553" s="48" t="n">
        <v>45160.7215509259</v>
      </c>
      <c r="C553" s="4" t="n">
        <f aca="false">YEAR(B553)</f>
        <v>2023</v>
      </c>
      <c r="D553" s="49" t="s">
        <v>278</v>
      </c>
      <c r="E553" s="49" t="s">
        <v>1368</v>
      </c>
      <c r="F553" s="50" t="n">
        <v>2</v>
      </c>
      <c r="G553" s="49" t="s">
        <v>290</v>
      </c>
      <c r="H553" s="51" t="n">
        <v>0.1556</v>
      </c>
      <c r="I553" s="51" t="n">
        <v>0.7959</v>
      </c>
      <c r="J553" s="51" t="n">
        <v>0.0485</v>
      </c>
      <c r="K553" s="49" t="s">
        <v>281</v>
      </c>
      <c r="L553" s="49"/>
      <c r="M553" s="49"/>
      <c r="N553" s="49"/>
      <c r="O553" s="49"/>
      <c r="P553" s="49"/>
      <c r="Q553" s="49"/>
      <c r="R553" s="49"/>
      <c r="S553" s="49" t="n">
        <v>0</v>
      </c>
      <c r="T553" s="49" t="n">
        <v>0</v>
      </c>
      <c r="U553" s="49" t="s">
        <v>1369</v>
      </c>
    </row>
    <row r="554" customFormat="false" ht="15" hidden="false" customHeight="false" outlineLevel="0" collapsed="false">
      <c r="B554" s="48" t="n">
        <v>45161.0382060185</v>
      </c>
      <c r="C554" s="4" t="n">
        <f aca="false">YEAR(B554)</f>
        <v>2023</v>
      </c>
      <c r="D554" s="49" t="s">
        <v>278</v>
      </c>
      <c r="E554" s="49" t="s">
        <v>1370</v>
      </c>
      <c r="F554" s="50" t="n">
        <v>2</v>
      </c>
      <c r="G554" s="49" t="s">
        <v>280</v>
      </c>
      <c r="H554" s="51" t="n">
        <v>0.7718</v>
      </c>
      <c r="I554" s="51" t="n">
        <v>0.2104</v>
      </c>
      <c r="J554" s="51" t="n">
        <v>0.0178</v>
      </c>
      <c r="K554" s="49"/>
      <c r="L554" s="49"/>
      <c r="M554" s="49"/>
      <c r="N554" s="49"/>
      <c r="O554" s="49"/>
      <c r="P554" s="49"/>
      <c r="Q554" s="49"/>
      <c r="R554" s="49" t="s">
        <v>281</v>
      </c>
      <c r="S554" s="49" t="n">
        <v>0</v>
      </c>
      <c r="T554" s="49" t="n">
        <v>0</v>
      </c>
      <c r="U554" s="49" t="s">
        <v>1371</v>
      </c>
    </row>
    <row r="555" customFormat="false" ht="15" hidden="false" customHeight="false" outlineLevel="0" collapsed="false">
      <c r="B555" s="48" t="n">
        <v>45162.6113425926</v>
      </c>
      <c r="C555" s="4" t="n">
        <f aca="false">YEAR(B555)</f>
        <v>2023</v>
      </c>
      <c r="D555" s="49" t="s">
        <v>283</v>
      </c>
      <c r="E555" s="49" t="s">
        <v>1372</v>
      </c>
      <c r="F555" s="50" t="n">
        <v>1</v>
      </c>
      <c r="G555" s="49" t="s">
        <v>287</v>
      </c>
      <c r="H555" s="51" t="n">
        <v>0.0017</v>
      </c>
      <c r="I555" s="51" t="n">
        <v>0.023</v>
      </c>
      <c r="J555" s="51" t="n">
        <v>0.9753</v>
      </c>
      <c r="K555" s="49"/>
      <c r="L555" s="49"/>
      <c r="M555" s="49"/>
      <c r="N555" s="49"/>
      <c r="O555" s="49"/>
      <c r="P555" s="49"/>
      <c r="Q555" s="49"/>
      <c r="R555" s="49"/>
      <c r="S555" s="49" t="n">
        <v>0</v>
      </c>
      <c r="T555" s="49" t="n">
        <v>0</v>
      </c>
      <c r="U555" s="49" t="s">
        <v>1373</v>
      </c>
    </row>
    <row r="556" customFormat="false" ht="15" hidden="false" customHeight="false" outlineLevel="0" collapsed="false">
      <c r="B556" s="48" t="n">
        <v>45163.704212963</v>
      </c>
      <c r="C556" s="4" t="n">
        <f aca="false">YEAR(B556)</f>
        <v>2023</v>
      </c>
      <c r="D556" s="49" t="s">
        <v>283</v>
      </c>
      <c r="E556" s="49" t="s">
        <v>1374</v>
      </c>
      <c r="F556" s="50" t="n">
        <v>2</v>
      </c>
      <c r="G556" s="49" t="s">
        <v>290</v>
      </c>
      <c r="H556" s="51" t="n">
        <v>0.0253</v>
      </c>
      <c r="I556" s="51" t="n">
        <v>0.9154</v>
      </c>
      <c r="J556" s="51" t="n">
        <v>0.0593</v>
      </c>
      <c r="K556" s="49"/>
      <c r="L556" s="49"/>
      <c r="M556" s="49"/>
      <c r="N556" s="49"/>
      <c r="O556" s="49"/>
      <c r="P556" s="49"/>
      <c r="Q556" s="49"/>
      <c r="R556" s="49"/>
      <c r="S556" s="49" t="n">
        <v>0</v>
      </c>
      <c r="T556" s="49" t="n">
        <v>0</v>
      </c>
      <c r="U556" s="49" t="s">
        <v>1375</v>
      </c>
    </row>
    <row r="557" customFormat="false" ht="15" hidden="false" customHeight="false" outlineLevel="0" collapsed="false">
      <c r="B557" s="48" t="n">
        <v>45164.0439930556</v>
      </c>
      <c r="C557" s="4" t="n">
        <f aca="false">YEAR(B557)</f>
        <v>2023</v>
      </c>
      <c r="D557" s="49" t="s">
        <v>283</v>
      </c>
      <c r="E557" s="49" t="s">
        <v>1376</v>
      </c>
      <c r="F557" s="50" t="n">
        <v>1</v>
      </c>
      <c r="G557" s="49" t="s">
        <v>290</v>
      </c>
      <c r="H557" s="51" t="n">
        <v>0.1179</v>
      </c>
      <c r="I557" s="51" t="n">
        <v>0.5389</v>
      </c>
      <c r="J557" s="51" t="n">
        <v>0.3432</v>
      </c>
      <c r="K557" s="49"/>
      <c r="L557" s="49"/>
      <c r="M557" s="49"/>
      <c r="N557" s="49"/>
      <c r="O557" s="49"/>
      <c r="P557" s="49"/>
      <c r="Q557" s="49"/>
      <c r="R557" s="49"/>
      <c r="S557" s="49" t="n">
        <v>0</v>
      </c>
      <c r="T557" s="49" t="n">
        <v>0</v>
      </c>
      <c r="U557" s="49" t="s">
        <v>1377</v>
      </c>
    </row>
    <row r="558" customFormat="false" ht="15" hidden="false" customHeight="false" outlineLevel="0" collapsed="false">
      <c r="B558" s="48" t="n">
        <v>45164.1998958333</v>
      </c>
      <c r="C558" s="4" t="n">
        <f aca="false">YEAR(B558)</f>
        <v>2023</v>
      </c>
      <c r="D558" s="49" t="s">
        <v>283</v>
      </c>
      <c r="E558" s="49" t="s">
        <v>1378</v>
      </c>
      <c r="F558" s="50" t="n">
        <v>59</v>
      </c>
      <c r="G558" s="49" t="s">
        <v>280</v>
      </c>
      <c r="H558" s="51" t="n">
        <v>0.6287</v>
      </c>
      <c r="I558" s="51" t="n">
        <v>0.2996</v>
      </c>
      <c r="J558" s="51" t="n">
        <v>0.0717</v>
      </c>
      <c r="K558" s="49"/>
      <c r="L558" s="49"/>
      <c r="M558" s="49"/>
      <c r="N558" s="49"/>
      <c r="O558" s="49"/>
      <c r="P558" s="49"/>
      <c r="Q558" s="49"/>
      <c r="R558" s="49"/>
      <c r="S558" s="49" t="n">
        <v>0</v>
      </c>
      <c r="T558" s="49" t="n">
        <v>0</v>
      </c>
      <c r="U558" s="49" t="s">
        <v>1379</v>
      </c>
    </row>
    <row r="559" customFormat="false" ht="15" hidden="false" customHeight="false" outlineLevel="0" collapsed="false">
      <c r="B559" s="48" t="n">
        <v>45164.6641435185</v>
      </c>
      <c r="C559" s="4" t="n">
        <f aca="false">YEAR(B559)</f>
        <v>2023</v>
      </c>
      <c r="D559" s="49" t="s">
        <v>283</v>
      </c>
      <c r="E559" s="49" t="s">
        <v>1380</v>
      </c>
      <c r="F559" s="50" t="n">
        <v>2</v>
      </c>
      <c r="G559" s="49" t="s">
        <v>280</v>
      </c>
      <c r="H559" s="51" t="n">
        <v>0.8976</v>
      </c>
      <c r="I559" s="51" t="n">
        <v>0.0966</v>
      </c>
      <c r="J559" s="51" t="n">
        <v>0.0058</v>
      </c>
      <c r="K559" s="49" t="s">
        <v>281</v>
      </c>
      <c r="L559" s="49"/>
      <c r="M559" s="49"/>
      <c r="N559" s="49"/>
      <c r="O559" s="49"/>
      <c r="P559" s="49"/>
      <c r="Q559" s="49"/>
      <c r="R559" s="49"/>
      <c r="S559" s="49" t="n">
        <v>0</v>
      </c>
      <c r="T559" s="49" t="n">
        <v>0</v>
      </c>
      <c r="U559" s="49" t="s">
        <v>1381</v>
      </c>
    </row>
    <row r="560" customFormat="false" ht="15" hidden="false" customHeight="false" outlineLevel="0" collapsed="false">
      <c r="B560" s="48" t="n">
        <v>45164.8569675926</v>
      </c>
      <c r="C560" s="4" t="n">
        <f aca="false">YEAR(B560)</f>
        <v>2023</v>
      </c>
      <c r="D560" s="49" t="s">
        <v>283</v>
      </c>
      <c r="E560" s="49" t="s">
        <v>1382</v>
      </c>
      <c r="F560" s="50" t="n">
        <v>80</v>
      </c>
      <c r="G560" s="49" t="s">
        <v>287</v>
      </c>
      <c r="H560" s="51" t="n">
        <v>0.0136</v>
      </c>
      <c r="I560" s="51" t="n">
        <v>0.0547</v>
      </c>
      <c r="J560" s="51" t="n">
        <v>0.9317</v>
      </c>
      <c r="K560" s="49"/>
      <c r="L560" s="49"/>
      <c r="M560" s="49"/>
      <c r="N560" s="49"/>
      <c r="O560" s="49"/>
      <c r="P560" s="49"/>
      <c r="Q560" s="49"/>
      <c r="R560" s="49" t="s">
        <v>281</v>
      </c>
      <c r="S560" s="49" t="n">
        <v>0</v>
      </c>
      <c r="T560" s="49" t="n">
        <v>0</v>
      </c>
      <c r="U560" s="49" t="s">
        <v>1383</v>
      </c>
    </row>
    <row r="561" customFormat="false" ht="15" hidden="false" customHeight="false" outlineLevel="0" collapsed="false">
      <c r="B561" s="48" t="n">
        <v>45165.9102083333</v>
      </c>
      <c r="C561" s="4" t="n">
        <f aca="false">YEAR(B561)</f>
        <v>2023</v>
      </c>
      <c r="D561" s="49" t="s">
        <v>283</v>
      </c>
      <c r="E561" s="49" t="s">
        <v>1384</v>
      </c>
      <c r="F561" s="50" t="n">
        <v>2</v>
      </c>
      <c r="G561" s="49" t="s">
        <v>290</v>
      </c>
      <c r="H561" s="51" t="n">
        <v>0.0176</v>
      </c>
      <c r="I561" s="51" t="n">
        <v>0.7634</v>
      </c>
      <c r="J561" s="51" t="n">
        <v>0.219</v>
      </c>
      <c r="K561" s="49"/>
      <c r="L561" s="49"/>
      <c r="M561" s="49"/>
      <c r="N561" s="49"/>
      <c r="O561" s="49"/>
      <c r="P561" s="49"/>
      <c r="Q561" s="49"/>
      <c r="R561" s="49"/>
      <c r="S561" s="49" t="n">
        <v>0</v>
      </c>
      <c r="T561" s="49" t="n">
        <v>0</v>
      </c>
      <c r="U561" s="49" t="s">
        <v>1385</v>
      </c>
    </row>
    <row r="562" customFormat="false" ht="15" hidden="false" customHeight="false" outlineLevel="0" collapsed="false">
      <c r="B562" s="48" t="n">
        <v>45166.2060416667</v>
      </c>
      <c r="C562" s="4" t="n">
        <f aca="false">YEAR(B562)</f>
        <v>2023</v>
      </c>
      <c r="D562" s="49" t="s">
        <v>283</v>
      </c>
      <c r="E562" s="49" t="s">
        <v>1386</v>
      </c>
      <c r="F562" s="50" t="n">
        <v>1</v>
      </c>
      <c r="G562" s="49" t="s">
        <v>290</v>
      </c>
      <c r="H562" s="51" t="n">
        <v>0.011</v>
      </c>
      <c r="I562" s="51" t="n">
        <v>0.554</v>
      </c>
      <c r="J562" s="51" t="n">
        <v>0.435</v>
      </c>
      <c r="K562" s="49"/>
      <c r="L562" s="49"/>
      <c r="M562" s="49"/>
      <c r="N562" s="49"/>
      <c r="O562" s="49"/>
      <c r="P562" s="49"/>
      <c r="Q562" s="49"/>
      <c r="R562" s="49"/>
      <c r="S562" s="49" t="n">
        <v>1</v>
      </c>
      <c r="T562" s="49" t="n">
        <v>0</v>
      </c>
      <c r="U562" s="49" t="s">
        <v>1387</v>
      </c>
    </row>
    <row r="563" customFormat="false" ht="15" hidden="false" customHeight="false" outlineLevel="0" collapsed="false">
      <c r="B563" s="48" t="n">
        <v>45166.3758101852</v>
      </c>
      <c r="C563" s="4" t="n">
        <f aca="false">YEAR(B563)</f>
        <v>2023</v>
      </c>
      <c r="D563" s="49" t="s">
        <v>278</v>
      </c>
      <c r="E563" s="49" t="s">
        <v>1388</v>
      </c>
      <c r="F563" s="50" t="n">
        <v>126</v>
      </c>
      <c r="G563" s="49" t="s">
        <v>280</v>
      </c>
      <c r="H563" s="51" t="n">
        <v>0.953</v>
      </c>
      <c r="I563" s="51" t="n">
        <v>0.0414</v>
      </c>
      <c r="J563" s="51" t="n">
        <v>0.0056</v>
      </c>
      <c r="K563" s="49"/>
      <c r="L563" s="49"/>
      <c r="M563" s="49"/>
      <c r="N563" s="49"/>
      <c r="O563" s="49"/>
      <c r="P563" s="49"/>
      <c r="Q563" s="49" t="s">
        <v>281</v>
      </c>
      <c r="R563" s="49"/>
      <c r="S563" s="49" t="n">
        <v>0</v>
      </c>
      <c r="T563" s="49" t="n">
        <v>0</v>
      </c>
      <c r="U563" s="49" t="s">
        <v>1389</v>
      </c>
    </row>
    <row r="564" customFormat="false" ht="15" hidden="false" customHeight="false" outlineLevel="0" collapsed="false">
      <c r="B564" s="48" t="n">
        <v>45166.6099884259</v>
      </c>
      <c r="C564" s="4" t="n">
        <f aca="false">YEAR(B564)</f>
        <v>2023</v>
      </c>
      <c r="D564" s="49" t="s">
        <v>283</v>
      </c>
      <c r="E564" s="49" t="s">
        <v>1390</v>
      </c>
      <c r="F564" s="50" t="n">
        <v>3</v>
      </c>
      <c r="G564" s="49" t="s">
        <v>290</v>
      </c>
      <c r="H564" s="51" t="n">
        <v>0.0185</v>
      </c>
      <c r="I564" s="51" t="n">
        <v>0.7815</v>
      </c>
      <c r="J564" s="51" t="n">
        <v>0.2</v>
      </c>
      <c r="K564" s="49"/>
      <c r="L564" s="49"/>
      <c r="M564" s="49"/>
      <c r="N564" s="49"/>
      <c r="O564" s="49"/>
      <c r="P564" s="49"/>
      <c r="Q564" s="49"/>
      <c r="R564" s="49"/>
      <c r="S564" s="49" t="n">
        <v>0</v>
      </c>
      <c r="T564" s="49" t="n">
        <v>0</v>
      </c>
      <c r="U564" s="49" t="s">
        <v>1391</v>
      </c>
    </row>
    <row r="565" customFormat="false" ht="15" hidden="false" customHeight="false" outlineLevel="0" collapsed="false">
      <c r="B565" s="48" t="n">
        <v>45167.6413078704</v>
      </c>
      <c r="C565" s="4" t="n">
        <f aca="false">YEAR(B565)</f>
        <v>2023</v>
      </c>
      <c r="D565" s="49" t="s">
        <v>278</v>
      </c>
      <c r="E565" s="49" t="s">
        <v>1392</v>
      </c>
      <c r="F565" s="50" t="n">
        <v>2</v>
      </c>
      <c r="G565" s="49" t="s">
        <v>290</v>
      </c>
      <c r="H565" s="51" t="n">
        <v>0.0444</v>
      </c>
      <c r="I565" s="51" t="n">
        <v>0.7404</v>
      </c>
      <c r="J565" s="51" t="n">
        <v>0.2152</v>
      </c>
      <c r="K565" s="49"/>
      <c r="L565" s="49"/>
      <c r="M565" s="49"/>
      <c r="N565" s="49"/>
      <c r="O565" s="49"/>
      <c r="P565" s="49"/>
      <c r="Q565" s="49"/>
      <c r="R565" s="49"/>
      <c r="S565" s="49" t="n">
        <v>0</v>
      </c>
      <c r="T565" s="49" t="n">
        <v>0</v>
      </c>
      <c r="U565" s="49" t="s">
        <v>1393</v>
      </c>
    </row>
    <row r="566" customFormat="false" ht="15" hidden="false" customHeight="false" outlineLevel="0" collapsed="false">
      <c r="B566" s="48" t="n">
        <v>45168.1458680556</v>
      </c>
      <c r="C566" s="4" t="n">
        <f aca="false">YEAR(B566)</f>
        <v>2023</v>
      </c>
      <c r="D566" s="49" t="s">
        <v>283</v>
      </c>
      <c r="E566" s="49" t="s">
        <v>1394</v>
      </c>
      <c r="F566" s="50" t="n">
        <v>1</v>
      </c>
      <c r="G566" s="49" t="s">
        <v>290</v>
      </c>
      <c r="H566" s="51" t="n">
        <v>0.2981</v>
      </c>
      <c r="I566" s="51" t="n">
        <v>0.5426</v>
      </c>
      <c r="J566" s="51" t="n">
        <v>0.1594</v>
      </c>
      <c r="K566" s="49"/>
      <c r="L566" s="49"/>
      <c r="M566" s="49"/>
      <c r="N566" s="49"/>
      <c r="O566" s="49"/>
      <c r="P566" s="49"/>
      <c r="Q566" s="49"/>
      <c r="R566" s="49"/>
      <c r="S566" s="49" t="n">
        <v>0</v>
      </c>
      <c r="T566" s="49" t="n">
        <v>0</v>
      </c>
      <c r="U566" s="49" t="s">
        <v>1395</v>
      </c>
    </row>
    <row r="567" customFormat="false" ht="15" hidden="false" customHeight="false" outlineLevel="0" collapsed="false">
      <c r="B567" s="48" t="n">
        <v>45168.9053009259</v>
      </c>
      <c r="C567" s="4" t="n">
        <f aca="false">YEAR(B567)</f>
        <v>2023</v>
      </c>
      <c r="D567" s="49" t="s">
        <v>278</v>
      </c>
      <c r="E567" s="49" t="s">
        <v>1396</v>
      </c>
      <c r="F567" s="50" t="n">
        <v>1</v>
      </c>
      <c r="G567" s="49" t="s">
        <v>290</v>
      </c>
      <c r="H567" s="51" t="n">
        <v>0.4604</v>
      </c>
      <c r="I567" s="51" t="n">
        <v>0.5271</v>
      </c>
      <c r="J567" s="51" t="n">
        <v>0.0126</v>
      </c>
      <c r="K567" s="49"/>
      <c r="L567" s="49" t="s">
        <v>281</v>
      </c>
      <c r="M567" s="49"/>
      <c r="N567" s="49"/>
      <c r="O567" s="49"/>
      <c r="P567" s="49"/>
      <c r="Q567" s="49"/>
      <c r="R567" s="49" t="s">
        <v>281</v>
      </c>
      <c r="S567" s="49" t="n">
        <v>1</v>
      </c>
      <c r="T567" s="49" t="n">
        <v>0</v>
      </c>
      <c r="U567" s="49" t="s">
        <v>1397</v>
      </c>
    </row>
    <row r="568" customFormat="false" ht="15" hidden="false" customHeight="false" outlineLevel="0" collapsed="false">
      <c r="B568" s="48" t="n">
        <v>45169.1420833333</v>
      </c>
      <c r="C568" s="4" t="n">
        <f aca="false">YEAR(B568)</f>
        <v>2023</v>
      </c>
      <c r="D568" s="49" t="s">
        <v>283</v>
      </c>
      <c r="E568" s="49" t="s">
        <v>1398</v>
      </c>
      <c r="F568" s="50" t="n">
        <v>3</v>
      </c>
      <c r="G568" s="49" t="s">
        <v>280</v>
      </c>
      <c r="H568" s="51" t="n">
        <v>0.9024</v>
      </c>
      <c r="I568" s="51" t="n">
        <v>0.0906</v>
      </c>
      <c r="J568" s="51" t="n">
        <v>0.007</v>
      </c>
      <c r="K568" s="49"/>
      <c r="L568" s="49"/>
      <c r="M568" s="49"/>
      <c r="N568" s="49"/>
      <c r="O568" s="49"/>
      <c r="P568" s="49"/>
      <c r="Q568" s="49"/>
      <c r="R568" s="49"/>
      <c r="S568" s="49" t="n">
        <v>0</v>
      </c>
      <c r="T568" s="49" t="n">
        <v>0</v>
      </c>
      <c r="U568" s="49" t="s">
        <v>1399</v>
      </c>
    </row>
    <row r="569" customFormat="false" ht="15" hidden="false" customHeight="false" outlineLevel="0" collapsed="false">
      <c r="B569" s="48" t="n">
        <v>45169.1462037037</v>
      </c>
      <c r="C569" s="4" t="n">
        <f aca="false">YEAR(B569)</f>
        <v>2023</v>
      </c>
      <c r="D569" s="49" t="s">
        <v>283</v>
      </c>
      <c r="E569" s="49" t="s">
        <v>1400</v>
      </c>
      <c r="F569" s="50" t="n">
        <v>1</v>
      </c>
      <c r="G569" s="49" t="s">
        <v>290</v>
      </c>
      <c r="H569" s="51" t="n">
        <v>0.0033</v>
      </c>
      <c r="I569" s="51" t="n">
        <v>0.6404</v>
      </c>
      <c r="J569" s="51" t="n">
        <v>0.3563</v>
      </c>
      <c r="K569" s="49"/>
      <c r="L569" s="49"/>
      <c r="M569" s="49"/>
      <c r="N569" s="49"/>
      <c r="O569" s="49"/>
      <c r="P569" s="49"/>
      <c r="Q569" s="49"/>
      <c r="R569" s="49"/>
      <c r="S569" s="49" t="n">
        <v>0</v>
      </c>
      <c r="T569" s="49" t="n">
        <v>0</v>
      </c>
      <c r="U569" s="49" t="s">
        <v>1401</v>
      </c>
    </row>
    <row r="570" customFormat="false" ht="15" hidden="false" customHeight="false" outlineLevel="0" collapsed="false">
      <c r="B570" s="48" t="n">
        <v>45169.2372453704</v>
      </c>
      <c r="C570" s="4" t="n">
        <f aca="false">YEAR(B570)</f>
        <v>2023</v>
      </c>
      <c r="D570" s="49" t="s">
        <v>283</v>
      </c>
      <c r="E570" s="49" t="s">
        <v>1402</v>
      </c>
      <c r="F570" s="50" t="n">
        <v>1</v>
      </c>
      <c r="G570" s="49" t="s">
        <v>287</v>
      </c>
      <c r="H570" s="51" t="n">
        <v>0.0037</v>
      </c>
      <c r="I570" s="51" t="n">
        <v>0.0483</v>
      </c>
      <c r="J570" s="51" t="n">
        <v>0.9479</v>
      </c>
      <c r="K570" s="49"/>
      <c r="L570" s="49"/>
      <c r="M570" s="49"/>
      <c r="N570" s="49"/>
      <c r="O570" s="49"/>
      <c r="P570" s="49"/>
      <c r="Q570" s="49"/>
      <c r="R570" s="49" t="s">
        <v>281</v>
      </c>
      <c r="S570" s="49" t="n">
        <v>0</v>
      </c>
      <c r="T570" s="49" t="n">
        <v>0</v>
      </c>
      <c r="U570" s="49" t="s">
        <v>1403</v>
      </c>
    </row>
    <row r="571" customFormat="false" ht="15" hidden="false" customHeight="false" outlineLevel="0" collapsed="false">
      <c r="B571" s="48" t="n">
        <v>45169.7722106482</v>
      </c>
      <c r="C571" s="4" t="n">
        <f aca="false">YEAR(B571)</f>
        <v>2023</v>
      </c>
      <c r="D571" s="49" t="s">
        <v>283</v>
      </c>
      <c r="E571" s="49" t="s">
        <v>1404</v>
      </c>
      <c r="F571" s="50" t="n">
        <v>5</v>
      </c>
      <c r="G571" s="49" t="s">
        <v>287</v>
      </c>
      <c r="H571" s="51" t="n">
        <v>0.0196</v>
      </c>
      <c r="I571" s="51" t="n">
        <v>0.1046</v>
      </c>
      <c r="J571" s="51" t="n">
        <v>0.8758</v>
      </c>
      <c r="K571" s="49"/>
      <c r="L571" s="49"/>
      <c r="M571" s="49"/>
      <c r="N571" s="49"/>
      <c r="O571" s="49"/>
      <c r="P571" s="49"/>
      <c r="Q571" s="49"/>
      <c r="R571" s="49" t="s">
        <v>281</v>
      </c>
      <c r="S571" s="49" t="n">
        <v>0</v>
      </c>
      <c r="T571" s="49" t="n">
        <v>0</v>
      </c>
      <c r="U571" s="49" t="s">
        <v>1405</v>
      </c>
    </row>
    <row r="572" customFormat="false" ht="15" hidden="false" customHeight="false" outlineLevel="0" collapsed="false">
      <c r="B572" s="48" t="n">
        <v>45169.8297685185</v>
      </c>
      <c r="C572" s="4" t="n">
        <f aca="false">YEAR(B572)</f>
        <v>2023</v>
      </c>
      <c r="D572" s="49" t="s">
        <v>283</v>
      </c>
      <c r="E572" s="49" t="s">
        <v>1406</v>
      </c>
      <c r="F572" s="50" t="n">
        <v>2</v>
      </c>
      <c r="G572" s="49" t="s">
        <v>280</v>
      </c>
      <c r="H572" s="51" t="n">
        <v>0.7811</v>
      </c>
      <c r="I572" s="51" t="n">
        <v>0.207</v>
      </c>
      <c r="J572" s="51" t="n">
        <v>0.012</v>
      </c>
      <c r="K572" s="49"/>
      <c r="L572" s="49"/>
      <c r="M572" s="49"/>
      <c r="N572" s="49"/>
      <c r="O572" s="49"/>
      <c r="P572" s="49"/>
      <c r="Q572" s="49"/>
      <c r="R572" s="49"/>
      <c r="S572" s="49" t="n">
        <v>0</v>
      </c>
      <c r="T572" s="49" t="n">
        <v>0</v>
      </c>
      <c r="U572" s="49" t="s">
        <v>1407</v>
      </c>
    </row>
    <row r="573" customFormat="false" ht="15" hidden="false" customHeight="false" outlineLevel="0" collapsed="false">
      <c r="B573" s="48" t="n">
        <v>45170.2382523148</v>
      </c>
      <c r="C573" s="4" t="n">
        <f aca="false">YEAR(B573)</f>
        <v>2023</v>
      </c>
      <c r="D573" s="49" t="s">
        <v>283</v>
      </c>
      <c r="E573" s="49" t="s">
        <v>1408</v>
      </c>
      <c r="F573" s="50" t="n">
        <v>1</v>
      </c>
      <c r="G573" s="49" t="s">
        <v>290</v>
      </c>
      <c r="H573" s="51" t="n">
        <v>0.4545</v>
      </c>
      <c r="I573" s="51" t="n">
        <v>0.4558</v>
      </c>
      <c r="J573" s="51" t="n">
        <v>0.0897</v>
      </c>
      <c r="K573" s="49"/>
      <c r="L573" s="49"/>
      <c r="M573" s="49"/>
      <c r="N573" s="49"/>
      <c r="O573" s="49"/>
      <c r="P573" s="49"/>
      <c r="Q573" s="49"/>
      <c r="R573" s="49"/>
      <c r="S573" s="49" t="n">
        <v>0</v>
      </c>
      <c r="T573" s="49" t="n">
        <v>0</v>
      </c>
      <c r="U573" s="49" t="s">
        <v>1409</v>
      </c>
    </row>
    <row r="574" customFormat="false" ht="15" hidden="false" customHeight="false" outlineLevel="0" collapsed="false">
      <c r="B574" s="48" t="n">
        <v>45170.5766782407</v>
      </c>
      <c r="C574" s="4" t="n">
        <f aca="false">YEAR(B574)</f>
        <v>2023</v>
      </c>
      <c r="D574" s="49" t="s">
        <v>278</v>
      </c>
      <c r="E574" s="49" t="s">
        <v>1410</v>
      </c>
      <c r="F574" s="50" t="n">
        <v>6</v>
      </c>
      <c r="G574" s="49" t="s">
        <v>290</v>
      </c>
      <c r="H574" s="51" t="n">
        <v>0.1671</v>
      </c>
      <c r="I574" s="51" t="n">
        <v>0.7994</v>
      </c>
      <c r="J574" s="51" t="n">
        <v>0.0335</v>
      </c>
      <c r="K574" s="49"/>
      <c r="L574" s="49"/>
      <c r="M574" s="49"/>
      <c r="N574" s="49"/>
      <c r="O574" s="49"/>
      <c r="P574" s="49"/>
      <c r="Q574" s="49" t="s">
        <v>281</v>
      </c>
      <c r="R574" s="49"/>
      <c r="S574" s="49" t="n">
        <v>0</v>
      </c>
      <c r="T574" s="49" t="n">
        <v>0</v>
      </c>
      <c r="U574" s="49" t="s">
        <v>1411</v>
      </c>
    </row>
    <row r="575" customFormat="false" ht="15" hidden="false" customHeight="false" outlineLevel="0" collapsed="false">
      <c r="B575" s="48" t="n">
        <v>45170.6045717593</v>
      </c>
      <c r="C575" s="4" t="n">
        <f aca="false">YEAR(B575)</f>
        <v>2023</v>
      </c>
      <c r="D575" s="49" t="s">
        <v>283</v>
      </c>
      <c r="E575" s="49" t="s">
        <v>1412</v>
      </c>
      <c r="F575" s="50" t="n">
        <v>1</v>
      </c>
      <c r="G575" s="49" t="s">
        <v>280</v>
      </c>
      <c r="H575" s="51" t="n">
        <v>0.7627</v>
      </c>
      <c r="I575" s="51" t="n">
        <v>0.214</v>
      </c>
      <c r="J575" s="51" t="n">
        <v>0.0232</v>
      </c>
      <c r="K575" s="49"/>
      <c r="L575" s="49"/>
      <c r="M575" s="49"/>
      <c r="N575" s="49"/>
      <c r="O575" s="49"/>
      <c r="P575" s="49"/>
      <c r="Q575" s="49"/>
      <c r="R575" s="49" t="s">
        <v>281</v>
      </c>
      <c r="S575" s="49" t="n">
        <v>0</v>
      </c>
      <c r="T575" s="49" t="n">
        <v>0</v>
      </c>
      <c r="U575" s="49" t="s">
        <v>1413</v>
      </c>
    </row>
    <row r="576" customFormat="false" ht="15" hidden="false" customHeight="false" outlineLevel="0" collapsed="false">
      <c r="B576" s="48" t="n">
        <v>45170.7024189815</v>
      </c>
      <c r="C576" s="4" t="n">
        <f aca="false">YEAR(B576)</f>
        <v>2023</v>
      </c>
      <c r="D576" s="49" t="s">
        <v>283</v>
      </c>
      <c r="E576" s="49" t="s">
        <v>1414</v>
      </c>
      <c r="F576" s="50" t="n">
        <v>2</v>
      </c>
      <c r="G576" s="49" t="s">
        <v>280</v>
      </c>
      <c r="H576" s="51" t="n">
        <v>0.5894</v>
      </c>
      <c r="I576" s="51" t="n">
        <v>0.3975</v>
      </c>
      <c r="J576" s="51" t="n">
        <v>0.013</v>
      </c>
      <c r="K576" s="49"/>
      <c r="L576" s="49"/>
      <c r="M576" s="49"/>
      <c r="N576" s="49"/>
      <c r="O576" s="49"/>
      <c r="P576" s="49"/>
      <c r="Q576" s="49"/>
      <c r="R576" s="49"/>
      <c r="S576" s="49" t="n">
        <v>0</v>
      </c>
      <c r="T576" s="49" t="n">
        <v>0</v>
      </c>
      <c r="U576" s="49" t="s">
        <v>1415</v>
      </c>
    </row>
    <row r="577" customFormat="false" ht="15" hidden="false" customHeight="false" outlineLevel="0" collapsed="false">
      <c r="B577" s="48" t="n">
        <v>45170.7551157407</v>
      </c>
      <c r="C577" s="4" t="n">
        <f aca="false">YEAR(B577)</f>
        <v>2023</v>
      </c>
      <c r="D577" s="49" t="s">
        <v>283</v>
      </c>
      <c r="E577" s="49" t="s">
        <v>1416</v>
      </c>
      <c r="F577" s="50" t="n">
        <v>8</v>
      </c>
      <c r="G577" s="49" t="s">
        <v>290</v>
      </c>
      <c r="H577" s="51" t="n">
        <v>0.1045</v>
      </c>
      <c r="I577" s="51" t="n">
        <v>0.5532</v>
      </c>
      <c r="J577" s="51" t="n">
        <v>0.3422</v>
      </c>
      <c r="K577" s="49"/>
      <c r="L577" s="49"/>
      <c r="M577" s="49"/>
      <c r="N577" s="49"/>
      <c r="O577" s="49"/>
      <c r="P577" s="49"/>
      <c r="Q577" s="49"/>
      <c r="R577" s="49"/>
      <c r="S577" s="49" t="n">
        <v>0</v>
      </c>
      <c r="T577" s="49" t="n">
        <v>0</v>
      </c>
      <c r="U577" s="49" t="s">
        <v>1417</v>
      </c>
    </row>
    <row r="578" customFormat="false" ht="15" hidden="false" customHeight="false" outlineLevel="0" collapsed="false">
      <c r="B578" s="48" t="n">
        <v>45170.8384953704</v>
      </c>
      <c r="C578" s="4" t="n">
        <f aca="false">YEAR(B578)</f>
        <v>2023</v>
      </c>
      <c r="D578" s="49" t="s">
        <v>283</v>
      </c>
      <c r="E578" s="49" t="s">
        <v>1418</v>
      </c>
      <c r="F578" s="50" t="n">
        <v>5</v>
      </c>
      <c r="G578" s="49" t="s">
        <v>287</v>
      </c>
      <c r="H578" s="51" t="n">
        <v>0.005</v>
      </c>
      <c r="I578" s="51" t="n">
        <v>0.0214</v>
      </c>
      <c r="J578" s="51" t="n">
        <v>0.9736</v>
      </c>
      <c r="K578" s="49"/>
      <c r="L578" s="49"/>
      <c r="M578" s="49"/>
      <c r="N578" s="49"/>
      <c r="O578" s="49"/>
      <c r="P578" s="49"/>
      <c r="Q578" s="49"/>
      <c r="R578" s="49"/>
      <c r="S578" s="49" t="n">
        <v>0</v>
      </c>
      <c r="T578" s="49" t="n">
        <v>0</v>
      </c>
      <c r="U578" s="49" t="s">
        <v>1419</v>
      </c>
    </row>
    <row r="579" customFormat="false" ht="15" hidden="false" customHeight="false" outlineLevel="0" collapsed="false">
      <c r="B579" s="48" t="n">
        <v>45171.7162384259</v>
      </c>
      <c r="C579" s="4" t="n">
        <f aca="false">YEAR(B579)</f>
        <v>2023</v>
      </c>
      <c r="D579" s="49" t="s">
        <v>283</v>
      </c>
      <c r="E579" s="49" t="s">
        <v>1420</v>
      </c>
      <c r="F579" s="50" t="n">
        <v>2</v>
      </c>
      <c r="G579" s="49" t="s">
        <v>287</v>
      </c>
      <c r="H579" s="51" t="n">
        <v>0.0018</v>
      </c>
      <c r="I579" s="51" t="n">
        <v>0.0316</v>
      </c>
      <c r="J579" s="51" t="n">
        <v>0.9666</v>
      </c>
      <c r="K579" s="49"/>
      <c r="L579" s="49"/>
      <c r="M579" s="49"/>
      <c r="N579" s="49"/>
      <c r="O579" s="49"/>
      <c r="P579" s="49"/>
      <c r="Q579" s="49"/>
      <c r="R579" s="49"/>
      <c r="S579" s="49" t="n">
        <v>0</v>
      </c>
      <c r="T579" s="49" t="n">
        <v>0</v>
      </c>
      <c r="U579" s="49" t="s">
        <v>1421</v>
      </c>
    </row>
    <row r="580" customFormat="false" ht="15" hidden="false" customHeight="false" outlineLevel="0" collapsed="false">
      <c r="B580" s="48" t="n">
        <v>45171.8477430556</v>
      </c>
      <c r="C580" s="4" t="n">
        <f aca="false">YEAR(B580)</f>
        <v>2023</v>
      </c>
      <c r="D580" s="49" t="s">
        <v>278</v>
      </c>
      <c r="E580" s="49" t="s">
        <v>1422</v>
      </c>
      <c r="F580" s="50" t="n">
        <v>1</v>
      </c>
      <c r="G580" s="49" t="s">
        <v>280</v>
      </c>
      <c r="H580" s="51" t="n">
        <v>0.5331</v>
      </c>
      <c r="I580" s="51" t="n">
        <v>0.4516</v>
      </c>
      <c r="J580" s="51" t="n">
        <v>0.0152</v>
      </c>
      <c r="K580" s="49"/>
      <c r="L580" s="49"/>
      <c r="M580" s="49"/>
      <c r="N580" s="49"/>
      <c r="O580" s="49"/>
      <c r="P580" s="49"/>
      <c r="Q580" s="49"/>
      <c r="R580" s="49"/>
      <c r="S580" s="49" t="n">
        <v>0</v>
      </c>
      <c r="T580" s="49" t="n">
        <v>0</v>
      </c>
      <c r="U580" s="49" t="s">
        <v>1423</v>
      </c>
    </row>
    <row r="581" customFormat="false" ht="15" hidden="false" customHeight="false" outlineLevel="0" collapsed="false">
      <c r="B581" s="48" t="n">
        <v>45172.1272569444</v>
      </c>
      <c r="C581" s="4" t="n">
        <f aca="false">YEAR(B581)</f>
        <v>2023</v>
      </c>
      <c r="D581" s="49" t="s">
        <v>283</v>
      </c>
      <c r="E581" s="49" t="s">
        <v>1424</v>
      </c>
      <c r="F581" s="50" t="n">
        <v>1</v>
      </c>
      <c r="G581" s="49" t="s">
        <v>290</v>
      </c>
      <c r="H581" s="51" t="n">
        <v>0.0583</v>
      </c>
      <c r="I581" s="51" t="n">
        <v>0.7314</v>
      </c>
      <c r="J581" s="51" t="n">
        <v>0.2103</v>
      </c>
      <c r="K581" s="49"/>
      <c r="L581" s="49"/>
      <c r="M581" s="49"/>
      <c r="N581" s="49"/>
      <c r="O581" s="49"/>
      <c r="P581" s="49"/>
      <c r="Q581" s="49" t="s">
        <v>281</v>
      </c>
      <c r="R581" s="49"/>
      <c r="S581" s="49" t="n">
        <v>0</v>
      </c>
      <c r="T581" s="49" t="n">
        <v>0</v>
      </c>
      <c r="U581" s="49" t="s">
        <v>1425</v>
      </c>
    </row>
    <row r="582" customFormat="false" ht="15" hidden="false" customHeight="false" outlineLevel="0" collapsed="false">
      <c r="B582" s="48" t="n">
        <v>45172.4080787037</v>
      </c>
      <c r="C582" s="4" t="n">
        <f aca="false">YEAR(B582)</f>
        <v>2023</v>
      </c>
      <c r="D582" s="49" t="s">
        <v>283</v>
      </c>
      <c r="E582" s="49" t="s">
        <v>1426</v>
      </c>
      <c r="F582" s="50" t="n">
        <v>3</v>
      </c>
      <c r="G582" s="49" t="s">
        <v>280</v>
      </c>
      <c r="H582" s="51" t="n">
        <v>0.72</v>
      </c>
      <c r="I582" s="51" t="n">
        <v>0.2548</v>
      </c>
      <c r="J582" s="51" t="n">
        <v>0.0252</v>
      </c>
      <c r="K582" s="49"/>
      <c r="L582" s="49"/>
      <c r="M582" s="49"/>
      <c r="N582" s="49"/>
      <c r="O582" s="49"/>
      <c r="P582" s="49"/>
      <c r="Q582" s="49"/>
      <c r="R582" s="49"/>
      <c r="S582" s="49" t="n">
        <v>0</v>
      </c>
      <c r="T582" s="49" t="n">
        <v>0</v>
      </c>
      <c r="U582" s="49" t="s">
        <v>1427</v>
      </c>
    </row>
    <row r="583" customFormat="false" ht="15" hidden="false" customHeight="false" outlineLevel="0" collapsed="false">
      <c r="B583" s="48" t="n">
        <v>45172.670462963</v>
      </c>
      <c r="C583" s="4" t="n">
        <f aca="false">YEAR(B583)</f>
        <v>2023</v>
      </c>
      <c r="D583" s="49" t="s">
        <v>278</v>
      </c>
      <c r="E583" s="49" t="s">
        <v>1428</v>
      </c>
      <c r="F583" s="50" t="n">
        <v>2</v>
      </c>
      <c r="G583" s="49" t="s">
        <v>280</v>
      </c>
      <c r="H583" s="51" t="n">
        <v>0.679</v>
      </c>
      <c r="I583" s="51" t="n">
        <v>0.3046</v>
      </c>
      <c r="J583" s="51" t="n">
        <v>0.0164</v>
      </c>
      <c r="K583" s="49"/>
      <c r="L583" s="49"/>
      <c r="M583" s="49"/>
      <c r="N583" s="49"/>
      <c r="O583" s="49"/>
      <c r="P583" s="49"/>
      <c r="Q583" s="49"/>
      <c r="R583" s="49"/>
      <c r="S583" s="49" t="n">
        <v>0</v>
      </c>
      <c r="T583" s="49" t="n">
        <v>0</v>
      </c>
      <c r="U583" s="49" t="s">
        <v>1429</v>
      </c>
    </row>
    <row r="584" customFormat="false" ht="15" hidden="false" customHeight="false" outlineLevel="0" collapsed="false">
      <c r="B584" s="48" t="n">
        <v>45173.1121296296</v>
      </c>
      <c r="C584" s="4" t="n">
        <f aca="false">YEAR(B584)</f>
        <v>2023</v>
      </c>
      <c r="D584" s="49" t="s">
        <v>283</v>
      </c>
      <c r="E584" s="49" t="s">
        <v>1430</v>
      </c>
      <c r="F584" s="50" t="n">
        <v>1</v>
      </c>
      <c r="G584" s="49" t="s">
        <v>290</v>
      </c>
      <c r="H584" s="51" t="n">
        <v>0.0355</v>
      </c>
      <c r="I584" s="51" t="n">
        <v>0.5849</v>
      </c>
      <c r="J584" s="51" t="n">
        <v>0.3796</v>
      </c>
      <c r="K584" s="49"/>
      <c r="L584" s="49"/>
      <c r="M584" s="49"/>
      <c r="N584" s="49"/>
      <c r="O584" s="49"/>
      <c r="P584" s="49"/>
      <c r="Q584" s="49"/>
      <c r="R584" s="49"/>
      <c r="S584" s="49" t="n">
        <v>1</v>
      </c>
      <c r="T584" s="49" t="n">
        <v>0</v>
      </c>
      <c r="U584" s="49" t="s">
        <v>1431</v>
      </c>
    </row>
    <row r="585" customFormat="false" ht="15" hidden="false" customHeight="false" outlineLevel="0" collapsed="false">
      <c r="B585" s="48" t="n">
        <v>45173.2041550926</v>
      </c>
      <c r="C585" s="4" t="n">
        <f aca="false">YEAR(B585)</f>
        <v>2023</v>
      </c>
      <c r="D585" s="49" t="s">
        <v>283</v>
      </c>
      <c r="E585" s="49" t="s">
        <v>1432</v>
      </c>
      <c r="F585" s="50" t="n">
        <v>1</v>
      </c>
      <c r="G585" s="49" t="s">
        <v>280</v>
      </c>
      <c r="H585" s="51" t="n">
        <v>0.8472</v>
      </c>
      <c r="I585" s="51" t="n">
        <v>0.1457</v>
      </c>
      <c r="J585" s="51" t="n">
        <v>0.0071</v>
      </c>
      <c r="K585" s="49"/>
      <c r="L585" s="49"/>
      <c r="M585" s="49"/>
      <c r="N585" s="49"/>
      <c r="O585" s="49"/>
      <c r="P585" s="49"/>
      <c r="Q585" s="49"/>
      <c r="R585" s="49" t="s">
        <v>281</v>
      </c>
      <c r="S585" s="49" t="n">
        <v>1</v>
      </c>
      <c r="T585" s="49" t="n">
        <v>0</v>
      </c>
      <c r="U585" s="49" t="s">
        <v>1433</v>
      </c>
    </row>
    <row r="586" customFormat="false" ht="15" hidden="false" customHeight="false" outlineLevel="0" collapsed="false">
      <c r="B586" s="48" t="n">
        <v>45173.5214583333</v>
      </c>
      <c r="C586" s="4" t="n">
        <f aca="false">YEAR(B586)</f>
        <v>2023</v>
      </c>
      <c r="D586" s="49" t="s">
        <v>283</v>
      </c>
      <c r="E586" s="49" t="s">
        <v>1434</v>
      </c>
      <c r="F586" s="50" t="n">
        <v>1</v>
      </c>
      <c r="G586" s="49" t="s">
        <v>290</v>
      </c>
      <c r="H586" s="51" t="n">
        <v>0.0124</v>
      </c>
      <c r="I586" s="51" t="n">
        <v>0.9314</v>
      </c>
      <c r="J586" s="51" t="n">
        <v>0.0562</v>
      </c>
      <c r="K586" s="49"/>
      <c r="L586" s="49"/>
      <c r="M586" s="49"/>
      <c r="N586" s="49"/>
      <c r="O586" s="49"/>
      <c r="P586" s="49"/>
      <c r="Q586" s="49" t="s">
        <v>281</v>
      </c>
      <c r="R586" s="49"/>
      <c r="S586" s="49" t="n">
        <v>0</v>
      </c>
      <c r="T586" s="49" t="n">
        <v>0</v>
      </c>
      <c r="U586" s="49" t="s">
        <v>1435</v>
      </c>
    </row>
    <row r="587" customFormat="false" ht="15" hidden="false" customHeight="false" outlineLevel="0" collapsed="false">
      <c r="B587" s="48" t="n">
        <v>45173.5982523148</v>
      </c>
      <c r="C587" s="4" t="n">
        <f aca="false">YEAR(B587)</f>
        <v>2023</v>
      </c>
      <c r="D587" s="49" t="s">
        <v>283</v>
      </c>
      <c r="E587" s="49" t="s">
        <v>1436</v>
      </c>
      <c r="F587" s="50" t="n">
        <v>1</v>
      </c>
      <c r="G587" s="49" t="s">
        <v>290</v>
      </c>
      <c r="H587" s="51" t="n">
        <v>0.0288</v>
      </c>
      <c r="I587" s="51" t="n">
        <v>0.761</v>
      </c>
      <c r="J587" s="51" t="n">
        <v>0.2102</v>
      </c>
      <c r="K587" s="49"/>
      <c r="L587" s="49"/>
      <c r="M587" s="49"/>
      <c r="N587" s="49"/>
      <c r="O587" s="49"/>
      <c r="P587" s="49"/>
      <c r="Q587" s="49"/>
      <c r="R587" s="49"/>
      <c r="S587" s="49" t="n">
        <v>0</v>
      </c>
      <c r="T587" s="49" t="n">
        <v>0</v>
      </c>
      <c r="U587" s="49" t="s">
        <v>1437</v>
      </c>
    </row>
    <row r="588" customFormat="false" ht="15" hidden="false" customHeight="false" outlineLevel="0" collapsed="false">
      <c r="B588" s="48" t="n">
        <v>45173.7130671296</v>
      </c>
      <c r="C588" s="4" t="n">
        <f aca="false">YEAR(B588)</f>
        <v>2023</v>
      </c>
      <c r="D588" s="49" t="s">
        <v>283</v>
      </c>
      <c r="E588" s="49" t="s">
        <v>1438</v>
      </c>
      <c r="F588" s="50" t="n">
        <v>1</v>
      </c>
      <c r="G588" s="49" t="s">
        <v>280</v>
      </c>
      <c r="H588" s="51" t="n">
        <v>0.5508</v>
      </c>
      <c r="I588" s="51" t="n">
        <v>0.4192</v>
      </c>
      <c r="J588" s="51" t="n">
        <v>0.03</v>
      </c>
      <c r="K588" s="49"/>
      <c r="L588" s="49"/>
      <c r="M588" s="49"/>
      <c r="N588" s="49"/>
      <c r="O588" s="49"/>
      <c r="P588" s="49"/>
      <c r="Q588" s="49"/>
      <c r="R588" s="49"/>
      <c r="S588" s="49" t="n">
        <v>0</v>
      </c>
      <c r="T588" s="49" t="n">
        <v>0</v>
      </c>
      <c r="U588" s="49" t="s">
        <v>1439</v>
      </c>
    </row>
    <row r="589" customFormat="false" ht="15" hidden="false" customHeight="false" outlineLevel="0" collapsed="false">
      <c r="B589" s="48" t="n">
        <v>45173.7549189815</v>
      </c>
      <c r="C589" s="4" t="n">
        <f aca="false">YEAR(B589)</f>
        <v>2023</v>
      </c>
      <c r="D589" s="49" t="s">
        <v>278</v>
      </c>
      <c r="E589" s="49" t="s">
        <v>1440</v>
      </c>
      <c r="F589" s="50" t="n">
        <v>3</v>
      </c>
      <c r="G589" s="49" t="s">
        <v>280</v>
      </c>
      <c r="H589" s="51" t="n">
        <v>0.6371</v>
      </c>
      <c r="I589" s="51" t="n">
        <v>0.3526</v>
      </c>
      <c r="J589" s="51" t="n">
        <v>0.0104</v>
      </c>
      <c r="K589" s="49"/>
      <c r="L589" s="49"/>
      <c r="M589" s="49"/>
      <c r="N589" s="49"/>
      <c r="O589" s="49"/>
      <c r="P589" s="49"/>
      <c r="Q589" s="49"/>
      <c r="R589" s="49"/>
      <c r="S589" s="49" t="n">
        <v>0</v>
      </c>
      <c r="T589" s="49" t="n">
        <v>0</v>
      </c>
      <c r="U589" s="49" t="s">
        <v>1441</v>
      </c>
    </row>
    <row r="590" customFormat="false" ht="15" hidden="false" customHeight="false" outlineLevel="0" collapsed="false">
      <c r="B590" s="48" t="n">
        <v>45175.1190740741</v>
      </c>
      <c r="C590" s="4" t="n">
        <f aca="false">YEAR(B590)</f>
        <v>2023</v>
      </c>
      <c r="D590" s="49" t="s">
        <v>283</v>
      </c>
      <c r="E590" s="49" t="s">
        <v>1442</v>
      </c>
      <c r="F590" s="50" t="n">
        <v>1</v>
      </c>
      <c r="G590" s="49" t="s">
        <v>287</v>
      </c>
      <c r="H590" s="51" t="n">
        <v>0.0047</v>
      </c>
      <c r="I590" s="51" t="n">
        <v>0.0471</v>
      </c>
      <c r="J590" s="51" t="n">
        <v>0.9482</v>
      </c>
      <c r="K590" s="49"/>
      <c r="L590" s="49"/>
      <c r="M590" s="49"/>
      <c r="N590" s="49"/>
      <c r="O590" s="49"/>
      <c r="P590" s="49"/>
      <c r="Q590" s="49"/>
      <c r="R590" s="49"/>
      <c r="S590" s="49" t="n">
        <v>0</v>
      </c>
      <c r="T590" s="49" t="n">
        <v>0</v>
      </c>
      <c r="U590" s="49" t="s">
        <v>1443</v>
      </c>
    </row>
    <row r="591" customFormat="false" ht="15" hidden="false" customHeight="false" outlineLevel="0" collapsed="false">
      <c r="B591" s="48" t="n">
        <v>45175.196875</v>
      </c>
      <c r="C591" s="4" t="n">
        <f aca="false">YEAR(B591)</f>
        <v>2023</v>
      </c>
      <c r="D591" s="49" t="s">
        <v>278</v>
      </c>
      <c r="E591" s="49" t="s">
        <v>1444</v>
      </c>
      <c r="F591" s="50" t="n">
        <v>20</v>
      </c>
      <c r="G591" s="49" t="s">
        <v>290</v>
      </c>
      <c r="H591" s="51" t="n">
        <v>0.2247</v>
      </c>
      <c r="I591" s="51" t="n">
        <v>0.7128</v>
      </c>
      <c r="J591" s="51" t="n">
        <v>0.0625</v>
      </c>
      <c r="K591" s="49"/>
      <c r="L591" s="49"/>
      <c r="M591" s="49" t="s">
        <v>281</v>
      </c>
      <c r="N591" s="49"/>
      <c r="O591" s="49"/>
      <c r="P591" s="49"/>
      <c r="Q591" s="49"/>
      <c r="R591" s="49"/>
      <c r="S591" s="49" t="n">
        <v>0</v>
      </c>
      <c r="T591" s="49" t="n">
        <v>0</v>
      </c>
      <c r="U591" s="49" t="s">
        <v>1445</v>
      </c>
    </row>
    <row r="592" customFormat="false" ht="15" hidden="false" customHeight="false" outlineLevel="0" collapsed="false">
      <c r="B592" s="48" t="n">
        <v>45175.2999652778</v>
      </c>
      <c r="C592" s="4" t="n">
        <f aca="false">YEAR(B592)</f>
        <v>2023</v>
      </c>
      <c r="D592" s="49" t="s">
        <v>283</v>
      </c>
      <c r="E592" s="49" t="s">
        <v>1446</v>
      </c>
      <c r="F592" s="50" t="n">
        <v>2</v>
      </c>
      <c r="G592" s="49" t="s">
        <v>280</v>
      </c>
      <c r="H592" s="51" t="n">
        <v>0.7018</v>
      </c>
      <c r="I592" s="51" t="n">
        <v>0.2777</v>
      </c>
      <c r="J592" s="51" t="n">
        <v>0.0205</v>
      </c>
      <c r="K592" s="49" t="s">
        <v>281</v>
      </c>
      <c r="L592" s="49"/>
      <c r="M592" s="49"/>
      <c r="N592" s="49"/>
      <c r="O592" s="49"/>
      <c r="P592" s="49"/>
      <c r="Q592" s="49"/>
      <c r="R592" s="49"/>
      <c r="S592" s="49" t="n">
        <v>0</v>
      </c>
      <c r="T592" s="49" t="n">
        <v>0</v>
      </c>
      <c r="U592" s="49" t="s">
        <v>1447</v>
      </c>
    </row>
    <row r="593" customFormat="false" ht="15" hidden="false" customHeight="false" outlineLevel="0" collapsed="false">
      <c r="B593" s="48" t="n">
        <v>45175.7730902778</v>
      </c>
      <c r="C593" s="4" t="n">
        <f aca="false">YEAR(B593)</f>
        <v>2023</v>
      </c>
      <c r="D593" s="49" t="s">
        <v>283</v>
      </c>
      <c r="E593" s="49" t="s">
        <v>1448</v>
      </c>
      <c r="F593" s="50" t="n">
        <v>0</v>
      </c>
      <c r="G593" s="49" t="s">
        <v>280</v>
      </c>
      <c r="H593" s="51" t="n">
        <v>0.6349</v>
      </c>
      <c r="I593" s="51" t="n">
        <v>0.3032</v>
      </c>
      <c r="J593" s="51" t="n">
        <v>0.0619</v>
      </c>
      <c r="K593" s="49"/>
      <c r="L593" s="49"/>
      <c r="M593" s="49"/>
      <c r="N593" s="49"/>
      <c r="O593" s="49"/>
      <c r="P593" s="49"/>
      <c r="Q593" s="49"/>
      <c r="R593" s="49" t="s">
        <v>281</v>
      </c>
      <c r="S593" s="49" t="n">
        <v>0</v>
      </c>
      <c r="T593" s="49" t="n">
        <v>0</v>
      </c>
      <c r="U593" s="49" t="s">
        <v>1449</v>
      </c>
    </row>
    <row r="594" customFormat="false" ht="15" hidden="false" customHeight="false" outlineLevel="0" collapsed="false">
      <c r="B594" s="48" t="n">
        <v>45175.8174884259</v>
      </c>
      <c r="C594" s="4" t="n">
        <f aca="false">YEAR(B594)</f>
        <v>2023</v>
      </c>
      <c r="D594" s="49" t="s">
        <v>283</v>
      </c>
      <c r="E594" s="49" t="s">
        <v>1450</v>
      </c>
      <c r="F594" s="50" t="n">
        <v>1</v>
      </c>
      <c r="G594" s="49" t="s">
        <v>280</v>
      </c>
      <c r="H594" s="51" t="n">
        <v>0.6036</v>
      </c>
      <c r="I594" s="51" t="n">
        <v>0.3652</v>
      </c>
      <c r="J594" s="51" t="n">
        <v>0.0311</v>
      </c>
      <c r="K594" s="49"/>
      <c r="L594" s="49"/>
      <c r="M594" s="49"/>
      <c r="N594" s="49"/>
      <c r="O594" s="49"/>
      <c r="P594" s="49"/>
      <c r="Q594" s="49" t="s">
        <v>281</v>
      </c>
      <c r="R594" s="49"/>
      <c r="S594" s="49" t="n">
        <v>0</v>
      </c>
      <c r="T594" s="49" t="n">
        <v>0</v>
      </c>
      <c r="U594" s="49" t="s">
        <v>1451</v>
      </c>
    </row>
    <row r="595" customFormat="false" ht="15" hidden="false" customHeight="false" outlineLevel="0" collapsed="false">
      <c r="B595" s="48" t="n">
        <v>45176.5160185185</v>
      </c>
      <c r="C595" s="4" t="n">
        <f aca="false">YEAR(B595)</f>
        <v>2023</v>
      </c>
      <c r="D595" s="49" t="s">
        <v>278</v>
      </c>
      <c r="E595" s="49" t="s">
        <v>1452</v>
      </c>
      <c r="F595" s="50" t="n">
        <v>1</v>
      </c>
      <c r="G595" s="49" t="s">
        <v>280</v>
      </c>
      <c r="H595" s="51" t="n">
        <v>0.7984</v>
      </c>
      <c r="I595" s="51" t="n">
        <v>0.1925</v>
      </c>
      <c r="J595" s="51" t="n">
        <v>0.009</v>
      </c>
      <c r="K595" s="49"/>
      <c r="L595" s="49"/>
      <c r="M595" s="49"/>
      <c r="N595" s="49"/>
      <c r="O595" s="49"/>
      <c r="P595" s="49"/>
      <c r="Q595" s="49"/>
      <c r="R595" s="49" t="s">
        <v>281</v>
      </c>
      <c r="S595" s="49" t="n">
        <v>1</v>
      </c>
      <c r="T595" s="49" t="n">
        <v>0</v>
      </c>
      <c r="U595" s="49" t="s">
        <v>1453</v>
      </c>
    </row>
    <row r="596" customFormat="false" ht="15" hidden="false" customHeight="false" outlineLevel="0" collapsed="false">
      <c r="B596" s="48" t="n">
        <v>45176.8022106482</v>
      </c>
      <c r="C596" s="4" t="n">
        <f aca="false">YEAR(B596)</f>
        <v>2023</v>
      </c>
      <c r="D596" s="49" t="s">
        <v>283</v>
      </c>
      <c r="E596" s="49" t="s">
        <v>1454</v>
      </c>
      <c r="F596" s="50" t="n">
        <v>2</v>
      </c>
      <c r="G596" s="49" t="s">
        <v>280</v>
      </c>
      <c r="H596" s="51" t="n">
        <v>0.5605</v>
      </c>
      <c r="I596" s="51" t="n">
        <v>0.4146</v>
      </c>
      <c r="J596" s="51" t="n">
        <v>0.0249</v>
      </c>
      <c r="K596" s="49" t="s">
        <v>281</v>
      </c>
      <c r="L596" s="49"/>
      <c r="M596" s="49"/>
      <c r="N596" s="49"/>
      <c r="O596" s="49"/>
      <c r="P596" s="49"/>
      <c r="Q596" s="49"/>
      <c r="R596" s="49" t="s">
        <v>281</v>
      </c>
      <c r="S596" s="49" t="n">
        <v>0</v>
      </c>
      <c r="T596" s="49" t="n">
        <v>0</v>
      </c>
      <c r="U596" s="49" t="s">
        <v>1455</v>
      </c>
    </row>
    <row r="597" customFormat="false" ht="15" hidden="false" customHeight="false" outlineLevel="0" collapsed="false">
      <c r="B597" s="48" t="n">
        <v>45176.8493518519</v>
      </c>
      <c r="C597" s="4" t="n">
        <f aca="false">YEAR(B597)</f>
        <v>2023</v>
      </c>
      <c r="D597" s="49" t="s">
        <v>283</v>
      </c>
      <c r="E597" s="49" t="s">
        <v>1456</v>
      </c>
      <c r="F597" s="50" t="n">
        <v>0</v>
      </c>
      <c r="G597" s="49" t="s">
        <v>280</v>
      </c>
      <c r="H597" s="51" t="n">
        <v>0.9288</v>
      </c>
      <c r="I597" s="51" t="n">
        <v>0.0656</v>
      </c>
      <c r="J597" s="51" t="n">
        <v>0.0057</v>
      </c>
      <c r="K597" s="49"/>
      <c r="L597" s="49"/>
      <c r="M597" s="49"/>
      <c r="N597" s="49"/>
      <c r="O597" s="49"/>
      <c r="P597" s="49"/>
      <c r="Q597" s="49"/>
      <c r="R597" s="49"/>
      <c r="S597" s="49" t="n">
        <v>0</v>
      </c>
      <c r="T597" s="49" t="n">
        <v>0</v>
      </c>
      <c r="U597" s="49" t="s">
        <v>1457</v>
      </c>
    </row>
    <row r="598" customFormat="false" ht="15" hidden="false" customHeight="false" outlineLevel="0" collapsed="false">
      <c r="B598" s="48" t="n">
        <v>45177.4725462963</v>
      </c>
      <c r="C598" s="4" t="n">
        <f aca="false">YEAR(B598)</f>
        <v>2023</v>
      </c>
      <c r="D598" s="49" t="s">
        <v>283</v>
      </c>
      <c r="E598" s="49" t="s">
        <v>1458</v>
      </c>
      <c r="F598" s="50" t="n">
        <v>1</v>
      </c>
      <c r="G598" s="49" t="s">
        <v>280</v>
      </c>
      <c r="H598" s="51" t="n">
        <v>0.8197</v>
      </c>
      <c r="I598" s="51" t="n">
        <v>0.1702</v>
      </c>
      <c r="J598" s="51" t="n">
        <v>0.01</v>
      </c>
      <c r="K598" s="49" t="s">
        <v>281</v>
      </c>
      <c r="L598" s="49"/>
      <c r="M598" s="49"/>
      <c r="N598" s="49"/>
      <c r="O598" s="49"/>
      <c r="P598" s="49"/>
      <c r="Q598" s="49"/>
      <c r="R598" s="49"/>
      <c r="S598" s="49" t="n">
        <v>0</v>
      </c>
      <c r="T598" s="49" t="n">
        <v>0</v>
      </c>
      <c r="U598" s="49" t="s">
        <v>1459</v>
      </c>
    </row>
    <row r="599" customFormat="false" ht="15" hidden="false" customHeight="false" outlineLevel="0" collapsed="false">
      <c r="B599" s="48" t="n">
        <v>45177.6893171296</v>
      </c>
      <c r="C599" s="4" t="n">
        <f aca="false">YEAR(B599)</f>
        <v>2023</v>
      </c>
      <c r="D599" s="49" t="s">
        <v>283</v>
      </c>
      <c r="E599" s="49" t="s">
        <v>1460</v>
      </c>
      <c r="F599" s="50" t="n">
        <v>5</v>
      </c>
      <c r="G599" s="49" t="s">
        <v>290</v>
      </c>
      <c r="H599" s="51" t="n">
        <v>0.2255</v>
      </c>
      <c r="I599" s="51" t="n">
        <v>0.6953</v>
      </c>
      <c r="J599" s="51" t="n">
        <v>0.0792</v>
      </c>
      <c r="K599" s="49"/>
      <c r="L599" s="49"/>
      <c r="M599" s="49"/>
      <c r="N599" s="49"/>
      <c r="O599" s="49"/>
      <c r="P599" s="49"/>
      <c r="Q599" s="49" t="s">
        <v>281</v>
      </c>
      <c r="R599" s="49"/>
      <c r="S599" s="49" t="n">
        <v>0</v>
      </c>
      <c r="T599" s="49" t="n">
        <v>0</v>
      </c>
      <c r="U599" s="49" t="s">
        <v>1461</v>
      </c>
    </row>
    <row r="600" customFormat="false" ht="15" hidden="false" customHeight="false" outlineLevel="0" collapsed="false">
      <c r="B600" s="48" t="n">
        <v>45177.692650463</v>
      </c>
      <c r="C600" s="4" t="n">
        <f aca="false">YEAR(B600)</f>
        <v>2023</v>
      </c>
      <c r="D600" s="49" t="s">
        <v>278</v>
      </c>
      <c r="E600" s="49" t="s">
        <v>1462</v>
      </c>
      <c r="F600" s="50" t="n">
        <v>16</v>
      </c>
      <c r="G600" s="49" t="s">
        <v>290</v>
      </c>
      <c r="H600" s="51" t="n">
        <v>0.1617</v>
      </c>
      <c r="I600" s="51" t="n">
        <v>0.4354</v>
      </c>
      <c r="J600" s="51" t="n">
        <v>0.4029</v>
      </c>
      <c r="K600" s="49"/>
      <c r="L600" s="49"/>
      <c r="M600" s="49"/>
      <c r="N600" s="49"/>
      <c r="O600" s="49"/>
      <c r="P600" s="49"/>
      <c r="Q600" s="49" t="s">
        <v>281</v>
      </c>
      <c r="R600" s="49"/>
      <c r="S600" s="49" t="n">
        <v>0</v>
      </c>
      <c r="T600" s="49" t="n">
        <v>0</v>
      </c>
      <c r="U600" s="49" t="s">
        <v>1463</v>
      </c>
    </row>
    <row r="601" customFormat="false" ht="15" hidden="false" customHeight="false" outlineLevel="0" collapsed="false">
      <c r="B601" s="48" t="n">
        <v>45177.8785763889</v>
      </c>
      <c r="C601" s="4" t="n">
        <f aca="false">YEAR(B601)</f>
        <v>2023</v>
      </c>
      <c r="D601" s="49" t="s">
        <v>283</v>
      </c>
      <c r="E601" s="49" t="s">
        <v>1464</v>
      </c>
      <c r="F601" s="50" t="n">
        <v>5</v>
      </c>
      <c r="G601" s="49" t="s">
        <v>280</v>
      </c>
      <c r="H601" s="51" t="n">
        <v>0.8594</v>
      </c>
      <c r="I601" s="51" t="n">
        <v>0.1306</v>
      </c>
      <c r="J601" s="51" t="n">
        <v>0.0099</v>
      </c>
      <c r="K601" s="49" t="s">
        <v>281</v>
      </c>
      <c r="L601" s="49"/>
      <c r="M601" s="49"/>
      <c r="N601" s="49"/>
      <c r="O601" s="49"/>
      <c r="P601" s="49"/>
      <c r="Q601" s="49"/>
      <c r="R601" s="49"/>
      <c r="S601" s="49" t="n">
        <v>0</v>
      </c>
      <c r="T601" s="49" t="n">
        <v>0</v>
      </c>
      <c r="U601" s="49" t="s">
        <v>1465</v>
      </c>
    </row>
    <row r="602" customFormat="false" ht="15" hidden="false" customHeight="false" outlineLevel="0" collapsed="false">
      <c r="B602" s="48" t="n">
        <v>45178.5798611111</v>
      </c>
      <c r="C602" s="4" t="n">
        <f aca="false">YEAR(B602)</f>
        <v>2023</v>
      </c>
      <c r="D602" s="49" t="s">
        <v>278</v>
      </c>
      <c r="E602" s="49" t="s">
        <v>1466</v>
      </c>
      <c r="F602" s="50" t="n">
        <v>4</v>
      </c>
      <c r="G602" s="49" t="s">
        <v>290</v>
      </c>
      <c r="H602" s="51" t="n">
        <v>0.1898</v>
      </c>
      <c r="I602" s="51" t="n">
        <v>0.7094</v>
      </c>
      <c r="J602" s="51" t="n">
        <v>0.1008</v>
      </c>
      <c r="K602" s="49"/>
      <c r="L602" s="49"/>
      <c r="M602" s="49"/>
      <c r="N602" s="49"/>
      <c r="O602" s="49"/>
      <c r="P602" s="49"/>
      <c r="Q602" s="49"/>
      <c r="R602" s="49"/>
      <c r="S602" s="49" t="n">
        <v>0</v>
      </c>
      <c r="T602" s="49" t="n">
        <v>0</v>
      </c>
      <c r="U602" s="49" t="s">
        <v>1467</v>
      </c>
    </row>
    <row r="603" customFormat="false" ht="15" hidden="false" customHeight="false" outlineLevel="0" collapsed="false">
      <c r="B603" s="48" t="n">
        <v>45179.7283101852</v>
      </c>
      <c r="C603" s="4" t="n">
        <f aca="false">YEAR(B603)</f>
        <v>2023</v>
      </c>
      <c r="D603" s="49" t="s">
        <v>283</v>
      </c>
      <c r="E603" s="49" t="s">
        <v>1468</v>
      </c>
      <c r="F603" s="50" t="n">
        <v>1</v>
      </c>
      <c r="G603" s="49" t="s">
        <v>280</v>
      </c>
      <c r="H603" s="51" t="n">
        <v>0.5624</v>
      </c>
      <c r="I603" s="51" t="n">
        <v>0.282</v>
      </c>
      <c r="J603" s="51" t="n">
        <v>0.1556</v>
      </c>
      <c r="K603" s="49"/>
      <c r="L603" s="49"/>
      <c r="M603" s="49"/>
      <c r="N603" s="49"/>
      <c r="O603" s="49"/>
      <c r="P603" s="49"/>
      <c r="Q603" s="49"/>
      <c r="R603" s="49"/>
      <c r="S603" s="49" t="n">
        <v>0</v>
      </c>
      <c r="T603" s="49" t="n">
        <v>0</v>
      </c>
      <c r="U603" s="49" t="s">
        <v>1469</v>
      </c>
    </row>
    <row r="604" customFormat="false" ht="15" hidden="false" customHeight="false" outlineLevel="0" collapsed="false">
      <c r="B604" s="48" t="n">
        <v>45181.0878009259</v>
      </c>
      <c r="C604" s="4" t="n">
        <f aca="false">YEAR(B604)</f>
        <v>2023</v>
      </c>
      <c r="D604" s="49" t="s">
        <v>283</v>
      </c>
      <c r="E604" s="49" t="s">
        <v>1470</v>
      </c>
      <c r="F604" s="50" t="n">
        <v>0</v>
      </c>
      <c r="G604" s="49" t="s">
        <v>287</v>
      </c>
      <c r="H604" s="51" t="n">
        <v>0.0406</v>
      </c>
      <c r="I604" s="51" t="n">
        <v>0.3968</v>
      </c>
      <c r="J604" s="51" t="n">
        <v>0.5625</v>
      </c>
      <c r="K604" s="49"/>
      <c r="L604" s="49"/>
      <c r="M604" s="49"/>
      <c r="N604" s="49"/>
      <c r="O604" s="49"/>
      <c r="P604" s="49"/>
      <c r="Q604" s="49" t="s">
        <v>281</v>
      </c>
      <c r="R604" s="49"/>
      <c r="S604" s="49" t="n">
        <v>0</v>
      </c>
      <c r="T604" s="49" t="n">
        <v>0</v>
      </c>
      <c r="U604" s="49" t="s">
        <v>1471</v>
      </c>
    </row>
    <row r="605" customFormat="false" ht="15" hidden="false" customHeight="false" outlineLevel="0" collapsed="false">
      <c r="B605" s="48" t="n">
        <v>45181.5071875</v>
      </c>
      <c r="C605" s="4" t="n">
        <f aca="false">YEAR(B605)</f>
        <v>2023</v>
      </c>
      <c r="D605" s="49" t="s">
        <v>278</v>
      </c>
      <c r="E605" s="49" t="s">
        <v>1472</v>
      </c>
      <c r="F605" s="50" t="n">
        <v>0</v>
      </c>
      <c r="G605" s="49" t="s">
        <v>280</v>
      </c>
      <c r="H605" s="51" t="n">
        <v>0.7173</v>
      </c>
      <c r="I605" s="51" t="n">
        <v>0.2666</v>
      </c>
      <c r="J605" s="51" t="n">
        <v>0.0161</v>
      </c>
      <c r="K605" s="49"/>
      <c r="L605" s="49"/>
      <c r="M605" s="49"/>
      <c r="N605" s="49"/>
      <c r="O605" s="49"/>
      <c r="P605" s="49"/>
      <c r="Q605" s="49"/>
      <c r="R605" s="49" t="s">
        <v>281</v>
      </c>
      <c r="S605" s="49" t="n">
        <v>0</v>
      </c>
      <c r="T605" s="49" t="n">
        <v>0</v>
      </c>
      <c r="U605" s="49" t="s">
        <v>1473</v>
      </c>
    </row>
    <row r="606" customFormat="false" ht="15" hidden="false" customHeight="false" outlineLevel="0" collapsed="false">
      <c r="B606" s="48" t="n">
        <v>45181.8331365741</v>
      </c>
      <c r="C606" s="4" t="n">
        <f aca="false">YEAR(B606)</f>
        <v>2023</v>
      </c>
      <c r="D606" s="49" t="s">
        <v>283</v>
      </c>
      <c r="E606" s="49" t="s">
        <v>1474</v>
      </c>
      <c r="F606" s="50" t="n">
        <v>1</v>
      </c>
      <c r="G606" s="49" t="s">
        <v>280</v>
      </c>
      <c r="H606" s="51" t="n">
        <v>0.6404</v>
      </c>
      <c r="I606" s="51" t="n">
        <v>0.3455</v>
      </c>
      <c r="J606" s="51" t="n">
        <v>0.0141</v>
      </c>
      <c r="K606" s="49"/>
      <c r="L606" s="49"/>
      <c r="M606" s="49"/>
      <c r="N606" s="49" t="s">
        <v>281</v>
      </c>
      <c r="O606" s="49"/>
      <c r="P606" s="49"/>
      <c r="Q606" s="49"/>
      <c r="R606" s="49"/>
      <c r="S606" s="49" t="n">
        <v>0</v>
      </c>
      <c r="T606" s="49" t="n">
        <v>0</v>
      </c>
      <c r="U606" s="49" t="s">
        <v>1475</v>
      </c>
    </row>
    <row r="607" customFormat="false" ht="15" hidden="false" customHeight="false" outlineLevel="0" collapsed="false">
      <c r="B607" s="48" t="n">
        <v>45182.4827546296</v>
      </c>
      <c r="C607" s="4" t="n">
        <f aca="false">YEAR(B607)</f>
        <v>2023</v>
      </c>
      <c r="D607" s="49" t="s">
        <v>283</v>
      </c>
      <c r="E607" s="49" t="s">
        <v>1476</v>
      </c>
      <c r="F607" s="50" t="n">
        <v>2</v>
      </c>
      <c r="G607" s="49" t="s">
        <v>287</v>
      </c>
      <c r="H607" s="51" t="n">
        <v>0.0026</v>
      </c>
      <c r="I607" s="51" t="n">
        <v>0.0104</v>
      </c>
      <c r="J607" s="51" t="n">
        <v>0.987</v>
      </c>
      <c r="K607" s="49"/>
      <c r="L607" s="49"/>
      <c r="M607" s="49"/>
      <c r="N607" s="49"/>
      <c r="O607" s="49"/>
      <c r="P607" s="49"/>
      <c r="Q607" s="49"/>
      <c r="R607" s="49" t="s">
        <v>281</v>
      </c>
      <c r="S607" s="49" t="n">
        <v>0</v>
      </c>
      <c r="T607" s="49" t="n">
        <v>0</v>
      </c>
      <c r="U607" s="49" t="s">
        <v>1477</v>
      </c>
    </row>
    <row r="608" customFormat="false" ht="15" hidden="false" customHeight="false" outlineLevel="0" collapsed="false">
      <c r="B608" s="48" t="n">
        <v>45182.5857638889</v>
      </c>
      <c r="C608" s="4" t="n">
        <f aca="false">YEAR(B608)</f>
        <v>2023</v>
      </c>
      <c r="D608" s="49" t="s">
        <v>278</v>
      </c>
      <c r="E608" s="49" t="s">
        <v>1478</v>
      </c>
      <c r="F608" s="50" t="n">
        <v>0</v>
      </c>
      <c r="G608" s="49" t="s">
        <v>280</v>
      </c>
      <c r="H608" s="51" t="n">
        <v>0.8737</v>
      </c>
      <c r="I608" s="51" t="n">
        <v>0.1123</v>
      </c>
      <c r="J608" s="51" t="n">
        <v>0.014</v>
      </c>
      <c r="K608" s="49"/>
      <c r="L608" s="49"/>
      <c r="M608" s="49"/>
      <c r="N608" s="49"/>
      <c r="O608" s="49"/>
      <c r="P608" s="49"/>
      <c r="Q608" s="49"/>
      <c r="R608" s="49" t="s">
        <v>281</v>
      </c>
      <c r="S608" s="49" t="n">
        <v>0</v>
      </c>
      <c r="T608" s="49" t="n">
        <v>0</v>
      </c>
      <c r="U608" s="49" t="s">
        <v>1479</v>
      </c>
    </row>
    <row r="609" customFormat="false" ht="15" hidden="false" customHeight="false" outlineLevel="0" collapsed="false">
      <c r="B609" s="48" t="n">
        <v>45182.6020949074</v>
      </c>
      <c r="C609" s="4" t="n">
        <f aca="false">YEAR(B609)</f>
        <v>2023</v>
      </c>
      <c r="D609" s="49" t="s">
        <v>283</v>
      </c>
      <c r="E609" s="49" t="s">
        <v>1480</v>
      </c>
      <c r="F609" s="50" t="n">
        <v>15</v>
      </c>
      <c r="G609" s="49" t="s">
        <v>290</v>
      </c>
      <c r="H609" s="51" t="n">
        <v>0.0049</v>
      </c>
      <c r="I609" s="51" t="n">
        <v>0.5568</v>
      </c>
      <c r="J609" s="51" t="n">
        <v>0.4384</v>
      </c>
      <c r="K609" s="49"/>
      <c r="L609" s="49"/>
      <c r="M609" s="49"/>
      <c r="N609" s="49"/>
      <c r="O609" s="49"/>
      <c r="P609" s="49"/>
      <c r="Q609" s="49"/>
      <c r="R609" s="49"/>
      <c r="S609" s="49" t="n">
        <v>0</v>
      </c>
      <c r="T609" s="49" t="n">
        <v>0</v>
      </c>
      <c r="U609" s="49" t="s">
        <v>1481</v>
      </c>
    </row>
    <row r="610" customFormat="false" ht="15" hidden="false" customHeight="false" outlineLevel="0" collapsed="false">
      <c r="B610" s="48" t="n">
        <v>45182.6386574074</v>
      </c>
      <c r="C610" s="4" t="n">
        <f aca="false">YEAR(B610)</f>
        <v>2023</v>
      </c>
      <c r="D610" s="49" t="s">
        <v>283</v>
      </c>
      <c r="E610" s="49" t="s">
        <v>1482</v>
      </c>
      <c r="F610" s="50" t="n">
        <v>2</v>
      </c>
      <c r="G610" s="49" t="s">
        <v>280</v>
      </c>
      <c r="H610" s="51" t="n">
        <v>0.7198</v>
      </c>
      <c r="I610" s="51" t="n">
        <v>0.2659</v>
      </c>
      <c r="J610" s="51" t="n">
        <v>0.0142</v>
      </c>
      <c r="K610" s="49"/>
      <c r="L610" s="49"/>
      <c r="M610" s="49"/>
      <c r="N610" s="49"/>
      <c r="O610" s="49"/>
      <c r="P610" s="49"/>
      <c r="Q610" s="49"/>
      <c r="R610" s="49" t="s">
        <v>281</v>
      </c>
      <c r="S610" s="49" t="n">
        <v>0</v>
      </c>
      <c r="T610" s="49" t="n">
        <v>0</v>
      </c>
      <c r="U610" s="49" t="s">
        <v>1483</v>
      </c>
    </row>
    <row r="611" customFormat="false" ht="15" hidden="false" customHeight="false" outlineLevel="0" collapsed="false">
      <c r="B611" s="48" t="n">
        <v>45182.836087963</v>
      </c>
      <c r="C611" s="4" t="n">
        <f aca="false">YEAR(B611)</f>
        <v>2023</v>
      </c>
      <c r="D611" s="49" t="s">
        <v>283</v>
      </c>
      <c r="E611" s="49" t="s">
        <v>1484</v>
      </c>
      <c r="F611" s="50" t="n">
        <v>1</v>
      </c>
      <c r="G611" s="49" t="s">
        <v>280</v>
      </c>
      <c r="H611" s="51" t="n">
        <v>0.7644</v>
      </c>
      <c r="I611" s="51" t="n">
        <v>0.2266</v>
      </c>
      <c r="J611" s="51" t="n">
        <v>0.009</v>
      </c>
      <c r="K611" s="49"/>
      <c r="L611" s="49"/>
      <c r="M611" s="49"/>
      <c r="N611" s="49"/>
      <c r="O611" s="49"/>
      <c r="P611" s="49"/>
      <c r="Q611" s="49"/>
      <c r="R611" s="49"/>
      <c r="S611" s="49" t="n">
        <v>1</v>
      </c>
      <c r="T611" s="49" t="n">
        <v>0</v>
      </c>
      <c r="U611" s="49" t="s">
        <v>1485</v>
      </c>
    </row>
    <row r="612" customFormat="false" ht="15" hidden="false" customHeight="false" outlineLevel="0" collapsed="false">
      <c r="B612" s="48" t="n">
        <v>45182.8541203704</v>
      </c>
      <c r="C612" s="4" t="n">
        <f aca="false">YEAR(B612)</f>
        <v>2023</v>
      </c>
      <c r="D612" s="49" t="s">
        <v>283</v>
      </c>
      <c r="E612" s="49" t="s">
        <v>1486</v>
      </c>
      <c r="F612" s="50" t="n">
        <v>1</v>
      </c>
      <c r="G612" s="49" t="s">
        <v>280</v>
      </c>
      <c r="H612" s="51" t="n">
        <v>0.9058</v>
      </c>
      <c r="I612" s="51" t="n">
        <v>0.0859</v>
      </c>
      <c r="J612" s="51" t="n">
        <v>0.0083</v>
      </c>
      <c r="K612" s="49"/>
      <c r="L612" s="49"/>
      <c r="M612" s="49"/>
      <c r="N612" s="49"/>
      <c r="O612" s="49"/>
      <c r="P612" s="49"/>
      <c r="Q612" s="49"/>
      <c r="R612" s="49"/>
      <c r="S612" s="49" t="n">
        <v>1</v>
      </c>
      <c r="T612" s="49" t="n">
        <v>0</v>
      </c>
      <c r="U612" s="49" t="s">
        <v>1487</v>
      </c>
    </row>
    <row r="613" customFormat="false" ht="15" hidden="false" customHeight="false" outlineLevel="0" collapsed="false">
      <c r="B613" s="48" t="n">
        <v>45182.9405439815</v>
      </c>
      <c r="C613" s="4" t="n">
        <f aca="false">YEAR(B613)</f>
        <v>2023</v>
      </c>
      <c r="D613" s="49" t="s">
        <v>278</v>
      </c>
      <c r="E613" s="49" t="s">
        <v>1488</v>
      </c>
      <c r="F613" s="50" t="n">
        <v>1</v>
      </c>
      <c r="G613" s="49" t="s">
        <v>280</v>
      </c>
      <c r="H613" s="51" t="n">
        <v>0.6508</v>
      </c>
      <c r="I613" s="51" t="n">
        <v>0.3318</v>
      </c>
      <c r="J613" s="51" t="n">
        <v>0.0175</v>
      </c>
      <c r="K613" s="49"/>
      <c r="L613" s="49"/>
      <c r="M613" s="49"/>
      <c r="N613" s="49"/>
      <c r="O613" s="49"/>
      <c r="P613" s="49"/>
      <c r="Q613" s="49"/>
      <c r="R613" s="49"/>
      <c r="S613" s="49" t="n">
        <v>0</v>
      </c>
      <c r="T613" s="49" t="n">
        <v>0</v>
      </c>
      <c r="U613" s="49" t="s">
        <v>1489</v>
      </c>
    </row>
    <row r="614" customFormat="false" ht="15" hidden="false" customHeight="false" outlineLevel="0" collapsed="false">
      <c r="B614" s="48" t="n">
        <v>45183.1331018519</v>
      </c>
      <c r="C614" s="4" t="n">
        <f aca="false">YEAR(B614)</f>
        <v>2023</v>
      </c>
      <c r="D614" s="49" t="s">
        <v>278</v>
      </c>
      <c r="E614" s="49" t="s">
        <v>1490</v>
      </c>
      <c r="F614" s="50" t="n">
        <v>3</v>
      </c>
      <c r="G614" s="49" t="s">
        <v>290</v>
      </c>
      <c r="H614" s="51" t="n">
        <v>0.2134</v>
      </c>
      <c r="I614" s="51" t="n">
        <v>0.7388</v>
      </c>
      <c r="J614" s="51" t="n">
        <v>0.0478</v>
      </c>
      <c r="K614" s="49"/>
      <c r="L614" s="49"/>
      <c r="M614" s="49"/>
      <c r="N614" s="49"/>
      <c r="O614" s="49"/>
      <c r="P614" s="49"/>
      <c r="Q614" s="49"/>
      <c r="R614" s="49"/>
      <c r="S614" s="49" t="n">
        <v>0</v>
      </c>
      <c r="T614" s="49" t="n">
        <v>0</v>
      </c>
      <c r="U614" s="49" t="s">
        <v>1491</v>
      </c>
    </row>
    <row r="615" customFormat="false" ht="15" hidden="false" customHeight="false" outlineLevel="0" collapsed="false">
      <c r="B615" s="48" t="n">
        <v>45183.5420949074</v>
      </c>
      <c r="C615" s="4" t="n">
        <f aca="false">YEAR(B615)</f>
        <v>2023</v>
      </c>
      <c r="D615" s="49" t="s">
        <v>283</v>
      </c>
      <c r="E615" s="49" t="s">
        <v>1492</v>
      </c>
      <c r="F615" s="50" t="n">
        <v>1</v>
      </c>
      <c r="G615" s="49" t="s">
        <v>280</v>
      </c>
      <c r="H615" s="51" t="n">
        <v>0.4846</v>
      </c>
      <c r="I615" s="51" t="n">
        <v>0.48</v>
      </c>
      <c r="J615" s="51" t="n">
        <v>0.0355</v>
      </c>
      <c r="K615" s="49"/>
      <c r="L615" s="49"/>
      <c r="M615" s="49"/>
      <c r="N615" s="49"/>
      <c r="O615" s="49"/>
      <c r="P615" s="49"/>
      <c r="Q615" s="49"/>
      <c r="R615" s="49" t="s">
        <v>281</v>
      </c>
      <c r="S615" s="49" t="n">
        <v>0</v>
      </c>
      <c r="T615" s="49" t="n">
        <v>0</v>
      </c>
      <c r="U615" s="49" t="s">
        <v>1493</v>
      </c>
    </row>
    <row r="616" customFormat="false" ht="15" hidden="false" customHeight="false" outlineLevel="0" collapsed="false">
      <c r="B616" s="48" t="n">
        <v>45183.6241782407</v>
      </c>
      <c r="C616" s="4" t="n">
        <f aca="false">YEAR(B616)</f>
        <v>2023</v>
      </c>
      <c r="D616" s="49" t="s">
        <v>278</v>
      </c>
      <c r="E616" s="49" t="s">
        <v>1494</v>
      </c>
      <c r="F616" s="50" t="n">
        <v>4</v>
      </c>
      <c r="G616" s="49" t="s">
        <v>290</v>
      </c>
      <c r="H616" s="51" t="n">
        <v>0.009</v>
      </c>
      <c r="I616" s="51" t="n">
        <v>0.5626</v>
      </c>
      <c r="J616" s="51" t="n">
        <v>0.4284</v>
      </c>
      <c r="K616" s="49"/>
      <c r="L616" s="49"/>
      <c r="M616" s="49"/>
      <c r="N616" s="49"/>
      <c r="O616" s="49"/>
      <c r="P616" s="49"/>
      <c r="Q616" s="49"/>
      <c r="R616" s="49"/>
      <c r="S616" s="49" t="n">
        <v>0</v>
      </c>
      <c r="T616" s="49" t="n">
        <v>0</v>
      </c>
      <c r="U616" s="49" t="s">
        <v>1495</v>
      </c>
    </row>
    <row r="617" customFormat="false" ht="15" hidden="false" customHeight="false" outlineLevel="0" collapsed="false">
      <c r="B617" s="48" t="n">
        <v>45184.748912037</v>
      </c>
      <c r="C617" s="4" t="n">
        <f aca="false">YEAR(B617)</f>
        <v>2023</v>
      </c>
      <c r="D617" s="49" t="s">
        <v>283</v>
      </c>
      <c r="E617" s="49" t="s">
        <v>1496</v>
      </c>
      <c r="F617" s="50" t="n">
        <v>3</v>
      </c>
      <c r="G617" s="49" t="s">
        <v>290</v>
      </c>
      <c r="H617" s="51" t="n">
        <v>0.2691</v>
      </c>
      <c r="I617" s="51" t="n">
        <v>0.7055</v>
      </c>
      <c r="J617" s="51" t="n">
        <v>0.0254</v>
      </c>
      <c r="K617" s="49"/>
      <c r="L617" s="49"/>
      <c r="M617" s="49"/>
      <c r="N617" s="49"/>
      <c r="O617" s="49"/>
      <c r="P617" s="49"/>
      <c r="Q617" s="49"/>
      <c r="R617" s="49"/>
      <c r="S617" s="49" t="n">
        <v>0</v>
      </c>
      <c r="T617" s="49" t="n">
        <v>0</v>
      </c>
      <c r="U617" s="49" t="s">
        <v>1497</v>
      </c>
    </row>
    <row r="618" customFormat="false" ht="15" hidden="false" customHeight="false" outlineLevel="0" collapsed="false">
      <c r="B618" s="48" t="n">
        <v>45184.7555902778</v>
      </c>
      <c r="C618" s="4" t="n">
        <f aca="false">YEAR(B618)</f>
        <v>2023</v>
      </c>
      <c r="D618" s="49" t="s">
        <v>283</v>
      </c>
      <c r="E618" s="49" t="s">
        <v>1498</v>
      </c>
      <c r="F618" s="50" t="n">
        <v>16</v>
      </c>
      <c r="G618" s="49" t="s">
        <v>280</v>
      </c>
      <c r="H618" s="51" t="n">
        <v>0.805</v>
      </c>
      <c r="I618" s="51" t="n">
        <v>0.1808</v>
      </c>
      <c r="J618" s="51" t="n">
        <v>0.0142</v>
      </c>
      <c r="K618" s="49"/>
      <c r="L618" s="49"/>
      <c r="M618" s="49"/>
      <c r="N618" s="49"/>
      <c r="O618" s="49"/>
      <c r="P618" s="49"/>
      <c r="Q618" s="49"/>
      <c r="R618" s="49" t="s">
        <v>281</v>
      </c>
      <c r="S618" s="49" t="n">
        <v>0</v>
      </c>
      <c r="T618" s="49" t="n">
        <v>0</v>
      </c>
      <c r="U618" s="49" t="s">
        <v>1499</v>
      </c>
    </row>
    <row r="619" customFormat="false" ht="15" hidden="false" customHeight="false" outlineLevel="0" collapsed="false">
      <c r="B619" s="48" t="n">
        <v>45185.3291435185</v>
      </c>
      <c r="C619" s="4" t="n">
        <f aca="false">YEAR(B619)</f>
        <v>2023</v>
      </c>
      <c r="D619" s="49" t="s">
        <v>278</v>
      </c>
      <c r="E619" s="49" t="s">
        <v>1500</v>
      </c>
      <c r="F619" s="50" t="n">
        <v>1</v>
      </c>
      <c r="G619" s="49" t="s">
        <v>280</v>
      </c>
      <c r="H619" s="51" t="n">
        <v>0.9227</v>
      </c>
      <c r="I619" s="51" t="n">
        <v>0.072</v>
      </c>
      <c r="J619" s="51" t="n">
        <v>0.0054</v>
      </c>
      <c r="K619" s="49"/>
      <c r="L619" s="49" t="s">
        <v>281</v>
      </c>
      <c r="M619" s="49"/>
      <c r="N619" s="49"/>
      <c r="O619" s="49"/>
      <c r="P619" s="49"/>
      <c r="Q619" s="49"/>
      <c r="R619" s="49"/>
      <c r="S619" s="49" t="n">
        <v>1</v>
      </c>
      <c r="T619" s="49" t="n">
        <v>0</v>
      </c>
      <c r="U619" s="49" t="s">
        <v>1501</v>
      </c>
    </row>
    <row r="620" customFormat="false" ht="15" hidden="false" customHeight="false" outlineLevel="0" collapsed="false">
      <c r="B620" s="48" t="n">
        <v>45185.3307407407</v>
      </c>
      <c r="C620" s="4" t="n">
        <f aca="false">YEAR(B620)</f>
        <v>2023</v>
      </c>
      <c r="D620" s="49" t="s">
        <v>283</v>
      </c>
      <c r="E620" s="49" t="s">
        <v>1500</v>
      </c>
      <c r="F620" s="50" t="n">
        <v>1</v>
      </c>
      <c r="G620" s="49" t="s">
        <v>280</v>
      </c>
      <c r="H620" s="51" t="n">
        <v>0.9227</v>
      </c>
      <c r="I620" s="51" t="n">
        <v>0.072</v>
      </c>
      <c r="J620" s="51" t="n">
        <v>0.0054</v>
      </c>
      <c r="K620" s="49"/>
      <c r="L620" s="49" t="s">
        <v>281</v>
      </c>
      <c r="M620" s="49"/>
      <c r="N620" s="49"/>
      <c r="O620" s="49"/>
      <c r="P620" s="49"/>
      <c r="Q620" s="49"/>
      <c r="R620" s="49"/>
      <c r="S620" s="49" t="n">
        <v>1</v>
      </c>
      <c r="T620" s="49" t="n">
        <v>0</v>
      </c>
      <c r="U620" s="49" t="s">
        <v>1502</v>
      </c>
    </row>
    <row r="621" customFormat="false" ht="15" hidden="false" customHeight="false" outlineLevel="0" collapsed="false">
      <c r="B621" s="48" t="n">
        <v>45185.450462963</v>
      </c>
      <c r="C621" s="4" t="n">
        <f aca="false">YEAR(B621)</f>
        <v>2023</v>
      </c>
      <c r="D621" s="49" t="s">
        <v>283</v>
      </c>
      <c r="E621" s="49" t="s">
        <v>1503</v>
      </c>
      <c r="F621" s="50" t="n">
        <v>1</v>
      </c>
      <c r="G621" s="49" t="s">
        <v>290</v>
      </c>
      <c r="H621" s="51" t="n">
        <v>0.4262</v>
      </c>
      <c r="I621" s="51" t="n">
        <v>0.5219</v>
      </c>
      <c r="J621" s="51" t="n">
        <v>0.052</v>
      </c>
      <c r="K621" s="49"/>
      <c r="L621" s="49"/>
      <c r="M621" s="49"/>
      <c r="N621" s="49"/>
      <c r="O621" s="49"/>
      <c r="P621" s="49"/>
      <c r="Q621" s="49"/>
      <c r="R621" s="49"/>
      <c r="S621" s="49" t="n">
        <v>0</v>
      </c>
      <c r="T621" s="49" t="n">
        <v>0</v>
      </c>
      <c r="U621" s="49" t="s">
        <v>1504</v>
      </c>
    </row>
    <row r="622" customFormat="false" ht="15" hidden="false" customHeight="false" outlineLevel="0" collapsed="false">
      <c r="B622" s="48" t="n">
        <v>45185.8553819444</v>
      </c>
      <c r="C622" s="4" t="n">
        <f aca="false">YEAR(B622)</f>
        <v>2023</v>
      </c>
      <c r="D622" s="49" t="s">
        <v>283</v>
      </c>
      <c r="E622" s="49" t="s">
        <v>1505</v>
      </c>
      <c r="F622" s="50" t="n">
        <v>2</v>
      </c>
      <c r="G622" s="49" t="s">
        <v>287</v>
      </c>
      <c r="H622" s="51" t="n">
        <v>0.0079</v>
      </c>
      <c r="I622" s="51" t="n">
        <v>0.3039</v>
      </c>
      <c r="J622" s="51" t="n">
        <v>0.6882</v>
      </c>
      <c r="K622" s="49"/>
      <c r="L622" s="49"/>
      <c r="M622" s="49"/>
      <c r="N622" s="49"/>
      <c r="O622" s="49"/>
      <c r="P622" s="49"/>
      <c r="Q622" s="49"/>
      <c r="R622" s="49"/>
      <c r="S622" s="49" t="n">
        <v>0</v>
      </c>
      <c r="T622" s="49" t="n">
        <v>0</v>
      </c>
      <c r="U622" s="49" t="s">
        <v>1506</v>
      </c>
    </row>
    <row r="623" customFormat="false" ht="15" hidden="false" customHeight="false" outlineLevel="0" collapsed="false">
      <c r="B623" s="48" t="n">
        <v>45186.7231828704</v>
      </c>
      <c r="C623" s="4" t="n">
        <f aca="false">YEAR(B623)</f>
        <v>2023</v>
      </c>
      <c r="D623" s="49" t="s">
        <v>283</v>
      </c>
      <c r="E623" s="49" t="s">
        <v>1507</v>
      </c>
      <c r="F623" s="50" t="n">
        <v>2</v>
      </c>
      <c r="G623" s="49" t="s">
        <v>280</v>
      </c>
      <c r="H623" s="51" t="n">
        <v>0.7784</v>
      </c>
      <c r="I623" s="51" t="n">
        <v>0.2076</v>
      </c>
      <c r="J623" s="51" t="n">
        <v>0.014</v>
      </c>
      <c r="K623" s="49"/>
      <c r="L623" s="49"/>
      <c r="M623" s="49"/>
      <c r="N623" s="49"/>
      <c r="O623" s="49"/>
      <c r="P623" s="49"/>
      <c r="Q623" s="49"/>
      <c r="R623" s="49"/>
      <c r="S623" s="49" t="n">
        <v>0</v>
      </c>
      <c r="T623" s="49" t="n">
        <v>0</v>
      </c>
      <c r="U623" s="49" t="s">
        <v>1508</v>
      </c>
    </row>
    <row r="624" customFormat="false" ht="15" hidden="false" customHeight="false" outlineLevel="0" collapsed="false">
      <c r="B624" s="48" t="n">
        <v>45187.3034027778</v>
      </c>
      <c r="C624" s="4" t="n">
        <f aca="false">YEAR(B624)</f>
        <v>2023</v>
      </c>
      <c r="D624" s="49" t="s">
        <v>283</v>
      </c>
      <c r="E624" s="49" t="s">
        <v>1509</v>
      </c>
      <c r="F624" s="50" t="n">
        <v>1</v>
      </c>
      <c r="G624" s="49" t="s">
        <v>280</v>
      </c>
      <c r="H624" s="51" t="n">
        <v>0.7661</v>
      </c>
      <c r="I624" s="51" t="n">
        <v>0.219</v>
      </c>
      <c r="J624" s="51" t="n">
        <v>0.0149</v>
      </c>
      <c r="K624" s="49"/>
      <c r="L624" s="49"/>
      <c r="M624" s="49"/>
      <c r="N624" s="49"/>
      <c r="O624" s="49"/>
      <c r="P624" s="49"/>
      <c r="Q624" s="49"/>
      <c r="R624" s="49"/>
      <c r="S624" s="49" t="n">
        <v>0</v>
      </c>
      <c r="T624" s="49" t="n">
        <v>0</v>
      </c>
      <c r="U624" s="49" t="s">
        <v>1510</v>
      </c>
    </row>
    <row r="625" customFormat="false" ht="15" hidden="false" customHeight="false" outlineLevel="0" collapsed="false">
      <c r="B625" s="48" t="n">
        <v>45187.3445138889</v>
      </c>
      <c r="C625" s="4" t="n">
        <f aca="false">YEAR(B625)</f>
        <v>2023</v>
      </c>
      <c r="D625" s="49" t="s">
        <v>283</v>
      </c>
      <c r="E625" s="49" t="s">
        <v>1511</v>
      </c>
      <c r="F625" s="50" t="n">
        <v>1</v>
      </c>
      <c r="G625" s="49" t="s">
        <v>290</v>
      </c>
      <c r="H625" s="51" t="n">
        <v>0.0109</v>
      </c>
      <c r="I625" s="51" t="n">
        <v>0.9585</v>
      </c>
      <c r="J625" s="51" t="n">
        <v>0.0305</v>
      </c>
      <c r="K625" s="49"/>
      <c r="L625" s="49"/>
      <c r="M625" s="49"/>
      <c r="N625" s="49"/>
      <c r="O625" s="49"/>
      <c r="P625" s="49"/>
      <c r="Q625" s="49"/>
      <c r="R625" s="49" t="s">
        <v>281</v>
      </c>
      <c r="S625" s="49" t="n">
        <v>1</v>
      </c>
      <c r="T625" s="49" t="n">
        <v>0</v>
      </c>
      <c r="U625" s="49" t="s">
        <v>1512</v>
      </c>
    </row>
    <row r="626" customFormat="false" ht="15" hidden="false" customHeight="false" outlineLevel="0" collapsed="false">
      <c r="B626" s="48" t="n">
        <v>45187.3786342593</v>
      </c>
      <c r="C626" s="4" t="n">
        <f aca="false">YEAR(B626)</f>
        <v>2023</v>
      </c>
      <c r="D626" s="49" t="s">
        <v>283</v>
      </c>
      <c r="E626" s="49" t="s">
        <v>1513</v>
      </c>
      <c r="F626" s="50" t="n">
        <v>2</v>
      </c>
      <c r="G626" s="49" t="s">
        <v>280</v>
      </c>
      <c r="H626" s="51" t="n">
        <v>0.8536</v>
      </c>
      <c r="I626" s="51" t="n">
        <v>0.1357</v>
      </c>
      <c r="J626" s="51" t="n">
        <v>0.0106</v>
      </c>
      <c r="K626" s="49" t="s">
        <v>281</v>
      </c>
      <c r="L626" s="49"/>
      <c r="M626" s="49"/>
      <c r="N626" s="49"/>
      <c r="O626" s="49"/>
      <c r="P626" s="49"/>
      <c r="Q626" s="49" t="s">
        <v>281</v>
      </c>
      <c r="R626" s="49"/>
      <c r="S626" s="49" t="n">
        <v>0</v>
      </c>
      <c r="T626" s="49" t="n">
        <v>0</v>
      </c>
      <c r="U626" s="49" t="s">
        <v>1514</v>
      </c>
    </row>
    <row r="627" customFormat="false" ht="15" hidden="false" customHeight="false" outlineLevel="0" collapsed="false">
      <c r="B627" s="48" t="n">
        <v>45187.6380324074</v>
      </c>
      <c r="C627" s="4" t="n">
        <f aca="false">YEAR(B627)</f>
        <v>2023</v>
      </c>
      <c r="D627" s="49" t="s">
        <v>283</v>
      </c>
      <c r="E627" s="49" t="s">
        <v>1515</v>
      </c>
      <c r="F627" s="50" t="n">
        <v>2</v>
      </c>
      <c r="G627" s="49" t="s">
        <v>287</v>
      </c>
      <c r="H627" s="51" t="n">
        <v>0.0045</v>
      </c>
      <c r="I627" s="51" t="n">
        <v>0.225</v>
      </c>
      <c r="J627" s="51" t="n">
        <v>0.7704</v>
      </c>
      <c r="K627" s="49"/>
      <c r="L627" s="49"/>
      <c r="M627" s="49"/>
      <c r="N627" s="49"/>
      <c r="O627" s="49"/>
      <c r="P627" s="49"/>
      <c r="Q627" s="49" t="s">
        <v>281</v>
      </c>
      <c r="R627" s="49"/>
      <c r="S627" s="49" t="n">
        <v>0</v>
      </c>
      <c r="T627" s="49" t="n">
        <v>0</v>
      </c>
      <c r="U627" s="49" t="s">
        <v>1516</v>
      </c>
    </row>
    <row r="628" customFormat="false" ht="15" hidden="false" customHeight="false" outlineLevel="0" collapsed="false">
      <c r="B628" s="48" t="n">
        <v>45188.1653819445</v>
      </c>
      <c r="C628" s="4" t="n">
        <f aca="false">YEAR(B628)</f>
        <v>2023</v>
      </c>
      <c r="D628" s="49" t="s">
        <v>283</v>
      </c>
      <c r="E628" s="49" t="s">
        <v>1517</v>
      </c>
      <c r="F628" s="50" t="n">
        <v>4</v>
      </c>
      <c r="G628" s="49" t="s">
        <v>290</v>
      </c>
      <c r="H628" s="51" t="n">
        <v>0.0089</v>
      </c>
      <c r="I628" s="51" t="n">
        <v>0.5187</v>
      </c>
      <c r="J628" s="51" t="n">
        <v>0.4723</v>
      </c>
      <c r="K628" s="49"/>
      <c r="L628" s="49"/>
      <c r="M628" s="49"/>
      <c r="N628" s="49"/>
      <c r="O628" s="49"/>
      <c r="P628" s="49"/>
      <c r="Q628" s="49"/>
      <c r="R628" s="49"/>
      <c r="S628" s="49" t="n">
        <v>0</v>
      </c>
      <c r="T628" s="49" t="n">
        <v>0</v>
      </c>
      <c r="U628" s="49" t="s">
        <v>1518</v>
      </c>
    </row>
    <row r="629" customFormat="false" ht="15" hidden="false" customHeight="false" outlineLevel="0" collapsed="false">
      <c r="B629" s="48" t="n">
        <v>45188.2933449074</v>
      </c>
      <c r="C629" s="4" t="n">
        <f aca="false">YEAR(B629)</f>
        <v>2023</v>
      </c>
      <c r="D629" s="49" t="s">
        <v>278</v>
      </c>
      <c r="E629" s="49" t="s">
        <v>1519</v>
      </c>
      <c r="F629" s="50" t="n">
        <v>11</v>
      </c>
      <c r="G629" s="49" t="s">
        <v>290</v>
      </c>
      <c r="H629" s="51" t="n">
        <v>0.3521</v>
      </c>
      <c r="I629" s="51" t="n">
        <v>0.6341</v>
      </c>
      <c r="J629" s="51" t="n">
        <v>0.0138</v>
      </c>
      <c r="K629" s="49"/>
      <c r="L629" s="49"/>
      <c r="M629" s="49"/>
      <c r="N629" s="49"/>
      <c r="O629" s="49"/>
      <c r="P629" s="49"/>
      <c r="Q629" s="49"/>
      <c r="R629" s="49" t="s">
        <v>281</v>
      </c>
      <c r="S629" s="49" t="n">
        <v>0</v>
      </c>
      <c r="T629" s="49" t="n">
        <v>0</v>
      </c>
      <c r="U629" s="49" t="s">
        <v>1520</v>
      </c>
    </row>
    <row r="630" customFormat="false" ht="15" hidden="false" customHeight="false" outlineLevel="0" collapsed="false">
      <c r="B630" s="48" t="n">
        <v>45189.5481481482</v>
      </c>
      <c r="C630" s="4" t="n">
        <f aca="false">YEAR(B630)</f>
        <v>2023</v>
      </c>
      <c r="D630" s="49" t="s">
        <v>283</v>
      </c>
      <c r="E630" s="49" t="s">
        <v>1521</v>
      </c>
      <c r="F630" s="50" t="n">
        <v>0</v>
      </c>
      <c r="G630" s="49" t="s">
        <v>290</v>
      </c>
      <c r="H630" s="51" t="n">
        <v>0.0089</v>
      </c>
      <c r="I630" s="51" t="n">
        <v>0.8586</v>
      </c>
      <c r="J630" s="51" t="n">
        <v>0.1324</v>
      </c>
      <c r="K630" s="49"/>
      <c r="L630" s="49"/>
      <c r="M630" s="49"/>
      <c r="N630" s="49"/>
      <c r="O630" s="49"/>
      <c r="P630" s="49"/>
      <c r="Q630" s="49"/>
      <c r="R630" s="49"/>
      <c r="S630" s="49" t="n">
        <v>0</v>
      </c>
      <c r="T630" s="49" t="n">
        <v>0</v>
      </c>
      <c r="U630" s="49" t="s">
        <v>1522</v>
      </c>
    </row>
    <row r="631" customFormat="false" ht="15" hidden="false" customHeight="false" outlineLevel="0" collapsed="false">
      <c r="B631" s="48" t="n">
        <v>45189.6582060185</v>
      </c>
      <c r="C631" s="4" t="n">
        <f aca="false">YEAR(B631)</f>
        <v>2023</v>
      </c>
      <c r="D631" s="49" t="s">
        <v>283</v>
      </c>
      <c r="E631" s="49" t="s">
        <v>1523</v>
      </c>
      <c r="F631" s="50" t="n">
        <v>2</v>
      </c>
      <c r="G631" s="49" t="s">
        <v>290</v>
      </c>
      <c r="H631" s="51" t="n">
        <v>0.005</v>
      </c>
      <c r="I631" s="51" t="n">
        <v>0.5726</v>
      </c>
      <c r="J631" s="51" t="n">
        <v>0.4224</v>
      </c>
      <c r="K631" s="49"/>
      <c r="L631" s="49"/>
      <c r="M631" s="49"/>
      <c r="N631" s="49"/>
      <c r="O631" s="49"/>
      <c r="P631" s="49"/>
      <c r="Q631" s="49"/>
      <c r="R631" s="49"/>
      <c r="S631" s="49" t="n">
        <v>0</v>
      </c>
      <c r="T631" s="49" t="n">
        <v>0</v>
      </c>
      <c r="U631" s="49" t="s">
        <v>1524</v>
      </c>
    </row>
    <row r="632" customFormat="false" ht="15" hidden="false" customHeight="false" outlineLevel="0" collapsed="false">
      <c r="B632" s="48" t="n">
        <v>45191.3753009259</v>
      </c>
      <c r="C632" s="4" t="n">
        <f aca="false">YEAR(B632)</f>
        <v>2023</v>
      </c>
      <c r="D632" s="49" t="s">
        <v>283</v>
      </c>
      <c r="E632" s="49" t="s">
        <v>1525</v>
      </c>
      <c r="F632" s="50" t="n">
        <v>0</v>
      </c>
      <c r="G632" s="49" t="s">
        <v>280</v>
      </c>
      <c r="H632" s="51" t="n">
        <v>0.809</v>
      </c>
      <c r="I632" s="51" t="n">
        <v>0.1573</v>
      </c>
      <c r="J632" s="51" t="n">
        <v>0.0337</v>
      </c>
      <c r="K632" s="49"/>
      <c r="L632" s="49"/>
      <c r="M632" s="49"/>
      <c r="N632" s="49"/>
      <c r="O632" s="49"/>
      <c r="P632" s="49"/>
      <c r="Q632" s="49"/>
      <c r="R632" s="49"/>
      <c r="S632" s="49" t="n">
        <v>0</v>
      </c>
      <c r="T632" s="49" t="n">
        <v>0</v>
      </c>
      <c r="U632" s="49" t="s">
        <v>1526</v>
      </c>
    </row>
    <row r="633" customFormat="false" ht="15" hidden="false" customHeight="false" outlineLevel="0" collapsed="false">
      <c r="B633" s="48" t="n">
        <v>45191.5986921296</v>
      </c>
      <c r="C633" s="4" t="n">
        <f aca="false">YEAR(B633)</f>
        <v>2023</v>
      </c>
      <c r="D633" s="49" t="s">
        <v>278</v>
      </c>
      <c r="E633" s="49" t="s">
        <v>1527</v>
      </c>
      <c r="F633" s="50" t="n">
        <v>1</v>
      </c>
      <c r="G633" s="49" t="s">
        <v>290</v>
      </c>
      <c r="H633" s="51" t="n">
        <v>0.0226</v>
      </c>
      <c r="I633" s="51" t="n">
        <v>0.8856</v>
      </c>
      <c r="J633" s="51" t="n">
        <v>0.0918</v>
      </c>
      <c r="K633" s="49"/>
      <c r="L633" s="49"/>
      <c r="M633" s="49"/>
      <c r="N633" s="49"/>
      <c r="O633" s="49"/>
      <c r="P633" s="49"/>
      <c r="Q633" s="49"/>
      <c r="R633" s="49"/>
      <c r="S633" s="49" t="n">
        <v>0</v>
      </c>
      <c r="T633" s="49" t="n">
        <v>0</v>
      </c>
      <c r="U633" s="49" t="s">
        <v>1528</v>
      </c>
    </row>
    <row r="634" customFormat="false" ht="15" hidden="false" customHeight="false" outlineLevel="0" collapsed="false">
      <c r="B634" s="48" t="n">
        <v>45192.0414699074</v>
      </c>
      <c r="C634" s="4" t="n">
        <f aca="false">YEAR(B634)</f>
        <v>2023</v>
      </c>
      <c r="D634" s="49" t="s">
        <v>283</v>
      </c>
      <c r="E634" s="49" t="s">
        <v>1529</v>
      </c>
      <c r="F634" s="50" t="n">
        <v>1</v>
      </c>
      <c r="G634" s="49" t="s">
        <v>287</v>
      </c>
      <c r="H634" s="51" t="n">
        <v>0.2238</v>
      </c>
      <c r="I634" s="51" t="n">
        <v>0.2643</v>
      </c>
      <c r="J634" s="51" t="n">
        <v>0.5119</v>
      </c>
      <c r="K634" s="49"/>
      <c r="L634" s="49"/>
      <c r="M634" s="49"/>
      <c r="N634" s="49"/>
      <c r="O634" s="49"/>
      <c r="P634" s="49"/>
      <c r="Q634" s="49" t="s">
        <v>281</v>
      </c>
      <c r="R634" s="49"/>
      <c r="S634" s="49" t="n">
        <v>0</v>
      </c>
      <c r="T634" s="49" t="n">
        <v>0</v>
      </c>
      <c r="U634" s="49" t="s">
        <v>1530</v>
      </c>
    </row>
    <row r="635" customFormat="false" ht="15" hidden="false" customHeight="false" outlineLevel="0" collapsed="false">
      <c r="B635" s="48" t="n">
        <v>45192.2113310185</v>
      </c>
      <c r="C635" s="4" t="n">
        <f aca="false">YEAR(B635)</f>
        <v>2023</v>
      </c>
      <c r="D635" s="49" t="s">
        <v>283</v>
      </c>
      <c r="E635" s="49" t="s">
        <v>1531</v>
      </c>
      <c r="F635" s="50" t="n">
        <v>4</v>
      </c>
      <c r="G635" s="49" t="s">
        <v>287</v>
      </c>
      <c r="H635" s="51" t="n">
        <v>0.0502</v>
      </c>
      <c r="I635" s="51" t="n">
        <v>0.3344</v>
      </c>
      <c r="J635" s="51" t="n">
        <v>0.6154</v>
      </c>
      <c r="K635" s="49"/>
      <c r="L635" s="49"/>
      <c r="M635" s="49"/>
      <c r="N635" s="49"/>
      <c r="O635" s="49"/>
      <c r="P635" s="49"/>
      <c r="Q635" s="49"/>
      <c r="R635" s="49"/>
      <c r="S635" s="49" t="n">
        <v>0</v>
      </c>
      <c r="T635" s="49" t="n">
        <v>0</v>
      </c>
      <c r="U635" s="49" t="s">
        <v>1532</v>
      </c>
    </row>
    <row r="636" customFormat="false" ht="15" hidden="false" customHeight="false" outlineLevel="0" collapsed="false">
      <c r="B636" s="48" t="n">
        <v>45192.3246296296</v>
      </c>
      <c r="C636" s="4" t="n">
        <f aca="false">YEAR(B636)</f>
        <v>2023</v>
      </c>
      <c r="D636" s="49" t="s">
        <v>283</v>
      </c>
      <c r="E636" s="49" t="s">
        <v>1533</v>
      </c>
      <c r="F636" s="50" t="n">
        <v>3</v>
      </c>
      <c r="G636" s="49" t="s">
        <v>290</v>
      </c>
      <c r="H636" s="51" t="n">
        <v>0.4277</v>
      </c>
      <c r="I636" s="51" t="n">
        <v>0.5218</v>
      </c>
      <c r="J636" s="51" t="n">
        <v>0.0506</v>
      </c>
      <c r="K636" s="49"/>
      <c r="L636" s="49"/>
      <c r="M636" s="49"/>
      <c r="N636" s="49"/>
      <c r="O636" s="49"/>
      <c r="P636" s="49"/>
      <c r="Q636" s="49"/>
      <c r="R636" s="49" t="s">
        <v>281</v>
      </c>
      <c r="S636" s="49" t="n">
        <v>0</v>
      </c>
      <c r="T636" s="49" t="n">
        <v>0</v>
      </c>
      <c r="U636" s="49" t="s">
        <v>1534</v>
      </c>
    </row>
    <row r="637" customFormat="false" ht="15" hidden="false" customHeight="false" outlineLevel="0" collapsed="false">
      <c r="B637" s="48" t="n">
        <v>45193.1042592593</v>
      </c>
      <c r="C637" s="4" t="n">
        <f aca="false">YEAR(B637)</f>
        <v>2023</v>
      </c>
      <c r="D637" s="49" t="s">
        <v>283</v>
      </c>
      <c r="E637" s="49" t="s">
        <v>1535</v>
      </c>
      <c r="F637" s="50" t="n">
        <v>0</v>
      </c>
      <c r="G637" s="49" t="s">
        <v>287</v>
      </c>
      <c r="H637" s="51" t="n">
        <v>0.0046</v>
      </c>
      <c r="I637" s="51" t="n">
        <v>0.1944</v>
      </c>
      <c r="J637" s="51" t="n">
        <v>0.8009</v>
      </c>
      <c r="K637" s="49"/>
      <c r="L637" s="49"/>
      <c r="M637" s="49"/>
      <c r="N637" s="49"/>
      <c r="O637" s="49"/>
      <c r="P637" s="49"/>
      <c r="Q637" s="49"/>
      <c r="R637" s="49"/>
      <c r="S637" s="49" t="n">
        <v>0</v>
      </c>
      <c r="T637" s="49" t="n">
        <v>0</v>
      </c>
      <c r="U637" s="49" t="s">
        <v>1536</v>
      </c>
    </row>
    <row r="638" customFormat="false" ht="15" hidden="false" customHeight="false" outlineLevel="0" collapsed="false">
      <c r="B638" s="48" t="n">
        <v>45193.7560532407</v>
      </c>
      <c r="C638" s="4" t="n">
        <f aca="false">YEAR(B638)</f>
        <v>2023</v>
      </c>
      <c r="D638" s="49" t="s">
        <v>283</v>
      </c>
      <c r="E638" s="49" t="s">
        <v>1537</v>
      </c>
      <c r="F638" s="50" t="n">
        <v>1</v>
      </c>
      <c r="G638" s="49" t="s">
        <v>290</v>
      </c>
      <c r="H638" s="51" t="n">
        <v>0.0077</v>
      </c>
      <c r="I638" s="51" t="n">
        <v>0.9302</v>
      </c>
      <c r="J638" s="51" t="n">
        <v>0.0621</v>
      </c>
      <c r="K638" s="49"/>
      <c r="L638" s="49"/>
      <c r="M638" s="49"/>
      <c r="N638" s="49"/>
      <c r="O638" s="49"/>
      <c r="P638" s="49"/>
      <c r="Q638" s="49"/>
      <c r="R638" s="49"/>
      <c r="S638" s="49" t="n">
        <v>1</v>
      </c>
      <c r="T638" s="49" t="n">
        <v>0</v>
      </c>
      <c r="U638" s="49" t="s">
        <v>1538</v>
      </c>
    </row>
    <row r="639" customFormat="false" ht="15" hidden="false" customHeight="false" outlineLevel="0" collapsed="false">
      <c r="B639" s="48" t="n">
        <v>45193.8098842593</v>
      </c>
      <c r="C639" s="4" t="n">
        <f aca="false">YEAR(B639)</f>
        <v>2023</v>
      </c>
      <c r="D639" s="49" t="s">
        <v>283</v>
      </c>
      <c r="E639" s="49" t="s">
        <v>1539</v>
      </c>
      <c r="F639" s="50" t="n">
        <v>3</v>
      </c>
      <c r="G639" s="49" t="s">
        <v>290</v>
      </c>
      <c r="H639" s="51" t="n">
        <v>0.0138</v>
      </c>
      <c r="I639" s="51" t="n">
        <v>0.7507</v>
      </c>
      <c r="J639" s="51" t="n">
        <v>0.2354</v>
      </c>
      <c r="K639" s="49"/>
      <c r="L639" s="49"/>
      <c r="M639" s="49"/>
      <c r="N639" s="49"/>
      <c r="O639" s="49"/>
      <c r="P639" s="49"/>
      <c r="Q639" s="49"/>
      <c r="R639" s="49"/>
      <c r="S639" s="49" t="n">
        <v>0</v>
      </c>
      <c r="T639" s="49" t="n">
        <v>0</v>
      </c>
      <c r="U639" s="49" t="s">
        <v>1540</v>
      </c>
    </row>
    <row r="640" customFormat="false" ht="15" hidden="false" customHeight="false" outlineLevel="0" collapsed="false">
      <c r="B640" s="48" t="n">
        <v>45194.0674884259</v>
      </c>
      <c r="C640" s="4" t="n">
        <f aca="false">YEAR(B640)</f>
        <v>2023</v>
      </c>
      <c r="D640" s="49" t="s">
        <v>283</v>
      </c>
      <c r="E640" s="49" t="s">
        <v>1541</v>
      </c>
      <c r="F640" s="50" t="n">
        <v>1</v>
      </c>
      <c r="G640" s="49" t="s">
        <v>280</v>
      </c>
      <c r="H640" s="51" t="n">
        <v>0.8054</v>
      </c>
      <c r="I640" s="51" t="n">
        <v>0.1672</v>
      </c>
      <c r="J640" s="51" t="n">
        <v>0.0275</v>
      </c>
      <c r="K640" s="49"/>
      <c r="L640" s="49"/>
      <c r="M640" s="49"/>
      <c r="N640" s="49"/>
      <c r="O640" s="49"/>
      <c r="P640" s="49"/>
      <c r="Q640" s="49"/>
      <c r="R640" s="49"/>
      <c r="S640" s="49" t="n">
        <v>0</v>
      </c>
      <c r="T640" s="49" t="n">
        <v>0</v>
      </c>
      <c r="U640" s="49" t="s">
        <v>1542</v>
      </c>
    </row>
    <row r="641" customFormat="false" ht="15" hidden="false" customHeight="false" outlineLevel="0" collapsed="false">
      <c r="B641" s="48" t="n">
        <v>45194.619525463</v>
      </c>
      <c r="C641" s="4" t="n">
        <f aca="false">YEAR(B641)</f>
        <v>2023</v>
      </c>
      <c r="D641" s="49" t="s">
        <v>278</v>
      </c>
      <c r="E641" s="49" t="s">
        <v>1543</v>
      </c>
      <c r="F641" s="50" t="n">
        <v>3</v>
      </c>
      <c r="G641" s="49" t="s">
        <v>280</v>
      </c>
      <c r="H641" s="51" t="n">
        <v>0.7638</v>
      </c>
      <c r="I641" s="51" t="n">
        <v>0.22</v>
      </c>
      <c r="J641" s="51" t="n">
        <v>0.0162</v>
      </c>
      <c r="K641" s="49"/>
      <c r="L641" s="49"/>
      <c r="M641" s="49"/>
      <c r="N641" s="49"/>
      <c r="O641" s="49"/>
      <c r="P641" s="49"/>
      <c r="Q641" s="49" t="s">
        <v>281</v>
      </c>
      <c r="R641" s="49"/>
      <c r="S641" s="49" t="n">
        <v>0</v>
      </c>
      <c r="T641" s="49" t="n">
        <v>0</v>
      </c>
      <c r="U641" s="49" t="s">
        <v>1544</v>
      </c>
    </row>
    <row r="642" customFormat="false" ht="15" hidden="false" customHeight="false" outlineLevel="0" collapsed="false">
      <c r="B642" s="48" t="n">
        <v>45194.6736921296</v>
      </c>
      <c r="C642" s="4" t="n">
        <f aca="false">YEAR(B642)</f>
        <v>2023</v>
      </c>
      <c r="D642" s="49" t="s">
        <v>283</v>
      </c>
      <c r="E642" s="49" t="s">
        <v>1545</v>
      </c>
      <c r="F642" s="50" t="n">
        <v>5</v>
      </c>
      <c r="G642" s="49" t="s">
        <v>280</v>
      </c>
      <c r="H642" s="51" t="n">
        <v>0.698</v>
      </c>
      <c r="I642" s="51" t="n">
        <v>0.2887</v>
      </c>
      <c r="J642" s="51" t="n">
        <v>0.0133</v>
      </c>
      <c r="K642" s="49"/>
      <c r="L642" s="49"/>
      <c r="M642" s="49"/>
      <c r="N642" s="49"/>
      <c r="O642" s="49"/>
      <c r="P642" s="49"/>
      <c r="Q642" s="49"/>
      <c r="R642" s="49"/>
      <c r="S642" s="49" t="n">
        <v>0</v>
      </c>
      <c r="T642" s="49" t="n">
        <v>0</v>
      </c>
      <c r="U642" s="49" t="s">
        <v>1546</v>
      </c>
    </row>
    <row r="643" customFormat="false" ht="15" hidden="false" customHeight="false" outlineLevel="0" collapsed="false">
      <c r="B643" s="48" t="n">
        <v>45194.7008564815</v>
      </c>
      <c r="C643" s="4" t="n">
        <f aca="false">YEAR(B643)</f>
        <v>2023</v>
      </c>
      <c r="D643" s="49" t="s">
        <v>278</v>
      </c>
      <c r="E643" s="49" t="s">
        <v>1547</v>
      </c>
      <c r="F643" s="50" t="n">
        <v>5</v>
      </c>
      <c r="G643" s="49" t="s">
        <v>280</v>
      </c>
      <c r="H643" s="51" t="n">
        <v>0.7666</v>
      </c>
      <c r="I643" s="51" t="n">
        <v>0.205</v>
      </c>
      <c r="J643" s="51" t="n">
        <v>0.0284</v>
      </c>
      <c r="K643" s="49"/>
      <c r="L643" s="49"/>
      <c r="M643" s="49"/>
      <c r="N643" s="49"/>
      <c r="O643" s="49"/>
      <c r="P643" s="49"/>
      <c r="Q643" s="49"/>
      <c r="R643" s="49"/>
      <c r="S643" s="49" t="n">
        <v>0</v>
      </c>
      <c r="T643" s="49" t="n">
        <v>0</v>
      </c>
      <c r="U643" s="49" t="s">
        <v>1548</v>
      </c>
    </row>
    <row r="644" customFormat="false" ht="15" hidden="false" customHeight="false" outlineLevel="0" collapsed="false">
      <c r="B644" s="48" t="n">
        <v>45194.744212963</v>
      </c>
      <c r="C644" s="4" t="n">
        <f aca="false">YEAR(B644)</f>
        <v>2023</v>
      </c>
      <c r="D644" s="49" t="s">
        <v>283</v>
      </c>
      <c r="E644" s="49" t="s">
        <v>1549</v>
      </c>
      <c r="F644" s="50" t="n">
        <v>4</v>
      </c>
      <c r="G644" s="49" t="s">
        <v>287</v>
      </c>
      <c r="H644" s="51" t="n">
        <v>0.0044</v>
      </c>
      <c r="I644" s="51" t="n">
        <v>0.2226</v>
      </c>
      <c r="J644" s="51" t="n">
        <v>0.773</v>
      </c>
      <c r="K644" s="49"/>
      <c r="L644" s="49"/>
      <c r="M644" s="49"/>
      <c r="N644" s="49"/>
      <c r="O644" s="49"/>
      <c r="P644" s="49"/>
      <c r="Q644" s="49"/>
      <c r="R644" s="49"/>
      <c r="S644" s="49" t="n">
        <v>0</v>
      </c>
      <c r="T644" s="49" t="n">
        <v>0</v>
      </c>
      <c r="U644" s="49" t="s">
        <v>1550</v>
      </c>
    </row>
    <row r="645" customFormat="false" ht="15" hidden="false" customHeight="false" outlineLevel="0" collapsed="false">
      <c r="B645" s="48" t="n">
        <v>45194.7664930556</v>
      </c>
      <c r="C645" s="4" t="n">
        <f aca="false">YEAR(B645)</f>
        <v>2023</v>
      </c>
      <c r="D645" s="49" t="s">
        <v>283</v>
      </c>
      <c r="E645" s="49" t="s">
        <v>1551</v>
      </c>
      <c r="F645" s="50" t="n">
        <v>2</v>
      </c>
      <c r="G645" s="49" t="s">
        <v>280</v>
      </c>
      <c r="H645" s="51" t="n">
        <v>0.6082</v>
      </c>
      <c r="I645" s="51" t="n">
        <v>0.2592</v>
      </c>
      <c r="J645" s="51" t="n">
        <v>0.1326</v>
      </c>
      <c r="K645" s="49"/>
      <c r="L645" s="49"/>
      <c r="M645" s="49"/>
      <c r="N645" s="49"/>
      <c r="O645" s="49"/>
      <c r="P645" s="49"/>
      <c r="Q645" s="49" t="s">
        <v>281</v>
      </c>
      <c r="R645" s="49"/>
      <c r="S645" s="49" t="n">
        <v>0</v>
      </c>
      <c r="T645" s="49" t="n">
        <v>0</v>
      </c>
      <c r="U645" s="49" t="s">
        <v>1552</v>
      </c>
    </row>
    <row r="646" customFormat="false" ht="15" hidden="false" customHeight="false" outlineLevel="0" collapsed="false">
      <c r="B646" s="48" t="n">
        <v>45194.9097916667</v>
      </c>
      <c r="C646" s="4" t="n">
        <f aca="false">YEAR(B646)</f>
        <v>2023</v>
      </c>
      <c r="D646" s="49" t="s">
        <v>278</v>
      </c>
      <c r="E646" s="49" t="s">
        <v>1553</v>
      </c>
      <c r="F646" s="50" t="n">
        <v>9</v>
      </c>
      <c r="G646" s="49" t="s">
        <v>280</v>
      </c>
      <c r="H646" s="51" t="n">
        <v>0.8651</v>
      </c>
      <c r="I646" s="51" t="n">
        <v>0.126</v>
      </c>
      <c r="J646" s="51" t="n">
        <v>0.0089</v>
      </c>
      <c r="K646" s="49"/>
      <c r="L646" s="49"/>
      <c r="M646" s="49"/>
      <c r="N646" s="49"/>
      <c r="O646" s="49"/>
      <c r="P646" s="49"/>
      <c r="Q646" s="49" t="s">
        <v>281</v>
      </c>
      <c r="R646" s="49"/>
      <c r="S646" s="49" t="n">
        <v>0</v>
      </c>
      <c r="T646" s="49" t="n">
        <v>1</v>
      </c>
      <c r="U646" s="49" t="s">
        <v>1554</v>
      </c>
    </row>
    <row r="647" customFormat="false" ht="15" hidden="false" customHeight="false" outlineLevel="0" collapsed="false">
      <c r="B647" s="48" t="n">
        <v>45195.0318518519</v>
      </c>
      <c r="C647" s="4" t="n">
        <f aca="false">YEAR(B647)</f>
        <v>2023</v>
      </c>
      <c r="D647" s="49" t="s">
        <v>283</v>
      </c>
      <c r="E647" s="49" t="s">
        <v>1555</v>
      </c>
      <c r="F647" s="50" t="n">
        <v>1</v>
      </c>
      <c r="G647" s="49" t="s">
        <v>280</v>
      </c>
      <c r="H647" s="51" t="n">
        <v>0.477</v>
      </c>
      <c r="I647" s="51" t="n">
        <v>0.437</v>
      </c>
      <c r="J647" s="51" t="n">
        <v>0.086</v>
      </c>
      <c r="K647" s="49"/>
      <c r="L647" s="49"/>
      <c r="M647" s="49"/>
      <c r="N647" s="49"/>
      <c r="O647" s="49"/>
      <c r="P647" s="49"/>
      <c r="Q647" s="49"/>
      <c r="R647" s="49"/>
      <c r="S647" s="49" t="n">
        <v>0</v>
      </c>
      <c r="T647" s="49" t="n">
        <v>0</v>
      </c>
      <c r="U647" s="49" t="s">
        <v>1556</v>
      </c>
    </row>
    <row r="648" customFormat="false" ht="15" hidden="false" customHeight="false" outlineLevel="0" collapsed="false">
      <c r="B648" s="48" t="n">
        <v>45195.0966203704</v>
      </c>
      <c r="C648" s="4" t="n">
        <f aca="false">YEAR(B648)</f>
        <v>2023</v>
      </c>
      <c r="D648" s="49" t="s">
        <v>283</v>
      </c>
      <c r="E648" s="49" t="s">
        <v>1557</v>
      </c>
      <c r="F648" s="50" t="n">
        <v>4</v>
      </c>
      <c r="G648" s="49" t="s">
        <v>290</v>
      </c>
      <c r="H648" s="51" t="n">
        <v>0.0831</v>
      </c>
      <c r="I648" s="51" t="n">
        <v>0.7525</v>
      </c>
      <c r="J648" s="51" t="n">
        <v>0.1645</v>
      </c>
      <c r="K648" s="49"/>
      <c r="L648" s="49"/>
      <c r="M648" s="49"/>
      <c r="N648" s="49"/>
      <c r="O648" s="49"/>
      <c r="P648" s="49"/>
      <c r="Q648" s="49"/>
      <c r="R648" s="49"/>
      <c r="S648" s="49" t="n">
        <v>0</v>
      </c>
      <c r="T648" s="49" t="n">
        <v>0</v>
      </c>
      <c r="U648" s="49" t="s">
        <v>1558</v>
      </c>
    </row>
    <row r="649" customFormat="false" ht="15" hidden="false" customHeight="false" outlineLevel="0" collapsed="false">
      <c r="B649" s="48" t="n">
        <v>45195.9661226852</v>
      </c>
      <c r="C649" s="4" t="n">
        <f aca="false">YEAR(B649)</f>
        <v>2023</v>
      </c>
      <c r="D649" s="49" t="s">
        <v>283</v>
      </c>
      <c r="E649" s="49" t="s">
        <v>1559</v>
      </c>
      <c r="F649" s="50" t="n">
        <v>5</v>
      </c>
      <c r="G649" s="49" t="s">
        <v>280</v>
      </c>
      <c r="H649" s="51" t="n">
        <v>0.855</v>
      </c>
      <c r="I649" s="51" t="n">
        <v>0.1305</v>
      </c>
      <c r="J649" s="51" t="n">
        <v>0.0144</v>
      </c>
      <c r="K649" s="49"/>
      <c r="L649" s="49"/>
      <c r="M649" s="49"/>
      <c r="N649" s="49"/>
      <c r="O649" s="49"/>
      <c r="P649" s="49"/>
      <c r="Q649" s="49"/>
      <c r="R649" s="49"/>
      <c r="S649" s="49" t="n">
        <v>0</v>
      </c>
      <c r="T649" s="49" t="n">
        <v>0</v>
      </c>
      <c r="U649" s="49" t="s">
        <v>1560</v>
      </c>
    </row>
    <row r="650" customFormat="false" ht="15" hidden="false" customHeight="false" outlineLevel="0" collapsed="false">
      <c r="B650" s="48" t="n">
        <v>45196.253125</v>
      </c>
      <c r="C650" s="4" t="n">
        <f aca="false">YEAR(B650)</f>
        <v>2023</v>
      </c>
      <c r="D650" s="49" t="s">
        <v>283</v>
      </c>
      <c r="E650" s="49" t="s">
        <v>1561</v>
      </c>
      <c r="F650" s="50" t="n">
        <v>1</v>
      </c>
      <c r="G650" s="49" t="s">
        <v>287</v>
      </c>
      <c r="H650" s="51" t="n">
        <v>0.0022</v>
      </c>
      <c r="I650" s="51" t="n">
        <v>0.0124</v>
      </c>
      <c r="J650" s="51" t="n">
        <v>0.9854</v>
      </c>
      <c r="K650" s="49"/>
      <c r="L650" s="49"/>
      <c r="M650" s="49"/>
      <c r="N650" s="49"/>
      <c r="O650" s="49"/>
      <c r="P650" s="49"/>
      <c r="Q650" s="49"/>
      <c r="R650" s="49"/>
      <c r="S650" s="49" t="n">
        <v>1</v>
      </c>
      <c r="T650" s="49" t="n">
        <v>0</v>
      </c>
      <c r="U650" s="49" t="s">
        <v>1562</v>
      </c>
    </row>
    <row r="651" customFormat="false" ht="15" hidden="false" customHeight="false" outlineLevel="0" collapsed="false">
      <c r="B651" s="48" t="n">
        <v>45196.7112847222</v>
      </c>
      <c r="C651" s="4" t="n">
        <f aca="false">YEAR(B651)</f>
        <v>2023</v>
      </c>
      <c r="D651" s="49" t="s">
        <v>283</v>
      </c>
      <c r="E651" s="49" t="s">
        <v>1563</v>
      </c>
      <c r="F651" s="50" t="n">
        <v>1</v>
      </c>
      <c r="G651" s="49" t="s">
        <v>280</v>
      </c>
      <c r="H651" s="51" t="n">
        <v>0.6531</v>
      </c>
      <c r="I651" s="51" t="n">
        <v>0.3328</v>
      </c>
      <c r="J651" s="51" t="n">
        <v>0.0141</v>
      </c>
      <c r="K651" s="49"/>
      <c r="L651" s="49"/>
      <c r="M651" s="49"/>
      <c r="N651" s="49"/>
      <c r="O651" s="49"/>
      <c r="P651" s="49"/>
      <c r="Q651" s="49"/>
      <c r="R651" s="49" t="s">
        <v>281</v>
      </c>
      <c r="S651" s="49" t="n">
        <v>0</v>
      </c>
      <c r="T651" s="49" t="n">
        <v>0</v>
      </c>
      <c r="U651" s="49" t="s">
        <v>1564</v>
      </c>
    </row>
    <row r="652" customFormat="false" ht="15" hidden="false" customHeight="false" outlineLevel="0" collapsed="false">
      <c r="B652" s="48" t="n">
        <v>45196.9503009259</v>
      </c>
      <c r="C652" s="4" t="n">
        <f aca="false">YEAR(B652)</f>
        <v>2023</v>
      </c>
      <c r="D652" s="49" t="s">
        <v>283</v>
      </c>
      <c r="E652" s="49" t="s">
        <v>1565</v>
      </c>
      <c r="F652" s="50" t="n">
        <v>2</v>
      </c>
      <c r="G652" s="49" t="s">
        <v>280</v>
      </c>
      <c r="H652" s="51" t="n">
        <v>0.8509</v>
      </c>
      <c r="I652" s="51" t="n">
        <v>0.136</v>
      </c>
      <c r="J652" s="51" t="n">
        <v>0.0131</v>
      </c>
      <c r="K652" s="49"/>
      <c r="L652" s="49"/>
      <c r="M652" s="49"/>
      <c r="N652" s="49"/>
      <c r="O652" s="49"/>
      <c r="P652" s="49"/>
      <c r="Q652" s="49"/>
      <c r="R652" s="49"/>
      <c r="S652" s="49" t="n">
        <v>0</v>
      </c>
      <c r="T652" s="49" t="n">
        <v>0</v>
      </c>
      <c r="U652" s="49" t="s">
        <v>1566</v>
      </c>
    </row>
    <row r="653" customFormat="false" ht="15" hidden="false" customHeight="false" outlineLevel="0" collapsed="false">
      <c r="B653" s="48" t="n">
        <v>45197.0147337963</v>
      </c>
      <c r="C653" s="4" t="n">
        <f aca="false">YEAR(B653)</f>
        <v>2023</v>
      </c>
      <c r="D653" s="49" t="s">
        <v>283</v>
      </c>
      <c r="E653" s="49" t="s">
        <v>1567</v>
      </c>
      <c r="F653" s="50" t="n">
        <v>1</v>
      </c>
      <c r="G653" s="49" t="s">
        <v>280</v>
      </c>
      <c r="H653" s="51" t="n">
        <v>0.9551</v>
      </c>
      <c r="I653" s="51" t="n">
        <v>0.0401</v>
      </c>
      <c r="J653" s="51" t="n">
        <v>0.0048</v>
      </c>
      <c r="K653" s="49"/>
      <c r="L653" s="49"/>
      <c r="M653" s="49"/>
      <c r="N653" s="49"/>
      <c r="O653" s="49"/>
      <c r="P653" s="49"/>
      <c r="Q653" s="49"/>
      <c r="R653" s="49"/>
      <c r="S653" s="49" t="n">
        <v>1</v>
      </c>
      <c r="T653" s="49" t="n">
        <v>0</v>
      </c>
      <c r="U653" s="49" t="s">
        <v>1568</v>
      </c>
    </row>
    <row r="654" customFormat="false" ht="15" hidden="false" customHeight="false" outlineLevel="0" collapsed="false">
      <c r="B654" s="48" t="n">
        <v>45197.2737962963</v>
      </c>
      <c r="C654" s="4" t="n">
        <f aca="false">YEAR(B654)</f>
        <v>2023</v>
      </c>
      <c r="D654" s="49" t="s">
        <v>283</v>
      </c>
      <c r="E654" s="49" t="s">
        <v>1569</v>
      </c>
      <c r="F654" s="50" t="n">
        <v>2</v>
      </c>
      <c r="G654" s="49" t="s">
        <v>287</v>
      </c>
      <c r="H654" s="51" t="n">
        <v>0.0043</v>
      </c>
      <c r="I654" s="51" t="n">
        <v>0.0146</v>
      </c>
      <c r="J654" s="51" t="n">
        <v>0.9811</v>
      </c>
      <c r="K654" s="49"/>
      <c r="L654" s="49"/>
      <c r="M654" s="49"/>
      <c r="N654" s="49"/>
      <c r="O654" s="49"/>
      <c r="P654" s="49"/>
      <c r="Q654" s="49"/>
      <c r="R654" s="49"/>
      <c r="S654" s="49" t="n">
        <v>0</v>
      </c>
      <c r="T654" s="49" t="n">
        <v>0</v>
      </c>
      <c r="U654" s="49" t="s">
        <v>1570</v>
      </c>
    </row>
    <row r="655" customFormat="false" ht="15" hidden="false" customHeight="false" outlineLevel="0" collapsed="false">
      <c r="B655" s="48" t="n">
        <v>45197.2859837963</v>
      </c>
      <c r="C655" s="4" t="n">
        <f aca="false">YEAR(B655)</f>
        <v>2023</v>
      </c>
      <c r="D655" s="49" t="s">
        <v>278</v>
      </c>
      <c r="E655" s="49" t="s">
        <v>1571</v>
      </c>
      <c r="F655" s="50" t="n">
        <v>84</v>
      </c>
      <c r="G655" s="49" t="s">
        <v>280</v>
      </c>
      <c r="H655" s="51" t="n">
        <v>0.743</v>
      </c>
      <c r="I655" s="51" t="n">
        <v>0.195</v>
      </c>
      <c r="J655" s="51" t="n">
        <v>0.062</v>
      </c>
      <c r="K655" s="49" t="s">
        <v>281</v>
      </c>
      <c r="L655" s="49"/>
      <c r="M655" s="49"/>
      <c r="N655" s="49"/>
      <c r="O655" s="49"/>
      <c r="P655" s="49"/>
      <c r="Q655" s="49"/>
      <c r="R655" s="49" t="s">
        <v>281</v>
      </c>
      <c r="S655" s="49" t="n">
        <v>0</v>
      </c>
      <c r="T655" s="49" t="n">
        <v>0</v>
      </c>
      <c r="U655" s="49" t="s">
        <v>1572</v>
      </c>
    </row>
    <row r="656" customFormat="false" ht="15" hidden="false" customHeight="false" outlineLevel="0" collapsed="false">
      <c r="B656" s="48" t="n">
        <v>45197.9468518519</v>
      </c>
      <c r="C656" s="4" t="n">
        <f aca="false">YEAR(B656)</f>
        <v>2023</v>
      </c>
      <c r="D656" s="49" t="s">
        <v>283</v>
      </c>
      <c r="E656" s="49" t="s">
        <v>1573</v>
      </c>
      <c r="F656" s="50" t="n">
        <v>7</v>
      </c>
      <c r="G656" s="49" t="s">
        <v>287</v>
      </c>
      <c r="H656" s="51" t="n">
        <v>0.0045</v>
      </c>
      <c r="I656" s="51" t="n">
        <v>0.2685</v>
      </c>
      <c r="J656" s="51" t="n">
        <v>0.727</v>
      </c>
      <c r="K656" s="49"/>
      <c r="L656" s="49"/>
      <c r="M656" s="49"/>
      <c r="N656" s="49"/>
      <c r="O656" s="49"/>
      <c r="P656" s="49"/>
      <c r="Q656" s="49"/>
      <c r="R656" s="49"/>
      <c r="S656" s="49" t="n">
        <v>0</v>
      </c>
      <c r="T656" s="49" t="n">
        <v>0</v>
      </c>
      <c r="U656" s="49" t="s">
        <v>1574</v>
      </c>
    </row>
    <row r="657" customFormat="false" ht="15" hidden="false" customHeight="false" outlineLevel="0" collapsed="false">
      <c r="B657" s="48" t="n">
        <v>45198.3321759259</v>
      </c>
      <c r="C657" s="4" t="n">
        <f aca="false">YEAR(B657)</f>
        <v>2023</v>
      </c>
      <c r="D657" s="49" t="s">
        <v>278</v>
      </c>
      <c r="E657" s="49" t="s">
        <v>1575</v>
      </c>
      <c r="F657" s="50" t="n">
        <v>2</v>
      </c>
      <c r="G657" s="49" t="s">
        <v>280</v>
      </c>
      <c r="H657" s="51" t="n">
        <v>0.6808</v>
      </c>
      <c r="I657" s="51" t="n">
        <v>0.3019</v>
      </c>
      <c r="J657" s="51" t="n">
        <v>0.0173</v>
      </c>
      <c r="K657" s="49"/>
      <c r="L657" s="49"/>
      <c r="M657" s="49"/>
      <c r="N657" s="49"/>
      <c r="O657" s="49"/>
      <c r="P657" s="49"/>
      <c r="Q657" s="49"/>
      <c r="R657" s="49" t="s">
        <v>281</v>
      </c>
      <c r="S657" s="49" t="n">
        <v>0</v>
      </c>
      <c r="T657" s="49" t="n">
        <v>0</v>
      </c>
      <c r="U657" s="49" t="s">
        <v>1576</v>
      </c>
    </row>
    <row r="658" customFormat="false" ht="15" hidden="false" customHeight="false" outlineLevel="0" collapsed="false">
      <c r="B658" s="48" t="n">
        <v>45198.8365972222</v>
      </c>
      <c r="C658" s="4" t="n">
        <f aca="false">YEAR(B658)</f>
        <v>2023</v>
      </c>
      <c r="D658" s="49" t="s">
        <v>283</v>
      </c>
      <c r="E658" s="49" t="s">
        <v>1577</v>
      </c>
      <c r="F658" s="50" t="n">
        <v>2</v>
      </c>
      <c r="G658" s="49" t="s">
        <v>280</v>
      </c>
      <c r="H658" s="51" t="n">
        <v>0.6287</v>
      </c>
      <c r="I658" s="51" t="n">
        <v>0.3423</v>
      </c>
      <c r="J658" s="51" t="n">
        <v>0.029</v>
      </c>
      <c r="K658" s="49"/>
      <c r="L658" s="49"/>
      <c r="M658" s="49"/>
      <c r="N658" s="49"/>
      <c r="O658" s="49"/>
      <c r="P658" s="49"/>
      <c r="Q658" s="49" t="s">
        <v>281</v>
      </c>
      <c r="R658" s="49"/>
      <c r="S658" s="49" t="n">
        <v>0</v>
      </c>
      <c r="T658" s="49" t="n">
        <v>0</v>
      </c>
      <c r="U658" s="49" t="s">
        <v>1578</v>
      </c>
    </row>
    <row r="659" customFormat="false" ht="15" hidden="false" customHeight="false" outlineLevel="0" collapsed="false">
      <c r="B659" s="48" t="n">
        <v>45199.1999074074</v>
      </c>
      <c r="C659" s="4" t="n">
        <f aca="false">YEAR(B659)</f>
        <v>2023</v>
      </c>
      <c r="D659" s="49" t="s">
        <v>283</v>
      </c>
      <c r="E659" s="49" t="s">
        <v>1579</v>
      </c>
      <c r="F659" s="50" t="n">
        <v>20</v>
      </c>
      <c r="G659" s="49" t="s">
        <v>280</v>
      </c>
      <c r="H659" s="51" t="n">
        <v>0.9454</v>
      </c>
      <c r="I659" s="51" t="n">
        <v>0.0494</v>
      </c>
      <c r="J659" s="51" t="n">
        <v>0.0052</v>
      </c>
      <c r="K659" s="49" t="s">
        <v>281</v>
      </c>
      <c r="L659" s="49"/>
      <c r="M659" s="49"/>
      <c r="N659" s="49"/>
      <c r="O659" s="49"/>
      <c r="P659" s="49"/>
      <c r="Q659" s="49"/>
      <c r="R659" s="49"/>
      <c r="S659" s="49" t="n">
        <v>0</v>
      </c>
      <c r="T659" s="49" t="n">
        <v>0</v>
      </c>
      <c r="U659" s="49" t="s">
        <v>1580</v>
      </c>
    </row>
    <row r="660" customFormat="false" ht="15" hidden="false" customHeight="false" outlineLevel="0" collapsed="false">
      <c r="B660" s="48" t="n">
        <v>45200.0106944444</v>
      </c>
      <c r="C660" s="4" t="n">
        <f aca="false">YEAR(B660)</f>
        <v>2023</v>
      </c>
      <c r="D660" s="49" t="s">
        <v>283</v>
      </c>
      <c r="E660" s="49" t="s">
        <v>1581</v>
      </c>
      <c r="F660" s="50" t="n">
        <v>1</v>
      </c>
      <c r="G660" s="49" t="s">
        <v>290</v>
      </c>
      <c r="H660" s="51" t="n">
        <v>0.0082</v>
      </c>
      <c r="I660" s="51" t="n">
        <v>0.8634</v>
      </c>
      <c r="J660" s="51" t="n">
        <v>0.1284</v>
      </c>
      <c r="K660" s="49"/>
      <c r="L660" s="49"/>
      <c r="M660" s="49"/>
      <c r="N660" s="49"/>
      <c r="O660" s="49"/>
      <c r="P660" s="49"/>
      <c r="Q660" s="49"/>
      <c r="R660" s="49"/>
      <c r="S660" s="49" t="n">
        <v>1</v>
      </c>
      <c r="T660" s="49" t="n">
        <v>0</v>
      </c>
      <c r="U660" s="49" t="s">
        <v>1582</v>
      </c>
    </row>
    <row r="661" customFormat="false" ht="15" hidden="false" customHeight="false" outlineLevel="0" collapsed="false">
      <c r="B661" s="48" t="n">
        <v>45200.304849537</v>
      </c>
      <c r="C661" s="4" t="n">
        <f aca="false">YEAR(B661)</f>
        <v>2023</v>
      </c>
      <c r="D661" s="49" t="s">
        <v>283</v>
      </c>
      <c r="E661" s="49" t="s">
        <v>1583</v>
      </c>
      <c r="F661" s="50" t="n">
        <v>1</v>
      </c>
      <c r="G661" s="49" t="s">
        <v>290</v>
      </c>
      <c r="H661" s="51" t="n">
        <v>0.009</v>
      </c>
      <c r="I661" s="51" t="n">
        <v>0.916</v>
      </c>
      <c r="J661" s="51" t="n">
        <v>0.075</v>
      </c>
      <c r="K661" s="49"/>
      <c r="L661" s="49"/>
      <c r="M661" s="49"/>
      <c r="N661" s="49"/>
      <c r="O661" s="49"/>
      <c r="P661" s="49"/>
      <c r="Q661" s="49"/>
      <c r="R661" s="49"/>
      <c r="S661" s="49" t="n">
        <v>1</v>
      </c>
      <c r="T661" s="49" t="n">
        <v>0</v>
      </c>
      <c r="U661" s="49" t="s">
        <v>1584</v>
      </c>
    </row>
    <row r="662" customFormat="false" ht="15" hidden="false" customHeight="false" outlineLevel="0" collapsed="false">
      <c r="B662" s="48" t="n">
        <v>45200.550775463</v>
      </c>
      <c r="C662" s="4" t="n">
        <f aca="false">YEAR(B662)</f>
        <v>2023</v>
      </c>
      <c r="D662" s="49" t="s">
        <v>283</v>
      </c>
      <c r="E662" s="49" t="s">
        <v>1585</v>
      </c>
      <c r="F662" s="50" t="n">
        <v>1</v>
      </c>
      <c r="G662" s="49" t="s">
        <v>290</v>
      </c>
      <c r="H662" s="51" t="n">
        <v>0.1572</v>
      </c>
      <c r="I662" s="51" t="n">
        <v>0.7853</v>
      </c>
      <c r="J662" s="51" t="n">
        <v>0.0575</v>
      </c>
      <c r="K662" s="49"/>
      <c r="L662" s="49"/>
      <c r="M662" s="49"/>
      <c r="N662" s="49"/>
      <c r="O662" s="49"/>
      <c r="P662" s="49"/>
      <c r="Q662" s="49"/>
      <c r="R662" s="49"/>
      <c r="S662" s="49" t="n">
        <v>0</v>
      </c>
      <c r="T662" s="49" t="n">
        <v>0</v>
      </c>
      <c r="U662" s="49" t="s">
        <v>1586</v>
      </c>
    </row>
    <row r="663" customFormat="false" ht="15" hidden="false" customHeight="false" outlineLevel="0" collapsed="false">
      <c r="B663" s="48" t="n">
        <v>45201.3035532407</v>
      </c>
      <c r="C663" s="4" t="n">
        <f aca="false">YEAR(B663)</f>
        <v>2023</v>
      </c>
      <c r="D663" s="49" t="s">
        <v>283</v>
      </c>
      <c r="E663" s="49" t="s">
        <v>1587</v>
      </c>
      <c r="F663" s="50" t="n">
        <v>0</v>
      </c>
      <c r="G663" s="49" t="s">
        <v>280</v>
      </c>
      <c r="H663" s="51" t="n">
        <v>0.8181</v>
      </c>
      <c r="I663" s="51" t="n">
        <v>0.1702</v>
      </c>
      <c r="J663" s="51" t="n">
        <v>0.0117</v>
      </c>
      <c r="K663" s="49"/>
      <c r="L663" s="49"/>
      <c r="M663" s="49"/>
      <c r="N663" s="49"/>
      <c r="O663" s="49"/>
      <c r="P663" s="49"/>
      <c r="Q663" s="49"/>
      <c r="R663" s="49" t="s">
        <v>281</v>
      </c>
      <c r="S663" s="49" t="n">
        <v>0</v>
      </c>
      <c r="T663" s="49" t="n">
        <v>0</v>
      </c>
      <c r="U663" s="49" t="s">
        <v>1588</v>
      </c>
    </row>
    <row r="664" customFormat="false" ht="15" hidden="false" customHeight="false" outlineLevel="0" collapsed="false">
      <c r="B664" s="48" t="n">
        <v>45201.4320023148</v>
      </c>
      <c r="C664" s="4" t="n">
        <f aca="false">YEAR(B664)</f>
        <v>2023</v>
      </c>
      <c r="D664" s="49" t="s">
        <v>283</v>
      </c>
      <c r="E664" s="49" t="s">
        <v>1589</v>
      </c>
      <c r="F664" s="50" t="n">
        <v>1</v>
      </c>
      <c r="G664" s="49" t="s">
        <v>290</v>
      </c>
      <c r="H664" s="51" t="n">
        <v>0.0082</v>
      </c>
      <c r="I664" s="51" t="n">
        <v>0.6323</v>
      </c>
      <c r="J664" s="51" t="n">
        <v>0.3595</v>
      </c>
      <c r="K664" s="49"/>
      <c r="L664" s="49"/>
      <c r="M664" s="49"/>
      <c r="N664" s="49"/>
      <c r="O664" s="49"/>
      <c r="P664" s="49"/>
      <c r="Q664" s="49"/>
      <c r="R664" s="49"/>
      <c r="S664" s="49" t="n">
        <v>0</v>
      </c>
      <c r="T664" s="49" t="n">
        <v>0</v>
      </c>
      <c r="U664" s="49" t="s">
        <v>1590</v>
      </c>
    </row>
    <row r="665" customFormat="false" ht="15" hidden="false" customHeight="false" outlineLevel="0" collapsed="false">
      <c r="B665" s="48" t="n">
        <v>45201.5141898148</v>
      </c>
      <c r="C665" s="4" t="n">
        <f aca="false">YEAR(B665)</f>
        <v>2023</v>
      </c>
      <c r="D665" s="49" t="s">
        <v>283</v>
      </c>
      <c r="E665" s="49" t="s">
        <v>1591</v>
      </c>
      <c r="F665" s="50" t="n">
        <v>1</v>
      </c>
      <c r="G665" s="49" t="s">
        <v>290</v>
      </c>
      <c r="H665" s="51" t="n">
        <v>0.01</v>
      </c>
      <c r="I665" s="51" t="n">
        <v>0.8558</v>
      </c>
      <c r="J665" s="51" t="n">
        <v>0.1342</v>
      </c>
      <c r="K665" s="49"/>
      <c r="L665" s="49"/>
      <c r="M665" s="49"/>
      <c r="N665" s="49"/>
      <c r="O665" s="49"/>
      <c r="P665" s="49"/>
      <c r="Q665" s="49"/>
      <c r="R665" s="49"/>
      <c r="S665" s="49" t="n">
        <v>1</v>
      </c>
      <c r="T665" s="49" t="n">
        <v>0</v>
      </c>
      <c r="U665" s="49" t="s">
        <v>1592</v>
      </c>
    </row>
    <row r="666" customFormat="false" ht="15" hidden="false" customHeight="false" outlineLevel="0" collapsed="false">
      <c r="B666" s="48" t="n">
        <v>45201.5613541667</v>
      </c>
      <c r="C666" s="4" t="n">
        <f aca="false">YEAR(B666)</f>
        <v>2023</v>
      </c>
      <c r="D666" s="49" t="s">
        <v>283</v>
      </c>
      <c r="E666" s="49" t="s">
        <v>1593</v>
      </c>
      <c r="F666" s="50" t="n">
        <v>16</v>
      </c>
      <c r="G666" s="49" t="s">
        <v>280</v>
      </c>
      <c r="H666" s="51" t="n">
        <v>0.7856</v>
      </c>
      <c r="I666" s="51" t="n">
        <v>0.2059</v>
      </c>
      <c r="J666" s="51" t="n">
        <v>0.0085</v>
      </c>
      <c r="K666" s="49"/>
      <c r="L666" s="49"/>
      <c r="M666" s="49"/>
      <c r="N666" s="49"/>
      <c r="O666" s="49"/>
      <c r="P666" s="49"/>
      <c r="Q666" s="49"/>
      <c r="R666" s="49"/>
      <c r="S666" s="49" t="n">
        <v>0</v>
      </c>
      <c r="T666" s="49" t="n">
        <v>0</v>
      </c>
      <c r="U666" s="49" t="s">
        <v>1594</v>
      </c>
    </row>
    <row r="667" customFormat="false" ht="15" hidden="false" customHeight="false" outlineLevel="0" collapsed="false">
      <c r="B667" s="48" t="n">
        <v>45201.7698611111</v>
      </c>
      <c r="C667" s="4" t="n">
        <f aca="false">YEAR(B667)</f>
        <v>2023</v>
      </c>
      <c r="D667" s="49" t="s">
        <v>283</v>
      </c>
      <c r="E667" s="49" t="s">
        <v>1595</v>
      </c>
      <c r="F667" s="50" t="n">
        <v>1</v>
      </c>
      <c r="G667" s="49" t="s">
        <v>287</v>
      </c>
      <c r="H667" s="51" t="n">
        <v>0.0034</v>
      </c>
      <c r="I667" s="51" t="n">
        <v>0.0604</v>
      </c>
      <c r="J667" s="51" t="n">
        <v>0.9362</v>
      </c>
      <c r="K667" s="49"/>
      <c r="L667" s="49"/>
      <c r="M667" s="49"/>
      <c r="N667" s="49"/>
      <c r="O667" s="49"/>
      <c r="P667" s="49"/>
      <c r="Q667" s="49"/>
      <c r="R667" s="49"/>
      <c r="S667" s="49" t="n">
        <v>0</v>
      </c>
      <c r="T667" s="49" t="n">
        <v>0</v>
      </c>
      <c r="U667" s="49" t="s">
        <v>1596</v>
      </c>
    </row>
    <row r="668" customFormat="false" ht="15" hidden="false" customHeight="false" outlineLevel="0" collapsed="false">
      <c r="B668" s="48" t="n">
        <v>45201.8223611111</v>
      </c>
      <c r="C668" s="4" t="n">
        <f aca="false">YEAR(B668)</f>
        <v>2023</v>
      </c>
      <c r="D668" s="49" t="s">
        <v>283</v>
      </c>
      <c r="E668" s="49" t="s">
        <v>1597</v>
      </c>
      <c r="F668" s="50" t="n">
        <v>1</v>
      </c>
      <c r="G668" s="49" t="s">
        <v>290</v>
      </c>
      <c r="H668" s="51" t="n">
        <v>0.0698</v>
      </c>
      <c r="I668" s="51" t="n">
        <v>0.8498</v>
      </c>
      <c r="J668" s="51" t="n">
        <v>0.0804</v>
      </c>
      <c r="K668" s="49"/>
      <c r="L668" s="49"/>
      <c r="M668" s="49"/>
      <c r="N668" s="49"/>
      <c r="O668" s="49"/>
      <c r="P668" s="49"/>
      <c r="Q668" s="49"/>
      <c r="R668" s="49"/>
      <c r="S668" s="49" t="n">
        <v>1</v>
      </c>
      <c r="T668" s="49" t="n">
        <v>0</v>
      </c>
      <c r="U668" s="49" t="s">
        <v>1598</v>
      </c>
    </row>
    <row r="669" customFormat="false" ht="15" hidden="false" customHeight="false" outlineLevel="0" collapsed="false">
      <c r="B669" s="48" t="n">
        <v>45201.8701851852</v>
      </c>
      <c r="C669" s="4" t="n">
        <f aca="false">YEAR(B669)</f>
        <v>2023</v>
      </c>
      <c r="D669" s="49" t="s">
        <v>278</v>
      </c>
      <c r="E669" s="49" t="s">
        <v>1599</v>
      </c>
      <c r="F669" s="50" t="n">
        <v>67</v>
      </c>
      <c r="G669" s="49" t="s">
        <v>280</v>
      </c>
      <c r="H669" s="51" t="n">
        <v>0.8164</v>
      </c>
      <c r="I669" s="51" t="n">
        <v>0.1566</v>
      </c>
      <c r="J669" s="51" t="n">
        <v>0.027</v>
      </c>
      <c r="K669" s="49"/>
      <c r="L669" s="49"/>
      <c r="M669" s="49"/>
      <c r="N669" s="49"/>
      <c r="O669" s="49"/>
      <c r="P669" s="49"/>
      <c r="Q669" s="49"/>
      <c r="R669" s="49"/>
      <c r="S669" s="49" t="n">
        <v>0</v>
      </c>
      <c r="T669" s="49" t="n">
        <v>0</v>
      </c>
      <c r="U669" s="49" t="s">
        <v>1600</v>
      </c>
    </row>
    <row r="670" customFormat="false" ht="15" hidden="false" customHeight="false" outlineLevel="0" collapsed="false">
      <c r="B670" s="48" t="n">
        <v>45202.1356018519</v>
      </c>
      <c r="C670" s="4" t="n">
        <f aca="false">YEAR(B670)</f>
        <v>2023</v>
      </c>
      <c r="D670" s="49" t="s">
        <v>283</v>
      </c>
      <c r="E670" s="49" t="s">
        <v>1601</v>
      </c>
      <c r="F670" s="50" t="n">
        <v>0</v>
      </c>
      <c r="G670" s="49" t="s">
        <v>280</v>
      </c>
      <c r="H670" s="51" t="n">
        <v>0.6964</v>
      </c>
      <c r="I670" s="51" t="n">
        <v>0.2748</v>
      </c>
      <c r="J670" s="51" t="n">
        <v>0.0288</v>
      </c>
      <c r="K670" s="49"/>
      <c r="L670" s="49"/>
      <c r="M670" s="49"/>
      <c r="N670" s="49"/>
      <c r="O670" s="49"/>
      <c r="P670" s="49"/>
      <c r="Q670" s="49"/>
      <c r="R670" s="49"/>
      <c r="S670" s="49" t="n">
        <v>0</v>
      </c>
      <c r="T670" s="49" t="n">
        <v>0</v>
      </c>
      <c r="U670" s="49" t="s">
        <v>1602</v>
      </c>
    </row>
    <row r="671" customFormat="false" ht="15" hidden="false" customHeight="false" outlineLevel="0" collapsed="false">
      <c r="B671" s="48" t="n">
        <v>45202.8578587963</v>
      </c>
      <c r="C671" s="4" t="n">
        <f aca="false">YEAR(B671)</f>
        <v>2023</v>
      </c>
      <c r="D671" s="49" t="s">
        <v>278</v>
      </c>
      <c r="E671" s="49" t="s">
        <v>1603</v>
      </c>
      <c r="F671" s="50" t="n">
        <v>1</v>
      </c>
      <c r="G671" s="49" t="s">
        <v>290</v>
      </c>
      <c r="H671" s="51" t="n">
        <v>0.0527</v>
      </c>
      <c r="I671" s="51" t="n">
        <v>0.9192</v>
      </c>
      <c r="J671" s="51" t="n">
        <v>0.0281</v>
      </c>
      <c r="K671" s="49"/>
      <c r="L671" s="49"/>
      <c r="M671" s="49"/>
      <c r="N671" s="49"/>
      <c r="O671" s="49"/>
      <c r="P671" s="49"/>
      <c r="Q671" s="49"/>
      <c r="R671" s="49" t="s">
        <v>281</v>
      </c>
      <c r="S671" s="49" t="n">
        <v>1</v>
      </c>
      <c r="T671" s="49" t="n">
        <v>0</v>
      </c>
      <c r="U671" s="49" t="s">
        <v>1604</v>
      </c>
    </row>
    <row r="672" customFormat="false" ht="15" hidden="false" customHeight="false" outlineLevel="0" collapsed="false">
      <c r="B672" s="48" t="n">
        <v>45203.0024305556</v>
      </c>
      <c r="C672" s="4" t="n">
        <f aca="false">YEAR(B672)</f>
        <v>2023</v>
      </c>
      <c r="D672" s="49" t="s">
        <v>278</v>
      </c>
      <c r="E672" s="49" t="s">
        <v>1605</v>
      </c>
      <c r="F672" s="50" t="n">
        <v>1</v>
      </c>
      <c r="G672" s="49" t="s">
        <v>280</v>
      </c>
      <c r="H672" s="51" t="n">
        <v>0.6163</v>
      </c>
      <c r="I672" s="51" t="n">
        <v>0.3679</v>
      </c>
      <c r="J672" s="51" t="n">
        <v>0.0159</v>
      </c>
      <c r="K672" s="49"/>
      <c r="L672" s="49"/>
      <c r="M672" s="49"/>
      <c r="N672" s="49"/>
      <c r="O672" s="49"/>
      <c r="P672" s="49"/>
      <c r="Q672" s="49"/>
      <c r="R672" s="49"/>
      <c r="S672" s="49" t="n">
        <v>0</v>
      </c>
      <c r="T672" s="49" t="n">
        <v>0</v>
      </c>
      <c r="U672" s="49" t="s">
        <v>1606</v>
      </c>
    </row>
    <row r="673" customFormat="false" ht="15" hidden="false" customHeight="false" outlineLevel="0" collapsed="false">
      <c r="B673" s="48" t="n">
        <v>45203.0332407407</v>
      </c>
      <c r="C673" s="4" t="n">
        <f aca="false">YEAR(B673)</f>
        <v>2023</v>
      </c>
      <c r="D673" s="49" t="s">
        <v>283</v>
      </c>
      <c r="E673" s="49" t="s">
        <v>1607</v>
      </c>
      <c r="F673" s="50" t="n">
        <v>1</v>
      </c>
      <c r="G673" s="49" t="s">
        <v>290</v>
      </c>
      <c r="H673" s="51" t="n">
        <v>0.0151</v>
      </c>
      <c r="I673" s="51" t="n">
        <v>0.9434</v>
      </c>
      <c r="J673" s="51" t="n">
        <v>0.0414</v>
      </c>
      <c r="K673" s="49"/>
      <c r="L673" s="49"/>
      <c r="M673" s="49"/>
      <c r="N673" s="49"/>
      <c r="O673" s="49"/>
      <c r="P673" s="49"/>
      <c r="Q673" s="49"/>
      <c r="R673" s="49" t="s">
        <v>281</v>
      </c>
      <c r="S673" s="49" t="n">
        <v>1</v>
      </c>
      <c r="T673" s="49" t="n">
        <v>0</v>
      </c>
      <c r="U673" s="49" t="s">
        <v>1608</v>
      </c>
    </row>
    <row r="674" customFormat="false" ht="15" hidden="false" customHeight="false" outlineLevel="0" collapsed="false">
      <c r="B674" s="48" t="n">
        <v>45203.0380671296</v>
      </c>
      <c r="C674" s="4" t="n">
        <f aca="false">YEAR(B674)</f>
        <v>2023</v>
      </c>
      <c r="D674" s="49" t="s">
        <v>283</v>
      </c>
      <c r="E674" s="49" t="s">
        <v>1609</v>
      </c>
      <c r="F674" s="50" t="n">
        <v>1</v>
      </c>
      <c r="G674" s="49" t="s">
        <v>290</v>
      </c>
      <c r="H674" s="51" t="n">
        <v>0.0062</v>
      </c>
      <c r="I674" s="51" t="n">
        <v>0.9488</v>
      </c>
      <c r="J674" s="51" t="n">
        <v>0.045</v>
      </c>
      <c r="K674" s="49"/>
      <c r="L674" s="49"/>
      <c r="M674" s="49"/>
      <c r="N674" s="49"/>
      <c r="O674" s="49"/>
      <c r="P674" s="49"/>
      <c r="Q674" s="49"/>
      <c r="R674" s="49" t="s">
        <v>281</v>
      </c>
      <c r="S674" s="49" t="n">
        <v>1</v>
      </c>
      <c r="T674" s="49" t="n">
        <v>0</v>
      </c>
      <c r="U674" s="49" t="s">
        <v>1610</v>
      </c>
    </row>
    <row r="675" customFormat="false" ht="15" hidden="false" customHeight="false" outlineLevel="0" collapsed="false">
      <c r="B675" s="48" t="n">
        <v>45203.5668981482</v>
      </c>
      <c r="C675" s="4" t="n">
        <f aca="false">YEAR(B675)</f>
        <v>2023</v>
      </c>
      <c r="D675" s="49" t="s">
        <v>283</v>
      </c>
      <c r="E675" s="49" t="s">
        <v>1611</v>
      </c>
      <c r="F675" s="50" t="n">
        <v>8</v>
      </c>
      <c r="G675" s="49" t="s">
        <v>280</v>
      </c>
      <c r="H675" s="51" t="n">
        <v>0.872</v>
      </c>
      <c r="I675" s="51" t="n">
        <v>0.1159</v>
      </c>
      <c r="J675" s="51" t="n">
        <v>0.0122</v>
      </c>
      <c r="K675" s="49"/>
      <c r="L675" s="49"/>
      <c r="M675" s="49"/>
      <c r="N675" s="49"/>
      <c r="O675" s="49"/>
      <c r="P675" s="49"/>
      <c r="Q675" s="49" t="s">
        <v>281</v>
      </c>
      <c r="R675" s="49"/>
      <c r="S675" s="49" t="n">
        <v>0</v>
      </c>
      <c r="T675" s="49" t="n">
        <v>0</v>
      </c>
      <c r="U675" s="49" t="s">
        <v>1612</v>
      </c>
    </row>
    <row r="676" customFormat="false" ht="15" hidden="false" customHeight="false" outlineLevel="0" collapsed="false">
      <c r="B676" s="48" t="n">
        <v>45203.7132175926</v>
      </c>
      <c r="C676" s="4" t="n">
        <f aca="false">YEAR(B676)</f>
        <v>2023</v>
      </c>
      <c r="D676" s="49" t="s">
        <v>283</v>
      </c>
      <c r="E676" s="49" t="s">
        <v>1613</v>
      </c>
      <c r="F676" s="50" t="n">
        <v>3</v>
      </c>
      <c r="G676" s="49" t="s">
        <v>287</v>
      </c>
      <c r="H676" s="51" t="n">
        <v>0.0051</v>
      </c>
      <c r="I676" s="51" t="n">
        <v>0.2069</v>
      </c>
      <c r="J676" s="51" t="n">
        <v>0.788</v>
      </c>
      <c r="K676" s="49"/>
      <c r="L676" s="49"/>
      <c r="M676" s="49"/>
      <c r="N676" s="49"/>
      <c r="O676" s="49"/>
      <c r="P676" s="49"/>
      <c r="Q676" s="49"/>
      <c r="R676" s="49"/>
      <c r="S676" s="49" t="n">
        <v>0</v>
      </c>
      <c r="T676" s="49" t="n">
        <v>0</v>
      </c>
      <c r="U676" s="49" t="s">
        <v>1614</v>
      </c>
    </row>
    <row r="677" customFormat="false" ht="15" hidden="false" customHeight="false" outlineLevel="0" collapsed="false">
      <c r="B677" s="48" t="n">
        <v>45204.4796527778</v>
      </c>
      <c r="C677" s="4" t="n">
        <f aca="false">YEAR(B677)</f>
        <v>2023</v>
      </c>
      <c r="D677" s="49" t="s">
        <v>283</v>
      </c>
      <c r="E677" s="49" t="s">
        <v>1615</v>
      </c>
      <c r="F677" s="50" t="n">
        <v>1</v>
      </c>
      <c r="G677" s="49" t="s">
        <v>290</v>
      </c>
      <c r="H677" s="51" t="n">
        <v>0.0342</v>
      </c>
      <c r="I677" s="51" t="n">
        <v>0.8297</v>
      </c>
      <c r="J677" s="51" t="n">
        <v>0.1361</v>
      </c>
      <c r="K677" s="49"/>
      <c r="L677" s="49"/>
      <c r="M677" s="49"/>
      <c r="N677" s="49"/>
      <c r="O677" s="49"/>
      <c r="P677" s="49"/>
      <c r="Q677" s="49"/>
      <c r="R677" s="49"/>
      <c r="S677" s="49" t="n">
        <v>1</v>
      </c>
      <c r="T677" s="49" t="n">
        <v>0</v>
      </c>
      <c r="U677" s="49" t="s">
        <v>1616</v>
      </c>
    </row>
    <row r="678" customFormat="false" ht="15" hidden="false" customHeight="false" outlineLevel="0" collapsed="false">
      <c r="B678" s="48" t="n">
        <v>45204.7033912037</v>
      </c>
      <c r="C678" s="4" t="n">
        <f aca="false">YEAR(B678)</f>
        <v>2023</v>
      </c>
      <c r="D678" s="49" t="s">
        <v>283</v>
      </c>
      <c r="E678" s="49" t="s">
        <v>1617</v>
      </c>
      <c r="F678" s="50" t="n">
        <v>4</v>
      </c>
      <c r="G678" s="49" t="s">
        <v>287</v>
      </c>
      <c r="H678" s="51" t="n">
        <v>0.008</v>
      </c>
      <c r="I678" s="51" t="n">
        <v>0.1665</v>
      </c>
      <c r="J678" s="51" t="n">
        <v>0.8255</v>
      </c>
      <c r="K678" s="49"/>
      <c r="L678" s="49"/>
      <c r="M678" s="49"/>
      <c r="N678" s="49"/>
      <c r="O678" s="49"/>
      <c r="P678" s="49"/>
      <c r="Q678" s="49"/>
      <c r="R678" s="49"/>
      <c r="S678" s="49" t="n">
        <v>0</v>
      </c>
      <c r="T678" s="49" t="n">
        <v>0</v>
      </c>
      <c r="U678" s="49" t="s">
        <v>1618</v>
      </c>
    </row>
    <row r="679" customFormat="false" ht="15" hidden="false" customHeight="false" outlineLevel="0" collapsed="false">
      <c r="B679" s="48" t="n">
        <v>45205.4517013889</v>
      </c>
      <c r="C679" s="4" t="n">
        <f aca="false">YEAR(B679)</f>
        <v>2023</v>
      </c>
      <c r="D679" s="49" t="s">
        <v>283</v>
      </c>
      <c r="E679" s="49" t="s">
        <v>1619</v>
      </c>
      <c r="F679" s="50" t="n">
        <v>2</v>
      </c>
      <c r="G679" s="49" t="s">
        <v>290</v>
      </c>
      <c r="H679" s="51" t="n">
        <v>0.4753</v>
      </c>
      <c r="I679" s="51" t="n">
        <v>0.5063</v>
      </c>
      <c r="J679" s="51" t="n">
        <v>0.0183</v>
      </c>
      <c r="K679" s="49"/>
      <c r="L679" s="49"/>
      <c r="M679" s="49"/>
      <c r="N679" s="49"/>
      <c r="O679" s="49"/>
      <c r="P679" s="49"/>
      <c r="Q679" s="49"/>
      <c r="R679" s="49"/>
      <c r="S679" s="49" t="n">
        <v>0</v>
      </c>
      <c r="T679" s="49" t="n">
        <v>0</v>
      </c>
      <c r="U679" s="49" t="s">
        <v>1620</v>
      </c>
    </row>
    <row r="680" customFormat="false" ht="15" hidden="false" customHeight="false" outlineLevel="0" collapsed="false">
      <c r="B680" s="48" t="n">
        <v>45205.6412152778</v>
      </c>
      <c r="C680" s="4" t="n">
        <f aca="false">YEAR(B680)</f>
        <v>2023</v>
      </c>
      <c r="D680" s="49" t="s">
        <v>283</v>
      </c>
      <c r="E680" s="49" t="s">
        <v>1621</v>
      </c>
      <c r="F680" s="50" t="n">
        <v>1</v>
      </c>
      <c r="G680" s="49" t="s">
        <v>280</v>
      </c>
      <c r="H680" s="51" t="n">
        <v>0.8214</v>
      </c>
      <c r="I680" s="51" t="n">
        <v>0.1638</v>
      </c>
      <c r="J680" s="51" t="n">
        <v>0.0148</v>
      </c>
      <c r="K680" s="49"/>
      <c r="L680" s="49"/>
      <c r="M680" s="49"/>
      <c r="N680" s="49"/>
      <c r="O680" s="49"/>
      <c r="P680" s="49"/>
      <c r="Q680" s="49"/>
      <c r="R680" s="49"/>
      <c r="S680" s="49" t="n">
        <v>0</v>
      </c>
      <c r="T680" s="49" t="n">
        <v>0</v>
      </c>
      <c r="U680" s="49" t="s">
        <v>1622</v>
      </c>
    </row>
    <row r="681" customFormat="false" ht="15" hidden="false" customHeight="false" outlineLevel="0" collapsed="false">
      <c r="B681" s="48" t="n">
        <v>45205.6479398148</v>
      </c>
      <c r="C681" s="4" t="n">
        <f aca="false">YEAR(B681)</f>
        <v>2023</v>
      </c>
      <c r="D681" s="49" t="s">
        <v>283</v>
      </c>
      <c r="E681" s="49" t="s">
        <v>1623</v>
      </c>
      <c r="F681" s="50" t="n">
        <v>1</v>
      </c>
      <c r="G681" s="49" t="s">
        <v>290</v>
      </c>
      <c r="H681" s="51" t="n">
        <v>0.4124</v>
      </c>
      <c r="I681" s="51" t="n">
        <v>0.558</v>
      </c>
      <c r="J681" s="51" t="n">
        <v>0.0296</v>
      </c>
      <c r="K681" s="49"/>
      <c r="L681" s="49"/>
      <c r="M681" s="49"/>
      <c r="N681" s="49"/>
      <c r="O681" s="49"/>
      <c r="P681" s="49"/>
      <c r="Q681" s="49"/>
      <c r="R681" s="49"/>
      <c r="S681" s="49" t="n">
        <v>0</v>
      </c>
      <c r="T681" s="49" t="n">
        <v>0</v>
      </c>
      <c r="U681" s="49" t="s">
        <v>1624</v>
      </c>
    </row>
    <row r="682" customFormat="false" ht="15" hidden="false" customHeight="false" outlineLevel="0" collapsed="false">
      <c r="B682" s="48" t="n">
        <v>45205.6712615741</v>
      </c>
      <c r="C682" s="4" t="n">
        <f aca="false">YEAR(B682)</f>
        <v>2023</v>
      </c>
      <c r="D682" s="49" t="s">
        <v>283</v>
      </c>
      <c r="E682" s="49" t="s">
        <v>1625</v>
      </c>
      <c r="F682" s="50" t="n">
        <v>1</v>
      </c>
      <c r="G682" s="49" t="s">
        <v>290</v>
      </c>
      <c r="H682" s="51" t="n">
        <v>0.0244</v>
      </c>
      <c r="I682" s="51" t="n">
        <v>0.4891</v>
      </c>
      <c r="J682" s="51" t="n">
        <v>0.4865</v>
      </c>
      <c r="K682" s="49"/>
      <c r="L682" s="49"/>
      <c r="M682" s="49"/>
      <c r="N682" s="49"/>
      <c r="O682" s="49"/>
      <c r="P682" s="49"/>
      <c r="Q682" s="49"/>
      <c r="R682" s="49"/>
      <c r="S682" s="49" t="n">
        <v>0</v>
      </c>
      <c r="T682" s="49" t="n">
        <v>0</v>
      </c>
      <c r="U682" s="49" t="s">
        <v>1626</v>
      </c>
    </row>
    <row r="683" customFormat="false" ht="15" hidden="false" customHeight="false" outlineLevel="0" collapsed="false">
      <c r="B683" s="48" t="n">
        <v>45206.182662037</v>
      </c>
      <c r="C683" s="4" t="n">
        <f aca="false">YEAR(B683)</f>
        <v>2023</v>
      </c>
      <c r="D683" s="49" t="s">
        <v>278</v>
      </c>
      <c r="E683" s="49" t="s">
        <v>1627</v>
      </c>
      <c r="F683" s="50" t="n">
        <v>5</v>
      </c>
      <c r="G683" s="49" t="s">
        <v>280</v>
      </c>
      <c r="H683" s="51" t="n">
        <v>0.9046</v>
      </c>
      <c r="I683" s="51" t="n">
        <v>0.085</v>
      </c>
      <c r="J683" s="51" t="n">
        <v>0.0103</v>
      </c>
      <c r="K683" s="49"/>
      <c r="L683" s="49"/>
      <c r="M683" s="49"/>
      <c r="N683" s="49"/>
      <c r="O683" s="49"/>
      <c r="P683" s="49"/>
      <c r="Q683" s="49"/>
      <c r="R683" s="49" t="s">
        <v>281</v>
      </c>
      <c r="S683" s="49" t="n">
        <v>0</v>
      </c>
      <c r="T683" s="49" t="n">
        <v>0</v>
      </c>
      <c r="U683" s="49" t="s">
        <v>1628</v>
      </c>
    </row>
    <row r="684" customFormat="false" ht="15" hidden="false" customHeight="false" outlineLevel="0" collapsed="false">
      <c r="B684" s="48" t="n">
        <v>45206.5365162037</v>
      </c>
      <c r="C684" s="4" t="n">
        <f aca="false">YEAR(B684)</f>
        <v>2023</v>
      </c>
      <c r="D684" s="49" t="s">
        <v>283</v>
      </c>
      <c r="E684" s="49" t="s">
        <v>1629</v>
      </c>
      <c r="F684" s="50" t="n">
        <v>1</v>
      </c>
      <c r="G684" s="49" t="s">
        <v>290</v>
      </c>
      <c r="H684" s="51" t="n">
        <v>0.0102</v>
      </c>
      <c r="I684" s="51" t="n">
        <v>0.9278</v>
      </c>
      <c r="J684" s="51" t="n">
        <v>0.062</v>
      </c>
      <c r="K684" s="49"/>
      <c r="L684" s="49"/>
      <c r="M684" s="49"/>
      <c r="N684" s="49"/>
      <c r="O684" s="49"/>
      <c r="P684" s="49"/>
      <c r="Q684" s="49"/>
      <c r="R684" s="49" t="s">
        <v>281</v>
      </c>
      <c r="S684" s="49" t="n">
        <v>0</v>
      </c>
      <c r="T684" s="49" t="n">
        <v>0</v>
      </c>
      <c r="U684" s="49" t="s">
        <v>1630</v>
      </c>
    </row>
    <row r="685" customFormat="false" ht="15" hidden="false" customHeight="false" outlineLevel="0" collapsed="false">
      <c r="B685" s="48" t="n">
        <v>45206.6013773148</v>
      </c>
      <c r="C685" s="4" t="n">
        <f aca="false">YEAR(B685)</f>
        <v>2023</v>
      </c>
      <c r="D685" s="49" t="s">
        <v>283</v>
      </c>
      <c r="E685" s="49" t="s">
        <v>1631</v>
      </c>
      <c r="F685" s="50" t="n">
        <v>1</v>
      </c>
      <c r="G685" s="49" t="s">
        <v>290</v>
      </c>
      <c r="H685" s="51" t="n">
        <v>0.0252</v>
      </c>
      <c r="I685" s="51" t="n">
        <v>0.9312</v>
      </c>
      <c r="J685" s="51" t="n">
        <v>0.0437</v>
      </c>
      <c r="K685" s="49"/>
      <c r="L685" s="49"/>
      <c r="M685" s="49"/>
      <c r="N685" s="49"/>
      <c r="O685" s="49"/>
      <c r="P685" s="49"/>
      <c r="Q685" s="49"/>
      <c r="R685" s="49"/>
      <c r="S685" s="49" t="n">
        <v>1</v>
      </c>
      <c r="T685" s="49" t="n">
        <v>0</v>
      </c>
      <c r="U685" s="49" t="s">
        <v>1632</v>
      </c>
    </row>
    <row r="686" customFormat="false" ht="15" hidden="false" customHeight="false" outlineLevel="0" collapsed="false">
      <c r="B686" s="48" t="n">
        <v>45206.6017939815</v>
      </c>
      <c r="C686" s="4" t="n">
        <f aca="false">YEAR(B686)</f>
        <v>2023</v>
      </c>
      <c r="D686" s="49" t="s">
        <v>283</v>
      </c>
      <c r="E686" s="49" t="s">
        <v>1633</v>
      </c>
      <c r="F686" s="50" t="n">
        <v>1</v>
      </c>
      <c r="G686" s="49" t="s">
        <v>290</v>
      </c>
      <c r="H686" s="51" t="n">
        <v>0.1552</v>
      </c>
      <c r="I686" s="51" t="n">
        <v>0.8185</v>
      </c>
      <c r="J686" s="51" t="n">
        <v>0.0263</v>
      </c>
      <c r="K686" s="49"/>
      <c r="L686" s="49"/>
      <c r="M686" s="49"/>
      <c r="N686" s="49"/>
      <c r="O686" s="49"/>
      <c r="P686" s="49"/>
      <c r="Q686" s="49"/>
      <c r="R686" s="49"/>
      <c r="S686" s="49" t="n">
        <v>1</v>
      </c>
      <c r="T686" s="49" t="n">
        <v>0</v>
      </c>
      <c r="U686" s="49" t="s">
        <v>1634</v>
      </c>
    </row>
    <row r="687" customFormat="false" ht="15" hidden="false" customHeight="false" outlineLevel="0" collapsed="false">
      <c r="B687" s="48" t="n">
        <v>45206.7539583333</v>
      </c>
      <c r="C687" s="4" t="n">
        <f aca="false">YEAR(B687)</f>
        <v>2023</v>
      </c>
      <c r="D687" s="49" t="s">
        <v>283</v>
      </c>
      <c r="E687" s="49" t="s">
        <v>1635</v>
      </c>
      <c r="F687" s="50" t="n">
        <v>1</v>
      </c>
      <c r="G687" s="49" t="s">
        <v>287</v>
      </c>
      <c r="H687" s="51" t="n">
        <v>0.0028</v>
      </c>
      <c r="I687" s="51" t="n">
        <v>0.3077</v>
      </c>
      <c r="J687" s="51" t="n">
        <v>0.6894</v>
      </c>
      <c r="K687" s="49"/>
      <c r="L687" s="49"/>
      <c r="M687" s="49"/>
      <c r="N687" s="49"/>
      <c r="O687" s="49"/>
      <c r="P687" s="49"/>
      <c r="Q687" s="49"/>
      <c r="R687" s="49"/>
      <c r="S687" s="49" t="n">
        <v>0</v>
      </c>
      <c r="T687" s="49" t="n">
        <v>0</v>
      </c>
      <c r="U687" s="49" t="s">
        <v>1636</v>
      </c>
    </row>
    <row r="688" customFormat="false" ht="15" hidden="false" customHeight="false" outlineLevel="0" collapsed="false">
      <c r="B688" s="48" t="n">
        <v>45206.9185300926</v>
      </c>
      <c r="C688" s="4" t="n">
        <f aca="false">YEAR(B688)</f>
        <v>2023</v>
      </c>
      <c r="D688" s="49" t="s">
        <v>283</v>
      </c>
      <c r="E688" s="49" t="s">
        <v>1637</v>
      </c>
      <c r="F688" s="50" t="n">
        <v>1</v>
      </c>
      <c r="G688" s="49" t="s">
        <v>287</v>
      </c>
      <c r="H688" s="51" t="n">
        <v>0.0035</v>
      </c>
      <c r="I688" s="51" t="n">
        <v>0.0224</v>
      </c>
      <c r="J688" s="51" t="n">
        <v>0.9741</v>
      </c>
      <c r="K688" s="49"/>
      <c r="L688" s="49"/>
      <c r="M688" s="49"/>
      <c r="N688" s="49"/>
      <c r="O688" s="49"/>
      <c r="P688" s="49"/>
      <c r="Q688" s="49"/>
      <c r="R688" s="49"/>
      <c r="S688" s="49" t="n">
        <v>0</v>
      </c>
      <c r="T688" s="49" t="n">
        <v>0</v>
      </c>
      <c r="U688" s="49" t="s">
        <v>1638</v>
      </c>
    </row>
    <row r="689" customFormat="false" ht="15" hidden="false" customHeight="false" outlineLevel="0" collapsed="false">
      <c r="B689" s="48" t="n">
        <v>45207.2221643519</v>
      </c>
      <c r="C689" s="4" t="n">
        <f aca="false">YEAR(B689)</f>
        <v>2023</v>
      </c>
      <c r="D689" s="49" t="s">
        <v>283</v>
      </c>
      <c r="E689" s="49" t="s">
        <v>1639</v>
      </c>
      <c r="F689" s="50" t="n">
        <v>1</v>
      </c>
      <c r="G689" s="49" t="s">
        <v>290</v>
      </c>
      <c r="H689" s="51" t="n">
        <v>0.0336</v>
      </c>
      <c r="I689" s="51" t="n">
        <v>0.6645</v>
      </c>
      <c r="J689" s="51" t="n">
        <v>0.3019</v>
      </c>
      <c r="K689" s="49"/>
      <c r="L689" s="49"/>
      <c r="M689" s="49"/>
      <c r="N689" s="49"/>
      <c r="O689" s="49"/>
      <c r="P689" s="49"/>
      <c r="Q689" s="49"/>
      <c r="R689" s="49"/>
      <c r="S689" s="49" t="n">
        <v>1</v>
      </c>
      <c r="T689" s="49" t="n">
        <v>0</v>
      </c>
      <c r="U689" s="49" t="s">
        <v>1640</v>
      </c>
    </row>
    <row r="690" customFormat="false" ht="15" hidden="false" customHeight="false" outlineLevel="0" collapsed="false">
      <c r="B690" s="48" t="n">
        <v>45208.27375</v>
      </c>
      <c r="C690" s="4" t="n">
        <f aca="false">YEAR(B690)</f>
        <v>2023</v>
      </c>
      <c r="D690" s="49" t="s">
        <v>283</v>
      </c>
      <c r="E690" s="49" t="s">
        <v>1641</v>
      </c>
      <c r="F690" s="50" t="n">
        <v>11</v>
      </c>
      <c r="G690" s="49" t="s">
        <v>287</v>
      </c>
      <c r="H690" s="51" t="n">
        <v>0.0134</v>
      </c>
      <c r="I690" s="51" t="n">
        <v>0.287</v>
      </c>
      <c r="J690" s="51" t="n">
        <v>0.6997</v>
      </c>
      <c r="K690" s="49"/>
      <c r="L690" s="49"/>
      <c r="M690" s="49"/>
      <c r="N690" s="49"/>
      <c r="O690" s="49"/>
      <c r="P690" s="49"/>
      <c r="Q690" s="49"/>
      <c r="R690" s="49"/>
      <c r="S690" s="49" t="n">
        <v>0</v>
      </c>
      <c r="T690" s="49" t="n">
        <v>0</v>
      </c>
      <c r="U690" s="49" t="s">
        <v>1642</v>
      </c>
    </row>
    <row r="691" customFormat="false" ht="15" hidden="false" customHeight="false" outlineLevel="0" collapsed="false">
      <c r="B691" s="48" t="n">
        <v>45208.6004282407</v>
      </c>
      <c r="C691" s="4" t="n">
        <f aca="false">YEAR(B691)</f>
        <v>2023</v>
      </c>
      <c r="D691" s="49" t="s">
        <v>278</v>
      </c>
      <c r="E691" s="49" t="s">
        <v>1643</v>
      </c>
      <c r="F691" s="50" t="n">
        <v>1</v>
      </c>
      <c r="G691" s="49" t="s">
        <v>290</v>
      </c>
      <c r="H691" s="51" t="n">
        <v>0.0123</v>
      </c>
      <c r="I691" s="51" t="n">
        <v>0.959</v>
      </c>
      <c r="J691" s="51" t="n">
        <v>0.0287</v>
      </c>
      <c r="K691" s="49"/>
      <c r="L691" s="49"/>
      <c r="M691" s="49"/>
      <c r="N691" s="49"/>
      <c r="O691" s="49"/>
      <c r="P691" s="49"/>
      <c r="Q691" s="49"/>
      <c r="R691" s="49" t="s">
        <v>281</v>
      </c>
      <c r="S691" s="49" t="n">
        <v>1</v>
      </c>
      <c r="T691" s="49" t="n">
        <v>0</v>
      </c>
      <c r="U691" s="49" t="s">
        <v>1644</v>
      </c>
    </row>
    <row r="692" customFormat="false" ht="15" hidden="false" customHeight="false" outlineLevel="0" collapsed="false">
      <c r="B692" s="48" t="n">
        <v>45208.6107060185</v>
      </c>
      <c r="C692" s="4" t="n">
        <f aca="false">YEAR(B692)</f>
        <v>2023</v>
      </c>
      <c r="D692" s="49" t="s">
        <v>278</v>
      </c>
      <c r="E692" s="49" t="s">
        <v>1645</v>
      </c>
      <c r="F692" s="50" t="n">
        <v>1</v>
      </c>
      <c r="G692" s="49" t="s">
        <v>290</v>
      </c>
      <c r="H692" s="51" t="n">
        <v>0.0266</v>
      </c>
      <c r="I692" s="51" t="n">
        <v>0.9344</v>
      </c>
      <c r="J692" s="51" t="n">
        <v>0.039</v>
      </c>
      <c r="K692" s="49"/>
      <c r="L692" s="49"/>
      <c r="M692" s="49"/>
      <c r="N692" s="49"/>
      <c r="O692" s="49"/>
      <c r="P692" s="49"/>
      <c r="Q692" s="49"/>
      <c r="R692" s="49"/>
      <c r="S692" s="49" t="n">
        <v>1</v>
      </c>
      <c r="T692" s="49" t="n">
        <v>0</v>
      </c>
      <c r="U692" s="49" t="s">
        <v>1646</v>
      </c>
    </row>
    <row r="693" customFormat="false" ht="15" hidden="false" customHeight="false" outlineLevel="0" collapsed="false">
      <c r="B693" s="48" t="n">
        <v>45208.6113888889</v>
      </c>
      <c r="C693" s="4" t="n">
        <f aca="false">YEAR(B693)</f>
        <v>2023</v>
      </c>
      <c r="D693" s="49" t="s">
        <v>278</v>
      </c>
      <c r="E693" s="49" t="s">
        <v>1645</v>
      </c>
      <c r="F693" s="50" t="n">
        <v>1</v>
      </c>
      <c r="G693" s="49" t="s">
        <v>290</v>
      </c>
      <c r="H693" s="51" t="n">
        <v>0.0266</v>
      </c>
      <c r="I693" s="51" t="n">
        <v>0.9344</v>
      </c>
      <c r="J693" s="51" t="n">
        <v>0.039</v>
      </c>
      <c r="K693" s="49"/>
      <c r="L693" s="49"/>
      <c r="M693" s="49"/>
      <c r="N693" s="49"/>
      <c r="O693" s="49"/>
      <c r="P693" s="49"/>
      <c r="Q693" s="49"/>
      <c r="R693" s="49"/>
      <c r="S693" s="49" t="n">
        <v>1</v>
      </c>
      <c r="T693" s="49" t="n">
        <v>0</v>
      </c>
      <c r="U693" s="49" t="s">
        <v>1647</v>
      </c>
    </row>
    <row r="694" customFormat="false" ht="15" hidden="false" customHeight="false" outlineLevel="0" collapsed="false">
      <c r="B694" s="48" t="n">
        <v>45208.7461574074</v>
      </c>
      <c r="C694" s="4" t="n">
        <f aca="false">YEAR(B694)</f>
        <v>2023</v>
      </c>
      <c r="D694" s="49" t="s">
        <v>283</v>
      </c>
      <c r="E694" s="49" t="s">
        <v>1648</v>
      </c>
      <c r="F694" s="50" t="n">
        <v>1</v>
      </c>
      <c r="G694" s="49" t="s">
        <v>280</v>
      </c>
      <c r="H694" s="51" t="n">
        <v>0.7224</v>
      </c>
      <c r="I694" s="51" t="n">
        <v>0.2624</v>
      </c>
      <c r="J694" s="51" t="n">
        <v>0.0152</v>
      </c>
      <c r="K694" s="49"/>
      <c r="L694" s="49"/>
      <c r="M694" s="49"/>
      <c r="N694" s="49"/>
      <c r="O694" s="49"/>
      <c r="P694" s="49"/>
      <c r="Q694" s="49"/>
      <c r="R694" s="49"/>
      <c r="S694" s="49" t="n">
        <v>0</v>
      </c>
      <c r="T694" s="49" t="n">
        <v>0</v>
      </c>
      <c r="U694" s="49" t="s">
        <v>1649</v>
      </c>
    </row>
    <row r="695" customFormat="false" ht="15" hidden="false" customHeight="false" outlineLevel="0" collapsed="false">
      <c r="B695" s="48" t="n">
        <v>45208.813900463</v>
      </c>
      <c r="C695" s="4" t="n">
        <f aca="false">YEAR(B695)</f>
        <v>2023</v>
      </c>
      <c r="D695" s="49" t="s">
        <v>283</v>
      </c>
      <c r="E695" s="49" t="s">
        <v>1650</v>
      </c>
      <c r="F695" s="50" t="n">
        <v>6</v>
      </c>
      <c r="G695" s="49" t="s">
        <v>290</v>
      </c>
      <c r="H695" s="51" t="n">
        <v>0.0215</v>
      </c>
      <c r="I695" s="51" t="n">
        <v>0.8949</v>
      </c>
      <c r="J695" s="51" t="n">
        <v>0.0836</v>
      </c>
      <c r="K695" s="49"/>
      <c r="L695" s="49"/>
      <c r="M695" s="49"/>
      <c r="N695" s="49"/>
      <c r="O695" s="49"/>
      <c r="P695" s="49"/>
      <c r="Q695" s="49"/>
      <c r="R695" s="49" t="s">
        <v>281</v>
      </c>
      <c r="S695" s="49" t="n">
        <v>0</v>
      </c>
      <c r="T695" s="49" t="n">
        <v>0</v>
      </c>
      <c r="U695" s="49" t="s">
        <v>1651</v>
      </c>
    </row>
    <row r="696" customFormat="false" ht="15" hidden="false" customHeight="false" outlineLevel="0" collapsed="false">
      <c r="B696" s="48" t="n">
        <v>45208.8247685185</v>
      </c>
      <c r="C696" s="4" t="n">
        <f aca="false">YEAR(B696)</f>
        <v>2023</v>
      </c>
      <c r="D696" s="49" t="s">
        <v>283</v>
      </c>
      <c r="E696" s="49" t="s">
        <v>1652</v>
      </c>
      <c r="F696" s="50" t="n">
        <v>2</v>
      </c>
      <c r="G696" s="49" t="s">
        <v>290</v>
      </c>
      <c r="H696" s="51" t="n">
        <v>0.0224</v>
      </c>
      <c r="I696" s="51" t="n">
        <v>0.6922</v>
      </c>
      <c r="J696" s="51" t="n">
        <v>0.2854</v>
      </c>
      <c r="K696" s="49"/>
      <c r="L696" s="49"/>
      <c r="M696" s="49"/>
      <c r="N696" s="49"/>
      <c r="O696" s="49"/>
      <c r="P696" s="49"/>
      <c r="Q696" s="49"/>
      <c r="R696" s="49"/>
      <c r="S696" s="49" t="n">
        <v>0</v>
      </c>
      <c r="T696" s="49" t="n">
        <v>0</v>
      </c>
      <c r="U696" s="49" t="s">
        <v>1653</v>
      </c>
    </row>
    <row r="697" customFormat="false" ht="15" hidden="false" customHeight="false" outlineLevel="0" collapsed="false">
      <c r="B697" s="48" t="n">
        <v>45208.8703587963</v>
      </c>
      <c r="C697" s="4" t="n">
        <f aca="false">YEAR(B697)</f>
        <v>2023</v>
      </c>
      <c r="D697" s="49" t="s">
        <v>278</v>
      </c>
      <c r="E697" s="49" t="s">
        <v>1654</v>
      </c>
      <c r="F697" s="50" t="n">
        <v>5</v>
      </c>
      <c r="G697" s="49" t="s">
        <v>280</v>
      </c>
      <c r="H697" s="51" t="n">
        <v>0.4906</v>
      </c>
      <c r="I697" s="51" t="n">
        <v>0.4709</v>
      </c>
      <c r="J697" s="51" t="n">
        <v>0.0384</v>
      </c>
      <c r="K697" s="49" t="s">
        <v>281</v>
      </c>
      <c r="L697" s="49"/>
      <c r="M697" s="49"/>
      <c r="N697" s="49"/>
      <c r="O697" s="49"/>
      <c r="P697" s="49"/>
      <c r="Q697" s="49"/>
      <c r="R697" s="49"/>
      <c r="S697" s="49" t="n">
        <v>0</v>
      </c>
      <c r="T697" s="49" t="n">
        <v>0</v>
      </c>
      <c r="U697" s="49" t="s">
        <v>1655</v>
      </c>
    </row>
    <row r="698" customFormat="false" ht="15" hidden="false" customHeight="false" outlineLevel="0" collapsed="false">
      <c r="B698" s="48" t="n">
        <v>45208.9889930556</v>
      </c>
      <c r="C698" s="4" t="n">
        <f aca="false">YEAR(B698)</f>
        <v>2023</v>
      </c>
      <c r="D698" s="49" t="s">
        <v>283</v>
      </c>
      <c r="E698" s="49" t="s">
        <v>1656</v>
      </c>
      <c r="F698" s="50" t="n">
        <v>18</v>
      </c>
      <c r="G698" s="49" t="s">
        <v>287</v>
      </c>
      <c r="H698" s="51" t="n">
        <v>0.0358</v>
      </c>
      <c r="I698" s="51" t="n">
        <v>0.3107</v>
      </c>
      <c r="J698" s="51" t="n">
        <v>0.6535</v>
      </c>
      <c r="K698" s="49"/>
      <c r="L698" s="49"/>
      <c r="M698" s="49"/>
      <c r="N698" s="49"/>
      <c r="O698" s="49"/>
      <c r="P698" s="49"/>
      <c r="Q698" s="49"/>
      <c r="R698" s="49"/>
      <c r="S698" s="49" t="n">
        <v>0</v>
      </c>
      <c r="T698" s="49" t="n">
        <v>0</v>
      </c>
      <c r="U698" s="49" t="s">
        <v>1657</v>
      </c>
    </row>
    <row r="699" customFormat="false" ht="15" hidden="false" customHeight="false" outlineLevel="0" collapsed="false">
      <c r="B699" s="48" t="n">
        <v>45209.7626388889</v>
      </c>
      <c r="C699" s="4" t="n">
        <f aca="false">YEAR(B699)</f>
        <v>2023</v>
      </c>
      <c r="D699" s="49" t="s">
        <v>278</v>
      </c>
      <c r="E699" s="49" t="s">
        <v>1658</v>
      </c>
      <c r="F699" s="50" t="n">
        <v>0</v>
      </c>
      <c r="G699" s="49" t="s">
        <v>280</v>
      </c>
      <c r="H699" s="51" t="n">
        <v>0.7917</v>
      </c>
      <c r="I699" s="51" t="n">
        <v>0.1983</v>
      </c>
      <c r="J699" s="51" t="n">
        <v>0.01</v>
      </c>
      <c r="K699" s="49"/>
      <c r="L699" s="49"/>
      <c r="M699" s="49"/>
      <c r="N699" s="49"/>
      <c r="O699" s="49"/>
      <c r="P699" s="49"/>
      <c r="Q699" s="49"/>
      <c r="R699" s="49" t="s">
        <v>281</v>
      </c>
      <c r="S699" s="49" t="n">
        <v>0</v>
      </c>
      <c r="T699" s="49" t="n">
        <v>0</v>
      </c>
      <c r="U699" s="49" t="s">
        <v>1659</v>
      </c>
    </row>
    <row r="700" customFormat="false" ht="15" hidden="false" customHeight="false" outlineLevel="0" collapsed="false">
      <c r="B700" s="48" t="n">
        <v>45210.0286574074</v>
      </c>
      <c r="C700" s="4" t="n">
        <f aca="false">YEAR(B700)</f>
        <v>2023</v>
      </c>
      <c r="D700" s="49" t="s">
        <v>283</v>
      </c>
      <c r="E700" s="49" t="s">
        <v>1660</v>
      </c>
      <c r="F700" s="50" t="n">
        <v>4</v>
      </c>
      <c r="G700" s="49" t="s">
        <v>280</v>
      </c>
      <c r="H700" s="51" t="n">
        <v>0.7578</v>
      </c>
      <c r="I700" s="51" t="n">
        <v>0.2308</v>
      </c>
      <c r="J700" s="51" t="n">
        <v>0.0114</v>
      </c>
      <c r="K700" s="49"/>
      <c r="L700" s="49"/>
      <c r="M700" s="49"/>
      <c r="N700" s="49"/>
      <c r="O700" s="49"/>
      <c r="P700" s="49"/>
      <c r="Q700" s="49"/>
      <c r="R700" s="49" t="s">
        <v>281</v>
      </c>
      <c r="S700" s="49" t="n">
        <v>0</v>
      </c>
      <c r="T700" s="49" t="n">
        <v>0</v>
      </c>
      <c r="U700" s="49" t="s">
        <v>1661</v>
      </c>
    </row>
    <row r="701" customFormat="false" ht="15" hidden="false" customHeight="false" outlineLevel="0" collapsed="false">
      <c r="B701" s="48" t="n">
        <v>45210.0474305556</v>
      </c>
      <c r="C701" s="4" t="n">
        <f aca="false">YEAR(B701)</f>
        <v>2023</v>
      </c>
      <c r="D701" s="49" t="s">
        <v>278</v>
      </c>
      <c r="E701" s="49" t="s">
        <v>1662</v>
      </c>
      <c r="F701" s="50" t="n">
        <v>4</v>
      </c>
      <c r="G701" s="49" t="s">
        <v>280</v>
      </c>
      <c r="H701" s="51" t="n">
        <v>0.777</v>
      </c>
      <c r="I701" s="51" t="n">
        <v>0.2093</v>
      </c>
      <c r="J701" s="51" t="n">
        <v>0.0137</v>
      </c>
      <c r="K701" s="49"/>
      <c r="L701" s="49"/>
      <c r="M701" s="49"/>
      <c r="N701" s="49"/>
      <c r="O701" s="49"/>
      <c r="P701" s="49"/>
      <c r="Q701" s="49"/>
      <c r="R701" s="49"/>
      <c r="S701" s="49" t="n">
        <v>0</v>
      </c>
      <c r="T701" s="49" t="n">
        <v>0</v>
      </c>
      <c r="U701" s="49" t="s">
        <v>1663</v>
      </c>
    </row>
    <row r="702" customFormat="false" ht="15" hidden="false" customHeight="false" outlineLevel="0" collapsed="false">
      <c r="B702" s="48" t="n">
        <v>45210.19375</v>
      </c>
      <c r="C702" s="4" t="n">
        <f aca="false">YEAR(B702)</f>
        <v>2023</v>
      </c>
      <c r="D702" s="49" t="s">
        <v>283</v>
      </c>
      <c r="E702" s="49" t="s">
        <v>1664</v>
      </c>
      <c r="F702" s="50" t="n">
        <v>1</v>
      </c>
      <c r="G702" s="49" t="s">
        <v>287</v>
      </c>
      <c r="H702" s="51" t="n">
        <v>0.0121</v>
      </c>
      <c r="I702" s="51" t="n">
        <v>0.0925</v>
      </c>
      <c r="J702" s="51" t="n">
        <v>0.8954</v>
      </c>
      <c r="K702" s="49"/>
      <c r="L702" s="49"/>
      <c r="M702" s="49"/>
      <c r="N702" s="49"/>
      <c r="O702" s="49"/>
      <c r="P702" s="49"/>
      <c r="Q702" s="49"/>
      <c r="R702" s="49" t="s">
        <v>281</v>
      </c>
      <c r="S702" s="49" t="n">
        <v>0</v>
      </c>
      <c r="T702" s="49" t="n">
        <v>0</v>
      </c>
      <c r="U702" s="49" t="s">
        <v>1665</v>
      </c>
    </row>
    <row r="703" customFormat="false" ht="15" hidden="false" customHeight="false" outlineLevel="0" collapsed="false">
      <c r="B703" s="48" t="n">
        <v>45211.5606597222</v>
      </c>
      <c r="C703" s="4" t="n">
        <f aca="false">YEAR(B703)</f>
        <v>2023</v>
      </c>
      <c r="D703" s="49" t="s">
        <v>283</v>
      </c>
      <c r="E703" s="49" t="s">
        <v>1666</v>
      </c>
      <c r="F703" s="50" t="n">
        <v>2</v>
      </c>
      <c r="G703" s="49" t="s">
        <v>290</v>
      </c>
      <c r="H703" s="51" t="n">
        <v>0.4173</v>
      </c>
      <c r="I703" s="51" t="n">
        <v>0.5259</v>
      </c>
      <c r="J703" s="51" t="n">
        <v>0.0569</v>
      </c>
      <c r="K703" s="49"/>
      <c r="L703" s="49"/>
      <c r="M703" s="49"/>
      <c r="N703" s="49"/>
      <c r="O703" s="49"/>
      <c r="P703" s="49"/>
      <c r="Q703" s="49"/>
      <c r="R703" s="49" t="s">
        <v>281</v>
      </c>
      <c r="S703" s="49" t="n">
        <v>0</v>
      </c>
      <c r="T703" s="49" t="n">
        <v>0</v>
      </c>
      <c r="U703" s="49" t="s">
        <v>1667</v>
      </c>
    </row>
    <row r="704" customFormat="false" ht="15" hidden="false" customHeight="false" outlineLevel="0" collapsed="false">
      <c r="B704" s="48" t="n">
        <v>45211.5911111111</v>
      </c>
      <c r="C704" s="4" t="n">
        <f aca="false">YEAR(B704)</f>
        <v>2023</v>
      </c>
      <c r="D704" s="49" t="s">
        <v>283</v>
      </c>
      <c r="E704" s="49" t="s">
        <v>1668</v>
      </c>
      <c r="F704" s="50" t="n">
        <v>2</v>
      </c>
      <c r="G704" s="49" t="s">
        <v>290</v>
      </c>
      <c r="H704" s="51" t="n">
        <v>0.1592</v>
      </c>
      <c r="I704" s="51" t="n">
        <v>0.6348</v>
      </c>
      <c r="J704" s="51" t="n">
        <v>0.206</v>
      </c>
      <c r="K704" s="49"/>
      <c r="L704" s="49"/>
      <c r="M704" s="49"/>
      <c r="N704" s="49"/>
      <c r="O704" s="49"/>
      <c r="P704" s="49"/>
      <c r="Q704" s="49"/>
      <c r="R704" s="49"/>
      <c r="S704" s="49" t="n">
        <v>0</v>
      </c>
      <c r="T704" s="49" t="n">
        <v>0</v>
      </c>
      <c r="U704" s="49" t="s">
        <v>1669</v>
      </c>
    </row>
    <row r="705" customFormat="false" ht="15" hidden="false" customHeight="false" outlineLevel="0" collapsed="false">
      <c r="B705" s="48" t="n">
        <v>45211.6044791667</v>
      </c>
      <c r="C705" s="4" t="n">
        <f aca="false">YEAR(B705)</f>
        <v>2023</v>
      </c>
      <c r="D705" s="49" t="s">
        <v>283</v>
      </c>
      <c r="E705" s="49" t="s">
        <v>1670</v>
      </c>
      <c r="F705" s="50" t="n">
        <v>5</v>
      </c>
      <c r="G705" s="49" t="s">
        <v>280</v>
      </c>
      <c r="H705" s="51" t="n">
        <v>0.7823</v>
      </c>
      <c r="I705" s="51" t="n">
        <v>0.2016</v>
      </c>
      <c r="J705" s="51" t="n">
        <v>0.016</v>
      </c>
      <c r="K705" s="49"/>
      <c r="L705" s="49"/>
      <c r="M705" s="49"/>
      <c r="N705" s="49"/>
      <c r="O705" s="49"/>
      <c r="P705" s="49"/>
      <c r="Q705" s="49"/>
      <c r="R705" s="49" t="s">
        <v>281</v>
      </c>
      <c r="S705" s="49" t="n">
        <v>0</v>
      </c>
      <c r="T705" s="49" t="n">
        <v>0</v>
      </c>
      <c r="U705" s="49" t="s">
        <v>1671</v>
      </c>
    </row>
    <row r="706" customFormat="false" ht="15" hidden="false" customHeight="false" outlineLevel="0" collapsed="false">
      <c r="B706" s="48" t="n">
        <v>45211.6407175926</v>
      </c>
      <c r="C706" s="4" t="n">
        <f aca="false">YEAR(B706)</f>
        <v>2023</v>
      </c>
      <c r="D706" s="49" t="s">
        <v>283</v>
      </c>
      <c r="E706" s="49" t="s">
        <v>1672</v>
      </c>
      <c r="F706" s="50" t="n">
        <v>1</v>
      </c>
      <c r="G706" s="49" t="s">
        <v>290</v>
      </c>
      <c r="H706" s="51" t="n">
        <v>0.0048</v>
      </c>
      <c r="I706" s="51" t="n">
        <v>0.5527</v>
      </c>
      <c r="J706" s="51" t="n">
        <v>0.4425</v>
      </c>
      <c r="K706" s="49"/>
      <c r="L706" s="49"/>
      <c r="M706" s="49"/>
      <c r="N706" s="49"/>
      <c r="O706" s="49"/>
      <c r="P706" s="49"/>
      <c r="Q706" s="49"/>
      <c r="R706" s="49"/>
      <c r="S706" s="49" t="n">
        <v>0</v>
      </c>
      <c r="T706" s="49" t="n">
        <v>0</v>
      </c>
      <c r="U706" s="49" t="s">
        <v>1673</v>
      </c>
    </row>
    <row r="707" customFormat="false" ht="15" hidden="false" customHeight="false" outlineLevel="0" collapsed="false">
      <c r="B707" s="48" t="n">
        <v>45211.7146180556</v>
      </c>
      <c r="C707" s="4" t="n">
        <f aca="false">YEAR(B707)</f>
        <v>2023</v>
      </c>
      <c r="D707" s="49" t="s">
        <v>278</v>
      </c>
      <c r="E707" s="49" t="s">
        <v>1674</v>
      </c>
      <c r="F707" s="50" t="n">
        <v>1</v>
      </c>
      <c r="G707" s="49" t="s">
        <v>290</v>
      </c>
      <c r="H707" s="51" t="n">
        <v>0.0548</v>
      </c>
      <c r="I707" s="51" t="n">
        <v>0.9024</v>
      </c>
      <c r="J707" s="51" t="n">
        <v>0.0428</v>
      </c>
      <c r="K707" s="49"/>
      <c r="L707" s="49"/>
      <c r="M707" s="49"/>
      <c r="N707" s="49"/>
      <c r="O707" s="49"/>
      <c r="P707" s="49"/>
      <c r="Q707" s="49"/>
      <c r="R707" s="49" t="s">
        <v>281</v>
      </c>
      <c r="S707" s="49" t="n">
        <v>1</v>
      </c>
      <c r="T707" s="49" t="n">
        <v>0</v>
      </c>
      <c r="U707" s="49" t="s">
        <v>1675</v>
      </c>
    </row>
    <row r="708" customFormat="false" ht="15" hidden="false" customHeight="false" outlineLevel="0" collapsed="false">
      <c r="B708" s="48" t="n">
        <v>45211.8528587963</v>
      </c>
      <c r="C708" s="4" t="n">
        <f aca="false">YEAR(B708)</f>
        <v>2023</v>
      </c>
      <c r="D708" s="49" t="s">
        <v>283</v>
      </c>
      <c r="E708" s="49" t="s">
        <v>1676</v>
      </c>
      <c r="F708" s="50" t="n">
        <v>3</v>
      </c>
      <c r="G708" s="49" t="s">
        <v>287</v>
      </c>
      <c r="H708" s="51" t="n">
        <v>0.0034</v>
      </c>
      <c r="I708" s="51" t="n">
        <v>0.0352</v>
      </c>
      <c r="J708" s="51" t="n">
        <v>0.9614</v>
      </c>
      <c r="K708" s="49"/>
      <c r="L708" s="49"/>
      <c r="M708" s="49"/>
      <c r="N708" s="49"/>
      <c r="O708" s="49"/>
      <c r="P708" s="49"/>
      <c r="Q708" s="49"/>
      <c r="R708" s="49"/>
      <c r="S708" s="49" t="n">
        <v>0</v>
      </c>
      <c r="T708" s="49" t="n">
        <v>0</v>
      </c>
      <c r="U708" s="49" t="s">
        <v>1677</v>
      </c>
    </row>
    <row r="709" customFormat="false" ht="15" hidden="false" customHeight="false" outlineLevel="0" collapsed="false">
      <c r="B709" s="48" t="n">
        <v>45211.9980439815</v>
      </c>
      <c r="C709" s="4" t="n">
        <f aca="false">YEAR(B709)</f>
        <v>2023</v>
      </c>
      <c r="D709" s="49" t="s">
        <v>283</v>
      </c>
      <c r="E709" s="49" t="s">
        <v>1678</v>
      </c>
      <c r="F709" s="50" t="n">
        <v>2</v>
      </c>
      <c r="G709" s="49" t="s">
        <v>280</v>
      </c>
      <c r="H709" s="51" t="n">
        <v>0.6561</v>
      </c>
      <c r="I709" s="51" t="n">
        <v>0.3106</v>
      </c>
      <c r="J709" s="51" t="n">
        <v>0.0333</v>
      </c>
      <c r="K709" s="49" t="s">
        <v>281</v>
      </c>
      <c r="L709" s="49"/>
      <c r="M709" s="49"/>
      <c r="N709" s="49"/>
      <c r="O709" s="49"/>
      <c r="P709" s="49"/>
      <c r="Q709" s="49"/>
      <c r="R709" s="49" t="s">
        <v>281</v>
      </c>
      <c r="S709" s="49" t="n">
        <v>0</v>
      </c>
      <c r="T709" s="49" t="n">
        <v>0</v>
      </c>
      <c r="U709" s="49" t="s">
        <v>1679</v>
      </c>
    </row>
    <row r="710" customFormat="false" ht="15" hidden="false" customHeight="false" outlineLevel="0" collapsed="false">
      <c r="B710" s="48" t="n">
        <v>45213.6218865741</v>
      </c>
      <c r="C710" s="4" t="n">
        <f aca="false">YEAR(B710)</f>
        <v>2023</v>
      </c>
      <c r="D710" s="49" t="s">
        <v>283</v>
      </c>
      <c r="E710" s="49" t="s">
        <v>1680</v>
      </c>
      <c r="F710" s="50" t="n">
        <v>1</v>
      </c>
      <c r="G710" s="49" t="s">
        <v>290</v>
      </c>
      <c r="H710" s="51" t="n">
        <v>0.0276</v>
      </c>
      <c r="I710" s="51" t="n">
        <v>0.9284</v>
      </c>
      <c r="J710" s="51" t="n">
        <v>0.044</v>
      </c>
      <c r="K710" s="49"/>
      <c r="L710" s="49"/>
      <c r="M710" s="49"/>
      <c r="N710" s="49"/>
      <c r="O710" s="49"/>
      <c r="P710" s="49"/>
      <c r="Q710" s="49"/>
      <c r="R710" s="49"/>
      <c r="S710" s="49" t="n">
        <v>1</v>
      </c>
      <c r="T710" s="49" t="n">
        <v>0</v>
      </c>
      <c r="U710" s="49" t="s">
        <v>1681</v>
      </c>
    </row>
    <row r="711" customFormat="false" ht="15" hidden="false" customHeight="false" outlineLevel="0" collapsed="false">
      <c r="B711" s="48" t="n">
        <v>45214.4377662037</v>
      </c>
      <c r="C711" s="4" t="n">
        <f aca="false">YEAR(B711)</f>
        <v>2023</v>
      </c>
      <c r="D711" s="49" t="s">
        <v>278</v>
      </c>
      <c r="E711" s="49" t="s">
        <v>1682</v>
      </c>
      <c r="F711" s="50" t="n">
        <v>0</v>
      </c>
      <c r="G711" s="49" t="s">
        <v>280</v>
      </c>
      <c r="H711" s="51" t="n">
        <v>0.8426</v>
      </c>
      <c r="I711" s="51" t="n">
        <v>0.1445</v>
      </c>
      <c r="J711" s="51" t="n">
        <v>0.0128</v>
      </c>
      <c r="K711" s="49" t="s">
        <v>281</v>
      </c>
      <c r="L711" s="49"/>
      <c r="M711" s="49"/>
      <c r="N711" s="49"/>
      <c r="O711" s="49"/>
      <c r="P711" s="49"/>
      <c r="Q711" s="49"/>
      <c r="R711" s="49"/>
      <c r="S711" s="49" t="n">
        <v>0</v>
      </c>
      <c r="T711" s="49" t="n">
        <v>0</v>
      </c>
      <c r="U711" s="49" t="s">
        <v>1683</v>
      </c>
    </row>
    <row r="712" customFormat="false" ht="15" hidden="false" customHeight="false" outlineLevel="0" collapsed="false">
      <c r="B712" s="48" t="n">
        <v>45214.8303819444</v>
      </c>
      <c r="C712" s="4" t="n">
        <f aca="false">YEAR(B712)</f>
        <v>2023</v>
      </c>
      <c r="D712" s="49" t="s">
        <v>283</v>
      </c>
      <c r="E712" s="49" t="s">
        <v>1684</v>
      </c>
      <c r="F712" s="50" t="n">
        <v>146</v>
      </c>
      <c r="G712" s="49" t="s">
        <v>290</v>
      </c>
      <c r="H712" s="51" t="n">
        <v>0.1268</v>
      </c>
      <c r="I712" s="51" t="n">
        <v>0.6503</v>
      </c>
      <c r="J712" s="51" t="n">
        <v>0.2228</v>
      </c>
      <c r="K712" s="49"/>
      <c r="L712" s="49"/>
      <c r="M712" s="49"/>
      <c r="N712" s="49"/>
      <c r="O712" s="49"/>
      <c r="P712" s="49"/>
      <c r="Q712" s="49"/>
      <c r="R712" s="49"/>
      <c r="S712" s="49" t="n">
        <v>0</v>
      </c>
      <c r="T712" s="49" t="n">
        <v>0</v>
      </c>
      <c r="U712" s="49" t="s">
        <v>1685</v>
      </c>
    </row>
    <row r="713" customFormat="false" ht="15" hidden="false" customHeight="false" outlineLevel="0" collapsed="false">
      <c r="B713" s="48" t="n">
        <v>45215.675</v>
      </c>
      <c r="C713" s="4" t="n">
        <f aca="false">YEAR(B713)</f>
        <v>2023</v>
      </c>
      <c r="D713" s="49" t="s">
        <v>283</v>
      </c>
      <c r="E713" s="49" t="s">
        <v>1686</v>
      </c>
      <c r="F713" s="50" t="n">
        <v>2</v>
      </c>
      <c r="G713" s="49" t="s">
        <v>280</v>
      </c>
      <c r="H713" s="51" t="n">
        <v>0.829</v>
      </c>
      <c r="I713" s="51" t="n">
        <v>0.1612</v>
      </c>
      <c r="J713" s="51" t="n">
        <v>0.0098</v>
      </c>
      <c r="K713" s="49"/>
      <c r="L713" s="49"/>
      <c r="M713" s="49"/>
      <c r="N713" s="49"/>
      <c r="O713" s="49"/>
      <c r="P713" s="49"/>
      <c r="Q713" s="49" t="s">
        <v>281</v>
      </c>
      <c r="R713" s="49"/>
      <c r="S713" s="49" t="n">
        <v>0</v>
      </c>
      <c r="T713" s="49" t="n">
        <v>0</v>
      </c>
      <c r="U713" s="49" t="s">
        <v>1687</v>
      </c>
    </row>
    <row r="714" customFormat="false" ht="15" hidden="false" customHeight="false" outlineLevel="0" collapsed="false">
      <c r="B714" s="48" t="n">
        <v>45215.7056828704</v>
      </c>
      <c r="C714" s="4" t="n">
        <f aca="false">YEAR(B714)</f>
        <v>2023</v>
      </c>
      <c r="D714" s="49" t="s">
        <v>283</v>
      </c>
      <c r="E714" s="49" t="s">
        <v>1688</v>
      </c>
      <c r="F714" s="50" t="n">
        <v>1</v>
      </c>
      <c r="G714" s="49" t="s">
        <v>290</v>
      </c>
      <c r="H714" s="51" t="n">
        <v>0.0244</v>
      </c>
      <c r="I714" s="51" t="n">
        <v>0.7021</v>
      </c>
      <c r="J714" s="51" t="n">
        <v>0.2735</v>
      </c>
      <c r="K714" s="49"/>
      <c r="L714" s="49"/>
      <c r="M714" s="49"/>
      <c r="N714" s="49"/>
      <c r="O714" s="49"/>
      <c r="P714" s="49"/>
      <c r="Q714" s="49"/>
      <c r="R714" s="49"/>
      <c r="S714" s="49" t="n">
        <v>1</v>
      </c>
      <c r="T714" s="49" t="n">
        <v>0</v>
      </c>
      <c r="U714" s="49" t="s">
        <v>1689</v>
      </c>
    </row>
    <row r="715" customFormat="false" ht="15" hidden="false" customHeight="false" outlineLevel="0" collapsed="false">
      <c r="B715" s="48" t="n">
        <v>45215.8935648148</v>
      </c>
      <c r="C715" s="4" t="n">
        <f aca="false">YEAR(B715)</f>
        <v>2023</v>
      </c>
      <c r="D715" s="49" t="s">
        <v>278</v>
      </c>
      <c r="E715" s="49" t="s">
        <v>1690</v>
      </c>
      <c r="F715" s="50" t="n">
        <v>9</v>
      </c>
      <c r="G715" s="49" t="s">
        <v>290</v>
      </c>
      <c r="H715" s="51" t="n">
        <v>0.46</v>
      </c>
      <c r="I715" s="51" t="n">
        <v>0.4948</v>
      </c>
      <c r="J715" s="51" t="n">
        <v>0.0452</v>
      </c>
      <c r="K715" s="49"/>
      <c r="L715" s="49"/>
      <c r="M715" s="49"/>
      <c r="N715" s="49"/>
      <c r="O715" s="49"/>
      <c r="P715" s="49"/>
      <c r="Q715" s="49" t="s">
        <v>281</v>
      </c>
      <c r="R715" s="49"/>
      <c r="S715" s="49" t="n">
        <v>0</v>
      </c>
      <c r="T715" s="49" t="n">
        <v>0</v>
      </c>
      <c r="U715" s="49" t="s">
        <v>1691</v>
      </c>
    </row>
    <row r="716" customFormat="false" ht="15" hidden="false" customHeight="false" outlineLevel="0" collapsed="false">
      <c r="B716" s="48" t="n">
        <v>45215.9726736111</v>
      </c>
      <c r="C716" s="4" t="n">
        <f aca="false">YEAR(B716)</f>
        <v>2023</v>
      </c>
      <c r="D716" s="49" t="s">
        <v>283</v>
      </c>
      <c r="E716" s="49" t="s">
        <v>1692</v>
      </c>
      <c r="F716" s="50" t="n">
        <v>1</v>
      </c>
      <c r="G716" s="49" t="s">
        <v>287</v>
      </c>
      <c r="H716" s="51" t="n">
        <v>0.0021</v>
      </c>
      <c r="I716" s="51" t="n">
        <v>0.1562</v>
      </c>
      <c r="J716" s="51" t="n">
        <v>0.8417</v>
      </c>
      <c r="K716" s="49"/>
      <c r="L716" s="49"/>
      <c r="M716" s="49"/>
      <c r="N716" s="49"/>
      <c r="O716" s="49"/>
      <c r="P716" s="49"/>
      <c r="Q716" s="49" t="s">
        <v>281</v>
      </c>
      <c r="R716" s="49"/>
      <c r="S716" s="49" t="n">
        <v>1</v>
      </c>
      <c r="T716" s="49" t="n">
        <v>0</v>
      </c>
      <c r="U716" s="49" t="s">
        <v>1693</v>
      </c>
    </row>
    <row r="717" customFormat="false" ht="15" hidden="false" customHeight="false" outlineLevel="0" collapsed="false">
      <c r="B717" s="48" t="n">
        <v>45215.9821643519</v>
      </c>
      <c r="C717" s="4" t="n">
        <f aca="false">YEAR(B717)</f>
        <v>2023</v>
      </c>
      <c r="D717" s="49" t="s">
        <v>283</v>
      </c>
      <c r="E717" s="49" t="s">
        <v>1694</v>
      </c>
      <c r="F717" s="50" t="n">
        <v>1</v>
      </c>
      <c r="G717" s="49" t="s">
        <v>287</v>
      </c>
      <c r="H717" s="51" t="n">
        <v>0.0044</v>
      </c>
      <c r="I717" s="51" t="n">
        <v>0.3258</v>
      </c>
      <c r="J717" s="51" t="n">
        <v>0.6698</v>
      </c>
      <c r="K717" s="49"/>
      <c r="L717" s="49"/>
      <c r="M717" s="49"/>
      <c r="N717" s="49"/>
      <c r="O717" s="49"/>
      <c r="P717" s="49"/>
      <c r="Q717" s="49" t="s">
        <v>281</v>
      </c>
      <c r="R717" s="49"/>
      <c r="S717" s="49" t="n">
        <v>1</v>
      </c>
      <c r="T717" s="49" t="n">
        <v>0</v>
      </c>
      <c r="U717" s="49" t="s">
        <v>1695</v>
      </c>
    </row>
    <row r="718" customFormat="false" ht="15" hidden="false" customHeight="false" outlineLevel="0" collapsed="false">
      <c r="B718" s="48" t="n">
        <v>45216.0345717593</v>
      </c>
      <c r="C718" s="4" t="n">
        <f aca="false">YEAR(B718)</f>
        <v>2023</v>
      </c>
      <c r="D718" s="49" t="s">
        <v>283</v>
      </c>
      <c r="E718" s="49" t="s">
        <v>1696</v>
      </c>
      <c r="F718" s="50" t="n">
        <v>0</v>
      </c>
      <c r="G718" s="49" t="s">
        <v>280</v>
      </c>
      <c r="H718" s="51" t="n">
        <v>0.9012</v>
      </c>
      <c r="I718" s="51" t="n">
        <v>0.0906</v>
      </c>
      <c r="J718" s="51" t="n">
        <v>0.0083</v>
      </c>
      <c r="K718" s="49"/>
      <c r="L718" s="49"/>
      <c r="M718" s="49"/>
      <c r="N718" s="49"/>
      <c r="O718" s="49"/>
      <c r="P718" s="49"/>
      <c r="Q718" s="49"/>
      <c r="R718" s="49" t="s">
        <v>281</v>
      </c>
      <c r="S718" s="49" t="n">
        <v>0</v>
      </c>
      <c r="T718" s="49" t="n">
        <v>0</v>
      </c>
      <c r="U718" s="49" t="s">
        <v>1697</v>
      </c>
    </row>
    <row r="719" customFormat="false" ht="15" hidden="false" customHeight="false" outlineLevel="0" collapsed="false">
      <c r="B719" s="48" t="n">
        <v>45216.4251388889</v>
      </c>
      <c r="C719" s="4" t="n">
        <f aca="false">YEAR(B719)</f>
        <v>2023</v>
      </c>
      <c r="D719" s="49" t="s">
        <v>283</v>
      </c>
      <c r="E719" s="49" t="s">
        <v>1698</v>
      </c>
      <c r="F719" s="50" t="n">
        <v>1</v>
      </c>
      <c r="G719" s="49" t="s">
        <v>280</v>
      </c>
      <c r="H719" s="51" t="n">
        <v>0.63</v>
      </c>
      <c r="I719" s="51" t="n">
        <v>0.3497</v>
      </c>
      <c r="J719" s="51" t="n">
        <v>0.0203</v>
      </c>
      <c r="K719" s="49"/>
      <c r="L719" s="49"/>
      <c r="M719" s="49"/>
      <c r="N719" s="49"/>
      <c r="O719" s="49"/>
      <c r="P719" s="49"/>
      <c r="Q719" s="49"/>
      <c r="R719" s="49"/>
      <c r="S719" s="49" t="n">
        <v>1</v>
      </c>
      <c r="T719" s="49" t="n">
        <v>0</v>
      </c>
      <c r="U719" s="49" t="s">
        <v>1699</v>
      </c>
    </row>
    <row r="720" customFormat="false" ht="15" hidden="false" customHeight="false" outlineLevel="0" collapsed="false">
      <c r="B720" s="48" t="n">
        <v>45216.8534722222</v>
      </c>
      <c r="C720" s="4" t="n">
        <f aca="false">YEAR(B720)</f>
        <v>2023</v>
      </c>
      <c r="D720" s="49" t="s">
        <v>283</v>
      </c>
      <c r="E720" s="49" t="s">
        <v>1700</v>
      </c>
      <c r="F720" s="50" t="n">
        <v>1</v>
      </c>
      <c r="G720" s="49" t="s">
        <v>290</v>
      </c>
      <c r="H720" s="51" t="n">
        <v>0.2343</v>
      </c>
      <c r="I720" s="51" t="n">
        <v>0.4633</v>
      </c>
      <c r="J720" s="51" t="n">
        <v>0.3024</v>
      </c>
      <c r="K720" s="49"/>
      <c r="L720" s="49"/>
      <c r="M720" s="49"/>
      <c r="N720" s="49"/>
      <c r="O720" s="49"/>
      <c r="P720" s="49"/>
      <c r="Q720" s="49"/>
      <c r="R720" s="49" t="s">
        <v>281</v>
      </c>
      <c r="S720" s="49" t="n">
        <v>0</v>
      </c>
      <c r="T720" s="49" t="n">
        <v>0</v>
      </c>
      <c r="U720" s="49" t="s">
        <v>1701</v>
      </c>
    </row>
    <row r="721" customFormat="false" ht="15" hidden="false" customHeight="false" outlineLevel="0" collapsed="false">
      <c r="B721" s="48" t="n">
        <v>45217.2686574074</v>
      </c>
      <c r="C721" s="4" t="n">
        <f aca="false">YEAR(B721)</f>
        <v>2023</v>
      </c>
      <c r="D721" s="49" t="s">
        <v>283</v>
      </c>
      <c r="E721" s="49" t="s">
        <v>1702</v>
      </c>
      <c r="F721" s="50" t="n">
        <v>1</v>
      </c>
      <c r="G721" s="49" t="s">
        <v>290</v>
      </c>
      <c r="H721" s="51" t="n">
        <v>0.009</v>
      </c>
      <c r="I721" s="51" t="n">
        <v>0.8773</v>
      </c>
      <c r="J721" s="51" t="n">
        <v>0.1137</v>
      </c>
      <c r="K721" s="49"/>
      <c r="L721" s="49"/>
      <c r="M721" s="49"/>
      <c r="N721" s="49"/>
      <c r="O721" s="49"/>
      <c r="P721" s="49"/>
      <c r="Q721" s="49"/>
      <c r="R721" s="49"/>
      <c r="S721" s="49" t="n">
        <v>1</v>
      </c>
      <c r="T721" s="49" t="n">
        <v>0</v>
      </c>
      <c r="U721" s="49" t="s">
        <v>1703</v>
      </c>
    </row>
    <row r="722" customFormat="false" ht="15" hidden="false" customHeight="false" outlineLevel="0" collapsed="false">
      <c r="B722" s="48" t="n">
        <v>45217.3469328704</v>
      </c>
      <c r="C722" s="4" t="n">
        <f aca="false">YEAR(B722)</f>
        <v>2023</v>
      </c>
      <c r="D722" s="49" t="s">
        <v>283</v>
      </c>
      <c r="E722" s="49" t="s">
        <v>1704</v>
      </c>
      <c r="F722" s="50" t="n">
        <v>1</v>
      </c>
      <c r="G722" s="49" t="s">
        <v>287</v>
      </c>
      <c r="H722" s="51" t="n">
        <v>0.003</v>
      </c>
      <c r="I722" s="51" t="n">
        <v>0.0992</v>
      </c>
      <c r="J722" s="51" t="n">
        <v>0.8978</v>
      </c>
      <c r="K722" s="49"/>
      <c r="L722" s="49"/>
      <c r="M722" s="49"/>
      <c r="N722" s="49"/>
      <c r="O722" s="49"/>
      <c r="P722" s="49"/>
      <c r="Q722" s="49"/>
      <c r="R722" s="49"/>
      <c r="S722" s="49" t="n">
        <v>0</v>
      </c>
      <c r="T722" s="49" t="n">
        <v>0</v>
      </c>
      <c r="U722" s="49" t="s">
        <v>1705</v>
      </c>
    </row>
    <row r="723" customFormat="false" ht="15" hidden="false" customHeight="false" outlineLevel="0" collapsed="false">
      <c r="B723" s="48" t="n">
        <v>45217.5334259259</v>
      </c>
      <c r="C723" s="4" t="n">
        <f aca="false">YEAR(B723)</f>
        <v>2023</v>
      </c>
      <c r="D723" s="49" t="s">
        <v>283</v>
      </c>
      <c r="E723" s="49" t="s">
        <v>1706</v>
      </c>
      <c r="F723" s="50" t="n">
        <v>1</v>
      </c>
      <c r="G723" s="49" t="s">
        <v>287</v>
      </c>
      <c r="H723" s="51" t="n">
        <v>0.0041</v>
      </c>
      <c r="I723" s="51" t="n">
        <v>0.1085</v>
      </c>
      <c r="J723" s="51" t="n">
        <v>0.8875</v>
      </c>
      <c r="K723" s="49"/>
      <c r="L723" s="49"/>
      <c r="M723" s="49"/>
      <c r="N723" s="49"/>
      <c r="O723" s="49"/>
      <c r="P723" s="49"/>
      <c r="Q723" s="49"/>
      <c r="R723" s="49"/>
      <c r="S723" s="49" t="n">
        <v>1</v>
      </c>
      <c r="T723" s="49" t="n">
        <v>0</v>
      </c>
      <c r="U723" s="49" t="s">
        <v>1707</v>
      </c>
    </row>
    <row r="724" customFormat="false" ht="15" hidden="false" customHeight="false" outlineLevel="0" collapsed="false">
      <c r="B724" s="48" t="n">
        <v>45217.7131712963</v>
      </c>
      <c r="C724" s="4" t="n">
        <f aca="false">YEAR(B724)</f>
        <v>2023</v>
      </c>
      <c r="D724" s="49" t="s">
        <v>283</v>
      </c>
      <c r="E724" s="49" t="s">
        <v>1708</v>
      </c>
      <c r="F724" s="50" t="n">
        <v>2</v>
      </c>
      <c r="G724" s="49" t="s">
        <v>280</v>
      </c>
      <c r="H724" s="51" t="n">
        <v>0.5001</v>
      </c>
      <c r="I724" s="51" t="n">
        <v>0.4834</v>
      </c>
      <c r="J724" s="51" t="n">
        <v>0.0165</v>
      </c>
      <c r="K724" s="49" t="s">
        <v>281</v>
      </c>
      <c r="L724" s="49"/>
      <c r="M724" s="49"/>
      <c r="N724" s="49"/>
      <c r="O724" s="49"/>
      <c r="P724" s="49"/>
      <c r="Q724" s="49"/>
      <c r="R724" s="49"/>
      <c r="S724" s="49" t="n">
        <v>0</v>
      </c>
      <c r="T724" s="49" t="n">
        <v>0</v>
      </c>
      <c r="U724" s="49" t="s">
        <v>1709</v>
      </c>
    </row>
    <row r="725" customFormat="false" ht="15" hidden="false" customHeight="false" outlineLevel="0" collapsed="false">
      <c r="B725" s="48" t="n">
        <v>45217.8511689815</v>
      </c>
      <c r="C725" s="4" t="n">
        <f aca="false">YEAR(B725)</f>
        <v>2023</v>
      </c>
      <c r="D725" s="49" t="s">
        <v>283</v>
      </c>
      <c r="E725" s="49" t="s">
        <v>1710</v>
      </c>
      <c r="F725" s="50" t="n">
        <v>1</v>
      </c>
      <c r="G725" s="49" t="s">
        <v>290</v>
      </c>
      <c r="H725" s="51" t="n">
        <v>0.0065</v>
      </c>
      <c r="I725" s="51" t="n">
        <v>0.85</v>
      </c>
      <c r="J725" s="51" t="n">
        <v>0.1434</v>
      </c>
      <c r="K725" s="49"/>
      <c r="L725" s="49"/>
      <c r="M725" s="49"/>
      <c r="N725" s="49"/>
      <c r="O725" s="49"/>
      <c r="P725" s="49"/>
      <c r="Q725" s="49" t="s">
        <v>281</v>
      </c>
      <c r="R725" s="49"/>
      <c r="S725" s="49" t="n">
        <v>1</v>
      </c>
      <c r="T725" s="49" t="n">
        <v>0</v>
      </c>
      <c r="U725" s="49" t="s">
        <v>1711</v>
      </c>
    </row>
    <row r="726" customFormat="false" ht="15" hidden="false" customHeight="false" outlineLevel="0" collapsed="false">
      <c r="B726" s="48" t="n">
        <v>45218.024375</v>
      </c>
      <c r="C726" s="4" t="n">
        <f aca="false">YEAR(B726)</f>
        <v>2023</v>
      </c>
      <c r="D726" s="49" t="s">
        <v>283</v>
      </c>
      <c r="E726" s="49" t="s">
        <v>1712</v>
      </c>
      <c r="F726" s="50" t="n">
        <v>2</v>
      </c>
      <c r="G726" s="49" t="s">
        <v>280</v>
      </c>
      <c r="H726" s="51" t="n">
        <v>0.8796</v>
      </c>
      <c r="I726" s="51" t="n">
        <v>0.1131</v>
      </c>
      <c r="J726" s="51" t="n">
        <v>0.0073</v>
      </c>
      <c r="K726" s="49"/>
      <c r="L726" s="49"/>
      <c r="M726" s="49"/>
      <c r="N726" s="49"/>
      <c r="O726" s="49"/>
      <c r="P726" s="49"/>
      <c r="Q726" s="49"/>
      <c r="R726" s="49"/>
      <c r="S726" s="49" t="n">
        <v>0</v>
      </c>
      <c r="T726" s="49" t="n">
        <v>0</v>
      </c>
      <c r="U726" s="49" t="s">
        <v>1713</v>
      </c>
    </row>
    <row r="727" customFormat="false" ht="15" hidden="false" customHeight="false" outlineLevel="0" collapsed="false">
      <c r="B727" s="48" t="n">
        <v>45218.5524652778</v>
      </c>
      <c r="C727" s="4" t="n">
        <f aca="false">YEAR(B727)</f>
        <v>2023</v>
      </c>
      <c r="D727" s="49" t="s">
        <v>283</v>
      </c>
      <c r="E727" s="49" t="s">
        <v>1714</v>
      </c>
      <c r="F727" s="50" t="n">
        <v>1</v>
      </c>
      <c r="G727" s="49" t="s">
        <v>287</v>
      </c>
      <c r="H727" s="51" t="n">
        <v>0.0076</v>
      </c>
      <c r="I727" s="51" t="n">
        <v>0.3945</v>
      </c>
      <c r="J727" s="51" t="n">
        <v>0.5978</v>
      </c>
      <c r="K727" s="49"/>
      <c r="L727" s="49"/>
      <c r="M727" s="49"/>
      <c r="N727" s="49"/>
      <c r="O727" s="49"/>
      <c r="P727" s="49"/>
      <c r="Q727" s="49"/>
      <c r="R727" s="49"/>
      <c r="S727" s="49" t="n">
        <v>0</v>
      </c>
      <c r="T727" s="49" t="n">
        <v>0</v>
      </c>
      <c r="U727" s="49" t="s">
        <v>1715</v>
      </c>
    </row>
    <row r="728" customFormat="false" ht="15" hidden="false" customHeight="false" outlineLevel="0" collapsed="false">
      <c r="B728" s="48" t="n">
        <v>45218.7213425926</v>
      </c>
      <c r="C728" s="4" t="n">
        <f aca="false">YEAR(B728)</f>
        <v>2023</v>
      </c>
      <c r="D728" s="49" t="s">
        <v>278</v>
      </c>
      <c r="E728" s="49" t="s">
        <v>1716</v>
      </c>
      <c r="F728" s="50" t="n">
        <v>7</v>
      </c>
      <c r="G728" s="49" t="s">
        <v>280</v>
      </c>
      <c r="H728" s="51" t="n">
        <v>0.9032</v>
      </c>
      <c r="I728" s="51" t="n">
        <v>0.0877</v>
      </c>
      <c r="J728" s="51" t="n">
        <v>0.0091</v>
      </c>
      <c r="K728" s="49"/>
      <c r="L728" s="49"/>
      <c r="M728" s="49"/>
      <c r="N728" s="49"/>
      <c r="O728" s="49"/>
      <c r="P728" s="49"/>
      <c r="Q728" s="49"/>
      <c r="R728" s="49" t="s">
        <v>281</v>
      </c>
      <c r="S728" s="49" t="n">
        <v>0</v>
      </c>
      <c r="T728" s="49" t="n">
        <v>0</v>
      </c>
      <c r="U728" s="49" t="s">
        <v>1717</v>
      </c>
    </row>
    <row r="729" customFormat="false" ht="15" hidden="false" customHeight="false" outlineLevel="0" collapsed="false">
      <c r="B729" s="48" t="n">
        <v>45218.7599537037</v>
      </c>
      <c r="C729" s="4" t="n">
        <f aca="false">YEAR(B729)</f>
        <v>2023</v>
      </c>
      <c r="D729" s="49" t="s">
        <v>283</v>
      </c>
      <c r="E729" s="49" t="s">
        <v>1718</v>
      </c>
      <c r="F729" s="50" t="n">
        <v>10</v>
      </c>
      <c r="G729" s="49" t="s">
        <v>287</v>
      </c>
      <c r="H729" s="51" t="n">
        <v>0.0041</v>
      </c>
      <c r="I729" s="51" t="n">
        <v>0.101</v>
      </c>
      <c r="J729" s="51" t="n">
        <v>0.8949</v>
      </c>
      <c r="K729" s="49"/>
      <c r="L729" s="49"/>
      <c r="M729" s="49"/>
      <c r="N729" s="49"/>
      <c r="O729" s="49"/>
      <c r="P729" s="49"/>
      <c r="Q729" s="49"/>
      <c r="R729" s="49"/>
      <c r="S729" s="49" t="n">
        <v>0</v>
      </c>
      <c r="T729" s="49" t="n">
        <v>0</v>
      </c>
      <c r="U729" s="49" t="s">
        <v>1719</v>
      </c>
    </row>
    <row r="730" customFormat="false" ht="15" hidden="false" customHeight="false" outlineLevel="0" collapsed="false">
      <c r="B730" s="48" t="n">
        <v>45218.8138541667</v>
      </c>
      <c r="C730" s="4" t="n">
        <f aca="false">YEAR(B730)</f>
        <v>2023</v>
      </c>
      <c r="D730" s="49" t="s">
        <v>283</v>
      </c>
      <c r="E730" s="49" t="s">
        <v>1720</v>
      </c>
      <c r="F730" s="50" t="n">
        <v>1</v>
      </c>
      <c r="G730" s="49" t="s">
        <v>290</v>
      </c>
      <c r="H730" s="51" t="n">
        <v>0.3692</v>
      </c>
      <c r="I730" s="51" t="n">
        <v>0.6027</v>
      </c>
      <c r="J730" s="51" t="n">
        <v>0.028</v>
      </c>
      <c r="K730" s="49"/>
      <c r="L730" s="49"/>
      <c r="M730" s="49"/>
      <c r="N730" s="49"/>
      <c r="O730" s="49"/>
      <c r="P730" s="49"/>
      <c r="Q730" s="49"/>
      <c r="R730" s="49"/>
      <c r="S730" s="49" t="n">
        <v>0</v>
      </c>
      <c r="T730" s="49" t="n">
        <v>0</v>
      </c>
      <c r="U730" s="49" t="s">
        <v>1721</v>
      </c>
    </row>
    <row r="731" customFormat="false" ht="15" hidden="false" customHeight="false" outlineLevel="0" collapsed="false">
      <c r="B731" s="48" t="n">
        <v>45218.8928819444</v>
      </c>
      <c r="C731" s="4" t="n">
        <f aca="false">YEAR(B731)</f>
        <v>2023</v>
      </c>
      <c r="D731" s="49" t="s">
        <v>278</v>
      </c>
      <c r="E731" s="49" t="s">
        <v>1722</v>
      </c>
      <c r="F731" s="50" t="n">
        <v>45</v>
      </c>
      <c r="G731" s="49" t="s">
        <v>280</v>
      </c>
      <c r="H731" s="51" t="n">
        <v>0.8405</v>
      </c>
      <c r="I731" s="51" t="n">
        <v>0.1503</v>
      </c>
      <c r="J731" s="51" t="n">
        <v>0.0092</v>
      </c>
      <c r="K731" s="49"/>
      <c r="L731" s="49"/>
      <c r="M731" s="49"/>
      <c r="N731" s="49"/>
      <c r="O731" s="49"/>
      <c r="P731" s="49"/>
      <c r="Q731" s="49"/>
      <c r="R731" s="49"/>
      <c r="S731" s="49" t="n">
        <v>0</v>
      </c>
      <c r="T731" s="49" t="n">
        <v>0</v>
      </c>
      <c r="U731" s="49" t="s">
        <v>1723</v>
      </c>
    </row>
    <row r="732" customFormat="false" ht="15" hidden="false" customHeight="false" outlineLevel="0" collapsed="false">
      <c r="B732" s="48" t="n">
        <v>45219.337025463</v>
      </c>
      <c r="C732" s="4" t="n">
        <f aca="false">YEAR(B732)</f>
        <v>2023</v>
      </c>
      <c r="D732" s="49" t="s">
        <v>283</v>
      </c>
      <c r="E732" s="49" t="s">
        <v>1724</v>
      </c>
      <c r="F732" s="50" t="n">
        <v>1</v>
      </c>
      <c r="G732" s="49" t="s">
        <v>290</v>
      </c>
      <c r="H732" s="51" t="n">
        <v>0.3628</v>
      </c>
      <c r="I732" s="51" t="n">
        <v>0.6077</v>
      </c>
      <c r="J732" s="51" t="n">
        <v>0.0294</v>
      </c>
      <c r="K732" s="49"/>
      <c r="L732" s="49"/>
      <c r="M732" s="49"/>
      <c r="N732" s="49"/>
      <c r="O732" s="49"/>
      <c r="P732" s="49"/>
      <c r="Q732" s="49"/>
      <c r="R732" s="49"/>
      <c r="S732" s="49" t="n">
        <v>1</v>
      </c>
      <c r="T732" s="49" t="n">
        <v>0</v>
      </c>
      <c r="U732" s="49" t="s">
        <v>1725</v>
      </c>
    </row>
    <row r="733" customFormat="false" ht="15" hidden="false" customHeight="false" outlineLevel="0" collapsed="false">
      <c r="B733" s="48" t="n">
        <v>45219.4492476852</v>
      </c>
      <c r="C733" s="4" t="n">
        <f aca="false">YEAR(B733)</f>
        <v>2023</v>
      </c>
      <c r="D733" s="49" t="s">
        <v>283</v>
      </c>
      <c r="E733" s="49" t="s">
        <v>1726</v>
      </c>
      <c r="F733" s="50" t="n">
        <v>1</v>
      </c>
      <c r="G733" s="49" t="s">
        <v>287</v>
      </c>
      <c r="H733" s="51" t="n">
        <v>0.0066</v>
      </c>
      <c r="I733" s="51" t="n">
        <v>0.4267</v>
      </c>
      <c r="J733" s="51" t="n">
        <v>0.5667</v>
      </c>
      <c r="K733" s="49"/>
      <c r="L733" s="49"/>
      <c r="M733" s="49"/>
      <c r="N733" s="49"/>
      <c r="O733" s="49"/>
      <c r="P733" s="49"/>
      <c r="Q733" s="49"/>
      <c r="R733" s="49"/>
      <c r="S733" s="49" t="n">
        <v>1</v>
      </c>
      <c r="T733" s="49" t="n">
        <v>0</v>
      </c>
      <c r="U733" s="49" t="s">
        <v>1727</v>
      </c>
    </row>
    <row r="734" customFormat="false" ht="15" hidden="false" customHeight="false" outlineLevel="0" collapsed="false">
      <c r="B734" s="48" t="n">
        <v>45219.4949074074</v>
      </c>
      <c r="C734" s="4" t="n">
        <f aca="false">YEAR(B734)</f>
        <v>2023</v>
      </c>
      <c r="D734" s="49" t="s">
        <v>278</v>
      </c>
      <c r="E734" s="49" t="s">
        <v>1728</v>
      </c>
      <c r="F734" s="50" t="n">
        <v>2</v>
      </c>
      <c r="G734" s="49" t="s">
        <v>287</v>
      </c>
      <c r="H734" s="51" t="n">
        <v>0.0128</v>
      </c>
      <c r="I734" s="51" t="n">
        <v>0.1151</v>
      </c>
      <c r="J734" s="51" t="n">
        <v>0.8721</v>
      </c>
      <c r="K734" s="49" t="s">
        <v>281</v>
      </c>
      <c r="L734" s="49"/>
      <c r="M734" s="49"/>
      <c r="N734" s="49"/>
      <c r="O734" s="49"/>
      <c r="P734" s="49"/>
      <c r="Q734" s="49"/>
      <c r="R734" s="49"/>
      <c r="S734" s="49" t="n">
        <v>0</v>
      </c>
      <c r="T734" s="49" t="n">
        <v>0</v>
      </c>
      <c r="U734" s="49" t="s">
        <v>1729</v>
      </c>
    </row>
    <row r="735" customFormat="false" ht="15" hidden="false" customHeight="false" outlineLevel="0" collapsed="false">
      <c r="B735" s="48" t="n">
        <v>45219.9835532407</v>
      </c>
      <c r="C735" s="4" t="n">
        <f aca="false">YEAR(B735)</f>
        <v>2023</v>
      </c>
      <c r="D735" s="49" t="s">
        <v>283</v>
      </c>
      <c r="E735" s="49" t="s">
        <v>1730</v>
      </c>
      <c r="F735" s="50" t="n">
        <v>7</v>
      </c>
      <c r="G735" s="49" t="s">
        <v>290</v>
      </c>
      <c r="H735" s="51" t="n">
        <v>0.0576</v>
      </c>
      <c r="I735" s="51" t="n">
        <v>0.5918</v>
      </c>
      <c r="J735" s="51" t="n">
        <v>0.3506</v>
      </c>
      <c r="K735" s="49"/>
      <c r="L735" s="49"/>
      <c r="M735" s="49"/>
      <c r="N735" s="49"/>
      <c r="O735" s="49"/>
      <c r="P735" s="49"/>
      <c r="Q735" s="49"/>
      <c r="R735" s="49"/>
      <c r="S735" s="49" t="n">
        <v>0</v>
      </c>
      <c r="T735" s="49" t="n">
        <v>0</v>
      </c>
      <c r="U735" s="49" t="s">
        <v>1731</v>
      </c>
    </row>
    <row r="736" customFormat="false" ht="15" hidden="false" customHeight="false" outlineLevel="0" collapsed="false">
      <c r="B736" s="48" t="n">
        <v>45219.9852083333</v>
      </c>
      <c r="C736" s="4" t="n">
        <f aca="false">YEAR(B736)</f>
        <v>2023</v>
      </c>
      <c r="D736" s="49" t="s">
        <v>283</v>
      </c>
      <c r="E736" s="49" t="s">
        <v>1732</v>
      </c>
      <c r="F736" s="50" t="n">
        <v>1</v>
      </c>
      <c r="G736" s="49" t="s">
        <v>280</v>
      </c>
      <c r="H736" s="51" t="n">
        <v>0.878</v>
      </c>
      <c r="I736" s="51" t="n">
        <v>0.1148</v>
      </c>
      <c r="J736" s="51" t="n">
        <v>0.0072</v>
      </c>
      <c r="K736" s="49"/>
      <c r="L736" s="49"/>
      <c r="M736" s="49"/>
      <c r="N736" s="49"/>
      <c r="O736" s="49"/>
      <c r="P736" s="49"/>
      <c r="Q736" s="49"/>
      <c r="R736" s="49"/>
      <c r="S736" s="49" t="n">
        <v>0</v>
      </c>
      <c r="T736" s="49" t="n">
        <v>0</v>
      </c>
      <c r="U736" s="49" t="s">
        <v>1733</v>
      </c>
    </row>
    <row r="737" customFormat="false" ht="15" hidden="false" customHeight="false" outlineLevel="0" collapsed="false">
      <c r="B737" s="48" t="n">
        <v>45220.562025463</v>
      </c>
      <c r="C737" s="4" t="n">
        <f aca="false">YEAR(B737)</f>
        <v>2023</v>
      </c>
      <c r="D737" s="49" t="s">
        <v>283</v>
      </c>
      <c r="E737" s="49" t="s">
        <v>1734</v>
      </c>
      <c r="F737" s="50" t="n">
        <v>1</v>
      </c>
      <c r="G737" s="49" t="s">
        <v>287</v>
      </c>
      <c r="H737" s="51" t="n">
        <v>0.0036</v>
      </c>
      <c r="I737" s="51" t="n">
        <v>0.0628</v>
      </c>
      <c r="J737" s="51" t="n">
        <v>0.9336</v>
      </c>
      <c r="K737" s="49"/>
      <c r="L737" s="49"/>
      <c r="M737" s="49"/>
      <c r="N737" s="49"/>
      <c r="O737" s="49"/>
      <c r="P737" s="49"/>
      <c r="Q737" s="49"/>
      <c r="R737" s="49"/>
      <c r="S737" s="49" t="n">
        <v>0</v>
      </c>
      <c r="T737" s="49" t="n">
        <v>0</v>
      </c>
      <c r="U737" s="49" t="s">
        <v>1735</v>
      </c>
    </row>
    <row r="738" customFormat="false" ht="15" hidden="false" customHeight="false" outlineLevel="0" collapsed="false">
      <c r="B738" s="48" t="n">
        <v>45220.912337963</v>
      </c>
      <c r="C738" s="4" t="n">
        <f aca="false">YEAR(B738)</f>
        <v>2023</v>
      </c>
      <c r="D738" s="49" t="s">
        <v>278</v>
      </c>
      <c r="E738" s="49" t="s">
        <v>1736</v>
      </c>
      <c r="F738" s="50" t="n">
        <v>1</v>
      </c>
      <c r="G738" s="49" t="s">
        <v>280</v>
      </c>
      <c r="H738" s="51" t="n">
        <v>0.5326</v>
      </c>
      <c r="I738" s="51" t="n">
        <v>0.4515</v>
      </c>
      <c r="J738" s="51" t="n">
        <v>0.0159</v>
      </c>
      <c r="K738" s="49"/>
      <c r="L738" s="49"/>
      <c r="M738" s="49"/>
      <c r="N738" s="49"/>
      <c r="O738" s="49"/>
      <c r="P738" s="49"/>
      <c r="Q738" s="49"/>
      <c r="R738" s="49"/>
      <c r="S738" s="49" t="n">
        <v>1</v>
      </c>
      <c r="T738" s="49" t="n">
        <v>0</v>
      </c>
      <c r="U738" s="49" t="s">
        <v>1737</v>
      </c>
    </row>
    <row r="739" customFormat="false" ht="15" hidden="false" customHeight="false" outlineLevel="0" collapsed="false">
      <c r="B739" s="48" t="n">
        <v>45220.9471990741</v>
      </c>
      <c r="C739" s="4" t="n">
        <f aca="false">YEAR(B739)</f>
        <v>2023</v>
      </c>
      <c r="D739" s="49" t="s">
        <v>278</v>
      </c>
      <c r="E739" s="49" t="s">
        <v>1738</v>
      </c>
      <c r="F739" s="50" t="n">
        <v>1</v>
      </c>
      <c r="G739" s="49" t="s">
        <v>290</v>
      </c>
      <c r="H739" s="51" t="n">
        <v>0.0487</v>
      </c>
      <c r="I739" s="51" t="n">
        <v>0.8837</v>
      </c>
      <c r="J739" s="51" t="n">
        <v>0.0676</v>
      </c>
      <c r="K739" s="49"/>
      <c r="L739" s="49"/>
      <c r="M739" s="49"/>
      <c r="N739" s="49"/>
      <c r="O739" s="49"/>
      <c r="P739" s="49"/>
      <c r="Q739" s="49"/>
      <c r="R739" s="49" t="s">
        <v>281</v>
      </c>
      <c r="S739" s="49" t="n">
        <v>1</v>
      </c>
      <c r="T739" s="49" t="n">
        <v>0</v>
      </c>
      <c r="U739" s="49" t="s">
        <v>1739</v>
      </c>
    </row>
    <row r="740" customFormat="false" ht="15" hidden="false" customHeight="false" outlineLevel="0" collapsed="false">
      <c r="B740" s="48" t="n">
        <v>45221.1208912037</v>
      </c>
      <c r="C740" s="4" t="n">
        <f aca="false">YEAR(B740)</f>
        <v>2023</v>
      </c>
      <c r="D740" s="49" t="s">
        <v>283</v>
      </c>
      <c r="E740" s="49" t="s">
        <v>1740</v>
      </c>
      <c r="F740" s="50" t="n">
        <v>4</v>
      </c>
      <c r="G740" s="49" t="s">
        <v>290</v>
      </c>
      <c r="H740" s="51" t="n">
        <v>0.1451</v>
      </c>
      <c r="I740" s="51" t="n">
        <v>0.6378</v>
      </c>
      <c r="J740" s="51" t="n">
        <v>0.2171</v>
      </c>
      <c r="K740" s="49"/>
      <c r="L740" s="49"/>
      <c r="M740" s="49"/>
      <c r="N740" s="49"/>
      <c r="O740" s="49"/>
      <c r="P740" s="49"/>
      <c r="Q740" s="49"/>
      <c r="R740" s="49"/>
      <c r="S740" s="49" t="n">
        <v>0</v>
      </c>
      <c r="T740" s="49" t="n">
        <v>0</v>
      </c>
      <c r="U740" s="49" t="s">
        <v>1741</v>
      </c>
    </row>
    <row r="741" customFormat="false" ht="15" hidden="false" customHeight="false" outlineLevel="0" collapsed="false">
      <c r="B741" s="48" t="n">
        <v>45221.4667939815</v>
      </c>
      <c r="C741" s="4" t="n">
        <f aca="false">YEAR(B741)</f>
        <v>2023</v>
      </c>
      <c r="D741" s="49" t="s">
        <v>283</v>
      </c>
      <c r="E741" s="49" t="s">
        <v>1742</v>
      </c>
      <c r="F741" s="50" t="n">
        <v>1</v>
      </c>
      <c r="G741" s="49" t="s">
        <v>280</v>
      </c>
      <c r="H741" s="51" t="n">
        <v>0.934</v>
      </c>
      <c r="I741" s="51" t="n">
        <v>0.0612</v>
      </c>
      <c r="J741" s="51" t="n">
        <v>0.0048</v>
      </c>
      <c r="K741" s="49"/>
      <c r="L741" s="49"/>
      <c r="M741" s="49"/>
      <c r="N741" s="49"/>
      <c r="O741" s="49"/>
      <c r="P741" s="49"/>
      <c r="Q741" s="49"/>
      <c r="R741" s="49"/>
      <c r="S741" s="49" t="n">
        <v>1</v>
      </c>
      <c r="T741" s="49" t="n">
        <v>0</v>
      </c>
      <c r="U741" s="49" t="s">
        <v>1743</v>
      </c>
    </row>
    <row r="742" customFormat="false" ht="15" hidden="false" customHeight="false" outlineLevel="0" collapsed="false">
      <c r="B742" s="48" t="n">
        <v>45221.8603472222</v>
      </c>
      <c r="C742" s="4" t="n">
        <f aca="false">YEAR(B742)</f>
        <v>2023</v>
      </c>
      <c r="D742" s="49" t="s">
        <v>283</v>
      </c>
      <c r="E742" s="49" t="s">
        <v>1744</v>
      </c>
      <c r="F742" s="50" t="n">
        <v>59</v>
      </c>
      <c r="G742" s="49" t="s">
        <v>280</v>
      </c>
      <c r="H742" s="51" t="n">
        <v>0.7509</v>
      </c>
      <c r="I742" s="51" t="n">
        <v>0.2381</v>
      </c>
      <c r="J742" s="51" t="n">
        <v>0.011</v>
      </c>
      <c r="K742" s="49"/>
      <c r="L742" s="49"/>
      <c r="M742" s="49"/>
      <c r="N742" s="49"/>
      <c r="O742" s="49"/>
      <c r="P742" s="49"/>
      <c r="Q742" s="49"/>
      <c r="R742" s="49" t="s">
        <v>281</v>
      </c>
      <c r="S742" s="49" t="n">
        <v>0</v>
      </c>
      <c r="T742" s="49" t="n">
        <v>0</v>
      </c>
      <c r="U742" s="49" t="s">
        <v>1745</v>
      </c>
    </row>
    <row r="743" customFormat="false" ht="15" hidden="false" customHeight="false" outlineLevel="0" collapsed="false">
      <c r="B743" s="48" t="n">
        <v>45221.9386111111</v>
      </c>
      <c r="C743" s="4" t="n">
        <f aca="false">YEAR(B743)</f>
        <v>2023</v>
      </c>
      <c r="D743" s="49" t="s">
        <v>283</v>
      </c>
      <c r="E743" s="49" t="s">
        <v>1746</v>
      </c>
      <c r="F743" s="50" t="n">
        <v>11</v>
      </c>
      <c r="G743" s="49" t="s">
        <v>290</v>
      </c>
      <c r="H743" s="51" t="n">
        <v>0.0186</v>
      </c>
      <c r="I743" s="51" t="n">
        <v>0.9282</v>
      </c>
      <c r="J743" s="51" t="n">
        <v>0.0532</v>
      </c>
      <c r="K743" s="49"/>
      <c r="L743" s="49"/>
      <c r="M743" s="49"/>
      <c r="N743" s="49"/>
      <c r="O743" s="49"/>
      <c r="P743" s="49"/>
      <c r="Q743" s="49"/>
      <c r="R743" s="49"/>
      <c r="S743" s="49" t="n">
        <v>0</v>
      </c>
      <c r="T743" s="49" t="n">
        <v>0</v>
      </c>
      <c r="U743" s="49" t="s">
        <v>1747</v>
      </c>
    </row>
    <row r="744" customFormat="false" ht="15" hidden="false" customHeight="false" outlineLevel="0" collapsed="false">
      <c r="B744" s="48" t="n">
        <v>45222.2597800926</v>
      </c>
      <c r="C744" s="4" t="n">
        <f aca="false">YEAR(B744)</f>
        <v>2023</v>
      </c>
      <c r="D744" s="49" t="s">
        <v>283</v>
      </c>
      <c r="E744" s="49" t="s">
        <v>1748</v>
      </c>
      <c r="F744" s="50" t="n">
        <v>0</v>
      </c>
      <c r="G744" s="49" t="s">
        <v>287</v>
      </c>
      <c r="H744" s="51" t="n">
        <v>0.0084</v>
      </c>
      <c r="I744" s="51" t="n">
        <v>0.0585</v>
      </c>
      <c r="J744" s="51" t="n">
        <v>0.9331</v>
      </c>
      <c r="K744" s="49"/>
      <c r="L744" s="49"/>
      <c r="M744" s="49"/>
      <c r="N744" s="49"/>
      <c r="O744" s="49"/>
      <c r="P744" s="49"/>
      <c r="Q744" s="49"/>
      <c r="R744" s="49"/>
      <c r="S744" s="49" t="n">
        <v>0</v>
      </c>
      <c r="T744" s="49" t="n">
        <v>0</v>
      </c>
      <c r="U744" s="49" t="s">
        <v>1749</v>
      </c>
    </row>
    <row r="745" customFormat="false" ht="15" hidden="false" customHeight="false" outlineLevel="0" collapsed="false">
      <c r="B745" s="48" t="n">
        <v>45222.649837963</v>
      </c>
      <c r="C745" s="4" t="n">
        <f aca="false">YEAR(B745)</f>
        <v>2023</v>
      </c>
      <c r="D745" s="49" t="s">
        <v>283</v>
      </c>
      <c r="E745" s="49" t="s">
        <v>1750</v>
      </c>
      <c r="F745" s="50" t="n">
        <v>0</v>
      </c>
      <c r="G745" s="49" t="s">
        <v>290</v>
      </c>
      <c r="H745" s="51" t="n">
        <v>0.4293</v>
      </c>
      <c r="I745" s="51" t="n">
        <v>0.5159</v>
      </c>
      <c r="J745" s="51" t="n">
        <v>0.0548</v>
      </c>
      <c r="K745" s="49"/>
      <c r="L745" s="49"/>
      <c r="M745" s="49"/>
      <c r="N745" s="49"/>
      <c r="O745" s="49"/>
      <c r="P745" s="49"/>
      <c r="Q745" s="49"/>
      <c r="R745" s="49" t="s">
        <v>281</v>
      </c>
      <c r="S745" s="49" t="n">
        <v>0</v>
      </c>
      <c r="T745" s="49" t="n">
        <v>0</v>
      </c>
      <c r="U745" s="49" t="s">
        <v>1751</v>
      </c>
    </row>
    <row r="746" customFormat="false" ht="15" hidden="false" customHeight="false" outlineLevel="0" collapsed="false">
      <c r="B746" s="48" t="n">
        <v>45222.7581365741</v>
      </c>
      <c r="C746" s="4" t="n">
        <f aca="false">YEAR(B746)</f>
        <v>2023</v>
      </c>
      <c r="D746" s="49" t="s">
        <v>283</v>
      </c>
      <c r="E746" s="49" t="s">
        <v>1752</v>
      </c>
      <c r="F746" s="50" t="n">
        <v>1</v>
      </c>
      <c r="G746" s="49" t="s">
        <v>290</v>
      </c>
      <c r="H746" s="51" t="n">
        <v>0.1191</v>
      </c>
      <c r="I746" s="51" t="n">
        <v>0.7042</v>
      </c>
      <c r="J746" s="51" t="n">
        <v>0.1767</v>
      </c>
      <c r="K746" s="49"/>
      <c r="L746" s="49"/>
      <c r="M746" s="49"/>
      <c r="N746" s="49"/>
      <c r="O746" s="49"/>
      <c r="P746" s="49"/>
      <c r="Q746" s="49"/>
      <c r="R746" s="49"/>
      <c r="S746" s="49" t="n">
        <v>0</v>
      </c>
      <c r="T746" s="49" t="n">
        <v>0</v>
      </c>
      <c r="U746" s="49" t="s">
        <v>1753</v>
      </c>
    </row>
    <row r="747" customFormat="false" ht="15" hidden="false" customHeight="false" outlineLevel="0" collapsed="false">
      <c r="B747" s="48" t="n">
        <v>45222.7698263889</v>
      </c>
      <c r="C747" s="4" t="n">
        <f aca="false">YEAR(B747)</f>
        <v>2023</v>
      </c>
      <c r="D747" s="49" t="s">
        <v>283</v>
      </c>
      <c r="E747" s="49" t="s">
        <v>1754</v>
      </c>
      <c r="F747" s="50" t="n">
        <v>2</v>
      </c>
      <c r="G747" s="49" t="s">
        <v>290</v>
      </c>
      <c r="H747" s="51" t="n">
        <v>0.3526</v>
      </c>
      <c r="I747" s="51" t="n">
        <v>0.5303</v>
      </c>
      <c r="J747" s="51" t="n">
        <v>0.1171</v>
      </c>
      <c r="K747" s="49"/>
      <c r="L747" s="49"/>
      <c r="M747" s="49"/>
      <c r="N747" s="49"/>
      <c r="O747" s="49"/>
      <c r="P747" s="49"/>
      <c r="Q747" s="49"/>
      <c r="R747" s="49"/>
      <c r="S747" s="49" t="n">
        <v>0</v>
      </c>
      <c r="T747" s="49" t="n">
        <v>0</v>
      </c>
      <c r="U747" s="49" t="s">
        <v>1755</v>
      </c>
    </row>
    <row r="748" customFormat="false" ht="15" hidden="false" customHeight="false" outlineLevel="0" collapsed="false">
      <c r="B748" s="48" t="n">
        <v>45222.9366550926</v>
      </c>
      <c r="C748" s="4" t="n">
        <f aca="false">YEAR(B748)</f>
        <v>2023</v>
      </c>
      <c r="D748" s="49" t="s">
        <v>283</v>
      </c>
      <c r="E748" s="49" t="s">
        <v>1756</v>
      </c>
      <c r="F748" s="50" t="n">
        <v>5</v>
      </c>
      <c r="G748" s="49" t="s">
        <v>290</v>
      </c>
      <c r="H748" s="51" t="n">
        <v>0.3616</v>
      </c>
      <c r="I748" s="51" t="n">
        <v>0.6204</v>
      </c>
      <c r="J748" s="51" t="n">
        <v>0.0179</v>
      </c>
      <c r="K748" s="49"/>
      <c r="L748" s="49"/>
      <c r="M748" s="49"/>
      <c r="N748" s="49"/>
      <c r="O748" s="49"/>
      <c r="P748" s="49"/>
      <c r="Q748" s="49"/>
      <c r="R748" s="49"/>
      <c r="S748" s="49" t="n">
        <v>0</v>
      </c>
      <c r="T748" s="49" t="n">
        <v>0</v>
      </c>
      <c r="U748" s="49" t="s">
        <v>1757</v>
      </c>
    </row>
    <row r="749" customFormat="false" ht="15" hidden="false" customHeight="false" outlineLevel="0" collapsed="false">
      <c r="B749" s="48" t="n">
        <v>45222.9674884259</v>
      </c>
      <c r="C749" s="4" t="n">
        <f aca="false">YEAR(B749)</f>
        <v>2023</v>
      </c>
      <c r="D749" s="49" t="s">
        <v>283</v>
      </c>
      <c r="E749" s="49" t="s">
        <v>1758</v>
      </c>
      <c r="F749" s="50" t="n">
        <v>11</v>
      </c>
      <c r="G749" s="49" t="s">
        <v>290</v>
      </c>
      <c r="H749" s="51" t="n">
        <v>0.054</v>
      </c>
      <c r="I749" s="51" t="n">
        <v>0.7826</v>
      </c>
      <c r="J749" s="51" t="n">
        <v>0.1634</v>
      </c>
      <c r="K749" s="49"/>
      <c r="L749" s="49"/>
      <c r="M749" s="49"/>
      <c r="N749" s="49"/>
      <c r="O749" s="49"/>
      <c r="P749" s="49"/>
      <c r="Q749" s="49"/>
      <c r="R749" s="49"/>
      <c r="S749" s="49" t="n">
        <v>0</v>
      </c>
      <c r="T749" s="49" t="n">
        <v>0</v>
      </c>
      <c r="U749" s="49" t="s">
        <v>1759</v>
      </c>
    </row>
    <row r="750" customFormat="false" ht="15" hidden="false" customHeight="false" outlineLevel="0" collapsed="false">
      <c r="B750" s="48" t="n">
        <v>45223.0077083333</v>
      </c>
      <c r="C750" s="4" t="n">
        <f aca="false">YEAR(B750)</f>
        <v>2023</v>
      </c>
      <c r="D750" s="49" t="s">
        <v>283</v>
      </c>
      <c r="E750" s="49" t="s">
        <v>1760</v>
      </c>
      <c r="F750" s="50" t="n">
        <v>3</v>
      </c>
      <c r="G750" s="49" t="s">
        <v>290</v>
      </c>
      <c r="H750" s="51" t="n">
        <v>0.0211</v>
      </c>
      <c r="I750" s="51" t="n">
        <v>0.8708</v>
      </c>
      <c r="J750" s="51" t="n">
        <v>0.1081</v>
      </c>
      <c r="K750" s="49"/>
      <c r="L750" s="49"/>
      <c r="M750" s="49"/>
      <c r="N750" s="49"/>
      <c r="O750" s="49"/>
      <c r="P750" s="49"/>
      <c r="Q750" s="49"/>
      <c r="R750" s="49"/>
      <c r="S750" s="49" t="n">
        <v>0</v>
      </c>
      <c r="T750" s="49" t="n">
        <v>0</v>
      </c>
      <c r="U750" s="49" t="s">
        <v>1761</v>
      </c>
    </row>
    <row r="751" customFormat="false" ht="15" hidden="false" customHeight="false" outlineLevel="0" collapsed="false">
      <c r="B751" s="48" t="n">
        <v>45223.1057291667</v>
      </c>
      <c r="C751" s="4" t="n">
        <f aca="false">YEAR(B751)</f>
        <v>2023</v>
      </c>
      <c r="D751" s="49" t="s">
        <v>278</v>
      </c>
      <c r="E751" s="49" t="s">
        <v>1762</v>
      </c>
      <c r="F751" s="50" t="n">
        <v>1</v>
      </c>
      <c r="G751" s="49" t="s">
        <v>280</v>
      </c>
      <c r="H751" s="51" t="n">
        <v>0.8446</v>
      </c>
      <c r="I751" s="51" t="n">
        <v>0.1456</v>
      </c>
      <c r="J751" s="51" t="n">
        <v>0.0098</v>
      </c>
      <c r="K751" s="49"/>
      <c r="L751" s="49"/>
      <c r="M751" s="49"/>
      <c r="N751" s="49"/>
      <c r="O751" s="49"/>
      <c r="P751" s="49"/>
      <c r="Q751" s="49"/>
      <c r="R751" s="49"/>
      <c r="S751" s="49" t="n">
        <v>1</v>
      </c>
      <c r="T751" s="49" t="n">
        <v>0</v>
      </c>
      <c r="U751" s="49" t="s">
        <v>1763</v>
      </c>
    </row>
    <row r="752" customFormat="false" ht="15" hidden="false" customHeight="false" outlineLevel="0" collapsed="false">
      <c r="B752" s="48" t="n">
        <v>45223.1751967593</v>
      </c>
      <c r="C752" s="4" t="n">
        <f aca="false">YEAR(B752)</f>
        <v>2023</v>
      </c>
      <c r="D752" s="49" t="s">
        <v>278</v>
      </c>
      <c r="E752" s="49" t="s">
        <v>1764</v>
      </c>
      <c r="F752" s="50" t="n">
        <v>2</v>
      </c>
      <c r="G752" s="49" t="s">
        <v>280</v>
      </c>
      <c r="H752" s="51" t="n">
        <v>0.5992</v>
      </c>
      <c r="I752" s="51" t="n">
        <v>0.2945</v>
      </c>
      <c r="J752" s="51" t="n">
        <v>0.1063</v>
      </c>
      <c r="K752" s="49"/>
      <c r="L752" s="49"/>
      <c r="M752" s="49"/>
      <c r="N752" s="49"/>
      <c r="O752" s="49"/>
      <c r="P752" s="49"/>
      <c r="Q752" s="49"/>
      <c r="R752" s="49" t="s">
        <v>281</v>
      </c>
      <c r="S752" s="49" t="n">
        <v>0</v>
      </c>
      <c r="T752" s="49" t="n">
        <v>0</v>
      </c>
      <c r="U752" s="49" t="s">
        <v>1765</v>
      </c>
    </row>
    <row r="753" customFormat="false" ht="15" hidden="false" customHeight="false" outlineLevel="0" collapsed="false">
      <c r="B753" s="48" t="n">
        <v>45223.6099074074</v>
      </c>
      <c r="C753" s="4" t="n">
        <f aca="false">YEAR(B753)</f>
        <v>2023</v>
      </c>
      <c r="D753" s="49" t="s">
        <v>278</v>
      </c>
      <c r="E753" s="49" t="s">
        <v>1766</v>
      </c>
      <c r="F753" s="50" t="n">
        <v>1</v>
      </c>
      <c r="G753" s="49" t="s">
        <v>280</v>
      </c>
      <c r="H753" s="51" t="n">
        <v>0.8019</v>
      </c>
      <c r="I753" s="51" t="n">
        <v>0.1856</v>
      </c>
      <c r="J753" s="51" t="n">
        <v>0.0125</v>
      </c>
      <c r="K753" s="49"/>
      <c r="L753" s="49"/>
      <c r="M753" s="49"/>
      <c r="N753" s="49"/>
      <c r="O753" s="49"/>
      <c r="P753" s="49"/>
      <c r="Q753" s="49"/>
      <c r="R753" s="49"/>
      <c r="S753" s="49" t="n">
        <v>0</v>
      </c>
      <c r="T753" s="49" t="n">
        <v>0</v>
      </c>
      <c r="U753" s="49" t="s">
        <v>1767</v>
      </c>
    </row>
    <row r="754" customFormat="false" ht="15" hidden="false" customHeight="false" outlineLevel="0" collapsed="false">
      <c r="B754" s="48" t="n">
        <v>45223.6139236111</v>
      </c>
      <c r="C754" s="4" t="n">
        <f aca="false">YEAR(B754)</f>
        <v>2023</v>
      </c>
      <c r="D754" s="49" t="s">
        <v>283</v>
      </c>
      <c r="E754" s="49" t="s">
        <v>1768</v>
      </c>
      <c r="F754" s="50" t="n">
        <v>1</v>
      </c>
      <c r="G754" s="49" t="s">
        <v>290</v>
      </c>
      <c r="H754" s="51" t="n">
        <v>0.4437</v>
      </c>
      <c r="I754" s="51" t="n">
        <v>0.5172</v>
      </c>
      <c r="J754" s="51" t="n">
        <v>0.0391</v>
      </c>
      <c r="K754" s="49"/>
      <c r="L754" s="49" t="s">
        <v>281</v>
      </c>
      <c r="M754" s="49"/>
      <c r="N754" s="49"/>
      <c r="O754" s="49"/>
      <c r="P754" s="49"/>
      <c r="Q754" s="49"/>
      <c r="R754" s="49"/>
      <c r="S754" s="49" t="n">
        <v>0</v>
      </c>
      <c r="T754" s="49" t="n">
        <v>0</v>
      </c>
      <c r="U754" s="49" t="s">
        <v>1769</v>
      </c>
    </row>
    <row r="755" customFormat="false" ht="15" hidden="false" customHeight="false" outlineLevel="0" collapsed="false">
      <c r="B755" s="48" t="n">
        <v>45224.102037037</v>
      </c>
      <c r="C755" s="4" t="n">
        <f aca="false">YEAR(B755)</f>
        <v>2023</v>
      </c>
      <c r="D755" s="49" t="s">
        <v>283</v>
      </c>
      <c r="E755" s="49" t="s">
        <v>1770</v>
      </c>
      <c r="F755" s="50" t="n">
        <v>7</v>
      </c>
      <c r="G755" s="49" t="s">
        <v>290</v>
      </c>
      <c r="H755" s="51" t="n">
        <v>0.1091</v>
      </c>
      <c r="I755" s="51" t="n">
        <v>0.8022</v>
      </c>
      <c r="J755" s="51" t="n">
        <v>0.0886</v>
      </c>
      <c r="K755" s="49"/>
      <c r="L755" s="49"/>
      <c r="M755" s="49"/>
      <c r="N755" s="49"/>
      <c r="O755" s="49"/>
      <c r="P755" s="49"/>
      <c r="Q755" s="49"/>
      <c r="R755" s="49" t="s">
        <v>281</v>
      </c>
      <c r="S755" s="49" t="n">
        <v>1</v>
      </c>
      <c r="T755" s="49" t="n">
        <v>0</v>
      </c>
      <c r="U755" s="49" t="s">
        <v>1771</v>
      </c>
    </row>
    <row r="756" customFormat="false" ht="15" hidden="false" customHeight="false" outlineLevel="0" collapsed="false">
      <c r="B756" s="48" t="n">
        <v>45224.7147685185</v>
      </c>
      <c r="C756" s="4" t="n">
        <f aca="false">YEAR(B756)</f>
        <v>2023</v>
      </c>
      <c r="D756" s="49" t="s">
        <v>278</v>
      </c>
      <c r="E756" s="49" t="s">
        <v>1772</v>
      </c>
      <c r="F756" s="50" t="n">
        <v>1</v>
      </c>
      <c r="G756" s="49" t="s">
        <v>290</v>
      </c>
      <c r="H756" s="51" t="n">
        <v>0.4454</v>
      </c>
      <c r="I756" s="51" t="n">
        <v>0.4821</v>
      </c>
      <c r="J756" s="51" t="n">
        <v>0.0725</v>
      </c>
      <c r="K756" s="49"/>
      <c r="L756" s="49"/>
      <c r="M756" s="49"/>
      <c r="N756" s="49"/>
      <c r="O756" s="49"/>
      <c r="P756" s="49"/>
      <c r="Q756" s="49"/>
      <c r="R756" s="49" t="s">
        <v>281</v>
      </c>
      <c r="S756" s="49" t="n">
        <v>0</v>
      </c>
      <c r="T756" s="49" t="n">
        <v>0</v>
      </c>
      <c r="U756" s="49" t="s">
        <v>1773</v>
      </c>
    </row>
    <row r="757" customFormat="false" ht="15" hidden="false" customHeight="false" outlineLevel="0" collapsed="false">
      <c r="B757" s="48" t="n">
        <v>45225.1836689815</v>
      </c>
      <c r="C757" s="4" t="n">
        <f aca="false">YEAR(B757)</f>
        <v>2023</v>
      </c>
      <c r="D757" s="49" t="s">
        <v>283</v>
      </c>
      <c r="E757" s="49" t="s">
        <v>1774</v>
      </c>
      <c r="F757" s="50" t="n">
        <v>11</v>
      </c>
      <c r="G757" s="49" t="s">
        <v>280</v>
      </c>
      <c r="H757" s="51" t="n">
        <v>0.8683</v>
      </c>
      <c r="I757" s="51" t="n">
        <v>0.1252</v>
      </c>
      <c r="J757" s="51" t="n">
        <v>0.0066</v>
      </c>
      <c r="K757" s="49"/>
      <c r="L757" s="49"/>
      <c r="M757" s="49"/>
      <c r="N757" s="49"/>
      <c r="O757" s="49"/>
      <c r="P757" s="49"/>
      <c r="Q757" s="49"/>
      <c r="R757" s="49"/>
      <c r="S757" s="49" t="n">
        <v>0</v>
      </c>
      <c r="T757" s="49" t="n">
        <v>0</v>
      </c>
      <c r="U757" s="49" t="s">
        <v>1775</v>
      </c>
    </row>
    <row r="758" customFormat="false" ht="15" hidden="false" customHeight="false" outlineLevel="0" collapsed="false">
      <c r="B758" s="48" t="n">
        <v>45225.6381597222</v>
      </c>
      <c r="C758" s="4" t="n">
        <f aca="false">YEAR(B758)</f>
        <v>2023</v>
      </c>
      <c r="D758" s="49" t="s">
        <v>283</v>
      </c>
      <c r="E758" s="49" t="s">
        <v>1776</v>
      </c>
      <c r="F758" s="50" t="n">
        <v>8</v>
      </c>
      <c r="G758" s="49" t="s">
        <v>280</v>
      </c>
      <c r="H758" s="51" t="n">
        <v>0.8157</v>
      </c>
      <c r="I758" s="51" t="n">
        <v>0.1705</v>
      </c>
      <c r="J758" s="51" t="n">
        <v>0.0138</v>
      </c>
      <c r="K758" s="49"/>
      <c r="L758" s="49"/>
      <c r="M758" s="49"/>
      <c r="N758" s="49"/>
      <c r="O758" s="49"/>
      <c r="P758" s="49"/>
      <c r="Q758" s="49"/>
      <c r="R758" s="49" t="s">
        <v>281</v>
      </c>
      <c r="S758" s="49" t="n">
        <v>0</v>
      </c>
      <c r="T758" s="49" t="n">
        <v>0</v>
      </c>
      <c r="U758" s="49" t="s">
        <v>1777</v>
      </c>
    </row>
    <row r="759" customFormat="false" ht="15" hidden="false" customHeight="false" outlineLevel="0" collapsed="false">
      <c r="B759" s="48" t="n">
        <v>45225.6916782407</v>
      </c>
      <c r="C759" s="4" t="n">
        <f aca="false">YEAR(B759)</f>
        <v>2023</v>
      </c>
      <c r="D759" s="49" t="s">
        <v>283</v>
      </c>
      <c r="E759" s="49" t="s">
        <v>1778</v>
      </c>
      <c r="F759" s="50" t="n">
        <v>1</v>
      </c>
      <c r="G759" s="49" t="s">
        <v>290</v>
      </c>
      <c r="H759" s="51" t="n">
        <v>0.3163</v>
      </c>
      <c r="I759" s="51" t="n">
        <v>0.5837</v>
      </c>
      <c r="J759" s="51" t="n">
        <v>0.1001</v>
      </c>
      <c r="K759" s="49"/>
      <c r="L759" s="49"/>
      <c r="M759" s="49"/>
      <c r="N759" s="49"/>
      <c r="O759" s="49"/>
      <c r="P759" s="49"/>
      <c r="Q759" s="49"/>
      <c r="R759" s="49"/>
      <c r="S759" s="49" t="n">
        <v>1</v>
      </c>
      <c r="T759" s="49" t="n">
        <v>0</v>
      </c>
      <c r="U759" s="49" t="s">
        <v>1779</v>
      </c>
    </row>
    <row r="760" customFormat="false" ht="15" hidden="false" customHeight="false" outlineLevel="0" collapsed="false">
      <c r="B760" s="48" t="n">
        <v>45225.7242939815</v>
      </c>
      <c r="C760" s="4" t="n">
        <f aca="false">YEAR(B760)</f>
        <v>2023</v>
      </c>
      <c r="D760" s="49" t="s">
        <v>283</v>
      </c>
      <c r="E760" s="49" t="s">
        <v>1780</v>
      </c>
      <c r="F760" s="50" t="n">
        <v>1</v>
      </c>
      <c r="G760" s="49" t="s">
        <v>280</v>
      </c>
      <c r="H760" s="51" t="n">
        <v>0.8828</v>
      </c>
      <c r="I760" s="51" t="n">
        <v>0.1084</v>
      </c>
      <c r="J760" s="51" t="n">
        <v>0.0088</v>
      </c>
      <c r="K760" s="49"/>
      <c r="L760" s="49"/>
      <c r="M760" s="49"/>
      <c r="N760" s="49"/>
      <c r="O760" s="49"/>
      <c r="P760" s="49"/>
      <c r="Q760" s="49"/>
      <c r="R760" s="49"/>
      <c r="S760" s="49" t="n">
        <v>0</v>
      </c>
      <c r="T760" s="49" t="n">
        <v>0</v>
      </c>
      <c r="U760" s="49" t="s">
        <v>1781</v>
      </c>
    </row>
    <row r="761" customFormat="false" ht="15" hidden="false" customHeight="false" outlineLevel="0" collapsed="false">
      <c r="B761" s="48" t="n">
        <v>45226.2055208333</v>
      </c>
      <c r="C761" s="4" t="n">
        <f aca="false">YEAR(B761)</f>
        <v>2023</v>
      </c>
      <c r="D761" s="49" t="s">
        <v>283</v>
      </c>
      <c r="E761" s="49" t="s">
        <v>1782</v>
      </c>
      <c r="F761" s="50" t="n">
        <v>5</v>
      </c>
      <c r="G761" s="49" t="s">
        <v>287</v>
      </c>
      <c r="H761" s="51" t="n">
        <v>0.0216</v>
      </c>
      <c r="I761" s="51" t="n">
        <v>0.2511</v>
      </c>
      <c r="J761" s="51" t="n">
        <v>0.7273</v>
      </c>
      <c r="K761" s="49"/>
      <c r="L761" s="49"/>
      <c r="M761" s="49"/>
      <c r="N761" s="49"/>
      <c r="O761" s="49"/>
      <c r="P761" s="49"/>
      <c r="Q761" s="49"/>
      <c r="R761" s="49"/>
      <c r="S761" s="49" t="n">
        <v>0</v>
      </c>
      <c r="T761" s="49" t="n">
        <v>0</v>
      </c>
      <c r="U761" s="49" t="s">
        <v>1783</v>
      </c>
    </row>
    <row r="762" customFormat="false" ht="15" hidden="false" customHeight="false" outlineLevel="0" collapsed="false">
      <c r="B762" s="48" t="n">
        <v>45226.524849537</v>
      </c>
      <c r="C762" s="4" t="n">
        <f aca="false">YEAR(B762)</f>
        <v>2023</v>
      </c>
      <c r="D762" s="49" t="s">
        <v>283</v>
      </c>
      <c r="E762" s="49" t="s">
        <v>1784</v>
      </c>
      <c r="F762" s="50" t="n">
        <v>1</v>
      </c>
      <c r="G762" s="49" t="s">
        <v>290</v>
      </c>
      <c r="H762" s="51" t="n">
        <v>0.0073</v>
      </c>
      <c r="I762" s="51" t="n">
        <v>0.9546</v>
      </c>
      <c r="J762" s="51" t="n">
        <v>0.0381</v>
      </c>
      <c r="K762" s="49"/>
      <c r="L762" s="49"/>
      <c r="M762" s="49"/>
      <c r="N762" s="49"/>
      <c r="O762" s="49"/>
      <c r="P762" s="49"/>
      <c r="Q762" s="49"/>
      <c r="R762" s="49"/>
      <c r="S762" s="49" t="n">
        <v>1</v>
      </c>
      <c r="T762" s="49" t="n">
        <v>0</v>
      </c>
      <c r="U762" s="49" t="s">
        <v>1785</v>
      </c>
    </row>
    <row r="763" customFormat="false" ht="15" hidden="false" customHeight="false" outlineLevel="0" collapsed="false">
      <c r="B763" s="48" t="n">
        <v>45226.6374074074</v>
      </c>
      <c r="C763" s="4" t="n">
        <f aca="false">YEAR(B763)</f>
        <v>2023</v>
      </c>
      <c r="D763" s="49" t="s">
        <v>283</v>
      </c>
      <c r="E763" s="49" t="s">
        <v>1786</v>
      </c>
      <c r="F763" s="50" t="n">
        <v>1</v>
      </c>
      <c r="G763" s="49" t="s">
        <v>280</v>
      </c>
      <c r="H763" s="51" t="n">
        <v>0.8981</v>
      </c>
      <c r="I763" s="51" t="n">
        <v>0.0939</v>
      </c>
      <c r="J763" s="51" t="n">
        <v>0.008</v>
      </c>
      <c r="K763" s="49"/>
      <c r="L763" s="49"/>
      <c r="M763" s="49"/>
      <c r="N763" s="49"/>
      <c r="O763" s="49"/>
      <c r="P763" s="49"/>
      <c r="Q763" s="49"/>
      <c r="R763" s="49"/>
      <c r="S763" s="49" t="n">
        <v>0</v>
      </c>
      <c r="T763" s="49" t="n">
        <v>0</v>
      </c>
      <c r="U763" s="49" t="s">
        <v>1787</v>
      </c>
    </row>
    <row r="764" customFormat="false" ht="15" hidden="false" customHeight="false" outlineLevel="0" collapsed="false">
      <c r="B764" s="48" t="n">
        <v>45226.8045138889</v>
      </c>
      <c r="C764" s="4" t="n">
        <f aca="false">YEAR(B764)</f>
        <v>2023</v>
      </c>
      <c r="D764" s="49" t="s">
        <v>283</v>
      </c>
      <c r="E764" s="49" t="s">
        <v>1788</v>
      </c>
      <c r="F764" s="50" t="n">
        <v>1</v>
      </c>
      <c r="G764" s="49" t="s">
        <v>280</v>
      </c>
      <c r="H764" s="51" t="n">
        <v>0.773</v>
      </c>
      <c r="I764" s="51" t="n">
        <v>0.2121</v>
      </c>
      <c r="J764" s="51" t="n">
        <v>0.0149</v>
      </c>
      <c r="K764" s="49"/>
      <c r="L764" s="49"/>
      <c r="M764" s="49"/>
      <c r="N764" s="49"/>
      <c r="O764" s="49"/>
      <c r="P764" s="49"/>
      <c r="Q764" s="49"/>
      <c r="R764" s="49"/>
      <c r="S764" s="49" t="n">
        <v>0</v>
      </c>
      <c r="T764" s="49" t="n">
        <v>0</v>
      </c>
      <c r="U764" s="49" t="s">
        <v>1789</v>
      </c>
    </row>
    <row r="765" customFormat="false" ht="15" hidden="false" customHeight="false" outlineLevel="0" collapsed="false">
      <c r="B765" s="48" t="n">
        <v>45226.8581944444</v>
      </c>
      <c r="C765" s="4" t="n">
        <f aca="false">YEAR(B765)</f>
        <v>2023</v>
      </c>
      <c r="D765" s="49" t="s">
        <v>283</v>
      </c>
      <c r="E765" s="49" t="s">
        <v>1790</v>
      </c>
      <c r="F765" s="50" t="n">
        <v>2</v>
      </c>
      <c r="G765" s="49" t="s">
        <v>280</v>
      </c>
      <c r="H765" s="51" t="n">
        <v>0.8319</v>
      </c>
      <c r="I765" s="51" t="n">
        <v>0.1575</v>
      </c>
      <c r="J765" s="51" t="n">
        <v>0.0105</v>
      </c>
      <c r="K765" s="49"/>
      <c r="L765" s="49"/>
      <c r="M765" s="49"/>
      <c r="N765" s="49"/>
      <c r="O765" s="49"/>
      <c r="P765" s="49"/>
      <c r="Q765" s="49"/>
      <c r="R765" s="49" t="s">
        <v>281</v>
      </c>
      <c r="S765" s="49" t="n">
        <v>0</v>
      </c>
      <c r="T765" s="49" t="n">
        <v>0</v>
      </c>
      <c r="U765" s="49" t="s">
        <v>1791</v>
      </c>
    </row>
    <row r="766" customFormat="false" ht="15" hidden="false" customHeight="false" outlineLevel="0" collapsed="false">
      <c r="B766" s="48" t="n">
        <v>45227.0910763889</v>
      </c>
      <c r="C766" s="4" t="n">
        <f aca="false">YEAR(B766)</f>
        <v>2023</v>
      </c>
      <c r="D766" s="49" t="s">
        <v>283</v>
      </c>
      <c r="E766" s="49" t="s">
        <v>1792</v>
      </c>
      <c r="F766" s="50" t="n">
        <v>4</v>
      </c>
      <c r="G766" s="49" t="s">
        <v>290</v>
      </c>
      <c r="H766" s="51" t="n">
        <v>0.0186</v>
      </c>
      <c r="I766" s="51" t="n">
        <v>0.8104</v>
      </c>
      <c r="J766" s="51" t="n">
        <v>0.171</v>
      </c>
      <c r="K766" s="49"/>
      <c r="L766" s="49"/>
      <c r="M766" s="49"/>
      <c r="N766" s="49"/>
      <c r="O766" s="49"/>
      <c r="P766" s="49"/>
      <c r="Q766" s="49"/>
      <c r="R766" s="49"/>
      <c r="S766" s="49" t="n">
        <v>0</v>
      </c>
      <c r="T766" s="49" t="n">
        <v>0</v>
      </c>
      <c r="U766" s="49" t="s">
        <v>1793</v>
      </c>
    </row>
    <row r="767" customFormat="false" ht="15" hidden="false" customHeight="false" outlineLevel="0" collapsed="false">
      <c r="B767" s="48" t="n">
        <v>45227.1487152778</v>
      </c>
      <c r="C767" s="4" t="n">
        <f aca="false">YEAR(B767)</f>
        <v>2023</v>
      </c>
      <c r="D767" s="49" t="s">
        <v>283</v>
      </c>
      <c r="E767" s="49" t="s">
        <v>1794</v>
      </c>
      <c r="F767" s="50" t="n">
        <v>1</v>
      </c>
      <c r="G767" s="49" t="s">
        <v>287</v>
      </c>
      <c r="H767" s="51" t="n">
        <v>0.0067</v>
      </c>
      <c r="I767" s="51" t="n">
        <v>0.0695</v>
      </c>
      <c r="J767" s="51" t="n">
        <v>0.9238</v>
      </c>
      <c r="K767" s="49" t="s">
        <v>281</v>
      </c>
      <c r="L767" s="49"/>
      <c r="M767" s="49"/>
      <c r="N767" s="49"/>
      <c r="O767" s="49"/>
      <c r="P767" s="49"/>
      <c r="Q767" s="49"/>
      <c r="R767" s="49"/>
      <c r="S767" s="49" t="n">
        <v>0</v>
      </c>
      <c r="T767" s="49" t="n">
        <v>0</v>
      </c>
      <c r="U767" s="49" t="s">
        <v>1795</v>
      </c>
    </row>
    <row r="768" customFormat="false" ht="15" hidden="false" customHeight="false" outlineLevel="0" collapsed="false">
      <c r="B768" s="48" t="n">
        <v>45227.2397916667</v>
      </c>
      <c r="C768" s="4" t="n">
        <f aca="false">YEAR(B768)</f>
        <v>2023</v>
      </c>
      <c r="D768" s="49" t="s">
        <v>283</v>
      </c>
      <c r="E768" s="49" t="s">
        <v>1796</v>
      </c>
      <c r="F768" s="50" t="n">
        <v>1</v>
      </c>
      <c r="G768" s="49" t="s">
        <v>287</v>
      </c>
      <c r="H768" s="51" t="n">
        <v>0.007</v>
      </c>
      <c r="I768" s="51" t="n">
        <v>0.2978</v>
      </c>
      <c r="J768" s="51" t="n">
        <v>0.6952</v>
      </c>
      <c r="K768" s="49" t="s">
        <v>281</v>
      </c>
      <c r="L768" s="49"/>
      <c r="M768" s="49"/>
      <c r="N768" s="49"/>
      <c r="O768" s="49"/>
      <c r="P768" s="49"/>
      <c r="Q768" s="49"/>
      <c r="R768" s="49"/>
      <c r="S768" s="49" t="n">
        <v>0</v>
      </c>
      <c r="T768" s="49" t="n">
        <v>0</v>
      </c>
      <c r="U768" s="49" t="s">
        <v>1797</v>
      </c>
    </row>
    <row r="769" customFormat="false" ht="15" hidden="false" customHeight="false" outlineLevel="0" collapsed="false">
      <c r="B769" s="48" t="n">
        <v>45227.7083101852</v>
      </c>
      <c r="C769" s="4" t="n">
        <f aca="false">YEAR(B769)</f>
        <v>2023</v>
      </c>
      <c r="D769" s="49" t="s">
        <v>283</v>
      </c>
      <c r="E769" s="49" t="s">
        <v>1798</v>
      </c>
      <c r="F769" s="50" t="n">
        <v>1</v>
      </c>
      <c r="G769" s="49" t="s">
        <v>280</v>
      </c>
      <c r="H769" s="51" t="n">
        <v>0.5813</v>
      </c>
      <c r="I769" s="51" t="n">
        <v>0.3832</v>
      </c>
      <c r="J769" s="51" t="n">
        <v>0.0355</v>
      </c>
      <c r="K769" s="49"/>
      <c r="L769" s="49"/>
      <c r="M769" s="49"/>
      <c r="N769" s="49"/>
      <c r="O769" s="49"/>
      <c r="P769" s="49"/>
      <c r="Q769" s="49"/>
      <c r="R769" s="49"/>
      <c r="S769" s="49" t="n">
        <v>0</v>
      </c>
      <c r="T769" s="49" t="n">
        <v>0</v>
      </c>
      <c r="U769" s="49" t="s">
        <v>1799</v>
      </c>
    </row>
    <row r="770" customFormat="false" ht="15" hidden="false" customHeight="false" outlineLevel="0" collapsed="false">
      <c r="B770" s="48" t="n">
        <v>45227.8252662037</v>
      </c>
      <c r="C770" s="4" t="n">
        <f aca="false">YEAR(B770)</f>
        <v>2023</v>
      </c>
      <c r="D770" s="49" t="s">
        <v>283</v>
      </c>
      <c r="E770" s="49" t="s">
        <v>1800</v>
      </c>
      <c r="F770" s="50" t="n">
        <v>2</v>
      </c>
      <c r="G770" s="49" t="s">
        <v>290</v>
      </c>
      <c r="H770" s="51" t="n">
        <v>0.1988</v>
      </c>
      <c r="I770" s="51" t="n">
        <v>0.7606</v>
      </c>
      <c r="J770" s="51" t="n">
        <v>0.0406</v>
      </c>
      <c r="K770" s="49"/>
      <c r="L770" s="49"/>
      <c r="M770" s="49"/>
      <c r="N770" s="49"/>
      <c r="O770" s="49"/>
      <c r="P770" s="49"/>
      <c r="Q770" s="49"/>
      <c r="R770" s="49"/>
      <c r="S770" s="49" t="n">
        <v>0</v>
      </c>
      <c r="T770" s="49" t="n">
        <v>0</v>
      </c>
      <c r="U770" s="49" t="s">
        <v>1801</v>
      </c>
    </row>
    <row r="771" customFormat="false" ht="15" hidden="false" customHeight="false" outlineLevel="0" collapsed="false">
      <c r="B771" s="48" t="n">
        <v>45228.3172106482</v>
      </c>
      <c r="C771" s="4" t="n">
        <f aca="false">YEAR(B771)</f>
        <v>2023</v>
      </c>
      <c r="D771" s="49" t="s">
        <v>283</v>
      </c>
      <c r="E771" s="49" t="s">
        <v>1802</v>
      </c>
      <c r="F771" s="50" t="n">
        <v>4</v>
      </c>
      <c r="G771" s="49" t="s">
        <v>290</v>
      </c>
      <c r="H771" s="51" t="n">
        <v>0.45</v>
      </c>
      <c r="I771" s="51" t="n">
        <v>0.5095</v>
      </c>
      <c r="J771" s="51" t="n">
        <v>0.0405</v>
      </c>
      <c r="K771" s="49"/>
      <c r="L771" s="49"/>
      <c r="M771" s="49"/>
      <c r="N771" s="49"/>
      <c r="O771" s="49"/>
      <c r="P771" s="49"/>
      <c r="Q771" s="49"/>
      <c r="R771" s="49"/>
      <c r="S771" s="49" t="n">
        <v>0</v>
      </c>
      <c r="T771" s="49" t="n">
        <v>0</v>
      </c>
      <c r="U771" s="49" t="s">
        <v>1803</v>
      </c>
    </row>
    <row r="772" customFormat="false" ht="15" hidden="false" customHeight="false" outlineLevel="0" collapsed="false">
      <c r="B772" s="48" t="n">
        <v>45228.6470949074</v>
      </c>
      <c r="C772" s="4" t="n">
        <f aca="false">YEAR(B772)</f>
        <v>2023</v>
      </c>
      <c r="D772" s="49" t="s">
        <v>283</v>
      </c>
      <c r="E772" s="49" t="s">
        <v>1804</v>
      </c>
      <c r="F772" s="50" t="n">
        <v>11</v>
      </c>
      <c r="G772" s="49" t="s">
        <v>290</v>
      </c>
      <c r="H772" s="51" t="n">
        <v>0.1586</v>
      </c>
      <c r="I772" s="51" t="n">
        <v>0.6101</v>
      </c>
      <c r="J772" s="51" t="n">
        <v>0.2314</v>
      </c>
      <c r="K772" s="49" t="s">
        <v>281</v>
      </c>
      <c r="L772" s="49"/>
      <c r="M772" s="49"/>
      <c r="N772" s="49"/>
      <c r="O772" s="49"/>
      <c r="P772" s="49"/>
      <c r="Q772" s="49"/>
      <c r="R772" s="49" t="s">
        <v>281</v>
      </c>
      <c r="S772" s="49" t="n">
        <v>0</v>
      </c>
      <c r="T772" s="49" t="n">
        <v>0</v>
      </c>
      <c r="U772" s="49" t="s">
        <v>1805</v>
      </c>
    </row>
    <row r="773" customFormat="false" ht="15" hidden="false" customHeight="false" outlineLevel="0" collapsed="false">
      <c r="B773" s="48" t="n">
        <v>45228.7528009259</v>
      </c>
      <c r="C773" s="4" t="n">
        <f aca="false">YEAR(B773)</f>
        <v>2023</v>
      </c>
      <c r="D773" s="49" t="s">
        <v>283</v>
      </c>
      <c r="E773" s="49" t="s">
        <v>1806</v>
      </c>
      <c r="F773" s="50" t="n">
        <v>7</v>
      </c>
      <c r="G773" s="49" t="s">
        <v>280</v>
      </c>
      <c r="H773" s="51" t="n">
        <v>0.5852</v>
      </c>
      <c r="I773" s="51" t="n">
        <v>0.3903</v>
      </c>
      <c r="J773" s="51" t="n">
        <v>0.0245</v>
      </c>
      <c r="K773" s="49"/>
      <c r="L773" s="49"/>
      <c r="M773" s="49"/>
      <c r="N773" s="49"/>
      <c r="O773" s="49"/>
      <c r="P773" s="49"/>
      <c r="Q773" s="49"/>
      <c r="R773" s="49"/>
      <c r="S773" s="49" t="n">
        <v>0</v>
      </c>
      <c r="T773" s="49" t="n">
        <v>0</v>
      </c>
      <c r="U773" s="49" t="s">
        <v>1807</v>
      </c>
    </row>
    <row r="774" customFormat="false" ht="15" hidden="false" customHeight="false" outlineLevel="0" collapsed="false">
      <c r="B774" s="48" t="n">
        <v>45228.7955671296</v>
      </c>
      <c r="C774" s="4" t="n">
        <f aca="false">YEAR(B774)</f>
        <v>2023</v>
      </c>
      <c r="D774" s="49" t="s">
        <v>278</v>
      </c>
      <c r="E774" s="49" t="s">
        <v>1808</v>
      </c>
      <c r="F774" s="50" t="n">
        <v>132</v>
      </c>
      <c r="G774" s="49" t="s">
        <v>287</v>
      </c>
      <c r="H774" s="51" t="n">
        <v>0.0053</v>
      </c>
      <c r="I774" s="51" t="n">
        <v>0.0136</v>
      </c>
      <c r="J774" s="51" t="n">
        <v>0.9811</v>
      </c>
      <c r="K774" s="49"/>
      <c r="L774" s="49"/>
      <c r="M774" s="49"/>
      <c r="N774" s="49"/>
      <c r="O774" s="49"/>
      <c r="P774" s="49" t="s">
        <v>281</v>
      </c>
      <c r="Q774" s="49"/>
      <c r="R774" s="49" t="s">
        <v>281</v>
      </c>
      <c r="S774" s="49" t="n">
        <v>0</v>
      </c>
      <c r="T774" s="49" t="n">
        <v>0</v>
      </c>
      <c r="U774" s="49" t="s">
        <v>1809</v>
      </c>
    </row>
    <row r="775" customFormat="false" ht="15" hidden="false" customHeight="false" outlineLevel="0" collapsed="false">
      <c r="B775" s="48" t="n">
        <v>45228.9607060185</v>
      </c>
      <c r="C775" s="4" t="n">
        <f aca="false">YEAR(B775)</f>
        <v>2023</v>
      </c>
      <c r="D775" s="49" t="s">
        <v>278</v>
      </c>
      <c r="E775" s="49" t="s">
        <v>1810</v>
      </c>
      <c r="F775" s="50" t="n">
        <v>8</v>
      </c>
      <c r="G775" s="49" t="s">
        <v>287</v>
      </c>
      <c r="H775" s="51" t="n">
        <v>0.0275</v>
      </c>
      <c r="I775" s="51" t="n">
        <v>0.1304</v>
      </c>
      <c r="J775" s="51" t="n">
        <v>0.8421</v>
      </c>
      <c r="K775" s="49"/>
      <c r="L775" s="49"/>
      <c r="M775" s="49"/>
      <c r="N775" s="49"/>
      <c r="O775" s="49"/>
      <c r="P775" s="49"/>
      <c r="Q775" s="49"/>
      <c r="R775" s="49" t="s">
        <v>281</v>
      </c>
      <c r="S775" s="49" t="n">
        <v>0</v>
      </c>
      <c r="T775" s="49" t="n">
        <v>0</v>
      </c>
      <c r="U775" s="49" t="s">
        <v>1811</v>
      </c>
    </row>
    <row r="776" customFormat="false" ht="15" hidden="false" customHeight="false" outlineLevel="0" collapsed="false">
      <c r="B776" s="48" t="n">
        <v>45228.9857523148</v>
      </c>
      <c r="C776" s="4" t="n">
        <f aca="false">YEAR(B776)</f>
        <v>2023</v>
      </c>
      <c r="D776" s="49" t="s">
        <v>283</v>
      </c>
      <c r="E776" s="49" t="s">
        <v>1812</v>
      </c>
      <c r="F776" s="50" t="n">
        <v>3</v>
      </c>
      <c r="G776" s="49" t="s">
        <v>287</v>
      </c>
      <c r="H776" s="51" t="n">
        <v>0.0039</v>
      </c>
      <c r="I776" s="51" t="n">
        <v>0.1585</v>
      </c>
      <c r="J776" s="51" t="n">
        <v>0.8376</v>
      </c>
      <c r="K776" s="49"/>
      <c r="L776" s="49"/>
      <c r="M776" s="49"/>
      <c r="N776" s="49"/>
      <c r="O776" s="49"/>
      <c r="P776" s="49"/>
      <c r="Q776" s="49"/>
      <c r="R776" s="49"/>
      <c r="S776" s="49" t="n">
        <v>0</v>
      </c>
      <c r="T776" s="49" t="n">
        <v>0</v>
      </c>
      <c r="U776" s="49" t="s">
        <v>1813</v>
      </c>
    </row>
    <row r="777" customFormat="false" ht="15" hidden="false" customHeight="false" outlineLevel="0" collapsed="false">
      <c r="B777" s="48" t="n">
        <v>45229.4361226852</v>
      </c>
      <c r="C777" s="4" t="n">
        <f aca="false">YEAR(B777)</f>
        <v>2023</v>
      </c>
      <c r="D777" s="49" t="s">
        <v>283</v>
      </c>
      <c r="E777" s="49" t="s">
        <v>1814</v>
      </c>
      <c r="F777" s="50" t="n">
        <v>1</v>
      </c>
      <c r="G777" s="49" t="s">
        <v>290</v>
      </c>
      <c r="H777" s="51" t="n">
        <v>0.008</v>
      </c>
      <c r="I777" s="51" t="n">
        <v>0.6269</v>
      </c>
      <c r="J777" s="51" t="n">
        <v>0.3651</v>
      </c>
      <c r="K777" s="49"/>
      <c r="L777" s="49"/>
      <c r="M777" s="49"/>
      <c r="N777" s="49"/>
      <c r="O777" s="49"/>
      <c r="P777" s="49"/>
      <c r="Q777" s="49"/>
      <c r="R777" s="49" t="s">
        <v>281</v>
      </c>
      <c r="S777" s="49" t="n">
        <v>1</v>
      </c>
      <c r="T777" s="49" t="n">
        <v>0</v>
      </c>
      <c r="U777" s="49" t="s">
        <v>1815</v>
      </c>
    </row>
    <row r="778" customFormat="false" ht="15" hidden="false" customHeight="false" outlineLevel="0" collapsed="false">
      <c r="B778" s="48" t="n">
        <v>45229.5654398148</v>
      </c>
      <c r="C778" s="4" t="n">
        <f aca="false">YEAR(B778)</f>
        <v>2023</v>
      </c>
      <c r="D778" s="49" t="s">
        <v>283</v>
      </c>
      <c r="E778" s="49" t="s">
        <v>1816</v>
      </c>
      <c r="F778" s="50" t="n">
        <v>2</v>
      </c>
      <c r="G778" s="49" t="s">
        <v>280</v>
      </c>
      <c r="H778" s="51" t="n">
        <v>0.8342</v>
      </c>
      <c r="I778" s="51" t="n">
        <v>0.1536</v>
      </c>
      <c r="J778" s="51" t="n">
        <v>0.0122</v>
      </c>
      <c r="K778" s="49"/>
      <c r="L778" s="49"/>
      <c r="M778" s="49"/>
      <c r="N778" s="49"/>
      <c r="O778" s="49"/>
      <c r="P778" s="49"/>
      <c r="Q778" s="49"/>
      <c r="R778" s="49"/>
      <c r="S778" s="49" t="n">
        <v>0</v>
      </c>
      <c r="T778" s="49" t="n">
        <v>0</v>
      </c>
      <c r="U778" s="49" t="s">
        <v>1817</v>
      </c>
    </row>
    <row r="779" customFormat="false" ht="15" hidden="false" customHeight="false" outlineLevel="0" collapsed="false">
      <c r="B779" s="48" t="n">
        <v>45229.9493402778</v>
      </c>
      <c r="C779" s="4" t="n">
        <f aca="false">YEAR(B779)</f>
        <v>2023</v>
      </c>
      <c r="D779" s="49" t="s">
        <v>283</v>
      </c>
      <c r="E779" s="49" t="s">
        <v>1818</v>
      </c>
      <c r="F779" s="50" t="n">
        <v>7</v>
      </c>
      <c r="G779" s="49" t="s">
        <v>280</v>
      </c>
      <c r="H779" s="51" t="n">
        <v>0.7116</v>
      </c>
      <c r="I779" s="51" t="n">
        <v>0.2743</v>
      </c>
      <c r="J779" s="51" t="n">
        <v>0.0141</v>
      </c>
      <c r="K779" s="49" t="s">
        <v>281</v>
      </c>
      <c r="L779" s="49"/>
      <c r="M779" s="49"/>
      <c r="N779" s="49"/>
      <c r="O779" s="49"/>
      <c r="P779" s="49"/>
      <c r="Q779" s="49"/>
      <c r="R779" s="49" t="s">
        <v>281</v>
      </c>
      <c r="S779" s="49" t="n">
        <v>0</v>
      </c>
      <c r="T779" s="49" t="n">
        <v>0</v>
      </c>
      <c r="U779" s="49" t="s">
        <v>1819</v>
      </c>
    </row>
    <row r="780" customFormat="false" ht="15" hidden="false" customHeight="false" outlineLevel="0" collapsed="false">
      <c r="B780" s="48" t="n">
        <v>45230.6602199074</v>
      </c>
      <c r="C780" s="4" t="n">
        <f aca="false">YEAR(B780)</f>
        <v>2023</v>
      </c>
      <c r="D780" s="49" t="s">
        <v>283</v>
      </c>
      <c r="E780" s="49" t="s">
        <v>1820</v>
      </c>
      <c r="F780" s="50" t="n">
        <v>1</v>
      </c>
      <c r="G780" s="49" t="s">
        <v>280</v>
      </c>
      <c r="H780" s="51" t="n">
        <v>0.8566</v>
      </c>
      <c r="I780" s="51" t="n">
        <v>0.133</v>
      </c>
      <c r="J780" s="51" t="n">
        <v>0.0105</v>
      </c>
      <c r="K780" s="49"/>
      <c r="L780" s="49"/>
      <c r="M780" s="49"/>
      <c r="N780" s="49"/>
      <c r="O780" s="49"/>
      <c r="P780" s="49"/>
      <c r="Q780" s="49"/>
      <c r="R780" s="49"/>
      <c r="S780" s="49" t="n">
        <v>0</v>
      </c>
      <c r="T780" s="49" t="n">
        <v>0</v>
      </c>
      <c r="U780" s="49" t="s">
        <v>1821</v>
      </c>
    </row>
    <row r="781" customFormat="false" ht="15" hidden="false" customHeight="false" outlineLevel="0" collapsed="false">
      <c r="B781" s="48" t="n">
        <v>45231.3421990741</v>
      </c>
      <c r="C781" s="4" t="n">
        <f aca="false">YEAR(B781)</f>
        <v>2023</v>
      </c>
      <c r="D781" s="49" t="s">
        <v>278</v>
      </c>
      <c r="E781" s="49" t="s">
        <v>1822</v>
      </c>
      <c r="F781" s="50" t="n">
        <v>2</v>
      </c>
      <c r="G781" s="49" t="s">
        <v>280</v>
      </c>
      <c r="H781" s="51" t="n">
        <v>0.4964</v>
      </c>
      <c r="I781" s="51" t="n">
        <v>0.4549</v>
      </c>
      <c r="J781" s="51" t="n">
        <v>0.0487</v>
      </c>
      <c r="K781" s="49"/>
      <c r="L781" s="49"/>
      <c r="M781" s="49"/>
      <c r="N781" s="49"/>
      <c r="O781" s="49"/>
      <c r="P781" s="49"/>
      <c r="Q781" s="49"/>
      <c r="R781" s="49"/>
      <c r="S781" s="49" t="n">
        <v>0</v>
      </c>
      <c r="T781" s="49" t="n">
        <v>0</v>
      </c>
      <c r="U781" s="49" t="s">
        <v>1823</v>
      </c>
    </row>
    <row r="782" customFormat="false" ht="15" hidden="false" customHeight="false" outlineLevel="0" collapsed="false">
      <c r="B782" s="48" t="n">
        <v>45231.4824189815</v>
      </c>
      <c r="C782" s="4" t="n">
        <f aca="false">YEAR(B782)</f>
        <v>2023</v>
      </c>
      <c r="D782" s="49" t="s">
        <v>278</v>
      </c>
      <c r="E782" s="49" t="s">
        <v>1824</v>
      </c>
      <c r="F782" s="50" t="n">
        <v>3</v>
      </c>
      <c r="G782" s="49" t="s">
        <v>280</v>
      </c>
      <c r="H782" s="51" t="n">
        <v>0.8831</v>
      </c>
      <c r="I782" s="51" t="n">
        <v>0.1082</v>
      </c>
      <c r="J782" s="51" t="n">
        <v>0.0087</v>
      </c>
      <c r="K782" s="49"/>
      <c r="L782" s="49"/>
      <c r="M782" s="49"/>
      <c r="N782" s="49"/>
      <c r="O782" s="49"/>
      <c r="P782" s="49"/>
      <c r="Q782" s="49"/>
      <c r="R782" s="49" t="s">
        <v>281</v>
      </c>
      <c r="S782" s="49" t="n">
        <v>0</v>
      </c>
      <c r="T782" s="49" t="n">
        <v>0</v>
      </c>
      <c r="U782" s="49" t="s">
        <v>1825</v>
      </c>
    </row>
    <row r="783" customFormat="false" ht="15" hidden="false" customHeight="false" outlineLevel="0" collapsed="false">
      <c r="B783" s="48" t="n">
        <v>45231.4968518519</v>
      </c>
      <c r="C783" s="4" t="n">
        <f aca="false">YEAR(B783)</f>
        <v>2023</v>
      </c>
      <c r="D783" s="49" t="s">
        <v>283</v>
      </c>
      <c r="E783" s="49" t="s">
        <v>1826</v>
      </c>
      <c r="F783" s="50" t="n">
        <v>1</v>
      </c>
      <c r="G783" s="49" t="s">
        <v>280</v>
      </c>
      <c r="H783" s="51" t="n">
        <v>0.8861</v>
      </c>
      <c r="I783" s="51" t="n">
        <v>0.1003</v>
      </c>
      <c r="J783" s="51" t="n">
        <v>0.0136</v>
      </c>
      <c r="K783" s="49"/>
      <c r="L783" s="49"/>
      <c r="M783" s="49"/>
      <c r="N783" s="49"/>
      <c r="O783" s="49"/>
      <c r="P783" s="49"/>
      <c r="Q783" s="49"/>
      <c r="R783" s="49" t="s">
        <v>281</v>
      </c>
      <c r="S783" s="49" t="n">
        <v>0</v>
      </c>
      <c r="T783" s="49" t="n">
        <v>1</v>
      </c>
      <c r="U783" s="49" t="s">
        <v>1827</v>
      </c>
    </row>
    <row r="784" customFormat="false" ht="15" hidden="false" customHeight="false" outlineLevel="0" collapsed="false">
      <c r="B784" s="48" t="n">
        <v>45231.6603703704</v>
      </c>
      <c r="C784" s="4" t="n">
        <f aca="false">YEAR(B784)</f>
        <v>2023</v>
      </c>
      <c r="D784" s="49" t="s">
        <v>283</v>
      </c>
      <c r="E784" s="49" t="s">
        <v>1828</v>
      </c>
      <c r="F784" s="50" t="n">
        <v>1</v>
      </c>
      <c r="G784" s="49" t="s">
        <v>287</v>
      </c>
      <c r="H784" s="51" t="n">
        <v>0.0029</v>
      </c>
      <c r="I784" s="51" t="n">
        <v>0.2249</v>
      </c>
      <c r="J784" s="51" t="n">
        <v>0.7722</v>
      </c>
      <c r="K784" s="49"/>
      <c r="L784" s="49"/>
      <c r="M784" s="49"/>
      <c r="N784" s="49"/>
      <c r="O784" s="49"/>
      <c r="P784" s="49"/>
      <c r="Q784" s="49"/>
      <c r="R784" s="49"/>
      <c r="S784" s="49" t="n">
        <v>0</v>
      </c>
      <c r="T784" s="49" t="n">
        <v>0</v>
      </c>
      <c r="U784" s="49" t="s">
        <v>1829</v>
      </c>
    </row>
    <row r="785" customFormat="false" ht="15" hidden="false" customHeight="false" outlineLevel="0" collapsed="false">
      <c r="B785" s="48" t="n">
        <v>45232.1117939815</v>
      </c>
      <c r="C785" s="4" t="n">
        <f aca="false">YEAR(B785)</f>
        <v>2023</v>
      </c>
      <c r="D785" s="49" t="s">
        <v>283</v>
      </c>
      <c r="E785" s="49" t="s">
        <v>1830</v>
      </c>
      <c r="F785" s="50" t="n">
        <v>1</v>
      </c>
      <c r="G785" s="49" t="s">
        <v>290</v>
      </c>
      <c r="H785" s="51" t="n">
        <v>0.3106</v>
      </c>
      <c r="I785" s="51" t="n">
        <v>0.6218</v>
      </c>
      <c r="J785" s="51" t="n">
        <v>0.0675</v>
      </c>
      <c r="K785" s="49"/>
      <c r="L785" s="49"/>
      <c r="M785" s="49"/>
      <c r="N785" s="49"/>
      <c r="O785" s="49"/>
      <c r="P785" s="49"/>
      <c r="Q785" s="49"/>
      <c r="R785" s="49"/>
      <c r="S785" s="49" t="n">
        <v>0</v>
      </c>
      <c r="T785" s="49" t="n">
        <v>0</v>
      </c>
      <c r="U785" s="49" t="s">
        <v>1831</v>
      </c>
    </row>
    <row r="786" customFormat="false" ht="15" hidden="false" customHeight="false" outlineLevel="0" collapsed="false">
      <c r="B786" s="48" t="n">
        <v>45232.351400463</v>
      </c>
      <c r="C786" s="4" t="n">
        <f aca="false">YEAR(B786)</f>
        <v>2023</v>
      </c>
      <c r="D786" s="49" t="s">
        <v>283</v>
      </c>
      <c r="E786" s="49" t="s">
        <v>1832</v>
      </c>
      <c r="F786" s="50" t="n">
        <v>1</v>
      </c>
      <c r="G786" s="49" t="s">
        <v>287</v>
      </c>
      <c r="H786" s="51" t="n">
        <v>0.0087</v>
      </c>
      <c r="I786" s="51" t="n">
        <v>0.3125</v>
      </c>
      <c r="J786" s="51" t="n">
        <v>0.6788</v>
      </c>
      <c r="K786" s="49"/>
      <c r="L786" s="49"/>
      <c r="M786" s="49"/>
      <c r="N786" s="49"/>
      <c r="O786" s="49"/>
      <c r="P786" s="49"/>
      <c r="Q786" s="49"/>
      <c r="R786" s="49"/>
      <c r="S786" s="49" t="n">
        <v>0</v>
      </c>
      <c r="T786" s="49" t="n">
        <v>0</v>
      </c>
      <c r="U786" s="49" t="s">
        <v>1833</v>
      </c>
    </row>
    <row r="787" customFormat="false" ht="15" hidden="false" customHeight="false" outlineLevel="0" collapsed="false">
      <c r="B787" s="48" t="n">
        <v>45232.6309837963</v>
      </c>
      <c r="C787" s="4" t="n">
        <f aca="false">YEAR(B787)</f>
        <v>2023</v>
      </c>
      <c r="D787" s="49" t="s">
        <v>278</v>
      </c>
      <c r="E787" s="49" t="s">
        <v>1834</v>
      </c>
      <c r="F787" s="50" t="n">
        <v>24</v>
      </c>
      <c r="G787" s="49" t="s">
        <v>280</v>
      </c>
      <c r="H787" s="51" t="n">
        <v>0.7944</v>
      </c>
      <c r="I787" s="51" t="n">
        <v>0.1895</v>
      </c>
      <c r="J787" s="51" t="n">
        <v>0.0161</v>
      </c>
      <c r="K787" s="49"/>
      <c r="L787" s="49"/>
      <c r="M787" s="49"/>
      <c r="N787" s="49"/>
      <c r="O787" s="49"/>
      <c r="P787" s="49"/>
      <c r="Q787" s="49"/>
      <c r="R787" s="49"/>
      <c r="S787" s="49" t="n">
        <v>0</v>
      </c>
      <c r="T787" s="49" t="n">
        <v>0</v>
      </c>
      <c r="U787" s="49" t="s">
        <v>1835</v>
      </c>
    </row>
    <row r="788" customFormat="false" ht="15" hidden="false" customHeight="false" outlineLevel="0" collapsed="false">
      <c r="B788" s="48" t="n">
        <v>45233.3285300926</v>
      </c>
      <c r="C788" s="4" t="n">
        <f aca="false">YEAR(B788)</f>
        <v>2023</v>
      </c>
      <c r="D788" s="49" t="s">
        <v>283</v>
      </c>
      <c r="E788" s="49" t="s">
        <v>1836</v>
      </c>
      <c r="F788" s="50" t="n">
        <v>1</v>
      </c>
      <c r="G788" s="49" t="s">
        <v>290</v>
      </c>
      <c r="H788" s="51" t="n">
        <v>0.2583</v>
      </c>
      <c r="I788" s="51" t="n">
        <v>0.718</v>
      </c>
      <c r="J788" s="51" t="n">
        <v>0.0238</v>
      </c>
      <c r="K788" s="49"/>
      <c r="L788" s="49"/>
      <c r="M788" s="49"/>
      <c r="N788" s="49"/>
      <c r="O788" s="49"/>
      <c r="P788" s="49"/>
      <c r="Q788" s="49"/>
      <c r="R788" s="49"/>
      <c r="S788" s="49" t="n">
        <v>0</v>
      </c>
      <c r="T788" s="49" t="n">
        <v>0</v>
      </c>
      <c r="U788" s="49" t="s">
        <v>1837</v>
      </c>
    </row>
    <row r="789" customFormat="false" ht="15" hidden="false" customHeight="false" outlineLevel="0" collapsed="false">
      <c r="B789" s="48" t="n">
        <v>45233.3648726852</v>
      </c>
      <c r="C789" s="4" t="n">
        <f aca="false">YEAR(B789)</f>
        <v>2023</v>
      </c>
      <c r="D789" s="49" t="s">
        <v>283</v>
      </c>
      <c r="E789" s="49" t="s">
        <v>1838</v>
      </c>
      <c r="F789" s="50" t="n">
        <v>1</v>
      </c>
      <c r="G789" s="49" t="s">
        <v>280</v>
      </c>
      <c r="H789" s="51" t="n">
        <v>0.6346</v>
      </c>
      <c r="I789" s="51" t="n">
        <v>0.3419</v>
      </c>
      <c r="J789" s="51" t="n">
        <v>0.0235</v>
      </c>
      <c r="K789" s="49"/>
      <c r="L789" s="49"/>
      <c r="M789" s="49"/>
      <c r="N789" s="49"/>
      <c r="O789" s="49"/>
      <c r="P789" s="49"/>
      <c r="Q789" s="49"/>
      <c r="R789" s="49"/>
      <c r="S789" s="49" t="n">
        <v>0</v>
      </c>
      <c r="T789" s="49" t="n">
        <v>0</v>
      </c>
      <c r="U789" s="49" t="s">
        <v>1839</v>
      </c>
    </row>
    <row r="790" customFormat="false" ht="15" hidden="false" customHeight="false" outlineLevel="0" collapsed="false">
      <c r="B790" s="48" t="n">
        <v>45233.5472569445</v>
      </c>
      <c r="C790" s="4" t="n">
        <f aca="false">YEAR(B790)</f>
        <v>2023</v>
      </c>
      <c r="D790" s="49" t="s">
        <v>283</v>
      </c>
      <c r="E790" s="49" t="s">
        <v>1840</v>
      </c>
      <c r="F790" s="50" t="n">
        <v>2</v>
      </c>
      <c r="G790" s="49" t="s">
        <v>280</v>
      </c>
      <c r="H790" s="51" t="n">
        <v>0.5193</v>
      </c>
      <c r="I790" s="51" t="n">
        <v>0.3433</v>
      </c>
      <c r="J790" s="51" t="n">
        <v>0.1375</v>
      </c>
      <c r="K790" s="49"/>
      <c r="L790" s="49"/>
      <c r="M790" s="49"/>
      <c r="N790" s="49"/>
      <c r="O790" s="49"/>
      <c r="P790" s="49"/>
      <c r="Q790" s="49"/>
      <c r="R790" s="49" t="s">
        <v>281</v>
      </c>
      <c r="S790" s="49" t="n">
        <v>0</v>
      </c>
      <c r="T790" s="49" t="n">
        <v>0</v>
      </c>
      <c r="U790" s="49" t="s">
        <v>1841</v>
      </c>
    </row>
    <row r="791" customFormat="false" ht="15" hidden="false" customHeight="false" outlineLevel="0" collapsed="false">
      <c r="B791" s="48" t="n">
        <v>45234.0443171296</v>
      </c>
      <c r="C791" s="4" t="n">
        <f aca="false">YEAR(B791)</f>
        <v>2023</v>
      </c>
      <c r="D791" s="49" t="s">
        <v>283</v>
      </c>
      <c r="E791" s="49" t="s">
        <v>1842</v>
      </c>
      <c r="F791" s="50" t="n">
        <v>115</v>
      </c>
      <c r="G791" s="49" t="s">
        <v>290</v>
      </c>
      <c r="H791" s="51" t="n">
        <v>0.0536</v>
      </c>
      <c r="I791" s="51" t="n">
        <v>0.4802</v>
      </c>
      <c r="J791" s="51" t="n">
        <v>0.4662</v>
      </c>
      <c r="K791" s="49"/>
      <c r="L791" s="49"/>
      <c r="M791" s="49"/>
      <c r="N791" s="49"/>
      <c r="O791" s="49"/>
      <c r="P791" s="49"/>
      <c r="Q791" s="49"/>
      <c r="R791" s="49"/>
      <c r="S791" s="49" t="n">
        <v>0</v>
      </c>
      <c r="T791" s="49" t="n">
        <v>0</v>
      </c>
      <c r="U791" s="49" t="s">
        <v>1843</v>
      </c>
    </row>
    <row r="792" customFormat="false" ht="15" hidden="false" customHeight="false" outlineLevel="0" collapsed="false">
      <c r="B792" s="48" t="n">
        <v>45234.6570138889</v>
      </c>
      <c r="C792" s="4" t="n">
        <f aca="false">YEAR(B792)</f>
        <v>2023</v>
      </c>
      <c r="D792" s="49" t="s">
        <v>283</v>
      </c>
      <c r="E792" s="49" t="s">
        <v>1844</v>
      </c>
      <c r="F792" s="50" t="n">
        <v>1</v>
      </c>
      <c r="G792" s="49" t="s">
        <v>287</v>
      </c>
      <c r="H792" s="51" t="n">
        <v>0.0056</v>
      </c>
      <c r="I792" s="51" t="n">
        <v>0.0346</v>
      </c>
      <c r="J792" s="51" t="n">
        <v>0.9599</v>
      </c>
      <c r="K792" s="49"/>
      <c r="L792" s="49"/>
      <c r="M792" s="49"/>
      <c r="N792" s="49"/>
      <c r="O792" s="49"/>
      <c r="P792" s="49" t="s">
        <v>281</v>
      </c>
      <c r="Q792" s="49"/>
      <c r="R792" s="49"/>
      <c r="S792" s="49" t="n">
        <v>0</v>
      </c>
      <c r="T792" s="49" t="n">
        <v>0</v>
      </c>
      <c r="U792" s="49" t="s">
        <v>1845</v>
      </c>
    </row>
    <row r="793" customFormat="false" ht="15" hidden="false" customHeight="false" outlineLevel="0" collapsed="false">
      <c r="B793" s="48" t="n">
        <v>45234.8726851852</v>
      </c>
      <c r="C793" s="4" t="n">
        <f aca="false">YEAR(B793)</f>
        <v>2023</v>
      </c>
      <c r="D793" s="49" t="s">
        <v>283</v>
      </c>
      <c r="E793" s="49" t="s">
        <v>1846</v>
      </c>
      <c r="F793" s="50" t="n">
        <v>10</v>
      </c>
      <c r="G793" s="49" t="s">
        <v>290</v>
      </c>
      <c r="H793" s="51" t="n">
        <v>0.1656</v>
      </c>
      <c r="I793" s="51" t="n">
        <v>0.4415</v>
      </c>
      <c r="J793" s="51" t="n">
        <v>0.393</v>
      </c>
      <c r="K793" s="49"/>
      <c r="L793" s="49"/>
      <c r="M793" s="49"/>
      <c r="N793" s="49"/>
      <c r="O793" s="49"/>
      <c r="P793" s="49"/>
      <c r="Q793" s="49"/>
      <c r="R793" s="49"/>
      <c r="S793" s="49" t="n">
        <v>0</v>
      </c>
      <c r="T793" s="49" t="n">
        <v>0</v>
      </c>
      <c r="U793" s="49" t="s">
        <v>1847</v>
      </c>
    </row>
    <row r="794" customFormat="false" ht="15" hidden="false" customHeight="false" outlineLevel="0" collapsed="false">
      <c r="B794" s="48" t="n">
        <v>45234.9468634259</v>
      </c>
      <c r="C794" s="4" t="n">
        <f aca="false">YEAR(B794)</f>
        <v>2023</v>
      </c>
      <c r="D794" s="49" t="s">
        <v>283</v>
      </c>
      <c r="E794" s="49" t="s">
        <v>1848</v>
      </c>
      <c r="F794" s="50" t="n">
        <v>333</v>
      </c>
      <c r="G794" s="49" t="s">
        <v>290</v>
      </c>
      <c r="H794" s="51" t="n">
        <v>0.0055</v>
      </c>
      <c r="I794" s="51" t="n">
        <v>0.9298</v>
      </c>
      <c r="J794" s="51" t="n">
        <v>0.0646</v>
      </c>
      <c r="K794" s="49"/>
      <c r="L794" s="49"/>
      <c r="M794" s="49"/>
      <c r="N794" s="49"/>
      <c r="O794" s="49"/>
      <c r="P794" s="49"/>
      <c r="Q794" s="49"/>
      <c r="R794" s="49"/>
      <c r="S794" s="49" t="n">
        <v>0</v>
      </c>
      <c r="T794" s="49" t="n">
        <v>0</v>
      </c>
      <c r="U794" s="49" t="s">
        <v>1849</v>
      </c>
    </row>
    <row r="795" customFormat="false" ht="15" hidden="false" customHeight="false" outlineLevel="0" collapsed="false">
      <c r="B795" s="48" t="n">
        <v>45235.171412037</v>
      </c>
      <c r="C795" s="4" t="n">
        <f aca="false">YEAR(B795)</f>
        <v>2023</v>
      </c>
      <c r="D795" s="49" t="s">
        <v>283</v>
      </c>
      <c r="E795" s="49" t="s">
        <v>1850</v>
      </c>
      <c r="F795" s="50" t="n">
        <v>1</v>
      </c>
      <c r="G795" s="49" t="s">
        <v>280</v>
      </c>
      <c r="H795" s="51" t="n">
        <v>0.5789</v>
      </c>
      <c r="I795" s="51" t="n">
        <v>0.401</v>
      </c>
      <c r="J795" s="51" t="n">
        <v>0.02</v>
      </c>
      <c r="K795" s="49" t="s">
        <v>281</v>
      </c>
      <c r="L795" s="49"/>
      <c r="M795" s="49"/>
      <c r="N795" s="49"/>
      <c r="O795" s="49"/>
      <c r="P795" s="49"/>
      <c r="Q795" s="49"/>
      <c r="R795" s="49"/>
      <c r="S795" s="49" t="n">
        <v>0</v>
      </c>
      <c r="T795" s="49" t="n">
        <v>0</v>
      </c>
      <c r="U795" s="49" t="s">
        <v>1851</v>
      </c>
    </row>
    <row r="796" customFormat="false" ht="15" hidden="false" customHeight="false" outlineLevel="0" collapsed="false">
      <c r="B796" s="48" t="n">
        <v>45235.2952199074</v>
      </c>
      <c r="C796" s="4" t="n">
        <f aca="false">YEAR(B796)</f>
        <v>2023</v>
      </c>
      <c r="D796" s="49" t="s">
        <v>283</v>
      </c>
      <c r="E796" s="49" t="s">
        <v>1852</v>
      </c>
      <c r="F796" s="50" t="n">
        <v>2</v>
      </c>
      <c r="G796" s="49" t="s">
        <v>290</v>
      </c>
      <c r="H796" s="51" t="n">
        <v>0.0171</v>
      </c>
      <c r="I796" s="51" t="n">
        <v>0.9133</v>
      </c>
      <c r="J796" s="51" t="n">
        <v>0.0696</v>
      </c>
      <c r="K796" s="49"/>
      <c r="L796" s="49"/>
      <c r="M796" s="49"/>
      <c r="N796" s="49"/>
      <c r="O796" s="49"/>
      <c r="P796" s="49"/>
      <c r="Q796" s="49"/>
      <c r="R796" s="49"/>
      <c r="S796" s="49" t="n">
        <v>0</v>
      </c>
      <c r="T796" s="49" t="n">
        <v>0</v>
      </c>
      <c r="U796" s="49" t="s">
        <v>1853</v>
      </c>
    </row>
    <row r="797" customFormat="false" ht="15" hidden="false" customHeight="false" outlineLevel="0" collapsed="false">
      <c r="B797" s="48" t="n">
        <v>45235.3821296296</v>
      </c>
      <c r="C797" s="4" t="n">
        <f aca="false">YEAR(B797)</f>
        <v>2023</v>
      </c>
      <c r="D797" s="49" t="s">
        <v>283</v>
      </c>
      <c r="E797" s="49" t="s">
        <v>1854</v>
      </c>
      <c r="F797" s="50" t="n">
        <v>2</v>
      </c>
      <c r="G797" s="49" t="s">
        <v>290</v>
      </c>
      <c r="H797" s="51" t="n">
        <v>0.0677</v>
      </c>
      <c r="I797" s="51" t="n">
        <v>0.7934</v>
      </c>
      <c r="J797" s="51" t="n">
        <v>0.1389</v>
      </c>
      <c r="K797" s="49"/>
      <c r="L797" s="49"/>
      <c r="M797" s="49"/>
      <c r="N797" s="49"/>
      <c r="O797" s="49"/>
      <c r="P797" s="49"/>
      <c r="Q797" s="49"/>
      <c r="R797" s="49"/>
      <c r="S797" s="49" t="n">
        <v>0</v>
      </c>
      <c r="T797" s="49" t="n">
        <v>0</v>
      </c>
      <c r="U797" s="49" t="s">
        <v>1855</v>
      </c>
    </row>
    <row r="798" customFormat="false" ht="15" hidden="false" customHeight="false" outlineLevel="0" collapsed="false">
      <c r="B798" s="48" t="n">
        <v>45235.5617592593</v>
      </c>
      <c r="C798" s="4" t="n">
        <f aca="false">YEAR(B798)</f>
        <v>2023</v>
      </c>
      <c r="D798" s="49" t="s">
        <v>283</v>
      </c>
      <c r="E798" s="49" t="s">
        <v>1856</v>
      </c>
      <c r="F798" s="50" t="n">
        <v>1</v>
      </c>
      <c r="G798" s="49" t="s">
        <v>287</v>
      </c>
      <c r="H798" s="51" t="n">
        <v>0.0078</v>
      </c>
      <c r="I798" s="51" t="n">
        <v>0.3701</v>
      </c>
      <c r="J798" s="51" t="n">
        <v>0.6222</v>
      </c>
      <c r="K798" s="49"/>
      <c r="L798" s="49"/>
      <c r="M798" s="49"/>
      <c r="N798" s="49"/>
      <c r="O798" s="49"/>
      <c r="P798" s="49"/>
      <c r="Q798" s="49"/>
      <c r="R798" s="49"/>
      <c r="S798" s="49" t="n">
        <v>0</v>
      </c>
      <c r="T798" s="49" t="n">
        <v>0</v>
      </c>
      <c r="U798" s="49" t="s">
        <v>1857</v>
      </c>
    </row>
    <row r="799" customFormat="false" ht="15" hidden="false" customHeight="false" outlineLevel="0" collapsed="false">
      <c r="B799" s="48" t="n">
        <v>45235.5624652778</v>
      </c>
      <c r="C799" s="4" t="n">
        <f aca="false">YEAR(B799)</f>
        <v>2023</v>
      </c>
      <c r="D799" s="49" t="s">
        <v>283</v>
      </c>
      <c r="E799" s="49" t="s">
        <v>1858</v>
      </c>
      <c r="F799" s="50" t="n">
        <v>11</v>
      </c>
      <c r="G799" s="49" t="s">
        <v>290</v>
      </c>
      <c r="H799" s="51" t="n">
        <v>0.0198</v>
      </c>
      <c r="I799" s="51" t="n">
        <v>0.6411</v>
      </c>
      <c r="J799" s="51" t="n">
        <v>0.3391</v>
      </c>
      <c r="K799" s="49"/>
      <c r="L799" s="49"/>
      <c r="M799" s="49"/>
      <c r="N799" s="49"/>
      <c r="O799" s="49"/>
      <c r="P799" s="49"/>
      <c r="Q799" s="49"/>
      <c r="R799" s="49"/>
      <c r="S799" s="49" t="n">
        <v>0</v>
      </c>
      <c r="T799" s="49" t="n">
        <v>0</v>
      </c>
      <c r="U799" s="49" t="s">
        <v>1859</v>
      </c>
    </row>
    <row r="800" customFormat="false" ht="15" hidden="false" customHeight="false" outlineLevel="0" collapsed="false">
      <c r="B800" s="48" t="n">
        <v>45235.8219212963</v>
      </c>
      <c r="C800" s="4" t="n">
        <f aca="false">YEAR(B800)</f>
        <v>2023</v>
      </c>
      <c r="D800" s="49" t="s">
        <v>283</v>
      </c>
      <c r="E800" s="49" t="s">
        <v>1860</v>
      </c>
      <c r="F800" s="50" t="n">
        <v>4</v>
      </c>
      <c r="G800" s="49" t="s">
        <v>287</v>
      </c>
      <c r="H800" s="51" t="n">
        <v>0.0066</v>
      </c>
      <c r="I800" s="51" t="n">
        <v>0.023</v>
      </c>
      <c r="J800" s="51" t="n">
        <v>0.9703</v>
      </c>
      <c r="K800" s="49"/>
      <c r="L800" s="49"/>
      <c r="M800" s="49"/>
      <c r="N800" s="49"/>
      <c r="O800" s="49"/>
      <c r="P800" s="49"/>
      <c r="Q800" s="49"/>
      <c r="R800" s="49"/>
      <c r="S800" s="49" t="n">
        <v>0</v>
      </c>
      <c r="T800" s="49" t="n">
        <v>0</v>
      </c>
      <c r="U800" s="49" t="s">
        <v>1861</v>
      </c>
    </row>
    <row r="801" customFormat="false" ht="15" hidden="false" customHeight="false" outlineLevel="0" collapsed="false">
      <c r="B801" s="48" t="n">
        <v>45236.4236226852</v>
      </c>
      <c r="C801" s="4" t="n">
        <f aca="false">YEAR(B801)</f>
        <v>2023</v>
      </c>
      <c r="D801" s="49" t="s">
        <v>283</v>
      </c>
      <c r="E801" s="49" t="s">
        <v>1862</v>
      </c>
      <c r="F801" s="50" t="n">
        <v>6</v>
      </c>
      <c r="G801" s="49" t="s">
        <v>280</v>
      </c>
      <c r="H801" s="51" t="n">
        <v>0.8749</v>
      </c>
      <c r="I801" s="51" t="n">
        <v>0.1157</v>
      </c>
      <c r="J801" s="51" t="n">
        <v>0.0093</v>
      </c>
      <c r="K801" s="49"/>
      <c r="L801" s="49"/>
      <c r="M801" s="49"/>
      <c r="N801" s="49"/>
      <c r="O801" s="49"/>
      <c r="P801" s="49"/>
      <c r="Q801" s="49"/>
      <c r="R801" s="49" t="s">
        <v>281</v>
      </c>
      <c r="S801" s="49" t="n">
        <v>0</v>
      </c>
      <c r="T801" s="49" t="n">
        <v>0</v>
      </c>
      <c r="U801" s="49" t="s">
        <v>1863</v>
      </c>
    </row>
    <row r="802" customFormat="false" ht="15" hidden="false" customHeight="false" outlineLevel="0" collapsed="false">
      <c r="B802" s="48" t="n">
        <v>45237.1183449074</v>
      </c>
      <c r="C802" s="4" t="n">
        <f aca="false">YEAR(B802)</f>
        <v>2023</v>
      </c>
      <c r="D802" s="49" t="s">
        <v>283</v>
      </c>
      <c r="E802" s="49" t="s">
        <v>1864</v>
      </c>
      <c r="F802" s="50" t="n">
        <v>1</v>
      </c>
      <c r="G802" s="49" t="s">
        <v>290</v>
      </c>
      <c r="H802" s="51" t="n">
        <v>0.3286</v>
      </c>
      <c r="I802" s="51" t="n">
        <v>0.6374</v>
      </c>
      <c r="J802" s="51" t="n">
        <v>0.034</v>
      </c>
      <c r="K802" s="49"/>
      <c r="L802" s="49"/>
      <c r="M802" s="49"/>
      <c r="N802" s="49"/>
      <c r="O802" s="49"/>
      <c r="P802" s="49"/>
      <c r="Q802" s="49"/>
      <c r="R802" s="49"/>
      <c r="S802" s="49" t="n">
        <v>0</v>
      </c>
      <c r="T802" s="49" t="n">
        <v>0</v>
      </c>
      <c r="U802" s="49" t="s">
        <v>1865</v>
      </c>
    </row>
    <row r="803" customFormat="false" ht="15" hidden="false" customHeight="false" outlineLevel="0" collapsed="false">
      <c r="B803" s="48" t="n">
        <v>45237.7340277778</v>
      </c>
      <c r="C803" s="4" t="n">
        <f aca="false">YEAR(B803)</f>
        <v>2023</v>
      </c>
      <c r="D803" s="49" t="s">
        <v>283</v>
      </c>
      <c r="E803" s="49" t="s">
        <v>1866</v>
      </c>
      <c r="F803" s="50" t="n">
        <v>1</v>
      </c>
      <c r="G803" s="49" t="s">
        <v>280</v>
      </c>
      <c r="H803" s="51" t="n">
        <v>0.8402</v>
      </c>
      <c r="I803" s="51" t="n">
        <v>0.1516</v>
      </c>
      <c r="J803" s="51" t="n">
        <v>0.0082</v>
      </c>
      <c r="K803" s="49" t="s">
        <v>281</v>
      </c>
      <c r="L803" s="49"/>
      <c r="M803" s="49"/>
      <c r="N803" s="49"/>
      <c r="O803" s="49"/>
      <c r="P803" s="49"/>
      <c r="Q803" s="49"/>
      <c r="R803" s="49" t="s">
        <v>281</v>
      </c>
      <c r="S803" s="49" t="n">
        <v>0</v>
      </c>
      <c r="T803" s="49" t="n">
        <v>0</v>
      </c>
      <c r="U803" s="49" t="s">
        <v>1867</v>
      </c>
    </row>
    <row r="804" customFormat="false" ht="15" hidden="false" customHeight="false" outlineLevel="0" collapsed="false">
      <c r="B804" s="48" t="n">
        <v>45238.0735648148</v>
      </c>
      <c r="C804" s="4" t="n">
        <f aca="false">YEAR(B804)</f>
        <v>2023</v>
      </c>
      <c r="D804" s="49" t="s">
        <v>283</v>
      </c>
      <c r="E804" s="49" t="s">
        <v>1868</v>
      </c>
      <c r="F804" s="50" t="n">
        <v>1</v>
      </c>
      <c r="G804" s="49" t="s">
        <v>290</v>
      </c>
      <c r="H804" s="51" t="n">
        <v>0.0617</v>
      </c>
      <c r="I804" s="51" t="n">
        <v>0.7429</v>
      </c>
      <c r="J804" s="51" t="n">
        <v>0.1953</v>
      </c>
      <c r="K804" s="49"/>
      <c r="L804" s="49"/>
      <c r="M804" s="49"/>
      <c r="N804" s="49"/>
      <c r="O804" s="49"/>
      <c r="P804" s="49"/>
      <c r="Q804" s="49"/>
      <c r="R804" s="49"/>
      <c r="S804" s="49" t="n">
        <v>0</v>
      </c>
      <c r="T804" s="49" t="n">
        <v>0</v>
      </c>
      <c r="U804" s="49" t="s">
        <v>1869</v>
      </c>
    </row>
    <row r="805" customFormat="false" ht="15" hidden="false" customHeight="false" outlineLevel="0" collapsed="false">
      <c r="B805" s="48" t="n">
        <v>45238.3589583333</v>
      </c>
      <c r="C805" s="4" t="n">
        <f aca="false">YEAR(B805)</f>
        <v>2023</v>
      </c>
      <c r="D805" s="49" t="s">
        <v>283</v>
      </c>
      <c r="E805" s="49" t="s">
        <v>1870</v>
      </c>
      <c r="F805" s="50" t="n">
        <v>1</v>
      </c>
      <c r="G805" s="49" t="s">
        <v>290</v>
      </c>
      <c r="H805" s="51" t="n">
        <v>0.0863</v>
      </c>
      <c r="I805" s="51" t="n">
        <v>0.8543</v>
      </c>
      <c r="J805" s="51" t="n">
        <v>0.0594</v>
      </c>
      <c r="K805" s="49"/>
      <c r="L805" s="49"/>
      <c r="M805" s="49"/>
      <c r="N805" s="49"/>
      <c r="O805" s="49"/>
      <c r="P805" s="49"/>
      <c r="Q805" s="49"/>
      <c r="R805" s="49"/>
      <c r="S805" s="49" t="n">
        <v>1</v>
      </c>
      <c r="T805" s="49" t="n">
        <v>0</v>
      </c>
      <c r="U805" s="49" t="s">
        <v>1871</v>
      </c>
    </row>
    <row r="806" customFormat="false" ht="15" hidden="false" customHeight="false" outlineLevel="0" collapsed="false">
      <c r="B806" s="48" t="n">
        <v>45238.8202662037</v>
      </c>
      <c r="C806" s="4" t="n">
        <f aca="false">YEAR(B806)</f>
        <v>2023</v>
      </c>
      <c r="D806" s="49" t="s">
        <v>283</v>
      </c>
      <c r="E806" s="49" t="s">
        <v>1872</v>
      </c>
      <c r="F806" s="50" t="n">
        <v>5</v>
      </c>
      <c r="G806" s="49" t="s">
        <v>290</v>
      </c>
      <c r="H806" s="51" t="n">
        <v>0.4244</v>
      </c>
      <c r="I806" s="51" t="n">
        <v>0.5261</v>
      </c>
      <c r="J806" s="51" t="n">
        <v>0.0495</v>
      </c>
      <c r="K806" s="49" t="s">
        <v>281</v>
      </c>
      <c r="L806" s="49"/>
      <c r="M806" s="49"/>
      <c r="N806" s="49"/>
      <c r="O806" s="49"/>
      <c r="P806" s="49"/>
      <c r="Q806" s="49" t="s">
        <v>281</v>
      </c>
      <c r="R806" s="49"/>
      <c r="S806" s="49" t="n">
        <v>0</v>
      </c>
      <c r="T806" s="49" t="n">
        <v>0</v>
      </c>
      <c r="U806" s="49" t="s">
        <v>1873</v>
      </c>
    </row>
    <row r="807" customFormat="false" ht="15" hidden="false" customHeight="false" outlineLevel="0" collapsed="false">
      <c r="B807" s="48" t="n">
        <v>45239.7571296296</v>
      </c>
      <c r="C807" s="4" t="n">
        <f aca="false">YEAR(B807)</f>
        <v>2023</v>
      </c>
      <c r="D807" s="49" t="s">
        <v>278</v>
      </c>
      <c r="E807" s="49" t="s">
        <v>1874</v>
      </c>
      <c r="F807" s="50" t="n">
        <v>10</v>
      </c>
      <c r="G807" s="49" t="s">
        <v>280</v>
      </c>
      <c r="H807" s="51" t="n">
        <v>0.4848</v>
      </c>
      <c r="I807" s="51" t="n">
        <v>0.4619</v>
      </c>
      <c r="J807" s="51" t="n">
        <v>0.0533</v>
      </c>
      <c r="K807" s="49"/>
      <c r="L807" s="49"/>
      <c r="M807" s="49"/>
      <c r="N807" s="49"/>
      <c r="O807" s="49"/>
      <c r="P807" s="49"/>
      <c r="Q807" s="49"/>
      <c r="R807" s="49"/>
      <c r="S807" s="49" t="n">
        <v>0</v>
      </c>
      <c r="T807" s="49" t="n">
        <v>0</v>
      </c>
      <c r="U807" s="49" t="s">
        <v>1875</v>
      </c>
    </row>
    <row r="808" customFormat="false" ht="15" hidden="false" customHeight="false" outlineLevel="0" collapsed="false">
      <c r="B808" s="48" t="n">
        <v>45239.8623032407</v>
      </c>
      <c r="C808" s="4" t="n">
        <f aca="false">YEAR(B808)</f>
        <v>2023</v>
      </c>
      <c r="D808" s="49" t="s">
        <v>278</v>
      </c>
      <c r="E808" s="49" t="s">
        <v>1876</v>
      </c>
      <c r="F808" s="50" t="n">
        <v>1</v>
      </c>
      <c r="G808" s="49" t="s">
        <v>280</v>
      </c>
      <c r="H808" s="51" t="n">
        <v>0.9447</v>
      </c>
      <c r="I808" s="51" t="n">
        <v>0.0504</v>
      </c>
      <c r="J808" s="51" t="n">
        <v>0.0049</v>
      </c>
      <c r="K808" s="49"/>
      <c r="L808" s="49"/>
      <c r="M808" s="49"/>
      <c r="N808" s="49"/>
      <c r="O808" s="49"/>
      <c r="P808" s="49"/>
      <c r="Q808" s="49"/>
      <c r="R808" s="49"/>
      <c r="S808" s="49" t="n">
        <v>1</v>
      </c>
      <c r="T808" s="49" t="n">
        <v>0</v>
      </c>
      <c r="U808" s="49" t="s">
        <v>1877</v>
      </c>
    </row>
    <row r="809" customFormat="false" ht="15" hidden="false" customHeight="false" outlineLevel="0" collapsed="false">
      <c r="B809" s="48" t="n">
        <v>45240.0906365741</v>
      </c>
      <c r="C809" s="4" t="n">
        <f aca="false">YEAR(B809)</f>
        <v>2023</v>
      </c>
      <c r="D809" s="49" t="s">
        <v>283</v>
      </c>
      <c r="E809" s="49" t="s">
        <v>1878</v>
      </c>
      <c r="F809" s="50" t="n">
        <v>1</v>
      </c>
      <c r="G809" s="49" t="s">
        <v>290</v>
      </c>
      <c r="H809" s="51" t="n">
        <v>0.3221</v>
      </c>
      <c r="I809" s="51" t="n">
        <v>0.4996</v>
      </c>
      <c r="J809" s="51" t="n">
        <v>0.1783</v>
      </c>
      <c r="K809" s="49"/>
      <c r="L809" s="49"/>
      <c r="M809" s="49"/>
      <c r="N809" s="49"/>
      <c r="O809" s="49"/>
      <c r="P809" s="49"/>
      <c r="Q809" s="49"/>
      <c r="R809" s="49"/>
      <c r="S809" s="49" t="n">
        <v>0</v>
      </c>
      <c r="T809" s="49" t="n">
        <v>0</v>
      </c>
      <c r="U809" s="49" t="s">
        <v>1879</v>
      </c>
    </row>
    <row r="810" customFormat="false" ht="15" hidden="false" customHeight="false" outlineLevel="0" collapsed="false">
      <c r="B810" s="48" t="n">
        <v>45240.092037037</v>
      </c>
      <c r="C810" s="4" t="n">
        <f aca="false">YEAR(B810)</f>
        <v>2023</v>
      </c>
      <c r="D810" s="49" t="s">
        <v>278</v>
      </c>
      <c r="E810" s="49" t="s">
        <v>1878</v>
      </c>
      <c r="F810" s="50" t="n">
        <v>1</v>
      </c>
      <c r="G810" s="49" t="s">
        <v>290</v>
      </c>
      <c r="H810" s="51" t="n">
        <v>0.3221</v>
      </c>
      <c r="I810" s="51" t="n">
        <v>0.4996</v>
      </c>
      <c r="J810" s="51" t="n">
        <v>0.1783</v>
      </c>
      <c r="K810" s="49"/>
      <c r="L810" s="49"/>
      <c r="M810" s="49"/>
      <c r="N810" s="49"/>
      <c r="O810" s="49"/>
      <c r="P810" s="49"/>
      <c r="Q810" s="49"/>
      <c r="R810" s="49"/>
      <c r="S810" s="49" t="n">
        <v>0</v>
      </c>
      <c r="T810" s="49" t="n">
        <v>0</v>
      </c>
      <c r="U810" s="49" t="s">
        <v>1880</v>
      </c>
    </row>
    <row r="811" customFormat="false" ht="15" hidden="false" customHeight="false" outlineLevel="0" collapsed="false">
      <c r="B811" s="48" t="n">
        <v>45240.1374074074</v>
      </c>
      <c r="C811" s="4" t="n">
        <f aca="false">YEAR(B811)</f>
        <v>2023</v>
      </c>
      <c r="D811" s="49" t="s">
        <v>283</v>
      </c>
      <c r="E811" s="49" t="s">
        <v>1881</v>
      </c>
      <c r="F811" s="50" t="n">
        <v>1</v>
      </c>
      <c r="G811" s="49" t="s">
        <v>280</v>
      </c>
      <c r="H811" s="51" t="n">
        <v>0.7563</v>
      </c>
      <c r="I811" s="51" t="n">
        <v>0.232</v>
      </c>
      <c r="J811" s="51" t="n">
        <v>0.0117</v>
      </c>
      <c r="K811" s="49"/>
      <c r="L811" s="49"/>
      <c r="M811" s="49"/>
      <c r="N811" s="49"/>
      <c r="O811" s="49"/>
      <c r="P811" s="49"/>
      <c r="Q811" s="49"/>
      <c r="R811" s="49" t="s">
        <v>281</v>
      </c>
      <c r="S811" s="49" t="n">
        <v>0</v>
      </c>
      <c r="T811" s="49" t="n">
        <v>0</v>
      </c>
      <c r="U811" s="49" t="s">
        <v>1882</v>
      </c>
    </row>
    <row r="812" customFormat="false" ht="15" hidden="false" customHeight="false" outlineLevel="0" collapsed="false">
      <c r="B812" s="48" t="n">
        <v>45240.194525463</v>
      </c>
      <c r="C812" s="4" t="n">
        <f aca="false">YEAR(B812)</f>
        <v>2023</v>
      </c>
      <c r="D812" s="49" t="s">
        <v>283</v>
      </c>
      <c r="E812" s="49" t="s">
        <v>1883</v>
      </c>
      <c r="F812" s="50" t="n">
        <v>1</v>
      </c>
      <c r="G812" s="49" t="s">
        <v>287</v>
      </c>
      <c r="H812" s="51" t="n">
        <v>0.0308</v>
      </c>
      <c r="I812" s="51" t="n">
        <v>0.1493</v>
      </c>
      <c r="J812" s="51" t="n">
        <v>0.8199</v>
      </c>
      <c r="K812" s="49"/>
      <c r="L812" s="49"/>
      <c r="M812" s="49"/>
      <c r="N812" s="49"/>
      <c r="O812" s="49"/>
      <c r="P812" s="49"/>
      <c r="Q812" s="49"/>
      <c r="R812" s="49"/>
      <c r="S812" s="49" t="n">
        <v>0</v>
      </c>
      <c r="T812" s="49" t="n">
        <v>0</v>
      </c>
      <c r="U812" s="49" t="s">
        <v>1884</v>
      </c>
    </row>
    <row r="813" customFormat="false" ht="15" hidden="false" customHeight="false" outlineLevel="0" collapsed="false">
      <c r="B813" s="48" t="n">
        <v>45240.2271296296</v>
      </c>
      <c r="C813" s="4" t="n">
        <f aca="false">YEAR(B813)</f>
        <v>2023</v>
      </c>
      <c r="D813" s="49" t="s">
        <v>283</v>
      </c>
      <c r="E813" s="49" t="s">
        <v>1885</v>
      </c>
      <c r="F813" s="50" t="n">
        <v>1</v>
      </c>
      <c r="G813" s="49" t="s">
        <v>290</v>
      </c>
      <c r="H813" s="51" t="n">
        <v>0.0072</v>
      </c>
      <c r="I813" s="51" t="n">
        <v>0.5311</v>
      </c>
      <c r="J813" s="51" t="n">
        <v>0.4617</v>
      </c>
      <c r="K813" s="49"/>
      <c r="L813" s="49"/>
      <c r="M813" s="49"/>
      <c r="N813" s="49"/>
      <c r="O813" s="49"/>
      <c r="P813" s="49"/>
      <c r="Q813" s="49"/>
      <c r="R813" s="49"/>
      <c r="S813" s="49" t="n">
        <v>0</v>
      </c>
      <c r="T813" s="49" t="n">
        <v>0</v>
      </c>
      <c r="U813" s="49" t="s">
        <v>1886</v>
      </c>
    </row>
    <row r="814" customFormat="false" ht="15" hidden="false" customHeight="false" outlineLevel="0" collapsed="false">
      <c r="B814" s="48" t="n">
        <v>45240.5069791667</v>
      </c>
      <c r="C814" s="4" t="n">
        <f aca="false">YEAR(B814)</f>
        <v>2023</v>
      </c>
      <c r="D814" s="49" t="s">
        <v>278</v>
      </c>
      <c r="E814" s="49" t="s">
        <v>1887</v>
      </c>
      <c r="F814" s="50" t="n">
        <v>4</v>
      </c>
      <c r="G814" s="49" t="s">
        <v>290</v>
      </c>
      <c r="H814" s="51" t="n">
        <v>0.1092</v>
      </c>
      <c r="I814" s="51" t="n">
        <v>0.7004</v>
      </c>
      <c r="J814" s="51" t="n">
        <v>0.1905</v>
      </c>
      <c r="K814" s="49"/>
      <c r="L814" s="49"/>
      <c r="M814" s="49"/>
      <c r="N814" s="49"/>
      <c r="O814" s="49"/>
      <c r="P814" s="49"/>
      <c r="Q814" s="49"/>
      <c r="R814" s="49"/>
      <c r="S814" s="49" t="n">
        <v>0</v>
      </c>
      <c r="T814" s="49" t="n">
        <v>0</v>
      </c>
      <c r="U814" s="49" t="s">
        <v>1888</v>
      </c>
    </row>
    <row r="815" customFormat="false" ht="15" hidden="false" customHeight="false" outlineLevel="0" collapsed="false">
      <c r="B815" s="48" t="n">
        <v>45240.8593287037</v>
      </c>
      <c r="C815" s="4" t="n">
        <f aca="false">YEAR(B815)</f>
        <v>2023</v>
      </c>
      <c r="D815" s="49" t="s">
        <v>278</v>
      </c>
      <c r="E815" s="49" t="s">
        <v>1889</v>
      </c>
      <c r="F815" s="50" t="n">
        <v>12</v>
      </c>
      <c r="G815" s="49" t="s">
        <v>280</v>
      </c>
      <c r="H815" s="51" t="n">
        <v>0.929</v>
      </c>
      <c r="I815" s="51" t="n">
        <v>0.0646</v>
      </c>
      <c r="J815" s="51" t="n">
        <v>0.0064</v>
      </c>
      <c r="K815" s="49"/>
      <c r="L815" s="49"/>
      <c r="M815" s="49"/>
      <c r="N815" s="49"/>
      <c r="O815" s="49"/>
      <c r="P815" s="49"/>
      <c r="Q815" s="49"/>
      <c r="R815" s="49" t="s">
        <v>281</v>
      </c>
      <c r="S815" s="49" t="n">
        <v>0</v>
      </c>
      <c r="T815" s="49" t="n">
        <v>0</v>
      </c>
      <c r="U815" s="49" t="s">
        <v>1890</v>
      </c>
    </row>
    <row r="816" customFormat="false" ht="15" hidden="false" customHeight="false" outlineLevel="0" collapsed="false">
      <c r="B816" s="48" t="n">
        <v>45241.7216550926</v>
      </c>
      <c r="C816" s="4" t="n">
        <f aca="false">YEAR(B816)</f>
        <v>2023</v>
      </c>
      <c r="D816" s="49" t="s">
        <v>283</v>
      </c>
      <c r="E816" s="49" t="s">
        <v>1891</v>
      </c>
      <c r="F816" s="50" t="n">
        <v>1</v>
      </c>
      <c r="G816" s="49" t="s">
        <v>280</v>
      </c>
      <c r="H816" s="51" t="n">
        <v>0.7721</v>
      </c>
      <c r="I816" s="51" t="n">
        <v>0.2157</v>
      </c>
      <c r="J816" s="51" t="n">
        <v>0.0122</v>
      </c>
      <c r="K816" s="49"/>
      <c r="L816" s="49"/>
      <c r="M816" s="49"/>
      <c r="N816" s="49"/>
      <c r="O816" s="49"/>
      <c r="P816" s="49"/>
      <c r="Q816" s="49"/>
      <c r="R816" s="49" t="s">
        <v>281</v>
      </c>
      <c r="S816" s="49" t="n">
        <v>0</v>
      </c>
      <c r="T816" s="49" t="n">
        <v>0</v>
      </c>
      <c r="U816" s="49" t="s">
        <v>1892</v>
      </c>
    </row>
    <row r="817" customFormat="false" ht="15" hidden="false" customHeight="false" outlineLevel="0" collapsed="false">
      <c r="B817" s="48" t="n">
        <v>45241.730162037</v>
      </c>
      <c r="C817" s="4" t="n">
        <f aca="false">YEAR(B817)</f>
        <v>2023</v>
      </c>
      <c r="D817" s="49" t="s">
        <v>283</v>
      </c>
      <c r="E817" s="49" t="s">
        <v>1893</v>
      </c>
      <c r="F817" s="50" t="n">
        <v>1</v>
      </c>
      <c r="G817" s="49" t="s">
        <v>280</v>
      </c>
      <c r="H817" s="51" t="n">
        <v>0.5744</v>
      </c>
      <c r="I817" s="51" t="n">
        <v>0.4017</v>
      </c>
      <c r="J817" s="51" t="n">
        <v>0.0239</v>
      </c>
      <c r="K817" s="49"/>
      <c r="L817" s="49"/>
      <c r="M817" s="49"/>
      <c r="N817" s="49"/>
      <c r="O817" s="49"/>
      <c r="P817" s="49"/>
      <c r="Q817" s="49"/>
      <c r="R817" s="49"/>
      <c r="S817" s="49" t="n">
        <v>0</v>
      </c>
      <c r="T817" s="49" t="n">
        <v>0</v>
      </c>
      <c r="U817" s="49" t="s">
        <v>1894</v>
      </c>
    </row>
    <row r="818" customFormat="false" ht="15" hidden="false" customHeight="false" outlineLevel="0" collapsed="false">
      <c r="B818" s="48" t="n">
        <v>45242.0650347222</v>
      </c>
      <c r="C818" s="4" t="n">
        <f aca="false">YEAR(B818)</f>
        <v>2023</v>
      </c>
      <c r="D818" s="49" t="s">
        <v>278</v>
      </c>
      <c r="E818" s="49" t="s">
        <v>1895</v>
      </c>
      <c r="F818" s="50" t="n">
        <v>1</v>
      </c>
      <c r="G818" s="49" t="s">
        <v>280</v>
      </c>
      <c r="H818" s="51" t="n">
        <v>0.7248</v>
      </c>
      <c r="I818" s="51" t="n">
        <v>0.266</v>
      </c>
      <c r="J818" s="51" t="n">
        <v>0.0092</v>
      </c>
      <c r="K818" s="49"/>
      <c r="L818" s="49"/>
      <c r="M818" s="49"/>
      <c r="N818" s="49"/>
      <c r="O818" s="49"/>
      <c r="P818" s="49"/>
      <c r="Q818" s="49"/>
      <c r="R818" s="49" t="s">
        <v>281</v>
      </c>
      <c r="S818" s="49" t="n">
        <v>1</v>
      </c>
      <c r="T818" s="49" t="n">
        <v>0</v>
      </c>
      <c r="U818" s="49" t="s">
        <v>1896</v>
      </c>
    </row>
    <row r="819" customFormat="false" ht="15" hidden="false" customHeight="false" outlineLevel="0" collapsed="false">
      <c r="B819" s="48" t="n">
        <v>45242.5281712963</v>
      </c>
      <c r="C819" s="4" t="n">
        <f aca="false">YEAR(B819)</f>
        <v>2023</v>
      </c>
      <c r="D819" s="49" t="s">
        <v>278</v>
      </c>
      <c r="E819" s="49" t="s">
        <v>1897</v>
      </c>
      <c r="F819" s="50" t="n">
        <v>138</v>
      </c>
      <c r="G819" s="49" t="s">
        <v>280</v>
      </c>
      <c r="H819" s="51" t="n">
        <v>0.7909</v>
      </c>
      <c r="I819" s="51" t="n">
        <v>0.192</v>
      </c>
      <c r="J819" s="51" t="n">
        <v>0.0171</v>
      </c>
      <c r="K819" s="49"/>
      <c r="L819" s="49"/>
      <c r="M819" s="49"/>
      <c r="N819" s="49"/>
      <c r="O819" s="49"/>
      <c r="P819" s="49"/>
      <c r="Q819" s="49" t="s">
        <v>281</v>
      </c>
      <c r="R819" s="49" t="s">
        <v>281</v>
      </c>
      <c r="S819" s="49" t="n">
        <v>0</v>
      </c>
      <c r="T819" s="49" t="n">
        <v>0</v>
      </c>
      <c r="U819" s="49" t="s">
        <v>1898</v>
      </c>
    </row>
    <row r="820" customFormat="false" ht="15" hidden="false" customHeight="false" outlineLevel="0" collapsed="false">
      <c r="B820" s="48" t="n">
        <v>45242.5798958333</v>
      </c>
      <c r="C820" s="4" t="n">
        <f aca="false">YEAR(B820)</f>
        <v>2023</v>
      </c>
      <c r="D820" s="49" t="s">
        <v>283</v>
      </c>
      <c r="E820" s="49" t="s">
        <v>1899</v>
      </c>
      <c r="F820" s="50" t="n">
        <v>2</v>
      </c>
      <c r="G820" s="49" t="s">
        <v>287</v>
      </c>
      <c r="H820" s="51" t="n">
        <v>0.0043</v>
      </c>
      <c r="I820" s="51" t="n">
        <v>0.0321</v>
      </c>
      <c r="J820" s="51" t="n">
        <v>0.9637</v>
      </c>
      <c r="K820" s="49"/>
      <c r="L820" s="49"/>
      <c r="M820" s="49"/>
      <c r="N820" s="49"/>
      <c r="O820" s="49"/>
      <c r="P820" s="49"/>
      <c r="Q820" s="49"/>
      <c r="R820" s="49"/>
      <c r="S820" s="49" t="n">
        <v>0</v>
      </c>
      <c r="T820" s="49" t="n">
        <v>0</v>
      </c>
      <c r="U820" s="49" t="s">
        <v>1900</v>
      </c>
    </row>
    <row r="821" customFormat="false" ht="15" hidden="false" customHeight="false" outlineLevel="0" collapsed="false">
      <c r="B821" s="48" t="n">
        <v>45243.2463194444</v>
      </c>
      <c r="C821" s="4" t="n">
        <f aca="false">YEAR(B821)</f>
        <v>2023</v>
      </c>
      <c r="D821" s="49" t="s">
        <v>283</v>
      </c>
      <c r="E821" s="49" t="s">
        <v>1901</v>
      </c>
      <c r="F821" s="50" t="n">
        <v>39</v>
      </c>
      <c r="G821" s="49" t="s">
        <v>290</v>
      </c>
      <c r="H821" s="51" t="n">
        <v>0.0228</v>
      </c>
      <c r="I821" s="51" t="n">
        <v>0.8538</v>
      </c>
      <c r="J821" s="51" t="n">
        <v>0.1234</v>
      </c>
      <c r="K821" s="49"/>
      <c r="L821" s="49"/>
      <c r="M821" s="49"/>
      <c r="N821" s="49"/>
      <c r="O821" s="49"/>
      <c r="P821" s="49"/>
      <c r="Q821" s="49"/>
      <c r="R821" s="49"/>
      <c r="S821" s="49" t="n">
        <v>0</v>
      </c>
      <c r="T821" s="49" t="n">
        <v>0</v>
      </c>
      <c r="U821" s="49" t="s">
        <v>1902</v>
      </c>
    </row>
    <row r="822" customFormat="false" ht="15" hidden="false" customHeight="false" outlineLevel="0" collapsed="false">
      <c r="B822" s="48" t="n">
        <v>45243.2516550926</v>
      </c>
      <c r="C822" s="4" t="n">
        <f aca="false">YEAR(B822)</f>
        <v>2023</v>
      </c>
      <c r="D822" s="49" t="s">
        <v>283</v>
      </c>
      <c r="E822" s="49" t="s">
        <v>1903</v>
      </c>
      <c r="F822" s="50" t="n">
        <v>1</v>
      </c>
      <c r="G822" s="49" t="s">
        <v>290</v>
      </c>
      <c r="H822" s="51" t="n">
        <v>0.4502</v>
      </c>
      <c r="I822" s="51" t="n">
        <v>0.5287</v>
      </c>
      <c r="J822" s="51" t="n">
        <v>0.0211</v>
      </c>
      <c r="K822" s="49" t="s">
        <v>281</v>
      </c>
      <c r="L822" s="49"/>
      <c r="M822" s="49"/>
      <c r="N822" s="49" t="s">
        <v>281</v>
      </c>
      <c r="O822" s="49"/>
      <c r="P822" s="49"/>
      <c r="Q822" s="49"/>
      <c r="R822" s="49"/>
      <c r="S822" s="49" t="n">
        <v>0</v>
      </c>
      <c r="T822" s="49" t="n">
        <v>0</v>
      </c>
      <c r="U822" s="49" t="s">
        <v>1904</v>
      </c>
    </row>
    <row r="823" customFormat="false" ht="15" hidden="false" customHeight="false" outlineLevel="0" collapsed="false">
      <c r="B823" s="48" t="n">
        <v>45243.4479398148</v>
      </c>
      <c r="C823" s="4" t="n">
        <f aca="false">YEAR(B823)</f>
        <v>2023</v>
      </c>
      <c r="D823" s="49" t="s">
        <v>283</v>
      </c>
      <c r="E823" s="49" t="s">
        <v>1784</v>
      </c>
      <c r="F823" s="50" t="n">
        <v>1</v>
      </c>
      <c r="G823" s="49" t="s">
        <v>290</v>
      </c>
      <c r="H823" s="51" t="n">
        <v>0.0073</v>
      </c>
      <c r="I823" s="51" t="n">
        <v>0.9546</v>
      </c>
      <c r="J823" s="51" t="n">
        <v>0.0381</v>
      </c>
      <c r="K823" s="49"/>
      <c r="L823" s="49"/>
      <c r="M823" s="49"/>
      <c r="N823" s="49"/>
      <c r="O823" s="49"/>
      <c r="P823" s="49"/>
      <c r="Q823" s="49"/>
      <c r="R823" s="49"/>
      <c r="S823" s="49" t="n">
        <v>1</v>
      </c>
      <c r="T823" s="49" t="n">
        <v>0</v>
      </c>
      <c r="U823" s="49" t="s">
        <v>1905</v>
      </c>
    </row>
    <row r="824" customFormat="false" ht="15" hidden="false" customHeight="false" outlineLevel="0" collapsed="false">
      <c r="B824" s="48" t="n">
        <v>45243.6066435185</v>
      </c>
      <c r="C824" s="4" t="n">
        <f aca="false">YEAR(B824)</f>
        <v>2023</v>
      </c>
      <c r="D824" s="49" t="s">
        <v>283</v>
      </c>
      <c r="E824" s="49" t="s">
        <v>1906</v>
      </c>
      <c r="F824" s="50" t="n">
        <v>1</v>
      </c>
      <c r="G824" s="49" t="s">
        <v>280</v>
      </c>
      <c r="H824" s="51" t="n">
        <v>0.6586</v>
      </c>
      <c r="I824" s="51" t="n">
        <v>0.3038</v>
      </c>
      <c r="J824" s="51" t="n">
        <v>0.0376</v>
      </c>
      <c r="K824" s="49"/>
      <c r="L824" s="49"/>
      <c r="M824" s="49"/>
      <c r="N824" s="49"/>
      <c r="O824" s="49" t="s">
        <v>281</v>
      </c>
      <c r="P824" s="49"/>
      <c r="Q824" s="49"/>
      <c r="R824" s="49" t="s">
        <v>281</v>
      </c>
      <c r="S824" s="49" t="n">
        <v>0</v>
      </c>
      <c r="T824" s="49" t="n">
        <v>0</v>
      </c>
      <c r="U824" s="49" t="s">
        <v>1907</v>
      </c>
    </row>
    <row r="825" customFormat="false" ht="15" hidden="false" customHeight="false" outlineLevel="0" collapsed="false">
      <c r="B825" s="48" t="n">
        <v>45243.7046296296</v>
      </c>
      <c r="C825" s="4" t="n">
        <f aca="false">YEAR(B825)</f>
        <v>2023</v>
      </c>
      <c r="D825" s="49" t="s">
        <v>283</v>
      </c>
      <c r="E825" s="49" t="s">
        <v>1908</v>
      </c>
      <c r="F825" s="50" t="n">
        <v>2</v>
      </c>
      <c r="G825" s="49" t="s">
        <v>287</v>
      </c>
      <c r="H825" s="51" t="n">
        <v>0.0104</v>
      </c>
      <c r="I825" s="51" t="n">
        <v>0.0345</v>
      </c>
      <c r="J825" s="51" t="n">
        <v>0.955</v>
      </c>
      <c r="K825" s="49"/>
      <c r="L825" s="49"/>
      <c r="M825" s="49"/>
      <c r="N825" s="49"/>
      <c r="O825" s="49"/>
      <c r="P825" s="49"/>
      <c r="Q825" s="49"/>
      <c r="R825" s="49"/>
      <c r="S825" s="49" t="n">
        <v>0</v>
      </c>
      <c r="T825" s="49" t="n">
        <v>0</v>
      </c>
      <c r="U825" s="49" t="s">
        <v>1909</v>
      </c>
    </row>
    <row r="826" customFormat="false" ht="15" hidden="false" customHeight="false" outlineLevel="0" collapsed="false">
      <c r="B826" s="48" t="n">
        <v>45243.8438425926</v>
      </c>
      <c r="C826" s="4" t="n">
        <f aca="false">YEAR(B826)</f>
        <v>2023</v>
      </c>
      <c r="D826" s="49" t="s">
        <v>278</v>
      </c>
      <c r="E826" s="49" t="s">
        <v>1910</v>
      </c>
      <c r="F826" s="50" t="n">
        <v>1</v>
      </c>
      <c r="G826" s="49" t="s">
        <v>290</v>
      </c>
      <c r="H826" s="51" t="n">
        <v>0.429</v>
      </c>
      <c r="I826" s="51" t="n">
        <v>0.4841</v>
      </c>
      <c r="J826" s="51" t="n">
        <v>0.087</v>
      </c>
      <c r="K826" s="49"/>
      <c r="L826" s="49"/>
      <c r="M826" s="49"/>
      <c r="N826" s="49"/>
      <c r="O826" s="49"/>
      <c r="P826" s="49"/>
      <c r="Q826" s="49"/>
      <c r="R826" s="49" t="s">
        <v>281</v>
      </c>
      <c r="S826" s="49" t="n">
        <v>0</v>
      </c>
      <c r="T826" s="49" t="n">
        <v>0</v>
      </c>
      <c r="U826" s="49" t="s">
        <v>1911</v>
      </c>
    </row>
    <row r="827" customFormat="false" ht="15" hidden="false" customHeight="false" outlineLevel="0" collapsed="false">
      <c r="B827" s="48" t="n">
        <v>45244.182662037</v>
      </c>
      <c r="C827" s="4" t="n">
        <f aca="false">YEAR(B827)</f>
        <v>2023</v>
      </c>
      <c r="D827" s="49" t="s">
        <v>278</v>
      </c>
      <c r="E827" s="49" t="s">
        <v>1912</v>
      </c>
      <c r="F827" s="50" t="n">
        <v>4</v>
      </c>
      <c r="G827" s="49" t="s">
        <v>290</v>
      </c>
      <c r="H827" s="51" t="n">
        <v>0.3894</v>
      </c>
      <c r="I827" s="51" t="n">
        <v>0.5478</v>
      </c>
      <c r="J827" s="51" t="n">
        <v>0.0628</v>
      </c>
      <c r="K827" s="49"/>
      <c r="L827" s="49"/>
      <c r="M827" s="49"/>
      <c r="N827" s="49"/>
      <c r="O827" s="49"/>
      <c r="P827" s="49"/>
      <c r="Q827" s="49"/>
      <c r="R827" s="49"/>
      <c r="S827" s="49" t="n">
        <v>0</v>
      </c>
      <c r="T827" s="49" t="n">
        <v>0</v>
      </c>
      <c r="U827" s="49" t="s">
        <v>1913</v>
      </c>
    </row>
    <row r="828" customFormat="false" ht="15" hidden="false" customHeight="false" outlineLevel="0" collapsed="false">
      <c r="B828" s="48" t="n">
        <v>45244.3520486111</v>
      </c>
      <c r="C828" s="4" t="n">
        <f aca="false">YEAR(B828)</f>
        <v>2023</v>
      </c>
      <c r="D828" s="49" t="s">
        <v>283</v>
      </c>
      <c r="E828" s="49" t="s">
        <v>1914</v>
      </c>
      <c r="F828" s="50" t="n">
        <v>6</v>
      </c>
      <c r="G828" s="49" t="s">
        <v>287</v>
      </c>
      <c r="H828" s="51" t="n">
        <v>0.0229</v>
      </c>
      <c r="I828" s="51" t="n">
        <v>0.0903</v>
      </c>
      <c r="J828" s="51" t="n">
        <v>0.8868</v>
      </c>
      <c r="K828" s="49"/>
      <c r="L828" s="49"/>
      <c r="M828" s="49"/>
      <c r="N828" s="49"/>
      <c r="O828" s="49"/>
      <c r="P828" s="49"/>
      <c r="Q828" s="49"/>
      <c r="R828" s="49" t="s">
        <v>281</v>
      </c>
      <c r="S828" s="49" t="n">
        <v>0</v>
      </c>
      <c r="T828" s="49" t="n">
        <v>0</v>
      </c>
      <c r="U828" s="49" t="s">
        <v>1915</v>
      </c>
    </row>
    <row r="829" customFormat="false" ht="15" hidden="false" customHeight="false" outlineLevel="0" collapsed="false">
      <c r="B829" s="48" t="n">
        <v>45244.433912037</v>
      </c>
      <c r="C829" s="4" t="n">
        <f aca="false">YEAR(B829)</f>
        <v>2023</v>
      </c>
      <c r="D829" s="49" t="s">
        <v>283</v>
      </c>
      <c r="E829" s="49" t="s">
        <v>1916</v>
      </c>
      <c r="F829" s="50" t="n">
        <v>1</v>
      </c>
      <c r="G829" s="49" t="s">
        <v>287</v>
      </c>
      <c r="H829" s="51" t="n">
        <v>0.0015</v>
      </c>
      <c r="I829" s="51" t="n">
        <v>0.0197</v>
      </c>
      <c r="J829" s="51" t="n">
        <v>0.9789</v>
      </c>
      <c r="K829" s="49"/>
      <c r="L829" s="49"/>
      <c r="M829" s="49"/>
      <c r="N829" s="49"/>
      <c r="O829" s="49"/>
      <c r="P829" s="49"/>
      <c r="Q829" s="49"/>
      <c r="R829" s="49"/>
      <c r="S829" s="49" t="n">
        <v>0</v>
      </c>
      <c r="T829" s="49" t="n">
        <v>0</v>
      </c>
      <c r="U829" s="49" t="s">
        <v>1917</v>
      </c>
    </row>
    <row r="830" customFormat="false" ht="15" hidden="false" customHeight="false" outlineLevel="0" collapsed="false">
      <c r="B830" s="48" t="n">
        <v>45244.4913310185</v>
      </c>
      <c r="C830" s="4" t="n">
        <f aca="false">YEAR(B830)</f>
        <v>2023</v>
      </c>
      <c r="D830" s="49" t="s">
        <v>283</v>
      </c>
      <c r="E830" s="49" t="s">
        <v>1918</v>
      </c>
      <c r="F830" s="50" t="n">
        <v>118</v>
      </c>
      <c r="G830" s="49" t="s">
        <v>287</v>
      </c>
      <c r="H830" s="51" t="n">
        <v>0.0047</v>
      </c>
      <c r="I830" s="51" t="n">
        <v>0.0214</v>
      </c>
      <c r="J830" s="51" t="n">
        <v>0.9739</v>
      </c>
      <c r="K830" s="49"/>
      <c r="L830" s="49"/>
      <c r="M830" s="49"/>
      <c r="N830" s="49"/>
      <c r="O830" s="49"/>
      <c r="P830" s="49"/>
      <c r="Q830" s="49"/>
      <c r="R830" s="49" t="s">
        <v>281</v>
      </c>
      <c r="S830" s="49" t="n">
        <v>0</v>
      </c>
      <c r="T830" s="49" t="n">
        <v>0</v>
      </c>
      <c r="U830" s="49" t="s">
        <v>1919</v>
      </c>
    </row>
    <row r="831" customFormat="false" ht="15" hidden="false" customHeight="false" outlineLevel="0" collapsed="false">
      <c r="B831" s="48" t="n">
        <v>45244.6846064815</v>
      </c>
      <c r="C831" s="4" t="n">
        <f aca="false">YEAR(B831)</f>
        <v>2023</v>
      </c>
      <c r="D831" s="49" t="s">
        <v>283</v>
      </c>
      <c r="E831" s="49" t="s">
        <v>1920</v>
      </c>
      <c r="F831" s="50" t="n">
        <v>1</v>
      </c>
      <c r="G831" s="49" t="s">
        <v>290</v>
      </c>
      <c r="H831" s="51" t="n">
        <v>0.3467</v>
      </c>
      <c r="I831" s="51" t="n">
        <v>0.5314</v>
      </c>
      <c r="J831" s="51" t="n">
        <v>0.1219</v>
      </c>
      <c r="K831" s="49"/>
      <c r="L831" s="49"/>
      <c r="M831" s="49"/>
      <c r="N831" s="49"/>
      <c r="O831" s="49"/>
      <c r="P831" s="49"/>
      <c r="Q831" s="49" t="s">
        <v>281</v>
      </c>
      <c r="R831" s="49"/>
      <c r="S831" s="49" t="n">
        <v>0</v>
      </c>
      <c r="T831" s="49" t="n">
        <v>0</v>
      </c>
      <c r="U831" s="49" t="s">
        <v>1921</v>
      </c>
    </row>
    <row r="832" customFormat="false" ht="15" hidden="false" customHeight="false" outlineLevel="0" collapsed="false">
      <c r="B832" s="48" t="n">
        <v>45244.7017013889</v>
      </c>
      <c r="C832" s="4" t="n">
        <f aca="false">YEAR(B832)</f>
        <v>2023</v>
      </c>
      <c r="D832" s="49" t="s">
        <v>283</v>
      </c>
      <c r="E832" s="49" t="s">
        <v>1922</v>
      </c>
      <c r="F832" s="50" t="n">
        <v>191</v>
      </c>
      <c r="G832" s="49" t="s">
        <v>280</v>
      </c>
      <c r="H832" s="51" t="n">
        <v>0.8791</v>
      </c>
      <c r="I832" s="51" t="n">
        <v>0.1076</v>
      </c>
      <c r="J832" s="51" t="n">
        <v>0.0133</v>
      </c>
      <c r="K832" s="49" t="s">
        <v>281</v>
      </c>
      <c r="L832" s="49"/>
      <c r="M832" s="49"/>
      <c r="N832" s="49"/>
      <c r="O832" s="49"/>
      <c r="P832" s="49"/>
      <c r="Q832" s="49" t="s">
        <v>281</v>
      </c>
      <c r="R832" s="49" t="s">
        <v>281</v>
      </c>
      <c r="S832" s="49" t="n">
        <v>0</v>
      </c>
      <c r="T832" s="49" t="n">
        <v>0</v>
      </c>
      <c r="U832" s="49" t="s">
        <v>1923</v>
      </c>
    </row>
    <row r="833" customFormat="false" ht="15" hidden="false" customHeight="false" outlineLevel="0" collapsed="false">
      <c r="B833" s="48" t="n">
        <v>45244.9896180556</v>
      </c>
      <c r="C833" s="4" t="n">
        <f aca="false">YEAR(B833)</f>
        <v>2023</v>
      </c>
      <c r="D833" s="49" t="s">
        <v>278</v>
      </c>
      <c r="E833" s="49" t="s">
        <v>1924</v>
      </c>
      <c r="F833" s="50" t="n">
        <v>1</v>
      </c>
      <c r="G833" s="49" t="s">
        <v>280</v>
      </c>
      <c r="H833" s="51" t="n">
        <v>0.5761</v>
      </c>
      <c r="I833" s="51" t="n">
        <v>0.2393</v>
      </c>
      <c r="J833" s="51" t="n">
        <v>0.1846</v>
      </c>
      <c r="K833" s="49"/>
      <c r="L833" s="49"/>
      <c r="M833" s="49"/>
      <c r="N833" s="49"/>
      <c r="O833" s="49"/>
      <c r="P833" s="49"/>
      <c r="Q833" s="49"/>
      <c r="R833" s="49"/>
      <c r="S833" s="49" t="n">
        <v>0</v>
      </c>
      <c r="T833" s="49" t="n">
        <v>0</v>
      </c>
      <c r="U833" s="49" t="s">
        <v>1925</v>
      </c>
    </row>
    <row r="834" customFormat="false" ht="15" hidden="false" customHeight="false" outlineLevel="0" collapsed="false">
      <c r="B834" s="48" t="n">
        <v>45244.9956365741</v>
      </c>
      <c r="C834" s="4" t="n">
        <f aca="false">YEAR(B834)</f>
        <v>2023</v>
      </c>
      <c r="D834" s="49" t="s">
        <v>278</v>
      </c>
      <c r="E834" s="49" t="s">
        <v>1926</v>
      </c>
      <c r="F834" s="50" t="n">
        <v>111</v>
      </c>
      <c r="G834" s="49" t="s">
        <v>280</v>
      </c>
      <c r="H834" s="51" t="n">
        <v>0.7757</v>
      </c>
      <c r="I834" s="51" t="n">
        <v>0.213</v>
      </c>
      <c r="J834" s="51" t="n">
        <v>0.0113</v>
      </c>
      <c r="K834" s="49"/>
      <c r="L834" s="49"/>
      <c r="M834" s="49"/>
      <c r="N834" s="49"/>
      <c r="O834" s="49"/>
      <c r="P834" s="49"/>
      <c r="Q834" s="49" t="s">
        <v>281</v>
      </c>
      <c r="R834" s="49"/>
      <c r="S834" s="49" t="n">
        <v>0</v>
      </c>
      <c r="T834" s="49" t="n">
        <v>0</v>
      </c>
      <c r="U834" s="49" t="s">
        <v>1927</v>
      </c>
    </row>
    <row r="835" customFormat="false" ht="15" hidden="false" customHeight="false" outlineLevel="0" collapsed="false">
      <c r="B835" s="48" t="n">
        <v>45245.0631828704</v>
      </c>
      <c r="C835" s="4" t="n">
        <f aca="false">YEAR(B835)</f>
        <v>2023</v>
      </c>
      <c r="D835" s="49" t="s">
        <v>278</v>
      </c>
      <c r="E835" s="49" t="s">
        <v>1928</v>
      </c>
      <c r="F835" s="50" t="n">
        <v>8</v>
      </c>
      <c r="G835" s="49" t="s">
        <v>280</v>
      </c>
      <c r="H835" s="51" t="n">
        <v>0.8552</v>
      </c>
      <c r="I835" s="51" t="n">
        <v>0.1314</v>
      </c>
      <c r="J835" s="51" t="n">
        <v>0.0133</v>
      </c>
      <c r="K835" s="49"/>
      <c r="L835" s="49"/>
      <c r="M835" s="49"/>
      <c r="N835" s="49"/>
      <c r="O835" s="49"/>
      <c r="P835" s="49"/>
      <c r="Q835" s="49"/>
      <c r="R835" s="49" t="s">
        <v>281</v>
      </c>
      <c r="S835" s="49" t="n">
        <v>0</v>
      </c>
      <c r="T835" s="49" t="n">
        <v>0</v>
      </c>
      <c r="U835" s="49" t="s">
        <v>1929</v>
      </c>
    </row>
    <row r="836" customFormat="false" ht="15" hidden="false" customHeight="false" outlineLevel="0" collapsed="false">
      <c r="B836" s="48" t="n">
        <v>45245.2124884259</v>
      </c>
      <c r="C836" s="4" t="n">
        <f aca="false">YEAR(B836)</f>
        <v>2023</v>
      </c>
      <c r="D836" s="49" t="s">
        <v>278</v>
      </c>
      <c r="E836" s="49" t="s">
        <v>1930</v>
      </c>
      <c r="F836" s="50" t="n">
        <v>25</v>
      </c>
      <c r="G836" s="49" t="s">
        <v>280</v>
      </c>
      <c r="H836" s="51" t="n">
        <v>0.8396</v>
      </c>
      <c r="I836" s="51" t="n">
        <v>0.1481</v>
      </c>
      <c r="J836" s="51" t="n">
        <v>0.0123</v>
      </c>
      <c r="K836" s="49"/>
      <c r="L836" s="49"/>
      <c r="M836" s="49"/>
      <c r="N836" s="49"/>
      <c r="O836" s="49"/>
      <c r="P836" s="49"/>
      <c r="Q836" s="49"/>
      <c r="R836" s="49"/>
      <c r="S836" s="49" t="n">
        <v>0</v>
      </c>
      <c r="T836" s="49" t="n">
        <v>0</v>
      </c>
      <c r="U836" s="49" t="s">
        <v>1931</v>
      </c>
    </row>
    <row r="837" customFormat="false" ht="15" hidden="false" customHeight="false" outlineLevel="0" collapsed="false">
      <c r="B837" s="48" t="n">
        <v>45245.2814467593</v>
      </c>
      <c r="C837" s="4" t="n">
        <f aca="false">YEAR(B837)</f>
        <v>2023</v>
      </c>
      <c r="D837" s="49" t="s">
        <v>283</v>
      </c>
      <c r="E837" s="49" t="s">
        <v>1932</v>
      </c>
      <c r="F837" s="50" t="n">
        <v>5</v>
      </c>
      <c r="G837" s="49" t="s">
        <v>287</v>
      </c>
      <c r="H837" s="51" t="n">
        <v>0.0032</v>
      </c>
      <c r="I837" s="51" t="n">
        <v>0.0343</v>
      </c>
      <c r="J837" s="51" t="n">
        <v>0.9625</v>
      </c>
      <c r="K837" s="49"/>
      <c r="L837" s="49"/>
      <c r="M837" s="49"/>
      <c r="N837" s="49"/>
      <c r="O837" s="49"/>
      <c r="P837" s="49"/>
      <c r="Q837" s="49"/>
      <c r="R837" s="49"/>
      <c r="S837" s="49" t="n">
        <v>0</v>
      </c>
      <c r="T837" s="49" t="n">
        <v>0</v>
      </c>
      <c r="U837" s="49" t="s">
        <v>1933</v>
      </c>
    </row>
    <row r="838" customFormat="false" ht="15" hidden="false" customHeight="false" outlineLevel="0" collapsed="false">
      <c r="B838" s="48" t="n">
        <v>45245.4334027778</v>
      </c>
      <c r="C838" s="4" t="n">
        <f aca="false">YEAR(B838)</f>
        <v>2023</v>
      </c>
      <c r="D838" s="49" t="s">
        <v>283</v>
      </c>
      <c r="E838" s="49" t="s">
        <v>1934</v>
      </c>
      <c r="F838" s="50" t="n">
        <v>3</v>
      </c>
      <c r="G838" s="49" t="s">
        <v>280</v>
      </c>
      <c r="H838" s="51" t="n">
        <v>0.8651</v>
      </c>
      <c r="I838" s="51" t="n">
        <v>0.127</v>
      </c>
      <c r="J838" s="51" t="n">
        <v>0.0079</v>
      </c>
      <c r="K838" s="49"/>
      <c r="L838" s="49"/>
      <c r="M838" s="49"/>
      <c r="N838" s="49"/>
      <c r="O838" s="49"/>
      <c r="P838" s="49"/>
      <c r="Q838" s="49"/>
      <c r="R838" s="49" t="s">
        <v>281</v>
      </c>
      <c r="S838" s="49" t="n">
        <v>0</v>
      </c>
      <c r="T838" s="49" t="n">
        <v>0</v>
      </c>
      <c r="U838" s="49" t="s">
        <v>1935</v>
      </c>
    </row>
    <row r="839" customFormat="false" ht="15" hidden="false" customHeight="false" outlineLevel="0" collapsed="false">
      <c r="B839" s="48" t="n">
        <v>45246.5688194444</v>
      </c>
      <c r="C839" s="4" t="n">
        <f aca="false">YEAR(B839)</f>
        <v>2023</v>
      </c>
      <c r="D839" s="49" t="s">
        <v>283</v>
      </c>
      <c r="E839" s="49" t="s">
        <v>1936</v>
      </c>
      <c r="F839" s="50" t="n">
        <v>1</v>
      </c>
      <c r="G839" s="49" t="s">
        <v>280</v>
      </c>
      <c r="H839" s="51" t="n">
        <v>0.6658</v>
      </c>
      <c r="I839" s="51" t="n">
        <v>0.3072</v>
      </c>
      <c r="J839" s="51" t="n">
        <v>0.027</v>
      </c>
      <c r="K839" s="49"/>
      <c r="L839" s="49"/>
      <c r="M839" s="49"/>
      <c r="N839" s="49"/>
      <c r="O839" s="49"/>
      <c r="P839" s="49"/>
      <c r="Q839" s="49"/>
      <c r="R839" s="49"/>
      <c r="S839" s="49" t="n">
        <v>0</v>
      </c>
      <c r="T839" s="49" t="n">
        <v>0</v>
      </c>
      <c r="U839" s="49" t="s">
        <v>1937</v>
      </c>
    </row>
    <row r="840" customFormat="false" ht="15" hidden="false" customHeight="false" outlineLevel="0" collapsed="false">
      <c r="B840" s="48" t="n">
        <v>45246.5849189815</v>
      </c>
      <c r="C840" s="4" t="n">
        <f aca="false">YEAR(B840)</f>
        <v>2023</v>
      </c>
      <c r="D840" s="49" t="s">
        <v>283</v>
      </c>
      <c r="E840" s="49" t="s">
        <v>1938</v>
      </c>
      <c r="F840" s="50" t="n">
        <v>1</v>
      </c>
      <c r="G840" s="49" t="s">
        <v>290</v>
      </c>
      <c r="H840" s="51" t="n">
        <v>0.0241</v>
      </c>
      <c r="I840" s="51" t="n">
        <v>0.7079</v>
      </c>
      <c r="J840" s="51" t="n">
        <v>0.2679</v>
      </c>
      <c r="K840" s="49"/>
      <c r="L840" s="49"/>
      <c r="M840" s="49"/>
      <c r="N840" s="49"/>
      <c r="O840" s="49"/>
      <c r="P840" s="49"/>
      <c r="Q840" s="49"/>
      <c r="R840" s="49"/>
      <c r="S840" s="49" t="n">
        <v>0</v>
      </c>
      <c r="T840" s="49" t="n">
        <v>0</v>
      </c>
      <c r="U840" s="49" t="s">
        <v>1939</v>
      </c>
    </row>
    <row r="841" customFormat="false" ht="15" hidden="false" customHeight="false" outlineLevel="0" collapsed="false">
      <c r="B841" s="48" t="n">
        <v>45246.7564699074</v>
      </c>
      <c r="C841" s="4" t="n">
        <f aca="false">YEAR(B841)</f>
        <v>2023</v>
      </c>
      <c r="D841" s="49" t="s">
        <v>283</v>
      </c>
      <c r="E841" s="49" t="s">
        <v>1940</v>
      </c>
      <c r="F841" s="50" t="n">
        <v>2</v>
      </c>
      <c r="G841" s="49" t="s">
        <v>280</v>
      </c>
      <c r="H841" s="51" t="n">
        <v>0.8629</v>
      </c>
      <c r="I841" s="51" t="n">
        <v>0.1269</v>
      </c>
      <c r="J841" s="51" t="n">
        <v>0.0102</v>
      </c>
      <c r="K841" s="49"/>
      <c r="L841" s="49"/>
      <c r="M841" s="49"/>
      <c r="N841" s="49"/>
      <c r="O841" s="49"/>
      <c r="P841" s="49"/>
      <c r="Q841" s="49"/>
      <c r="R841" s="49"/>
      <c r="S841" s="49" t="n">
        <v>0</v>
      </c>
      <c r="T841" s="49" t="n">
        <v>0</v>
      </c>
      <c r="U841" s="49" t="s">
        <v>1941</v>
      </c>
    </row>
    <row r="842" customFormat="false" ht="15" hidden="false" customHeight="false" outlineLevel="0" collapsed="false">
      <c r="B842" s="48" t="n">
        <v>45246.7840509259</v>
      </c>
      <c r="C842" s="4" t="n">
        <f aca="false">YEAR(B842)</f>
        <v>2023</v>
      </c>
      <c r="D842" s="49" t="s">
        <v>283</v>
      </c>
      <c r="E842" s="49" t="s">
        <v>1942</v>
      </c>
      <c r="F842" s="50" t="n">
        <v>1</v>
      </c>
      <c r="G842" s="49" t="s">
        <v>280</v>
      </c>
      <c r="H842" s="51" t="n">
        <v>0.707</v>
      </c>
      <c r="I842" s="51" t="n">
        <v>0.2838</v>
      </c>
      <c r="J842" s="51" t="n">
        <v>0.0093</v>
      </c>
      <c r="K842" s="49"/>
      <c r="L842" s="49"/>
      <c r="M842" s="49"/>
      <c r="N842" s="49"/>
      <c r="O842" s="49"/>
      <c r="P842" s="49"/>
      <c r="Q842" s="49"/>
      <c r="R842" s="49" t="s">
        <v>281</v>
      </c>
      <c r="S842" s="49" t="n">
        <v>1</v>
      </c>
      <c r="T842" s="49" t="n">
        <v>0</v>
      </c>
      <c r="U842" s="49" t="s">
        <v>1943</v>
      </c>
    </row>
    <row r="843" customFormat="false" ht="15" hidden="false" customHeight="false" outlineLevel="0" collapsed="false">
      <c r="B843" s="48" t="n">
        <v>45246.8435300926</v>
      </c>
      <c r="C843" s="4" t="n">
        <f aca="false">YEAR(B843)</f>
        <v>2023</v>
      </c>
      <c r="D843" s="49" t="s">
        <v>283</v>
      </c>
      <c r="E843" s="49" t="s">
        <v>1944</v>
      </c>
      <c r="F843" s="50" t="n">
        <v>1</v>
      </c>
      <c r="G843" s="49" t="s">
        <v>280</v>
      </c>
      <c r="H843" s="51" t="n">
        <v>0.668</v>
      </c>
      <c r="I843" s="51" t="n">
        <v>0.322</v>
      </c>
      <c r="J843" s="51" t="n">
        <v>0.01</v>
      </c>
      <c r="K843" s="49"/>
      <c r="L843" s="49"/>
      <c r="M843" s="49"/>
      <c r="N843" s="49"/>
      <c r="O843" s="49"/>
      <c r="P843" s="49"/>
      <c r="Q843" s="49"/>
      <c r="R843" s="49"/>
      <c r="S843" s="49" t="n">
        <v>0</v>
      </c>
      <c r="T843" s="49" t="n">
        <v>0</v>
      </c>
      <c r="U843" s="49" t="s">
        <v>1945</v>
      </c>
    </row>
    <row r="844" customFormat="false" ht="15" hidden="false" customHeight="false" outlineLevel="0" collapsed="false">
      <c r="B844" s="48" t="n">
        <v>45247.3561921296</v>
      </c>
      <c r="C844" s="4" t="n">
        <f aca="false">YEAR(B844)</f>
        <v>2023</v>
      </c>
      <c r="D844" s="49" t="s">
        <v>283</v>
      </c>
      <c r="E844" s="49" t="s">
        <v>1946</v>
      </c>
      <c r="F844" s="50" t="n">
        <v>1</v>
      </c>
      <c r="G844" s="49" t="s">
        <v>280</v>
      </c>
      <c r="H844" s="51" t="n">
        <v>0.6775</v>
      </c>
      <c r="I844" s="51" t="n">
        <v>0.3033</v>
      </c>
      <c r="J844" s="51" t="n">
        <v>0.0193</v>
      </c>
      <c r="K844" s="49"/>
      <c r="L844" s="49"/>
      <c r="M844" s="49"/>
      <c r="N844" s="49"/>
      <c r="O844" s="49"/>
      <c r="P844" s="49"/>
      <c r="Q844" s="49"/>
      <c r="R844" s="49"/>
      <c r="S844" s="49" t="n">
        <v>1</v>
      </c>
      <c r="T844" s="49" t="n">
        <v>0</v>
      </c>
      <c r="U844" s="49" t="s">
        <v>1947</v>
      </c>
    </row>
    <row r="845" customFormat="false" ht="15" hidden="false" customHeight="false" outlineLevel="0" collapsed="false">
      <c r="B845" s="48" t="n">
        <v>45247.4410763889</v>
      </c>
      <c r="C845" s="4" t="n">
        <f aca="false">YEAR(B845)</f>
        <v>2023</v>
      </c>
      <c r="D845" s="49" t="s">
        <v>283</v>
      </c>
      <c r="E845" s="49" t="s">
        <v>1948</v>
      </c>
      <c r="F845" s="50" t="n">
        <v>3</v>
      </c>
      <c r="G845" s="49" t="s">
        <v>290</v>
      </c>
      <c r="H845" s="51" t="n">
        <v>0.4268</v>
      </c>
      <c r="I845" s="51" t="n">
        <v>0.5426</v>
      </c>
      <c r="J845" s="51" t="n">
        <v>0.0306</v>
      </c>
      <c r="K845" s="49"/>
      <c r="L845" s="49"/>
      <c r="M845" s="49"/>
      <c r="N845" s="49"/>
      <c r="O845" s="49"/>
      <c r="P845" s="49"/>
      <c r="Q845" s="49"/>
      <c r="R845" s="49"/>
      <c r="S845" s="49" t="n">
        <v>0</v>
      </c>
      <c r="T845" s="49" t="n">
        <v>0</v>
      </c>
      <c r="U845" s="49" t="s">
        <v>1949</v>
      </c>
    </row>
    <row r="846" customFormat="false" ht="15" hidden="false" customHeight="false" outlineLevel="0" collapsed="false">
      <c r="B846" s="48" t="n">
        <v>45247.7521759259</v>
      </c>
      <c r="C846" s="4" t="n">
        <f aca="false">YEAR(B846)</f>
        <v>2023</v>
      </c>
      <c r="D846" s="49" t="s">
        <v>278</v>
      </c>
      <c r="E846" s="49" t="s">
        <v>1950</v>
      </c>
      <c r="F846" s="50" t="n">
        <v>1</v>
      </c>
      <c r="G846" s="49" t="s">
        <v>290</v>
      </c>
      <c r="H846" s="51" t="n">
        <v>0.1302</v>
      </c>
      <c r="I846" s="51" t="n">
        <v>0.5609</v>
      </c>
      <c r="J846" s="51" t="n">
        <v>0.3089</v>
      </c>
      <c r="K846" s="49"/>
      <c r="L846" s="49"/>
      <c r="M846" s="49"/>
      <c r="N846" s="49"/>
      <c r="O846" s="49"/>
      <c r="P846" s="49"/>
      <c r="Q846" s="49" t="s">
        <v>281</v>
      </c>
      <c r="R846" s="49"/>
      <c r="S846" s="49" t="n">
        <v>0</v>
      </c>
      <c r="T846" s="49" t="n">
        <v>0</v>
      </c>
      <c r="U846" s="49" t="s">
        <v>1951</v>
      </c>
    </row>
    <row r="847" customFormat="false" ht="15" hidden="false" customHeight="false" outlineLevel="0" collapsed="false">
      <c r="B847" s="48" t="n">
        <v>45247.7717939815</v>
      </c>
      <c r="C847" s="4" t="n">
        <f aca="false">YEAR(B847)</f>
        <v>2023</v>
      </c>
      <c r="D847" s="49" t="s">
        <v>283</v>
      </c>
      <c r="E847" s="49" t="s">
        <v>1952</v>
      </c>
      <c r="F847" s="50" t="n">
        <v>2</v>
      </c>
      <c r="G847" s="49" t="s">
        <v>287</v>
      </c>
      <c r="H847" s="51" t="n">
        <v>0.0075</v>
      </c>
      <c r="I847" s="51" t="n">
        <v>0.2101</v>
      </c>
      <c r="J847" s="51" t="n">
        <v>0.7824</v>
      </c>
      <c r="K847" s="49"/>
      <c r="L847" s="49"/>
      <c r="M847" s="49"/>
      <c r="N847" s="49"/>
      <c r="O847" s="49"/>
      <c r="P847" s="49"/>
      <c r="Q847" s="49"/>
      <c r="R847" s="49"/>
      <c r="S847" s="49" t="n">
        <v>0</v>
      </c>
      <c r="T847" s="49" t="n">
        <v>0</v>
      </c>
      <c r="U847" s="49" t="s">
        <v>1953</v>
      </c>
    </row>
    <row r="848" customFormat="false" ht="15" hidden="false" customHeight="false" outlineLevel="0" collapsed="false">
      <c r="B848" s="48" t="n">
        <v>45247.9378472222</v>
      </c>
      <c r="C848" s="4" t="n">
        <f aca="false">YEAR(B848)</f>
        <v>2023</v>
      </c>
      <c r="D848" s="49" t="s">
        <v>283</v>
      </c>
      <c r="E848" s="49" t="s">
        <v>1954</v>
      </c>
      <c r="F848" s="50" t="n">
        <v>3</v>
      </c>
      <c r="G848" s="49" t="s">
        <v>280</v>
      </c>
      <c r="H848" s="51" t="n">
        <v>0.7387</v>
      </c>
      <c r="I848" s="51" t="n">
        <v>0.2404</v>
      </c>
      <c r="J848" s="51" t="n">
        <v>0.0209</v>
      </c>
      <c r="K848" s="49"/>
      <c r="L848" s="49"/>
      <c r="M848" s="49"/>
      <c r="N848" s="49"/>
      <c r="O848" s="49"/>
      <c r="P848" s="49"/>
      <c r="Q848" s="49"/>
      <c r="R848" s="49"/>
      <c r="S848" s="49" t="n">
        <v>0</v>
      </c>
      <c r="T848" s="49" t="n">
        <v>0</v>
      </c>
      <c r="U848" s="49" t="s">
        <v>1955</v>
      </c>
    </row>
    <row r="849" customFormat="false" ht="15" hidden="false" customHeight="false" outlineLevel="0" collapsed="false">
      <c r="B849" s="48" t="n">
        <v>45248.2297337963</v>
      </c>
      <c r="C849" s="4" t="n">
        <f aca="false">YEAR(B849)</f>
        <v>2023</v>
      </c>
      <c r="D849" s="49" t="s">
        <v>283</v>
      </c>
      <c r="E849" s="49" t="s">
        <v>1956</v>
      </c>
      <c r="F849" s="50" t="n">
        <v>1</v>
      </c>
      <c r="G849" s="49" t="s">
        <v>290</v>
      </c>
      <c r="H849" s="51" t="n">
        <v>0.0073</v>
      </c>
      <c r="I849" s="51" t="n">
        <v>0.9307</v>
      </c>
      <c r="J849" s="51" t="n">
        <v>0.062</v>
      </c>
      <c r="K849" s="49"/>
      <c r="L849" s="49"/>
      <c r="M849" s="49"/>
      <c r="N849" s="49"/>
      <c r="O849" s="49"/>
      <c r="P849" s="49"/>
      <c r="Q849" s="49"/>
      <c r="R849" s="49"/>
      <c r="S849" s="49" t="n">
        <v>1</v>
      </c>
      <c r="T849" s="49" t="n">
        <v>0</v>
      </c>
      <c r="U849" s="49" t="s">
        <v>1957</v>
      </c>
    </row>
    <row r="850" customFormat="false" ht="15" hidden="false" customHeight="false" outlineLevel="0" collapsed="false">
      <c r="B850" s="48" t="n">
        <v>45248.8162962963</v>
      </c>
      <c r="C850" s="4" t="n">
        <f aca="false">YEAR(B850)</f>
        <v>2023</v>
      </c>
      <c r="D850" s="49" t="s">
        <v>278</v>
      </c>
      <c r="E850" s="49" t="s">
        <v>1958</v>
      </c>
      <c r="F850" s="50" t="n">
        <v>2</v>
      </c>
      <c r="G850" s="49" t="s">
        <v>280</v>
      </c>
      <c r="H850" s="51" t="n">
        <v>0.8538</v>
      </c>
      <c r="I850" s="51" t="n">
        <v>0.1325</v>
      </c>
      <c r="J850" s="51" t="n">
        <v>0.0136</v>
      </c>
      <c r="K850" s="49"/>
      <c r="L850" s="49"/>
      <c r="M850" s="49"/>
      <c r="N850" s="49"/>
      <c r="O850" s="49"/>
      <c r="P850" s="49"/>
      <c r="Q850" s="49"/>
      <c r="R850" s="49"/>
      <c r="S850" s="49" t="n">
        <v>0</v>
      </c>
      <c r="T850" s="49" t="n">
        <v>0</v>
      </c>
      <c r="U850" s="49" t="s">
        <v>1959</v>
      </c>
    </row>
    <row r="851" customFormat="false" ht="15" hidden="false" customHeight="false" outlineLevel="0" collapsed="false">
      <c r="B851" s="48" t="n">
        <v>45249.5851273148</v>
      </c>
      <c r="C851" s="4" t="n">
        <f aca="false">YEAR(B851)</f>
        <v>2023</v>
      </c>
      <c r="D851" s="49" t="s">
        <v>283</v>
      </c>
      <c r="E851" s="49" t="s">
        <v>1960</v>
      </c>
      <c r="F851" s="50" t="n">
        <v>2</v>
      </c>
      <c r="G851" s="49" t="s">
        <v>280</v>
      </c>
      <c r="H851" s="51" t="n">
        <v>0.5684</v>
      </c>
      <c r="I851" s="51" t="n">
        <v>0.4181</v>
      </c>
      <c r="J851" s="51" t="n">
        <v>0.0135</v>
      </c>
      <c r="K851" s="49" t="s">
        <v>281</v>
      </c>
      <c r="L851" s="49"/>
      <c r="M851" s="49"/>
      <c r="N851" s="49"/>
      <c r="O851" s="49"/>
      <c r="P851" s="49"/>
      <c r="Q851" s="49"/>
      <c r="R851" s="49" t="s">
        <v>281</v>
      </c>
      <c r="S851" s="49" t="n">
        <v>0</v>
      </c>
      <c r="T851" s="49" t="n">
        <v>0</v>
      </c>
      <c r="U851" s="49" t="s">
        <v>1961</v>
      </c>
    </row>
    <row r="852" customFormat="false" ht="15" hidden="false" customHeight="false" outlineLevel="0" collapsed="false">
      <c r="B852" s="48" t="n">
        <v>45250.0155439815</v>
      </c>
      <c r="C852" s="4" t="n">
        <f aca="false">YEAR(B852)</f>
        <v>2023</v>
      </c>
      <c r="D852" s="49" t="s">
        <v>283</v>
      </c>
      <c r="E852" s="49" t="s">
        <v>1962</v>
      </c>
      <c r="F852" s="50" t="n">
        <v>1</v>
      </c>
      <c r="G852" s="49" t="s">
        <v>290</v>
      </c>
      <c r="H852" s="51" t="n">
        <v>0.0177</v>
      </c>
      <c r="I852" s="51" t="n">
        <v>0.9011</v>
      </c>
      <c r="J852" s="51" t="n">
        <v>0.0812</v>
      </c>
      <c r="K852" s="49"/>
      <c r="L852" s="49"/>
      <c r="M852" s="49"/>
      <c r="N852" s="49"/>
      <c r="O852" s="49"/>
      <c r="P852" s="49"/>
      <c r="Q852" s="49"/>
      <c r="R852" s="49" t="s">
        <v>281</v>
      </c>
      <c r="S852" s="49" t="n">
        <v>0</v>
      </c>
      <c r="T852" s="49" t="n">
        <v>0</v>
      </c>
      <c r="U852" s="49" t="s">
        <v>1963</v>
      </c>
    </row>
    <row r="853" customFormat="false" ht="15" hidden="false" customHeight="false" outlineLevel="0" collapsed="false">
      <c r="B853" s="48" t="n">
        <v>45250.1798263889</v>
      </c>
      <c r="C853" s="4" t="n">
        <f aca="false">YEAR(B853)</f>
        <v>2023</v>
      </c>
      <c r="D853" s="49" t="s">
        <v>278</v>
      </c>
      <c r="E853" s="49" t="s">
        <v>1964</v>
      </c>
      <c r="F853" s="50" t="n">
        <v>10</v>
      </c>
      <c r="G853" s="49" t="s">
        <v>280</v>
      </c>
      <c r="H853" s="51" t="n">
        <v>0.7351</v>
      </c>
      <c r="I853" s="51" t="n">
        <v>0.2239</v>
      </c>
      <c r="J853" s="51" t="n">
        <v>0.041</v>
      </c>
      <c r="K853" s="49"/>
      <c r="L853" s="49"/>
      <c r="M853" s="49"/>
      <c r="N853" s="49"/>
      <c r="O853" s="49"/>
      <c r="P853" s="49"/>
      <c r="Q853" s="49"/>
      <c r="R853" s="49" t="s">
        <v>281</v>
      </c>
      <c r="S853" s="49" t="n">
        <v>0</v>
      </c>
      <c r="T853" s="49" t="n">
        <v>0</v>
      </c>
      <c r="U853" s="49" t="s">
        <v>1965</v>
      </c>
    </row>
    <row r="854" customFormat="false" ht="15" hidden="false" customHeight="false" outlineLevel="0" collapsed="false">
      <c r="B854" s="48" t="n">
        <v>45250.5326851852</v>
      </c>
      <c r="C854" s="4" t="n">
        <f aca="false">YEAR(B854)</f>
        <v>2023</v>
      </c>
      <c r="D854" s="49" t="s">
        <v>283</v>
      </c>
      <c r="E854" s="49" t="s">
        <v>1966</v>
      </c>
      <c r="F854" s="50" t="n">
        <v>117</v>
      </c>
      <c r="G854" s="49" t="s">
        <v>287</v>
      </c>
      <c r="H854" s="51" t="n">
        <v>0.006</v>
      </c>
      <c r="I854" s="51" t="n">
        <v>0.0302</v>
      </c>
      <c r="J854" s="51" t="n">
        <v>0.9638</v>
      </c>
      <c r="K854" s="49"/>
      <c r="L854" s="49"/>
      <c r="M854" s="49"/>
      <c r="N854" s="49"/>
      <c r="O854" s="49"/>
      <c r="P854" s="49"/>
      <c r="Q854" s="49"/>
      <c r="R854" s="49"/>
      <c r="S854" s="49" t="n">
        <v>0</v>
      </c>
      <c r="T854" s="49" t="n">
        <v>0</v>
      </c>
      <c r="U854" s="49" t="s">
        <v>1967</v>
      </c>
    </row>
    <row r="855" customFormat="false" ht="15" hidden="false" customHeight="false" outlineLevel="0" collapsed="false">
      <c r="B855" s="48" t="n">
        <v>45250.9594560185</v>
      </c>
      <c r="C855" s="4" t="n">
        <f aca="false">YEAR(B855)</f>
        <v>2023</v>
      </c>
      <c r="D855" s="49" t="s">
        <v>283</v>
      </c>
      <c r="E855" s="49" t="s">
        <v>1968</v>
      </c>
      <c r="F855" s="50" t="n">
        <v>1</v>
      </c>
      <c r="G855" s="49" t="s">
        <v>287</v>
      </c>
      <c r="H855" s="51" t="n">
        <v>0.0023</v>
      </c>
      <c r="I855" s="51" t="n">
        <v>0.1093</v>
      </c>
      <c r="J855" s="51" t="n">
        <v>0.8883</v>
      </c>
      <c r="K855" s="49"/>
      <c r="L855" s="49"/>
      <c r="M855" s="49"/>
      <c r="N855" s="49"/>
      <c r="O855" s="49"/>
      <c r="P855" s="49"/>
      <c r="Q855" s="49"/>
      <c r="R855" s="49"/>
      <c r="S855" s="49" t="n">
        <v>0</v>
      </c>
      <c r="T855" s="49" t="n">
        <v>0</v>
      </c>
      <c r="U855" s="49" t="s">
        <v>1969</v>
      </c>
    </row>
    <row r="856" customFormat="false" ht="15" hidden="false" customHeight="false" outlineLevel="0" collapsed="false">
      <c r="B856" s="48" t="n">
        <v>45252.6369097222</v>
      </c>
      <c r="C856" s="4" t="n">
        <f aca="false">YEAR(B856)</f>
        <v>2023</v>
      </c>
      <c r="D856" s="49" t="s">
        <v>283</v>
      </c>
      <c r="E856" s="49" t="s">
        <v>1970</v>
      </c>
      <c r="F856" s="50" t="n">
        <v>1</v>
      </c>
      <c r="G856" s="49" t="s">
        <v>287</v>
      </c>
      <c r="H856" s="51" t="n">
        <v>0.0023</v>
      </c>
      <c r="I856" s="51" t="n">
        <v>0.0285</v>
      </c>
      <c r="J856" s="51" t="n">
        <v>0.9692</v>
      </c>
      <c r="K856" s="49"/>
      <c r="L856" s="49"/>
      <c r="M856" s="49"/>
      <c r="N856" s="49"/>
      <c r="O856" s="49"/>
      <c r="P856" s="49" t="s">
        <v>281</v>
      </c>
      <c r="Q856" s="49"/>
      <c r="R856" s="49"/>
      <c r="S856" s="49" t="n">
        <v>0</v>
      </c>
      <c r="T856" s="49" t="n">
        <v>0</v>
      </c>
      <c r="U856" s="49" t="s">
        <v>1971</v>
      </c>
    </row>
    <row r="857" customFormat="false" ht="15" hidden="false" customHeight="false" outlineLevel="0" collapsed="false">
      <c r="B857" s="48" t="n">
        <v>45252.9397916667</v>
      </c>
      <c r="C857" s="4" t="n">
        <f aca="false">YEAR(B857)</f>
        <v>2023</v>
      </c>
      <c r="D857" s="49" t="s">
        <v>283</v>
      </c>
      <c r="E857" s="49" t="s">
        <v>1972</v>
      </c>
      <c r="F857" s="50" t="n">
        <v>6</v>
      </c>
      <c r="G857" s="49" t="s">
        <v>280</v>
      </c>
      <c r="H857" s="51" t="n">
        <v>0.9022</v>
      </c>
      <c r="I857" s="51" t="n">
        <v>0.0887</v>
      </c>
      <c r="J857" s="51" t="n">
        <v>0.0091</v>
      </c>
      <c r="K857" s="49"/>
      <c r="L857" s="49"/>
      <c r="M857" s="49"/>
      <c r="N857" s="49"/>
      <c r="O857" s="49"/>
      <c r="P857" s="49"/>
      <c r="Q857" s="49"/>
      <c r="R857" s="49" t="s">
        <v>281</v>
      </c>
      <c r="S857" s="49" t="n">
        <v>0</v>
      </c>
      <c r="T857" s="49" t="n">
        <v>0</v>
      </c>
      <c r="U857" s="49" t="s">
        <v>1973</v>
      </c>
    </row>
    <row r="858" customFormat="false" ht="15" hidden="false" customHeight="false" outlineLevel="0" collapsed="false">
      <c r="B858" s="48" t="n">
        <v>45253.0570833333</v>
      </c>
      <c r="C858" s="4" t="n">
        <f aca="false">YEAR(B858)</f>
        <v>2023</v>
      </c>
      <c r="D858" s="49" t="s">
        <v>283</v>
      </c>
      <c r="E858" s="49" t="s">
        <v>1974</v>
      </c>
      <c r="F858" s="50" t="n">
        <v>1</v>
      </c>
      <c r="G858" s="49" t="s">
        <v>290</v>
      </c>
      <c r="H858" s="51" t="n">
        <v>0.285</v>
      </c>
      <c r="I858" s="51" t="n">
        <v>0.6768</v>
      </c>
      <c r="J858" s="51" t="n">
        <v>0.0382</v>
      </c>
      <c r="K858" s="49"/>
      <c r="L858" s="49"/>
      <c r="M858" s="49"/>
      <c r="N858" s="49"/>
      <c r="O858" s="49"/>
      <c r="P858" s="49"/>
      <c r="Q858" s="49"/>
      <c r="R858" s="49"/>
      <c r="S858" s="49" t="n">
        <v>0</v>
      </c>
      <c r="T858" s="49" t="n">
        <v>0</v>
      </c>
      <c r="U858" s="49" t="s">
        <v>1975</v>
      </c>
    </row>
    <row r="859" customFormat="false" ht="15" hidden="false" customHeight="false" outlineLevel="0" collapsed="false">
      <c r="B859" s="48" t="n">
        <v>45253.229375</v>
      </c>
      <c r="C859" s="4" t="n">
        <f aca="false">YEAR(B859)</f>
        <v>2023</v>
      </c>
      <c r="D859" s="49" t="s">
        <v>283</v>
      </c>
      <c r="E859" s="49" t="s">
        <v>1976</v>
      </c>
      <c r="F859" s="50" t="n">
        <v>2</v>
      </c>
      <c r="G859" s="49" t="s">
        <v>287</v>
      </c>
      <c r="H859" s="51" t="n">
        <v>0.0242</v>
      </c>
      <c r="I859" s="51" t="n">
        <v>0.4716</v>
      </c>
      <c r="J859" s="51" t="n">
        <v>0.5042</v>
      </c>
      <c r="K859" s="49"/>
      <c r="L859" s="49"/>
      <c r="M859" s="49"/>
      <c r="N859" s="49"/>
      <c r="O859" s="49"/>
      <c r="P859" s="49"/>
      <c r="Q859" s="49"/>
      <c r="R859" s="49"/>
      <c r="S859" s="49" t="n">
        <v>0</v>
      </c>
      <c r="T859" s="49" t="n">
        <v>0</v>
      </c>
      <c r="U859" s="49" t="s">
        <v>1977</v>
      </c>
    </row>
    <row r="860" customFormat="false" ht="15" hidden="false" customHeight="false" outlineLevel="0" collapsed="false">
      <c r="B860" s="48" t="n">
        <v>45253.7419212963</v>
      </c>
      <c r="C860" s="4" t="n">
        <f aca="false">YEAR(B860)</f>
        <v>2023</v>
      </c>
      <c r="D860" s="49" t="s">
        <v>283</v>
      </c>
      <c r="E860" s="49" t="s">
        <v>1828</v>
      </c>
      <c r="F860" s="50" t="n">
        <v>3</v>
      </c>
      <c r="G860" s="49" t="s">
        <v>287</v>
      </c>
      <c r="H860" s="51" t="n">
        <v>0.0029</v>
      </c>
      <c r="I860" s="51" t="n">
        <v>0.2249</v>
      </c>
      <c r="J860" s="51" t="n">
        <v>0.7722</v>
      </c>
      <c r="K860" s="49"/>
      <c r="L860" s="49"/>
      <c r="M860" s="49"/>
      <c r="N860" s="49"/>
      <c r="O860" s="49"/>
      <c r="P860" s="49"/>
      <c r="Q860" s="49"/>
      <c r="R860" s="49"/>
      <c r="S860" s="49" t="n">
        <v>0</v>
      </c>
      <c r="T860" s="49" t="n">
        <v>0</v>
      </c>
      <c r="U860" s="49" t="s">
        <v>1978</v>
      </c>
    </row>
    <row r="861" customFormat="false" ht="15" hidden="false" customHeight="false" outlineLevel="0" collapsed="false">
      <c r="B861" s="48" t="n">
        <v>45253.7922222222</v>
      </c>
      <c r="C861" s="4" t="n">
        <f aca="false">YEAR(B861)</f>
        <v>2023</v>
      </c>
      <c r="D861" s="49" t="s">
        <v>283</v>
      </c>
      <c r="E861" s="49" t="s">
        <v>1979</v>
      </c>
      <c r="F861" s="50" t="n">
        <v>2</v>
      </c>
      <c r="G861" s="49" t="s">
        <v>280</v>
      </c>
      <c r="H861" s="51" t="n">
        <v>0.6367</v>
      </c>
      <c r="I861" s="51" t="n">
        <v>0.3482</v>
      </c>
      <c r="J861" s="51" t="n">
        <v>0.0151</v>
      </c>
      <c r="K861" s="49"/>
      <c r="L861" s="49"/>
      <c r="M861" s="49"/>
      <c r="N861" s="49"/>
      <c r="O861" s="49"/>
      <c r="P861" s="49"/>
      <c r="Q861" s="49"/>
      <c r="R861" s="49" t="s">
        <v>281</v>
      </c>
      <c r="S861" s="49" t="n">
        <v>0</v>
      </c>
      <c r="T861" s="49" t="n">
        <v>0</v>
      </c>
      <c r="U861" s="49" t="s">
        <v>1980</v>
      </c>
    </row>
    <row r="862" customFormat="false" ht="15" hidden="false" customHeight="false" outlineLevel="0" collapsed="false">
      <c r="B862" s="48" t="n">
        <v>45254.6088310185</v>
      </c>
      <c r="C862" s="4" t="n">
        <f aca="false">YEAR(B862)</f>
        <v>2023</v>
      </c>
      <c r="D862" s="49" t="s">
        <v>283</v>
      </c>
      <c r="E862" s="49" t="s">
        <v>1981</v>
      </c>
      <c r="F862" s="50" t="n">
        <v>2</v>
      </c>
      <c r="G862" s="49" t="s">
        <v>290</v>
      </c>
      <c r="H862" s="51" t="n">
        <v>0.1259</v>
      </c>
      <c r="I862" s="51" t="n">
        <v>0.8192</v>
      </c>
      <c r="J862" s="51" t="n">
        <v>0.0549</v>
      </c>
      <c r="K862" s="49"/>
      <c r="L862" s="49"/>
      <c r="M862" s="49"/>
      <c r="N862" s="49"/>
      <c r="O862" s="49"/>
      <c r="P862" s="49"/>
      <c r="Q862" s="49"/>
      <c r="R862" s="49"/>
      <c r="S862" s="49" t="n">
        <v>0</v>
      </c>
      <c r="T862" s="49" t="n">
        <v>0</v>
      </c>
      <c r="U862" s="49" t="s">
        <v>1982</v>
      </c>
    </row>
    <row r="863" customFormat="false" ht="15" hidden="false" customHeight="false" outlineLevel="0" collapsed="false">
      <c r="B863" s="48" t="n">
        <v>45254.6523032407</v>
      </c>
      <c r="C863" s="4" t="n">
        <f aca="false">YEAR(B863)</f>
        <v>2023</v>
      </c>
      <c r="D863" s="49" t="s">
        <v>283</v>
      </c>
      <c r="E863" s="49" t="s">
        <v>1983</v>
      </c>
      <c r="F863" s="50" t="n">
        <v>1</v>
      </c>
      <c r="G863" s="49" t="s">
        <v>287</v>
      </c>
      <c r="H863" s="51" t="n">
        <v>0.0076</v>
      </c>
      <c r="I863" s="51" t="n">
        <v>0.2645</v>
      </c>
      <c r="J863" s="51" t="n">
        <v>0.7279</v>
      </c>
      <c r="K863" s="49"/>
      <c r="L863" s="49"/>
      <c r="M863" s="49"/>
      <c r="N863" s="49"/>
      <c r="O863" s="49"/>
      <c r="P863" s="49"/>
      <c r="Q863" s="49"/>
      <c r="R863" s="49"/>
      <c r="S863" s="49" t="n">
        <v>0</v>
      </c>
      <c r="T863" s="49" t="n">
        <v>0</v>
      </c>
      <c r="U863" s="49" t="s">
        <v>1984</v>
      </c>
    </row>
    <row r="864" customFormat="false" ht="15" hidden="false" customHeight="false" outlineLevel="0" collapsed="false">
      <c r="B864" s="48" t="n">
        <v>45254.872650463</v>
      </c>
      <c r="C864" s="4" t="n">
        <f aca="false">YEAR(B864)</f>
        <v>2023</v>
      </c>
      <c r="D864" s="49" t="s">
        <v>283</v>
      </c>
      <c r="E864" s="49" t="s">
        <v>1985</v>
      </c>
      <c r="F864" s="50" t="n">
        <v>106</v>
      </c>
      <c r="G864" s="49" t="s">
        <v>287</v>
      </c>
      <c r="H864" s="51" t="n">
        <v>0.0061</v>
      </c>
      <c r="I864" s="51" t="n">
        <v>0.057</v>
      </c>
      <c r="J864" s="51" t="n">
        <v>0.9369</v>
      </c>
      <c r="K864" s="49"/>
      <c r="L864" s="49"/>
      <c r="M864" s="49"/>
      <c r="N864" s="49"/>
      <c r="O864" s="49"/>
      <c r="P864" s="49"/>
      <c r="Q864" s="49"/>
      <c r="R864" s="49" t="s">
        <v>281</v>
      </c>
      <c r="S864" s="49" t="n">
        <v>0</v>
      </c>
      <c r="T864" s="49" t="n">
        <v>0</v>
      </c>
      <c r="U864" s="49" t="s">
        <v>1986</v>
      </c>
    </row>
    <row r="865" customFormat="false" ht="15" hidden="false" customHeight="false" outlineLevel="0" collapsed="false">
      <c r="B865" s="48" t="n">
        <v>45255.0010532407</v>
      </c>
      <c r="C865" s="4" t="n">
        <f aca="false">YEAR(B865)</f>
        <v>2023</v>
      </c>
      <c r="D865" s="49" t="s">
        <v>283</v>
      </c>
      <c r="E865" s="49" t="s">
        <v>1987</v>
      </c>
      <c r="F865" s="50" t="n">
        <v>1</v>
      </c>
      <c r="G865" s="49" t="s">
        <v>290</v>
      </c>
      <c r="H865" s="51" t="n">
        <v>0.4918</v>
      </c>
      <c r="I865" s="51" t="n">
        <v>0.4942</v>
      </c>
      <c r="J865" s="51" t="n">
        <v>0.014</v>
      </c>
      <c r="K865" s="49"/>
      <c r="L865" s="49"/>
      <c r="M865" s="49"/>
      <c r="N865" s="49"/>
      <c r="O865" s="49"/>
      <c r="P865" s="49"/>
      <c r="Q865" s="49"/>
      <c r="R865" s="49" t="s">
        <v>281</v>
      </c>
      <c r="S865" s="49" t="n">
        <v>0</v>
      </c>
      <c r="T865" s="49" t="n">
        <v>0</v>
      </c>
      <c r="U865" s="49" t="s">
        <v>1988</v>
      </c>
    </row>
    <row r="866" customFormat="false" ht="15" hidden="false" customHeight="false" outlineLevel="0" collapsed="false">
      <c r="B866" s="48" t="n">
        <v>45255.3401273148</v>
      </c>
      <c r="C866" s="4" t="n">
        <f aca="false">YEAR(B866)</f>
        <v>2023</v>
      </c>
      <c r="D866" s="49" t="s">
        <v>283</v>
      </c>
      <c r="E866" s="49" t="s">
        <v>1989</v>
      </c>
      <c r="F866" s="50" t="n">
        <v>5</v>
      </c>
      <c r="G866" s="49" t="s">
        <v>280</v>
      </c>
      <c r="H866" s="51" t="n">
        <v>0.871</v>
      </c>
      <c r="I866" s="51" t="n">
        <v>0.0934</v>
      </c>
      <c r="J866" s="51" t="n">
        <v>0.0356</v>
      </c>
      <c r="K866" s="49" t="s">
        <v>281</v>
      </c>
      <c r="L866" s="49"/>
      <c r="M866" s="49"/>
      <c r="N866" s="49"/>
      <c r="O866" s="49"/>
      <c r="P866" s="49"/>
      <c r="Q866" s="49"/>
      <c r="R866" s="49" t="s">
        <v>281</v>
      </c>
      <c r="S866" s="49" t="n">
        <v>0</v>
      </c>
      <c r="T866" s="49" t="n">
        <v>1</v>
      </c>
      <c r="U866" s="49" t="s">
        <v>1990</v>
      </c>
    </row>
    <row r="867" customFormat="false" ht="15" hidden="false" customHeight="false" outlineLevel="0" collapsed="false">
      <c r="B867" s="48" t="n">
        <v>45255.4661458333</v>
      </c>
      <c r="C867" s="4" t="n">
        <f aca="false">YEAR(B867)</f>
        <v>2023</v>
      </c>
      <c r="D867" s="49" t="s">
        <v>283</v>
      </c>
      <c r="E867" s="49" t="s">
        <v>1991</v>
      </c>
      <c r="F867" s="50" t="n">
        <v>1</v>
      </c>
      <c r="G867" s="49" t="s">
        <v>290</v>
      </c>
      <c r="H867" s="51" t="n">
        <v>0.0892</v>
      </c>
      <c r="I867" s="51" t="n">
        <v>0.8402</v>
      </c>
      <c r="J867" s="51" t="n">
        <v>0.0706</v>
      </c>
      <c r="K867" s="49"/>
      <c r="L867" s="49"/>
      <c r="M867" s="49"/>
      <c r="N867" s="49"/>
      <c r="O867" s="49"/>
      <c r="P867" s="49"/>
      <c r="Q867" s="49"/>
      <c r="R867" s="49"/>
      <c r="S867" s="49" t="n">
        <v>0</v>
      </c>
      <c r="T867" s="49" t="n">
        <v>0</v>
      </c>
      <c r="U867" s="49" t="s">
        <v>1992</v>
      </c>
    </row>
    <row r="868" customFormat="false" ht="15" hidden="false" customHeight="false" outlineLevel="0" collapsed="false">
      <c r="B868" s="48" t="n">
        <v>45255.7653125</v>
      </c>
      <c r="C868" s="4" t="n">
        <f aca="false">YEAR(B868)</f>
        <v>2023</v>
      </c>
      <c r="D868" s="49" t="s">
        <v>278</v>
      </c>
      <c r="E868" s="49" t="s">
        <v>1993</v>
      </c>
      <c r="F868" s="50" t="n">
        <v>4</v>
      </c>
      <c r="G868" s="49" t="s">
        <v>280</v>
      </c>
      <c r="H868" s="51" t="n">
        <v>0.8945</v>
      </c>
      <c r="I868" s="51" t="n">
        <v>0.0974</v>
      </c>
      <c r="J868" s="51" t="n">
        <v>0.008</v>
      </c>
      <c r="K868" s="49"/>
      <c r="L868" s="49"/>
      <c r="M868" s="49"/>
      <c r="N868" s="49"/>
      <c r="O868" s="49"/>
      <c r="P868" s="49"/>
      <c r="Q868" s="49"/>
      <c r="R868" s="49"/>
      <c r="S868" s="49" t="n">
        <v>0</v>
      </c>
      <c r="T868" s="49" t="n">
        <v>0</v>
      </c>
      <c r="U868" s="49" t="s">
        <v>1994</v>
      </c>
    </row>
    <row r="869" customFormat="false" ht="15" hidden="false" customHeight="false" outlineLevel="0" collapsed="false">
      <c r="B869" s="48" t="n">
        <v>45255.7834259259</v>
      </c>
      <c r="C869" s="4" t="n">
        <f aca="false">YEAR(B869)</f>
        <v>2023</v>
      </c>
      <c r="D869" s="49" t="s">
        <v>283</v>
      </c>
      <c r="E869" s="49" t="s">
        <v>1995</v>
      </c>
      <c r="F869" s="50" t="n">
        <v>1</v>
      </c>
      <c r="G869" s="49" t="s">
        <v>290</v>
      </c>
      <c r="H869" s="51" t="n">
        <v>0.4341</v>
      </c>
      <c r="I869" s="51" t="n">
        <v>0.5406</v>
      </c>
      <c r="J869" s="51" t="n">
        <v>0.0253</v>
      </c>
      <c r="K869" s="49"/>
      <c r="L869" s="49"/>
      <c r="M869" s="49"/>
      <c r="N869" s="49"/>
      <c r="O869" s="49"/>
      <c r="P869" s="49"/>
      <c r="Q869" s="49"/>
      <c r="R869" s="49" t="s">
        <v>281</v>
      </c>
      <c r="S869" s="49" t="n">
        <v>0</v>
      </c>
      <c r="T869" s="49" t="n">
        <v>0</v>
      </c>
      <c r="U869" s="49" t="s">
        <v>1996</v>
      </c>
    </row>
    <row r="870" customFormat="false" ht="15" hidden="false" customHeight="false" outlineLevel="0" collapsed="false">
      <c r="B870" s="48" t="n">
        <v>45256.0738425926</v>
      </c>
      <c r="C870" s="4" t="n">
        <f aca="false">YEAR(B870)</f>
        <v>2023</v>
      </c>
      <c r="D870" s="49" t="s">
        <v>283</v>
      </c>
      <c r="E870" s="49" t="s">
        <v>1997</v>
      </c>
      <c r="F870" s="50" t="n">
        <v>1</v>
      </c>
      <c r="G870" s="49" t="s">
        <v>290</v>
      </c>
      <c r="H870" s="51" t="n">
        <v>0.4701</v>
      </c>
      <c r="I870" s="51" t="n">
        <v>0.5054</v>
      </c>
      <c r="J870" s="51" t="n">
        <v>0.0245</v>
      </c>
      <c r="K870" s="49"/>
      <c r="L870" s="49"/>
      <c r="M870" s="49"/>
      <c r="N870" s="49"/>
      <c r="O870" s="49"/>
      <c r="P870" s="49"/>
      <c r="Q870" s="49"/>
      <c r="R870" s="49"/>
      <c r="S870" s="49" t="n">
        <v>0</v>
      </c>
      <c r="T870" s="49" t="n">
        <v>0</v>
      </c>
      <c r="U870" s="49" t="s">
        <v>1998</v>
      </c>
    </row>
    <row r="871" customFormat="false" ht="15" hidden="false" customHeight="false" outlineLevel="0" collapsed="false">
      <c r="B871" s="48" t="n">
        <v>45256.6369675926</v>
      </c>
      <c r="C871" s="4" t="n">
        <f aca="false">YEAR(B871)</f>
        <v>2023</v>
      </c>
      <c r="D871" s="49" t="s">
        <v>283</v>
      </c>
      <c r="E871" s="49" t="s">
        <v>1999</v>
      </c>
      <c r="F871" s="50" t="n">
        <v>81</v>
      </c>
      <c r="G871" s="49" t="s">
        <v>290</v>
      </c>
      <c r="H871" s="51" t="n">
        <v>0.0787</v>
      </c>
      <c r="I871" s="51" t="n">
        <v>0.7573</v>
      </c>
      <c r="J871" s="51" t="n">
        <v>0.164</v>
      </c>
      <c r="K871" s="49"/>
      <c r="L871" s="49"/>
      <c r="M871" s="49"/>
      <c r="N871" s="49"/>
      <c r="O871" s="49"/>
      <c r="P871" s="49"/>
      <c r="Q871" s="49"/>
      <c r="R871" s="49"/>
      <c r="S871" s="49" t="n">
        <v>0</v>
      </c>
      <c r="T871" s="49" t="n">
        <v>0</v>
      </c>
      <c r="U871" s="49" t="s">
        <v>2000</v>
      </c>
    </row>
    <row r="872" customFormat="false" ht="15" hidden="false" customHeight="false" outlineLevel="0" collapsed="false">
      <c r="B872" s="48" t="n">
        <v>45256.8543055556</v>
      </c>
      <c r="C872" s="4" t="n">
        <f aca="false">YEAR(B872)</f>
        <v>2023</v>
      </c>
      <c r="D872" s="49" t="s">
        <v>278</v>
      </c>
      <c r="E872" s="49" t="s">
        <v>2001</v>
      </c>
      <c r="F872" s="50" t="n">
        <v>34</v>
      </c>
      <c r="G872" s="49" t="s">
        <v>287</v>
      </c>
      <c r="H872" s="51" t="n">
        <v>0.0264</v>
      </c>
      <c r="I872" s="51" t="n">
        <v>0.0717</v>
      </c>
      <c r="J872" s="51" t="n">
        <v>0.9019</v>
      </c>
      <c r="K872" s="49"/>
      <c r="L872" s="49"/>
      <c r="M872" s="49"/>
      <c r="N872" s="49"/>
      <c r="O872" s="49"/>
      <c r="P872" s="49"/>
      <c r="Q872" s="49"/>
      <c r="R872" s="49" t="s">
        <v>281</v>
      </c>
      <c r="S872" s="49" t="n">
        <v>0</v>
      </c>
      <c r="T872" s="49" t="n">
        <v>0</v>
      </c>
      <c r="U872" s="49" t="s">
        <v>2002</v>
      </c>
    </row>
    <row r="873" customFormat="false" ht="15" hidden="false" customHeight="false" outlineLevel="0" collapsed="false">
      <c r="B873" s="48" t="n">
        <v>45257.5420833333</v>
      </c>
      <c r="C873" s="4" t="n">
        <f aca="false">YEAR(B873)</f>
        <v>2023</v>
      </c>
      <c r="D873" s="49" t="s">
        <v>283</v>
      </c>
      <c r="E873" s="49" t="s">
        <v>2003</v>
      </c>
      <c r="F873" s="50" t="n">
        <v>1</v>
      </c>
      <c r="G873" s="49" t="s">
        <v>290</v>
      </c>
      <c r="H873" s="51" t="n">
        <v>0.0071</v>
      </c>
      <c r="I873" s="51" t="n">
        <v>0.8945</v>
      </c>
      <c r="J873" s="51" t="n">
        <v>0.0984</v>
      </c>
      <c r="K873" s="49"/>
      <c r="L873" s="49"/>
      <c r="M873" s="49"/>
      <c r="N873" s="49"/>
      <c r="O873" s="49"/>
      <c r="P873" s="49"/>
      <c r="Q873" s="49"/>
      <c r="R873" s="49"/>
      <c r="S873" s="49" t="n">
        <v>1</v>
      </c>
      <c r="T873" s="49" t="n">
        <v>0</v>
      </c>
      <c r="U873" s="49" t="s">
        <v>2004</v>
      </c>
    </row>
    <row r="874" customFormat="false" ht="15" hidden="false" customHeight="false" outlineLevel="0" collapsed="false">
      <c r="B874" s="48" t="n">
        <v>45258.0336458333</v>
      </c>
      <c r="C874" s="4" t="n">
        <f aca="false">YEAR(B874)</f>
        <v>2023</v>
      </c>
      <c r="D874" s="49" t="s">
        <v>283</v>
      </c>
      <c r="E874" s="49" t="s">
        <v>2005</v>
      </c>
      <c r="F874" s="50" t="n">
        <v>9</v>
      </c>
      <c r="G874" s="49" t="s">
        <v>287</v>
      </c>
      <c r="H874" s="51" t="n">
        <v>0.0055</v>
      </c>
      <c r="I874" s="51" t="n">
        <v>0.2014</v>
      </c>
      <c r="J874" s="51" t="n">
        <v>0.7931</v>
      </c>
      <c r="K874" s="49" t="s">
        <v>281</v>
      </c>
      <c r="L874" s="49"/>
      <c r="M874" s="49"/>
      <c r="N874" s="49"/>
      <c r="O874" s="49"/>
      <c r="P874" s="49"/>
      <c r="Q874" s="49"/>
      <c r="R874" s="49"/>
      <c r="S874" s="49" t="n">
        <v>0</v>
      </c>
      <c r="T874" s="49" t="n">
        <v>0</v>
      </c>
      <c r="U874" s="49" t="s">
        <v>2006</v>
      </c>
    </row>
    <row r="875" customFormat="false" ht="15" hidden="false" customHeight="false" outlineLevel="0" collapsed="false">
      <c r="B875" s="48" t="n">
        <v>45258.2833564815</v>
      </c>
      <c r="C875" s="4" t="n">
        <f aca="false">YEAR(B875)</f>
        <v>2023</v>
      </c>
      <c r="D875" s="49" t="s">
        <v>283</v>
      </c>
      <c r="E875" s="49" t="s">
        <v>2007</v>
      </c>
      <c r="F875" s="50" t="n">
        <v>3</v>
      </c>
      <c r="G875" s="49" t="s">
        <v>280</v>
      </c>
      <c r="H875" s="51" t="n">
        <v>0.6311</v>
      </c>
      <c r="I875" s="51" t="n">
        <v>0.3457</v>
      </c>
      <c r="J875" s="51" t="n">
        <v>0.0231</v>
      </c>
      <c r="K875" s="49"/>
      <c r="L875" s="49"/>
      <c r="M875" s="49"/>
      <c r="N875" s="49"/>
      <c r="O875" s="49"/>
      <c r="P875" s="49"/>
      <c r="Q875" s="49"/>
      <c r="R875" s="49"/>
      <c r="S875" s="49" t="n">
        <v>0</v>
      </c>
      <c r="T875" s="49" t="n">
        <v>0</v>
      </c>
      <c r="U875" s="49" t="s">
        <v>2008</v>
      </c>
    </row>
    <row r="876" customFormat="false" ht="15" hidden="false" customHeight="false" outlineLevel="0" collapsed="false">
      <c r="B876" s="48" t="n">
        <v>45258.5326967593</v>
      </c>
      <c r="C876" s="4" t="n">
        <f aca="false">YEAR(B876)</f>
        <v>2023</v>
      </c>
      <c r="D876" s="49" t="s">
        <v>278</v>
      </c>
      <c r="E876" s="49" t="s">
        <v>2009</v>
      </c>
      <c r="F876" s="50" t="n">
        <v>1</v>
      </c>
      <c r="G876" s="49" t="s">
        <v>287</v>
      </c>
      <c r="H876" s="51" t="n">
        <v>0.0128</v>
      </c>
      <c r="I876" s="51" t="n">
        <v>0.2228</v>
      </c>
      <c r="J876" s="51" t="n">
        <v>0.7644</v>
      </c>
      <c r="K876" s="49"/>
      <c r="L876" s="49"/>
      <c r="M876" s="49"/>
      <c r="N876" s="49"/>
      <c r="O876" s="49"/>
      <c r="P876" s="49"/>
      <c r="Q876" s="49"/>
      <c r="R876" s="49" t="s">
        <v>281</v>
      </c>
      <c r="S876" s="49" t="n">
        <v>0</v>
      </c>
      <c r="T876" s="49" t="n">
        <v>0</v>
      </c>
      <c r="U876" s="49" t="s">
        <v>2010</v>
      </c>
    </row>
    <row r="877" customFormat="false" ht="15" hidden="false" customHeight="false" outlineLevel="0" collapsed="false">
      <c r="B877" s="48" t="n">
        <v>45258.8887731481</v>
      </c>
      <c r="C877" s="4" t="n">
        <f aca="false">YEAR(B877)</f>
        <v>2023</v>
      </c>
      <c r="D877" s="49" t="s">
        <v>283</v>
      </c>
      <c r="E877" s="49" t="s">
        <v>2011</v>
      </c>
      <c r="F877" s="50" t="n">
        <v>7</v>
      </c>
      <c r="G877" s="49" t="s">
        <v>290</v>
      </c>
      <c r="H877" s="51" t="n">
        <v>0.3762</v>
      </c>
      <c r="I877" s="51" t="n">
        <v>0.5491</v>
      </c>
      <c r="J877" s="51" t="n">
        <v>0.0747</v>
      </c>
      <c r="K877" s="49"/>
      <c r="L877" s="49"/>
      <c r="M877" s="49"/>
      <c r="N877" s="49"/>
      <c r="O877" s="49"/>
      <c r="P877" s="49"/>
      <c r="Q877" s="49"/>
      <c r="R877" s="49"/>
      <c r="S877" s="49" t="n">
        <v>0</v>
      </c>
      <c r="T877" s="49" t="n">
        <v>0</v>
      </c>
      <c r="U877" s="49" t="s">
        <v>2012</v>
      </c>
    </row>
    <row r="878" customFormat="false" ht="15" hidden="false" customHeight="false" outlineLevel="0" collapsed="false">
      <c r="B878" s="48" t="n">
        <v>45258.9568865741</v>
      </c>
      <c r="C878" s="4" t="n">
        <f aca="false">YEAR(B878)</f>
        <v>2023</v>
      </c>
      <c r="D878" s="49" t="s">
        <v>283</v>
      </c>
      <c r="E878" s="49" t="s">
        <v>2013</v>
      </c>
      <c r="F878" s="50" t="n">
        <v>3</v>
      </c>
      <c r="G878" s="49" t="s">
        <v>287</v>
      </c>
      <c r="H878" s="51" t="n">
        <v>0.0033</v>
      </c>
      <c r="I878" s="51" t="n">
        <v>0.0491</v>
      </c>
      <c r="J878" s="51" t="n">
        <v>0.9476</v>
      </c>
      <c r="K878" s="49"/>
      <c r="L878" s="49"/>
      <c r="M878" s="49"/>
      <c r="N878" s="49"/>
      <c r="O878" s="49"/>
      <c r="P878" s="49"/>
      <c r="Q878" s="49"/>
      <c r="R878" s="49"/>
      <c r="S878" s="49" t="n">
        <v>0</v>
      </c>
      <c r="T878" s="49" t="n">
        <v>0</v>
      </c>
      <c r="U878" s="49" t="s">
        <v>2014</v>
      </c>
    </row>
    <row r="879" customFormat="false" ht="15" hidden="false" customHeight="false" outlineLevel="0" collapsed="false">
      <c r="B879" s="48" t="n">
        <v>45259.589537037</v>
      </c>
      <c r="C879" s="4" t="n">
        <f aca="false">YEAR(B879)</f>
        <v>2023</v>
      </c>
      <c r="D879" s="49" t="s">
        <v>283</v>
      </c>
      <c r="E879" s="49" t="s">
        <v>2015</v>
      </c>
      <c r="F879" s="50" t="n">
        <v>12</v>
      </c>
      <c r="G879" s="49" t="s">
        <v>280</v>
      </c>
      <c r="H879" s="51" t="n">
        <v>0.5207</v>
      </c>
      <c r="I879" s="51" t="n">
        <v>0.3713</v>
      </c>
      <c r="J879" s="51" t="n">
        <v>0.108</v>
      </c>
      <c r="K879" s="49"/>
      <c r="L879" s="49"/>
      <c r="M879" s="49"/>
      <c r="N879" s="49"/>
      <c r="O879" s="49"/>
      <c r="P879" s="49"/>
      <c r="Q879" s="49"/>
      <c r="R879" s="49" t="s">
        <v>281</v>
      </c>
      <c r="S879" s="49" t="n">
        <v>0</v>
      </c>
      <c r="T879" s="49" t="n">
        <v>0</v>
      </c>
      <c r="U879" s="49" t="s">
        <v>2016</v>
      </c>
    </row>
    <row r="880" customFormat="false" ht="15" hidden="false" customHeight="false" outlineLevel="0" collapsed="false">
      <c r="B880" s="48" t="n">
        <v>45259.6815856482</v>
      </c>
      <c r="C880" s="4" t="n">
        <f aca="false">YEAR(B880)</f>
        <v>2023</v>
      </c>
      <c r="D880" s="49" t="s">
        <v>283</v>
      </c>
      <c r="E880" s="49" t="s">
        <v>2017</v>
      </c>
      <c r="F880" s="50" t="n">
        <v>1</v>
      </c>
      <c r="G880" s="49" t="s">
        <v>280</v>
      </c>
      <c r="H880" s="51" t="n">
        <v>0.9073</v>
      </c>
      <c r="I880" s="51" t="n">
        <v>0.0858</v>
      </c>
      <c r="J880" s="51" t="n">
        <v>0.0069</v>
      </c>
      <c r="K880" s="49"/>
      <c r="L880" s="49" t="s">
        <v>281</v>
      </c>
      <c r="M880" s="49"/>
      <c r="N880" s="49"/>
      <c r="O880" s="49"/>
      <c r="P880" s="49"/>
      <c r="Q880" s="49"/>
      <c r="R880" s="49" t="s">
        <v>281</v>
      </c>
      <c r="S880" s="49" t="n">
        <v>1</v>
      </c>
      <c r="T880" s="49" t="n">
        <v>0</v>
      </c>
      <c r="U880" s="49" t="s">
        <v>2018</v>
      </c>
    </row>
    <row r="881" customFormat="false" ht="15" hidden="false" customHeight="false" outlineLevel="0" collapsed="false">
      <c r="B881" s="48" t="n">
        <v>45259.8270023148</v>
      </c>
      <c r="C881" s="4" t="n">
        <f aca="false">YEAR(B881)</f>
        <v>2023</v>
      </c>
      <c r="D881" s="49" t="s">
        <v>283</v>
      </c>
      <c r="E881" s="49" t="s">
        <v>2019</v>
      </c>
      <c r="F881" s="50" t="n">
        <v>3</v>
      </c>
      <c r="G881" s="49" t="s">
        <v>280</v>
      </c>
      <c r="H881" s="51" t="n">
        <v>0.8971</v>
      </c>
      <c r="I881" s="51" t="n">
        <v>0.0957</v>
      </c>
      <c r="J881" s="51" t="n">
        <v>0.0072</v>
      </c>
      <c r="K881" s="49"/>
      <c r="L881" s="49" t="s">
        <v>281</v>
      </c>
      <c r="M881" s="49"/>
      <c r="N881" s="49"/>
      <c r="O881" s="49"/>
      <c r="P881" s="49"/>
      <c r="Q881" s="49"/>
      <c r="R881" s="49"/>
      <c r="S881" s="49" t="n">
        <v>0</v>
      </c>
      <c r="T881" s="49" t="n">
        <v>0</v>
      </c>
      <c r="U881" s="49" t="s">
        <v>2020</v>
      </c>
    </row>
    <row r="882" customFormat="false" ht="15" hidden="false" customHeight="false" outlineLevel="0" collapsed="false">
      <c r="B882" s="48" t="n">
        <v>45260.0700694445</v>
      </c>
      <c r="C882" s="4" t="n">
        <f aca="false">YEAR(B882)</f>
        <v>2023</v>
      </c>
      <c r="D882" s="49" t="s">
        <v>283</v>
      </c>
      <c r="E882" s="49" t="s">
        <v>2021</v>
      </c>
      <c r="F882" s="50" t="n">
        <v>1</v>
      </c>
      <c r="G882" s="49" t="s">
        <v>290</v>
      </c>
      <c r="H882" s="51" t="n">
        <v>0.4331</v>
      </c>
      <c r="I882" s="51" t="n">
        <v>0.5533</v>
      </c>
      <c r="J882" s="51" t="n">
        <v>0.0136</v>
      </c>
      <c r="K882" s="49"/>
      <c r="L882" s="49"/>
      <c r="M882" s="49"/>
      <c r="N882" s="49"/>
      <c r="O882" s="49"/>
      <c r="P882" s="49"/>
      <c r="Q882" s="49"/>
      <c r="R882" s="49"/>
      <c r="S882" s="49" t="n">
        <v>0</v>
      </c>
      <c r="T882" s="49" t="n">
        <v>0</v>
      </c>
      <c r="U882" s="49" t="s">
        <v>2022</v>
      </c>
    </row>
    <row r="883" customFormat="false" ht="15" hidden="false" customHeight="false" outlineLevel="0" collapsed="false">
      <c r="B883" s="48" t="n">
        <v>45260.2969791667</v>
      </c>
      <c r="C883" s="4" t="n">
        <f aca="false">YEAR(B883)</f>
        <v>2023</v>
      </c>
      <c r="D883" s="49" t="s">
        <v>278</v>
      </c>
      <c r="E883" s="49" t="s">
        <v>2023</v>
      </c>
      <c r="F883" s="50" t="n">
        <v>2</v>
      </c>
      <c r="G883" s="49" t="s">
        <v>287</v>
      </c>
      <c r="H883" s="51" t="n">
        <v>0.0054</v>
      </c>
      <c r="I883" s="51" t="n">
        <v>0.0171</v>
      </c>
      <c r="J883" s="51" t="n">
        <v>0.9775</v>
      </c>
      <c r="K883" s="49"/>
      <c r="L883" s="49"/>
      <c r="M883" s="49"/>
      <c r="N883" s="49"/>
      <c r="O883" s="49"/>
      <c r="P883" s="49"/>
      <c r="Q883" s="49"/>
      <c r="R883" s="49"/>
      <c r="S883" s="49" t="n">
        <v>0</v>
      </c>
      <c r="T883" s="49" t="n">
        <v>0</v>
      </c>
      <c r="U883" s="49" t="s">
        <v>2024</v>
      </c>
    </row>
    <row r="884" customFormat="false" ht="15" hidden="false" customHeight="false" outlineLevel="0" collapsed="false">
      <c r="B884" s="48" t="n">
        <v>45260.5387384259</v>
      </c>
      <c r="C884" s="4" t="n">
        <f aca="false">YEAR(B884)</f>
        <v>2023</v>
      </c>
      <c r="D884" s="49" t="s">
        <v>278</v>
      </c>
      <c r="E884" s="49" t="s">
        <v>2025</v>
      </c>
      <c r="F884" s="50" t="n">
        <v>4</v>
      </c>
      <c r="G884" s="49" t="s">
        <v>280</v>
      </c>
      <c r="H884" s="51" t="n">
        <v>0.5294</v>
      </c>
      <c r="I884" s="51" t="n">
        <v>0.439</v>
      </c>
      <c r="J884" s="51" t="n">
        <v>0.0316</v>
      </c>
      <c r="K884" s="49"/>
      <c r="L884" s="49"/>
      <c r="M884" s="49"/>
      <c r="N884" s="49"/>
      <c r="O884" s="49"/>
      <c r="P884" s="49"/>
      <c r="Q884" s="49"/>
      <c r="R884" s="49" t="s">
        <v>281</v>
      </c>
      <c r="S884" s="49" t="n">
        <v>0</v>
      </c>
      <c r="T884" s="49" t="n">
        <v>0</v>
      </c>
      <c r="U884" s="49" t="s">
        <v>2026</v>
      </c>
    </row>
    <row r="885" customFormat="false" ht="15" hidden="false" customHeight="false" outlineLevel="0" collapsed="false">
      <c r="B885" s="48" t="n">
        <v>45260.6433680556</v>
      </c>
      <c r="C885" s="4" t="n">
        <f aca="false">YEAR(B885)</f>
        <v>2023</v>
      </c>
      <c r="D885" s="49" t="s">
        <v>283</v>
      </c>
      <c r="E885" s="49" t="s">
        <v>2027</v>
      </c>
      <c r="F885" s="50" t="n">
        <v>1</v>
      </c>
      <c r="G885" s="49" t="s">
        <v>290</v>
      </c>
      <c r="H885" s="51" t="n">
        <v>0.0838</v>
      </c>
      <c r="I885" s="51" t="n">
        <v>0.8753</v>
      </c>
      <c r="J885" s="51" t="n">
        <v>0.0409</v>
      </c>
      <c r="K885" s="49"/>
      <c r="L885" s="49"/>
      <c r="M885" s="49"/>
      <c r="N885" s="49"/>
      <c r="O885" s="49"/>
      <c r="P885" s="49"/>
      <c r="Q885" s="49"/>
      <c r="R885" s="49" t="s">
        <v>281</v>
      </c>
      <c r="S885" s="49" t="n">
        <v>1</v>
      </c>
      <c r="T885" s="49" t="n">
        <v>0</v>
      </c>
      <c r="U885" s="49" t="s">
        <v>2028</v>
      </c>
    </row>
    <row r="886" customFormat="false" ht="15" hidden="false" customHeight="false" outlineLevel="0" collapsed="false">
      <c r="B886" s="48" t="n">
        <v>45260.6774074074</v>
      </c>
      <c r="C886" s="4" t="n">
        <f aca="false">YEAR(B886)</f>
        <v>2023</v>
      </c>
      <c r="D886" s="49" t="s">
        <v>283</v>
      </c>
      <c r="E886" s="49" t="s">
        <v>2029</v>
      </c>
      <c r="F886" s="50" t="n">
        <v>1</v>
      </c>
      <c r="G886" s="49" t="s">
        <v>280</v>
      </c>
      <c r="H886" s="51" t="n">
        <v>0.4339</v>
      </c>
      <c r="I886" s="51" t="n">
        <v>0.3445</v>
      </c>
      <c r="J886" s="51" t="n">
        <v>0.2216</v>
      </c>
      <c r="K886" s="49"/>
      <c r="L886" s="49"/>
      <c r="M886" s="49"/>
      <c r="N886" s="49"/>
      <c r="O886" s="49"/>
      <c r="P886" s="49"/>
      <c r="Q886" s="49"/>
      <c r="R886" s="49"/>
      <c r="S886" s="49" t="n">
        <v>0</v>
      </c>
      <c r="T886" s="49" t="n">
        <v>0</v>
      </c>
      <c r="U886" s="49" t="s">
        <v>2030</v>
      </c>
    </row>
    <row r="887" customFormat="false" ht="15" hidden="false" customHeight="false" outlineLevel="0" collapsed="false">
      <c r="B887" s="48" t="n">
        <v>45260.6939351852</v>
      </c>
      <c r="C887" s="4" t="n">
        <f aca="false">YEAR(B887)</f>
        <v>2023</v>
      </c>
      <c r="D887" s="49" t="s">
        <v>278</v>
      </c>
      <c r="E887" s="49" t="s">
        <v>2031</v>
      </c>
      <c r="F887" s="50" t="n">
        <v>1</v>
      </c>
      <c r="G887" s="49" t="s">
        <v>290</v>
      </c>
      <c r="H887" s="51" t="n">
        <v>0.33</v>
      </c>
      <c r="I887" s="51" t="n">
        <v>0.4853</v>
      </c>
      <c r="J887" s="51" t="n">
        <v>0.1847</v>
      </c>
      <c r="K887" s="49"/>
      <c r="L887" s="49"/>
      <c r="M887" s="49"/>
      <c r="N887" s="49"/>
      <c r="O887" s="49"/>
      <c r="P887" s="49"/>
      <c r="Q887" s="49"/>
      <c r="R887" s="49"/>
      <c r="S887" s="49" t="n">
        <v>0</v>
      </c>
      <c r="T887" s="49" t="n">
        <v>0</v>
      </c>
      <c r="U887" s="49" t="s">
        <v>2032</v>
      </c>
    </row>
    <row r="888" customFormat="false" ht="15" hidden="false" customHeight="false" outlineLevel="0" collapsed="false">
      <c r="B888" s="48" t="n">
        <v>45260.7340856482</v>
      </c>
      <c r="C888" s="4" t="n">
        <f aca="false">YEAR(B888)</f>
        <v>2023</v>
      </c>
      <c r="D888" s="49" t="s">
        <v>283</v>
      </c>
      <c r="E888" s="49" t="s">
        <v>2033</v>
      </c>
      <c r="F888" s="50" t="n">
        <v>1</v>
      </c>
      <c r="G888" s="49" t="s">
        <v>280</v>
      </c>
      <c r="H888" s="51" t="n">
        <v>0.7597</v>
      </c>
      <c r="I888" s="51" t="n">
        <v>0.2213</v>
      </c>
      <c r="J888" s="51" t="n">
        <v>0.0189</v>
      </c>
      <c r="K888" s="49"/>
      <c r="L888" s="49" t="s">
        <v>281</v>
      </c>
      <c r="M888" s="49"/>
      <c r="N888" s="49"/>
      <c r="O888" s="49"/>
      <c r="P888" s="49"/>
      <c r="Q888" s="49"/>
      <c r="R888" s="49" t="s">
        <v>281</v>
      </c>
      <c r="S888" s="49" t="n">
        <v>0</v>
      </c>
      <c r="T888" s="49" t="n">
        <v>1</v>
      </c>
      <c r="U888" s="49" t="s">
        <v>2034</v>
      </c>
    </row>
    <row r="889" customFormat="false" ht="15" hidden="false" customHeight="false" outlineLevel="0" collapsed="false">
      <c r="B889" s="48" t="n">
        <v>45260.7538310185</v>
      </c>
      <c r="C889" s="4" t="n">
        <f aca="false">YEAR(B889)</f>
        <v>2023</v>
      </c>
      <c r="D889" s="49" t="s">
        <v>283</v>
      </c>
      <c r="E889" s="49" t="s">
        <v>2035</v>
      </c>
      <c r="F889" s="50" t="n">
        <v>1</v>
      </c>
      <c r="G889" s="49" t="s">
        <v>287</v>
      </c>
      <c r="H889" s="51" t="n">
        <v>0.0073</v>
      </c>
      <c r="I889" s="51" t="n">
        <v>0.2708</v>
      </c>
      <c r="J889" s="51" t="n">
        <v>0.7219</v>
      </c>
      <c r="K889" s="49"/>
      <c r="L889" s="49"/>
      <c r="M889" s="49"/>
      <c r="N889" s="49"/>
      <c r="O889" s="49"/>
      <c r="P889" s="49" t="s">
        <v>281</v>
      </c>
      <c r="Q889" s="49"/>
      <c r="R889" s="49"/>
      <c r="S889" s="49" t="n">
        <v>0</v>
      </c>
      <c r="T889" s="49" t="n">
        <v>0</v>
      </c>
      <c r="U889" s="49" t="s">
        <v>2036</v>
      </c>
    </row>
    <row r="890" customFormat="false" ht="15" hidden="false" customHeight="false" outlineLevel="0" collapsed="false">
      <c r="B890" s="48" t="n">
        <v>45260.8635648148</v>
      </c>
      <c r="C890" s="4" t="n">
        <f aca="false">YEAR(B890)</f>
        <v>2023</v>
      </c>
      <c r="D890" s="49" t="s">
        <v>283</v>
      </c>
      <c r="E890" s="49" t="s">
        <v>2037</v>
      </c>
      <c r="F890" s="50" t="n">
        <v>1</v>
      </c>
      <c r="G890" s="49" t="s">
        <v>290</v>
      </c>
      <c r="H890" s="51" t="n">
        <v>0.3039</v>
      </c>
      <c r="I890" s="51" t="n">
        <v>0.67</v>
      </c>
      <c r="J890" s="51" t="n">
        <v>0.0261</v>
      </c>
      <c r="K890" s="49"/>
      <c r="L890" s="49"/>
      <c r="M890" s="49"/>
      <c r="N890" s="49"/>
      <c r="O890" s="49"/>
      <c r="P890" s="49"/>
      <c r="Q890" s="49"/>
      <c r="R890" s="49"/>
      <c r="S890" s="49" t="n">
        <v>0</v>
      </c>
      <c r="T890" s="49" t="n">
        <v>0</v>
      </c>
      <c r="U890" s="49" t="s">
        <v>2038</v>
      </c>
    </row>
    <row r="891" customFormat="false" ht="15" hidden="false" customHeight="false" outlineLevel="0" collapsed="false">
      <c r="B891" s="48" t="n">
        <v>45260.9881944444</v>
      </c>
      <c r="C891" s="4" t="n">
        <f aca="false">YEAR(B891)</f>
        <v>2023</v>
      </c>
      <c r="D891" s="49" t="s">
        <v>283</v>
      </c>
      <c r="E891" s="49" t="s">
        <v>2039</v>
      </c>
      <c r="F891" s="50" t="n">
        <v>14</v>
      </c>
      <c r="G891" s="49" t="s">
        <v>287</v>
      </c>
      <c r="H891" s="51" t="n">
        <v>0.0083</v>
      </c>
      <c r="I891" s="51" t="n">
        <v>0.1419</v>
      </c>
      <c r="J891" s="51" t="n">
        <v>0.8498</v>
      </c>
      <c r="K891" s="49"/>
      <c r="L891" s="49"/>
      <c r="M891" s="49"/>
      <c r="N891" s="49"/>
      <c r="O891" s="49"/>
      <c r="P891" s="49"/>
      <c r="Q891" s="49"/>
      <c r="R891" s="49"/>
      <c r="S891" s="49" t="n">
        <v>0</v>
      </c>
      <c r="T891" s="49" t="n">
        <v>0</v>
      </c>
      <c r="U891" s="49" t="s">
        <v>2040</v>
      </c>
    </row>
    <row r="892" customFormat="false" ht="15" hidden="false" customHeight="false" outlineLevel="0" collapsed="false">
      <c r="B892" s="48" t="n">
        <v>45261.4613078704</v>
      </c>
      <c r="C892" s="4" t="n">
        <f aca="false">YEAR(B892)</f>
        <v>2023</v>
      </c>
      <c r="D892" s="49" t="s">
        <v>283</v>
      </c>
      <c r="E892" s="49" t="s">
        <v>2041</v>
      </c>
      <c r="F892" s="50" t="n">
        <v>20</v>
      </c>
      <c r="G892" s="49" t="s">
        <v>280</v>
      </c>
      <c r="H892" s="51" t="n">
        <v>0.6702</v>
      </c>
      <c r="I892" s="51" t="n">
        <v>0.3086</v>
      </c>
      <c r="J892" s="51" t="n">
        <v>0.0212</v>
      </c>
      <c r="K892" s="49" t="s">
        <v>281</v>
      </c>
      <c r="L892" s="49"/>
      <c r="M892" s="49"/>
      <c r="N892" s="49"/>
      <c r="O892" s="49"/>
      <c r="P892" s="49"/>
      <c r="Q892" s="49"/>
      <c r="R892" s="49" t="s">
        <v>281</v>
      </c>
      <c r="S892" s="49" t="n">
        <v>0</v>
      </c>
      <c r="T892" s="49" t="n">
        <v>0</v>
      </c>
      <c r="U892" s="49" t="s">
        <v>2042</v>
      </c>
    </row>
    <row r="893" customFormat="false" ht="15" hidden="false" customHeight="false" outlineLevel="0" collapsed="false">
      <c r="B893" s="48" t="n">
        <v>45261.7286689815</v>
      </c>
      <c r="C893" s="4" t="n">
        <f aca="false">YEAR(B893)</f>
        <v>2023</v>
      </c>
      <c r="D893" s="49" t="s">
        <v>278</v>
      </c>
      <c r="E893" s="49" t="s">
        <v>2043</v>
      </c>
      <c r="F893" s="50" t="n">
        <v>475</v>
      </c>
      <c r="G893" s="49" t="s">
        <v>280</v>
      </c>
      <c r="H893" s="51" t="n">
        <v>0.829</v>
      </c>
      <c r="I893" s="51" t="n">
        <v>0.1548</v>
      </c>
      <c r="J893" s="51" t="n">
        <v>0.0163</v>
      </c>
      <c r="K893" s="49"/>
      <c r="L893" s="49"/>
      <c r="M893" s="49"/>
      <c r="N893" s="49"/>
      <c r="O893" s="49"/>
      <c r="P893" s="49"/>
      <c r="Q893" s="49"/>
      <c r="R893" s="49"/>
      <c r="S893" s="49" t="n">
        <v>0</v>
      </c>
      <c r="T893" s="49" t="n">
        <v>0</v>
      </c>
      <c r="U893" s="49" t="s">
        <v>2044</v>
      </c>
    </row>
    <row r="894" customFormat="false" ht="15" hidden="false" customHeight="false" outlineLevel="0" collapsed="false">
      <c r="B894" s="48" t="n">
        <v>45261.8585532407</v>
      </c>
      <c r="C894" s="4" t="n">
        <f aca="false">YEAR(B894)</f>
        <v>2023</v>
      </c>
      <c r="D894" s="49" t="s">
        <v>283</v>
      </c>
      <c r="E894" s="49" t="s">
        <v>2045</v>
      </c>
      <c r="F894" s="50" t="n">
        <v>3</v>
      </c>
      <c r="G894" s="49" t="s">
        <v>290</v>
      </c>
      <c r="H894" s="51" t="n">
        <v>0.0452</v>
      </c>
      <c r="I894" s="51" t="n">
        <v>0.9089</v>
      </c>
      <c r="J894" s="51" t="n">
        <v>0.046</v>
      </c>
      <c r="K894" s="49"/>
      <c r="L894" s="49"/>
      <c r="M894" s="49"/>
      <c r="N894" s="49"/>
      <c r="O894" s="49"/>
      <c r="P894" s="49"/>
      <c r="Q894" s="49"/>
      <c r="R894" s="49"/>
      <c r="S894" s="49" t="n">
        <v>0</v>
      </c>
      <c r="T894" s="49" t="n">
        <v>0</v>
      </c>
      <c r="U894" s="49" t="s">
        <v>2046</v>
      </c>
    </row>
    <row r="895" customFormat="false" ht="15" hidden="false" customHeight="false" outlineLevel="0" collapsed="false">
      <c r="B895" s="48" t="n">
        <v>45261.8632291667</v>
      </c>
      <c r="C895" s="4" t="n">
        <f aca="false">YEAR(B895)</f>
        <v>2023</v>
      </c>
      <c r="D895" s="49" t="s">
        <v>283</v>
      </c>
      <c r="E895" s="49" t="s">
        <v>2047</v>
      </c>
      <c r="F895" s="50" t="n">
        <v>1</v>
      </c>
      <c r="G895" s="49" t="s">
        <v>290</v>
      </c>
      <c r="H895" s="51" t="n">
        <v>0.2343</v>
      </c>
      <c r="I895" s="51" t="n">
        <v>0.637</v>
      </c>
      <c r="J895" s="51" t="n">
        <v>0.1287</v>
      </c>
      <c r="K895" s="49"/>
      <c r="L895" s="49"/>
      <c r="M895" s="49"/>
      <c r="N895" s="49"/>
      <c r="O895" s="49"/>
      <c r="P895" s="49"/>
      <c r="Q895" s="49"/>
      <c r="R895" s="49"/>
      <c r="S895" s="49" t="n">
        <v>0</v>
      </c>
      <c r="T895" s="49" t="n">
        <v>0</v>
      </c>
      <c r="U895" s="49" t="s">
        <v>2048</v>
      </c>
    </row>
    <row r="896" customFormat="false" ht="15" hidden="false" customHeight="false" outlineLevel="0" collapsed="false">
      <c r="B896" s="48" t="n">
        <v>45262.393912037</v>
      </c>
      <c r="C896" s="4" t="n">
        <f aca="false">YEAR(B896)</f>
        <v>2023</v>
      </c>
      <c r="D896" s="49" t="s">
        <v>283</v>
      </c>
      <c r="E896" s="49" t="s">
        <v>2049</v>
      </c>
      <c r="F896" s="50" t="n">
        <v>1</v>
      </c>
      <c r="G896" s="49" t="s">
        <v>280</v>
      </c>
      <c r="H896" s="51" t="n">
        <v>0.6359</v>
      </c>
      <c r="I896" s="51" t="n">
        <v>0.3521</v>
      </c>
      <c r="J896" s="51" t="n">
        <v>0.012</v>
      </c>
      <c r="K896" s="49"/>
      <c r="L896" s="49"/>
      <c r="M896" s="49"/>
      <c r="N896" s="49"/>
      <c r="O896" s="49"/>
      <c r="P896" s="49"/>
      <c r="Q896" s="49"/>
      <c r="R896" s="49"/>
      <c r="S896" s="49" t="n">
        <v>0</v>
      </c>
      <c r="T896" s="49" t="n">
        <v>0</v>
      </c>
      <c r="U896" s="49" t="s">
        <v>2050</v>
      </c>
    </row>
    <row r="897" customFormat="false" ht="15" hidden="false" customHeight="false" outlineLevel="0" collapsed="false">
      <c r="B897" s="48" t="n">
        <v>45262.5112037037</v>
      </c>
      <c r="C897" s="4" t="n">
        <f aca="false">YEAR(B897)</f>
        <v>2023</v>
      </c>
      <c r="D897" s="49" t="s">
        <v>283</v>
      </c>
      <c r="E897" s="49" t="s">
        <v>2051</v>
      </c>
      <c r="F897" s="50" t="n">
        <v>1</v>
      </c>
      <c r="G897" s="49" t="s">
        <v>280</v>
      </c>
      <c r="H897" s="51" t="n">
        <v>0.7803</v>
      </c>
      <c r="I897" s="51" t="n">
        <v>0.2002</v>
      </c>
      <c r="J897" s="51" t="n">
        <v>0.0194</v>
      </c>
      <c r="K897" s="49"/>
      <c r="L897" s="49"/>
      <c r="M897" s="49"/>
      <c r="N897" s="49"/>
      <c r="O897" s="49"/>
      <c r="P897" s="49"/>
      <c r="Q897" s="49"/>
      <c r="R897" s="49"/>
      <c r="S897" s="49" t="n">
        <v>0</v>
      </c>
      <c r="T897" s="49" t="n">
        <v>0</v>
      </c>
      <c r="U897" s="49" t="s">
        <v>2052</v>
      </c>
    </row>
    <row r="898" customFormat="false" ht="15" hidden="false" customHeight="false" outlineLevel="0" collapsed="false">
      <c r="B898" s="48" t="n">
        <v>45262.5275</v>
      </c>
      <c r="C898" s="4" t="n">
        <f aca="false">YEAR(B898)</f>
        <v>2023</v>
      </c>
      <c r="D898" s="49" t="s">
        <v>283</v>
      </c>
      <c r="E898" s="49" t="s">
        <v>2053</v>
      </c>
      <c r="F898" s="50" t="n">
        <v>1</v>
      </c>
      <c r="G898" s="49" t="s">
        <v>290</v>
      </c>
      <c r="H898" s="51" t="n">
        <v>0.2004</v>
      </c>
      <c r="I898" s="51" t="n">
        <v>0.784</v>
      </c>
      <c r="J898" s="51" t="n">
        <v>0.0156</v>
      </c>
      <c r="K898" s="49"/>
      <c r="L898" s="49"/>
      <c r="M898" s="49"/>
      <c r="N898" s="49"/>
      <c r="O898" s="49"/>
      <c r="P898" s="49"/>
      <c r="Q898" s="49"/>
      <c r="R898" s="49"/>
      <c r="S898" s="49" t="n">
        <v>1</v>
      </c>
      <c r="T898" s="49" t="n">
        <v>0</v>
      </c>
      <c r="U898" s="49" t="s">
        <v>2054</v>
      </c>
    </row>
    <row r="899" customFormat="false" ht="15" hidden="false" customHeight="false" outlineLevel="0" collapsed="false">
      <c r="B899" s="48" t="n">
        <v>45262.6129050926</v>
      </c>
      <c r="C899" s="4" t="n">
        <f aca="false">YEAR(B899)</f>
        <v>2023</v>
      </c>
      <c r="D899" s="49" t="s">
        <v>283</v>
      </c>
      <c r="E899" s="49" t="s">
        <v>2055</v>
      </c>
      <c r="F899" s="50" t="n">
        <v>1</v>
      </c>
      <c r="G899" s="49" t="s">
        <v>290</v>
      </c>
      <c r="H899" s="51" t="n">
        <v>0.1881</v>
      </c>
      <c r="I899" s="51" t="n">
        <v>0.7514</v>
      </c>
      <c r="J899" s="51" t="n">
        <v>0.0605</v>
      </c>
      <c r="K899" s="49"/>
      <c r="L899" s="49" t="s">
        <v>281</v>
      </c>
      <c r="M899" s="49"/>
      <c r="N899" s="49"/>
      <c r="O899" s="49"/>
      <c r="P899" s="49"/>
      <c r="Q899" s="49"/>
      <c r="R899" s="49"/>
      <c r="S899" s="49" t="n">
        <v>1</v>
      </c>
      <c r="T899" s="49" t="n">
        <v>0</v>
      </c>
      <c r="U899" s="49" t="s">
        <v>2056</v>
      </c>
    </row>
    <row r="900" customFormat="false" ht="15" hidden="false" customHeight="false" outlineLevel="0" collapsed="false">
      <c r="B900" s="48" t="n">
        <v>45262.7525578704</v>
      </c>
      <c r="C900" s="4" t="n">
        <f aca="false">YEAR(B900)</f>
        <v>2023</v>
      </c>
      <c r="D900" s="49" t="s">
        <v>283</v>
      </c>
      <c r="E900" s="49" t="s">
        <v>2057</v>
      </c>
      <c r="F900" s="50" t="n">
        <v>19</v>
      </c>
      <c r="G900" s="49" t="s">
        <v>280</v>
      </c>
      <c r="H900" s="51" t="n">
        <v>0.9285</v>
      </c>
      <c r="I900" s="51" t="n">
        <v>0.0657</v>
      </c>
      <c r="J900" s="51" t="n">
        <v>0.0058</v>
      </c>
      <c r="K900" s="49"/>
      <c r="L900" s="49"/>
      <c r="M900" s="49"/>
      <c r="N900" s="49"/>
      <c r="O900" s="49"/>
      <c r="P900" s="49"/>
      <c r="Q900" s="49"/>
      <c r="R900" s="49"/>
      <c r="S900" s="49" t="n">
        <v>0</v>
      </c>
      <c r="T900" s="49" t="n">
        <v>0</v>
      </c>
      <c r="U900" s="49" t="s">
        <v>2058</v>
      </c>
    </row>
    <row r="901" customFormat="false" ht="15" hidden="false" customHeight="false" outlineLevel="0" collapsed="false">
      <c r="B901" s="48" t="n">
        <v>45263.7331944444</v>
      </c>
      <c r="C901" s="4" t="n">
        <f aca="false">YEAR(B901)</f>
        <v>2023</v>
      </c>
      <c r="D901" s="49" t="s">
        <v>283</v>
      </c>
      <c r="E901" s="49" t="s">
        <v>2059</v>
      </c>
      <c r="F901" s="50" t="n">
        <v>1</v>
      </c>
      <c r="G901" s="49" t="s">
        <v>290</v>
      </c>
      <c r="H901" s="51" t="n">
        <v>0.0383</v>
      </c>
      <c r="I901" s="51" t="n">
        <v>0.8027</v>
      </c>
      <c r="J901" s="51" t="n">
        <v>0.1591</v>
      </c>
      <c r="K901" s="49"/>
      <c r="L901" s="49"/>
      <c r="M901" s="49"/>
      <c r="N901" s="49"/>
      <c r="O901" s="49"/>
      <c r="P901" s="49"/>
      <c r="Q901" s="49"/>
      <c r="R901" s="49"/>
      <c r="S901" s="49" t="n">
        <v>0</v>
      </c>
      <c r="T901" s="49" t="n">
        <v>0</v>
      </c>
      <c r="U901" s="49" t="s">
        <v>2060</v>
      </c>
    </row>
    <row r="902" customFormat="false" ht="15" hidden="false" customHeight="false" outlineLevel="0" collapsed="false">
      <c r="B902" s="48" t="n">
        <v>45263.8520023148</v>
      </c>
      <c r="C902" s="4" t="n">
        <f aca="false">YEAR(B902)</f>
        <v>2023</v>
      </c>
      <c r="D902" s="49" t="s">
        <v>283</v>
      </c>
      <c r="E902" s="49" t="s">
        <v>2061</v>
      </c>
      <c r="F902" s="50" t="n">
        <v>1</v>
      </c>
      <c r="G902" s="49" t="s">
        <v>290</v>
      </c>
      <c r="H902" s="51" t="n">
        <v>0.0109</v>
      </c>
      <c r="I902" s="51" t="n">
        <v>0.9243</v>
      </c>
      <c r="J902" s="51" t="n">
        <v>0.0647</v>
      </c>
      <c r="K902" s="49"/>
      <c r="L902" s="49"/>
      <c r="M902" s="49"/>
      <c r="N902" s="49"/>
      <c r="O902" s="49"/>
      <c r="P902" s="49"/>
      <c r="Q902" s="49"/>
      <c r="R902" s="49"/>
      <c r="S902" s="49" t="n">
        <v>1</v>
      </c>
      <c r="T902" s="49" t="n">
        <v>0</v>
      </c>
      <c r="U902" s="49" t="s">
        <v>2062</v>
      </c>
    </row>
    <row r="903" customFormat="false" ht="15" hidden="false" customHeight="false" outlineLevel="0" collapsed="false">
      <c r="B903" s="48" t="n">
        <v>45263.8576736111</v>
      </c>
      <c r="C903" s="4" t="n">
        <f aca="false">YEAR(B903)</f>
        <v>2023</v>
      </c>
      <c r="D903" s="49" t="s">
        <v>283</v>
      </c>
      <c r="E903" s="49" t="s">
        <v>2063</v>
      </c>
      <c r="F903" s="50" t="n">
        <v>1</v>
      </c>
      <c r="G903" s="49" t="s">
        <v>287</v>
      </c>
      <c r="H903" s="51" t="n">
        <v>0.0094</v>
      </c>
      <c r="I903" s="51" t="n">
        <v>0.2093</v>
      </c>
      <c r="J903" s="51" t="n">
        <v>0.7813</v>
      </c>
      <c r="K903" s="49"/>
      <c r="L903" s="49"/>
      <c r="M903" s="49"/>
      <c r="N903" s="49"/>
      <c r="O903" s="49"/>
      <c r="P903" s="49"/>
      <c r="Q903" s="49"/>
      <c r="R903" s="49"/>
      <c r="S903" s="49" t="n">
        <v>0</v>
      </c>
      <c r="T903" s="49" t="n">
        <v>0</v>
      </c>
      <c r="U903" s="49" t="s">
        <v>2064</v>
      </c>
    </row>
    <row r="904" customFormat="false" ht="15" hidden="false" customHeight="false" outlineLevel="0" collapsed="false">
      <c r="B904" s="48" t="n">
        <v>45263.9689351852</v>
      </c>
      <c r="C904" s="4" t="n">
        <f aca="false">YEAR(B904)</f>
        <v>2023</v>
      </c>
      <c r="D904" s="49" t="s">
        <v>283</v>
      </c>
      <c r="E904" s="49" t="s">
        <v>2065</v>
      </c>
      <c r="F904" s="50" t="n">
        <v>3</v>
      </c>
      <c r="G904" s="49" t="s">
        <v>280</v>
      </c>
      <c r="H904" s="51" t="n">
        <v>0.6839</v>
      </c>
      <c r="I904" s="51" t="n">
        <v>0.2509</v>
      </c>
      <c r="J904" s="51" t="n">
        <v>0.0652</v>
      </c>
      <c r="K904" s="49"/>
      <c r="L904" s="49"/>
      <c r="M904" s="49"/>
      <c r="N904" s="49"/>
      <c r="O904" s="49"/>
      <c r="P904" s="49"/>
      <c r="Q904" s="49"/>
      <c r="R904" s="49"/>
      <c r="S904" s="49" t="n">
        <v>0</v>
      </c>
      <c r="T904" s="49" t="n">
        <v>0</v>
      </c>
      <c r="U904" s="49" t="s">
        <v>2066</v>
      </c>
    </row>
    <row r="905" customFormat="false" ht="15" hidden="false" customHeight="false" outlineLevel="0" collapsed="false">
      <c r="B905" s="48" t="n">
        <v>45264.0055092593</v>
      </c>
      <c r="C905" s="4" t="n">
        <f aca="false">YEAR(B905)</f>
        <v>2023</v>
      </c>
      <c r="D905" s="49" t="s">
        <v>283</v>
      </c>
      <c r="E905" s="49" t="s">
        <v>2067</v>
      </c>
      <c r="F905" s="50" t="n">
        <v>1</v>
      </c>
      <c r="G905" s="49" t="s">
        <v>290</v>
      </c>
      <c r="H905" s="51" t="n">
        <v>0.0319</v>
      </c>
      <c r="I905" s="51" t="n">
        <v>0.8346</v>
      </c>
      <c r="J905" s="51" t="n">
        <v>0.1334</v>
      </c>
      <c r="K905" s="49"/>
      <c r="L905" s="49"/>
      <c r="M905" s="49"/>
      <c r="N905" s="49"/>
      <c r="O905" s="49"/>
      <c r="P905" s="49"/>
      <c r="Q905" s="49"/>
      <c r="R905" s="49"/>
      <c r="S905" s="49" t="n">
        <v>0</v>
      </c>
      <c r="T905" s="49" t="n">
        <v>0</v>
      </c>
      <c r="U905" s="49" t="s">
        <v>2068</v>
      </c>
    </row>
    <row r="906" customFormat="false" ht="15" hidden="false" customHeight="false" outlineLevel="0" collapsed="false">
      <c r="B906" s="48" t="n">
        <v>45264.4609953704</v>
      </c>
      <c r="C906" s="4" t="n">
        <f aca="false">YEAR(B906)</f>
        <v>2023</v>
      </c>
      <c r="D906" s="49" t="s">
        <v>278</v>
      </c>
      <c r="E906" s="49" t="s">
        <v>2069</v>
      </c>
      <c r="F906" s="50" t="n">
        <v>1</v>
      </c>
      <c r="G906" s="49" t="s">
        <v>287</v>
      </c>
      <c r="H906" s="51" t="n">
        <v>0.004</v>
      </c>
      <c r="I906" s="51" t="n">
        <v>0.0879</v>
      </c>
      <c r="J906" s="51" t="n">
        <v>0.9081</v>
      </c>
      <c r="K906" s="49" t="s">
        <v>281</v>
      </c>
      <c r="L906" s="49"/>
      <c r="M906" s="49"/>
      <c r="N906" s="49"/>
      <c r="O906" s="49"/>
      <c r="P906" s="49"/>
      <c r="Q906" s="49"/>
      <c r="R906" s="49"/>
      <c r="S906" s="49" t="n">
        <v>0</v>
      </c>
      <c r="T906" s="49" t="n">
        <v>0</v>
      </c>
      <c r="U906" s="49" t="s">
        <v>2070</v>
      </c>
    </row>
    <row r="907" customFormat="false" ht="15" hidden="false" customHeight="false" outlineLevel="0" collapsed="false">
      <c r="B907" s="48" t="n">
        <v>45264.6851851852</v>
      </c>
      <c r="C907" s="4" t="n">
        <f aca="false">YEAR(B907)</f>
        <v>2023</v>
      </c>
      <c r="D907" s="49" t="s">
        <v>283</v>
      </c>
      <c r="E907" s="49" t="s">
        <v>2071</v>
      </c>
      <c r="F907" s="50" t="n">
        <v>1</v>
      </c>
      <c r="G907" s="49" t="s">
        <v>280</v>
      </c>
      <c r="H907" s="51" t="n">
        <v>0.7169</v>
      </c>
      <c r="I907" s="51" t="n">
        <v>0.2691</v>
      </c>
      <c r="J907" s="51" t="n">
        <v>0.014</v>
      </c>
      <c r="K907" s="49"/>
      <c r="L907" s="49"/>
      <c r="M907" s="49"/>
      <c r="N907" s="49"/>
      <c r="O907" s="49"/>
      <c r="P907" s="49"/>
      <c r="Q907" s="49"/>
      <c r="R907" s="49"/>
      <c r="S907" s="49" t="n">
        <v>0</v>
      </c>
      <c r="T907" s="49" t="n">
        <v>0</v>
      </c>
      <c r="U907" s="49" t="s">
        <v>2072</v>
      </c>
    </row>
    <row r="908" customFormat="false" ht="15" hidden="false" customHeight="false" outlineLevel="0" collapsed="false">
      <c r="B908" s="48" t="n">
        <v>45264.6883449074</v>
      </c>
      <c r="C908" s="4" t="n">
        <f aca="false">YEAR(B908)</f>
        <v>2023</v>
      </c>
      <c r="D908" s="49" t="s">
        <v>283</v>
      </c>
      <c r="E908" s="49" t="s">
        <v>2073</v>
      </c>
      <c r="F908" s="50" t="n">
        <v>1</v>
      </c>
      <c r="G908" s="49" t="s">
        <v>287</v>
      </c>
      <c r="H908" s="51" t="n">
        <v>0.0041</v>
      </c>
      <c r="I908" s="51" t="n">
        <v>0.3648</v>
      </c>
      <c r="J908" s="51" t="n">
        <v>0.631</v>
      </c>
      <c r="K908" s="49"/>
      <c r="L908" s="49"/>
      <c r="M908" s="49"/>
      <c r="N908" s="49"/>
      <c r="O908" s="49"/>
      <c r="P908" s="49"/>
      <c r="Q908" s="49"/>
      <c r="R908" s="49"/>
      <c r="S908" s="49" t="n">
        <v>0</v>
      </c>
      <c r="T908" s="49" t="n">
        <v>0</v>
      </c>
      <c r="U908" s="49" t="s">
        <v>2074</v>
      </c>
    </row>
    <row r="909" customFormat="false" ht="15" hidden="false" customHeight="false" outlineLevel="0" collapsed="false">
      <c r="B909" s="48" t="n">
        <v>45264.6903587963</v>
      </c>
      <c r="C909" s="4" t="n">
        <f aca="false">YEAR(B909)</f>
        <v>2023</v>
      </c>
      <c r="D909" s="49" t="s">
        <v>278</v>
      </c>
      <c r="E909" s="49" t="s">
        <v>2075</v>
      </c>
      <c r="F909" s="50" t="n">
        <v>8</v>
      </c>
      <c r="G909" s="49" t="s">
        <v>280</v>
      </c>
      <c r="H909" s="51" t="n">
        <v>0.9014</v>
      </c>
      <c r="I909" s="51" t="n">
        <v>0.0928</v>
      </c>
      <c r="J909" s="51" t="n">
        <v>0.0058</v>
      </c>
      <c r="K909" s="49"/>
      <c r="L909" s="49"/>
      <c r="M909" s="49"/>
      <c r="N909" s="49"/>
      <c r="O909" s="49" t="s">
        <v>281</v>
      </c>
      <c r="P909" s="49"/>
      <c r="Q909" s="49"/>
      <c r="R909" s="49"/>
      <c r="S909" s="49" t="n">
        <v>0</v>
      </c>
      <c r="T909" s="49" t="n">
        <v>0</v>
      </c>
      <c r="U909" s="49" t="s">
        <v>2076</v>
      </c>
    </row>
    <row r="910" customFormat="false" ht="15" hidden="false" customHeight="false" outlineLevel="0" collapsed="false">
      <c r="B910" s="48" t="n">
        <v>45264.7264930556</v>
      </c>
      <c r="C910" s="4" t="n">
        <f aca="false">YEAR(B910)</f>
        <v>2023</v>
      </c>
      <c r="D910" s="49" t="s">
        <v>283</v>
      </c>
      <c r="E910" s="49" t="s">
        <v>2077</v>
      </c>
      <c r="F910" s="50" t="n">
        <v>2</v>
      </c>
      <c r="G910" s="49" t="s">
        <v>290</v>
      </c>
      <c r="H910" s="51" t="n">
        <v>0.3466</v>
      </c>
      <c r="I910" s="51" t="n">
        <v>0.6042</v>
      </c>
      <c r="J910" s="51" t="n">
        <v>0.0492</v>
      </c>
      <c r="K910" s="49"/>
      <c r="L910" s="49"/>
      <c r="M910" s="49"/>
      <c r="N910" s="49"/>
      <c r="O910" s="49"/>
      <c r="P910" s="49"/>
      <c r="Q910" s="49"/>
      <c r="R910" s="49"/>
      <c r="S910" s="49" t="n">
        <v>0</v>
      </c>
      <c r="T910" s="49" t="n">
        <v>0</v>
      </c>
      <c r="U910" s="49" t="s">
        <v>2078</v>
      </c>
    </row>
    <row r="911" customFormat="false" ht="15" hidden="false" customHeight="false" outlineLevel="0" collapsed="false">
      <c r="B911" s="48" t="n">
        <v>45264.7330092593</v>
      </c>
      <c r="C911" s="4" t="n">
        <f aca="false">YEAR(B911)</f>
        <v>2023</v>
      </c>
      <c r="D911" s="49" t="s">
        <v>283</v>
      </c>
      <c r="E911" s="49" t="s">
        <v>2079</v>
      </c>
      <c r="F911" s="50" t="n">
        <v>1</v>
      </c>
      <c r="G911" s="49" t="s">
        <v>290</v>
      </c>
      <c r="H911" s="51" t="n">
        <v>0.3616</v>
      </c>
      <c r="I911" s="51" t="n">
        <v>0.5881</v>
      </c>
      <c r="J911" s="51" t="n">
        <v>0.0503</v>
      </c>
      <c r="K911" s="49"/>
      <c r="L911" s="49"/>
      <c r="M911" s="49"/>
      <c r="N911" s="49"/>
      <c r="O911" s="49"/>
      <c r="P911" s="49"/>
      <c r="Q911" s="49"/>
      <c r="R911" s="49"/>
      <c r="S911" s="49" t="n">
        <v>0</v>
      </c>
      <c r="T911" s="49" t="n">
        <v>0</v>
      </c>
      <c r="U911" s="49" t="s">
        <v>2080</v>
      </c>
    </row>
    <row r="912" customFormat="false" ht="15" hidden="false" customHeight="false" outlineLevel="0" collapsed="false">
      <c r="B912" s="48" t="n">
        <v>45264.7834490741</v>
      </c>
      <c r="C912" s="4" t="n">
        <f aca="false">YEAR(B912)</f>
        <v>2023</v>
      </c>
      <c r="D912" s="49" t="s">
        <v>283</v>
      </c>
      <c r="E912" s="49" t="s">
        <v>2081</v>
      </c>
      <c r="F912" s="50" t="n">
        <v>3</v>
      </c>
      <c r="G912" s="49" t="s">
        <v>290</v>
      </c>
      <c r="H912" s="51" t="n">
        <v>0.374</v>
      </c>
      <c r="I912" s="51" t="n">
        <v>0.6038</v>
      </c>
      <c r="J912" s="51" t="n">
        <v>0.0222</v>
      </c>
      <c r="K912" s="49"/>
      <c r="L912" s="49"/>
      <c r="M912" s="49"/>
      <c r="N912" s="49"/>
      <c r="O912" s="49"/>
      <c r="P912" s="49"/>
      <c r="Q912" s="49"/>
      <c r="R912" s="49"/>
      <c r="S912" s="49" t="n">
        <v>0</v>
      </c>
      <c r="T912" s="49" t="n">
        <v>0</v>
      </c>
      <c r="U912" s="49" t="s">
        <v>2082</v>
      </c>
    </row>
    <row r="913" customFormat="false" ht="15" hidden="false" customHeight="false" outlineLevel="0" collapsed="false">
      <c r="B913" s="48" t="n">
        <v>45265.0458449074</v>
      </c>
      <c r="C913" s="4" t="n">
        <f aca="false">YEAR(B913)</f>
        <v>2023</v>
      </c>
      <c r="D913" s="49" t="s">
        <v>283</v>
      </c>
      <c r="E913" s="49" t="s">
        <v>2083</v>
      </c>
      <c r="F913" s="50" t="n">
        <v>2</v>
      </c>
      <c r="G913" s="49" t="s">
        <v>280</v>
      </c>
      <c r="H913" s="51" t="n">
        <v>0.6476</v>
      </c>
      <c r="I913" s="51" t="n">
        <v>0.3323</v>
      </c>
      <c r="J913" s="51" t="n">
        <v>0.0201</v>
      </c>
      <c r="K913" s="49"/>
      <c r="L913" s="49"/>
      <c r="M913" s="49"/>
      <c r="N913" s="49"/>
      <c r="O913" s="49"/>
      <c r="P913" s="49"/>
      <c r="Q913" s="49"/>
      <c r="R913" s="49"/>
      <c r="S913" s="49" t="n">
        <v>0</v>
      </c>
      <c r="T913" s="49" t="n">
        <v>0</v>
      </c>
      <c r="U913" s="49" t="s">
        <v>2084</v>
      </c>
    </row>
    <row r="914" customFormat="false" ht="15" hidden="false" customHeight="false" outlineLevel="0" collapsed="false">
      <c r="B914" s="48" t="n">
        <v>45265.7943055556</v>
      </c>
      <c r="C914" s="4" t="n">
        <f aca="false">YEAR(B914)</f>
        <v>2023</v>
      </c>
      <c r="D914" s="49" t="s">
        <v>283</v>
      </c>
      <c r="E914" s="49" t="s">
        <v>2085</v>
      </c>
      <c r="F914" s="50" t="n">
        <v>1</v>
      </c>
      <c r="G914" s="49" t="s">
        <v>280</v>
      </c>
      <c r="H914" s="51" t="n">
        <v>0.881</v>
      </c>
      <c r="I914" s="51" t="n">
        <v>0.1111</v>
      </c>
      <c r="J914" s="51" t="n">
        <v>0.008</v>
      </c>
      <c r="K914" s="49" t="s">
        <v>281</v>
      </c>
      <c r="L914" s="49"/>
      <c r="M914" s="49"/>
      <c r="N914" s="49"/>
      <c r="O914" s="49"/>
      <c r="P914" s="49"/>
      <c r="Q914" s="49"/>
      <c r="R914" s="49" t="s">
        <v>281</v>
      </c>
      <c r="S914" s="49" t="n">
        <v>0</v>
      </c>
      <c r="T914" s="49" t="n">
        <v>0</v>
      </c>
      <c r="U914" s="49" t="s">
        <v>2086</v>
      </c>
    </row>
    <row r="915" customFormat="false" ht="15" hidden="false" customHeight="false" outlineLevel="0" collapsed="false">
      <c r="B915" s="48" t="n">
        <v>45265.8235069444</v>
      </c>
      <c r="C915" s="4" t="n">
        <f aca="false">YEAR(B915)</f>
        <v>2023</v>
      </c>
      <c r="D915" s="49" t="s">
        <v>278</v>
      </c>
      <c r="E915" s="49" t="s">
        <v>2087</v>
      </c>
      <c r="F915" s="50" t="n">
        <v>30</v>
      </c>
      <c r="G915" s="49" t="s">
        <v>287</v>
      </c>
      <c r="H915" s="51" t="n">
        <v>0.0048</v>
      </c>
      <c r="I915" s="51" t="n">
        <v>0.304</v>
      </c>
      <c r="J915" s="51" t="n">
        <v>0.6912</v>
      </c>
      <c r="K915" s="49"/>
      <c r="L915" s="49"/>
      <c r="M915" s="49"/>
      <c r="N915" s="49"/>
      <c r="O915" s="49"/>
      <c r="P915" s="49"/>
      <c r="Q915" s="49"/>
      <c r="R915" s="49"/>
      <c r="S915" s="49" t="n">
        <v>0</v>
      </c>
      <c r="T915" s="49" t="n">
        <v>0</v>
      </c>
      <c r="U915" s="49" t="s">
        <v>2088</v>
      </c>
    </row>
    <row r="916" customFormat="false" ht="15" hidden="false" customHeight="false" outlineLevel="0" collapsed="false">
      <c r="B916" s="48" t="n">
        <v>45266.7397453704</v>
      </c>
      <c r="C916" s="4" t="n">
        <f aca="false">YEAR(B916)</f>
        <v>2023</v>
      </c>
      <c r="D916" s="49" t="s">
        <v>283</v>
      </c>
      <c r="E916" s="49" t="s">
        <v>2089</v>
      </c>
      <c r="F916" s="50" t="n">
        <v>1</v>
      </c>
      <c r="G916" s="49" t="s">
        <v>290</v>
      </c>
      <c r="H916" s="51" t="n">
        <v>0.357</v>
      </c>
      <c r="I916" s="51" t="n">
        <v>0.5778</v>
      </c>
      <c r="J916" s="51" t="n">
        <v>0.0652</v>
      </c>
      <c r="K916" s="49"/>
      <c r="L916" s="49"/>
      <c r="M916" s="49"/>
      <c r="N916" s="49"/>
      <c r="O916" s="49"/>
      <c r="P916" s="49"/>
      <c r="Q916" s="49"/>
      <c r="R916" s="49"/>
      <c r="S916" s="49" t="n">
        <v>1</v>
      </c>
      <c r="T916" s="49" t="n">
        <v>0</v>
      </c>
      <c r="U916" s="49" t="s">
        <v>2090</v>
      </c>
    </row>
    <row r="917" customFormat="false" ht="15" hidden="false" customHeight="false" outlineLevel="0" collapsed="false">
      <c r="B917" s="48" t="n">
        <v>45267.3388194444</v>
      </c>
      <c r="C917" s="4" t="n">
        <f aca="false">YEAR(B917)</f>
        <v>2023</v>
      </c>
      <c r="D917" s="49" t="s">
        <v>278</v>
      </c>
      <c r="E917" s="49" t="s">
        <v>2091</v>
      </c>
      <c r="F917" s="50" t="n">
        <v>2</v>
      </c>
      <c r="G917" s="49" t="s">
        <v>280</v>
      </c>
      <c r="H917" s="51" t="n">
        <v>0.8795</v>
      </c>
      <c r="I917" s="51" t="n">
        <v>0.1139</v>
      </c>
      <c r="J917" s="51" t="n">
        <v>0.0066</v>
      </c>
      <c r="K917" s="49"/>
      <c r="L917" s="49"/>
      <c r="M917" s="49"/>
      <c r="N917" s="49"/>
      <c r="O917" s="49"/>
      <c r="P917" s="49"/>
      <c r="Q917" s="49" t="s">
        <v>281</v>
      </c>
      <c r="R917" s="49"/>
      <c r="S917" s="49" t="n">
        <v>0</v>
      </c>
      <c r="T917" s="49" t="n">
        <v>0</v>
      </c>
      <c r="U917" s="49" t="s">
        <v>2092</v>
      </c>
    </row>
    <row r="918" customFormat="false" ht="15" hidden="false" customHeight="false" outlineLevel="0" collapsed="false">
      <c r="B918" s="48" t="n">
        <v>45267.4903935185</v>
      </c>
      <c r="C918" s="4" t="n">
        <f aca="false">YEAR(B918)</f>
        <v>2023</v>
      </c>
      <c r="D918" s="49" t="s">
        <v>283</v>
      </c>
      <c r="E918" s="49" t="s">
        <v>2093</v>
      </c>
      <c r="F918" s="50" t="n">
        <v>1</v>
      </c>
      <c r="G918" s="49" t="s">
        <v>287</v>
      </c>
      <c r="H918" s="51" t="n">
        <v>0.0035</v>
      </c>
      <c r="I918" s="51" t="n">
        <v>0.0461</v>
      </c>
      <c r="J918" s="51" t="n">
        <v>0.9505</v>
      </c>
      <c r="K918" s="49"/>
      <c r="L918" s="49"/>
      <c r="M918" s="49"/>
      <c r="N918" s="49"/>
      <c r="O918" s="49"/>
      <c r="P918" s="49"/>
      <c r="Q918" s="49"/>
      <c r="R918" s="49"/>
      <c r="S918" s="49" t="n">
        <v>0</v>
      </c>
      <c r="T918" s="49" t="n">
        <v>0</v>
      </c>
      <c r="U918" s="49" t="s">
        <v>2094</v>
      </c>
    </row>
    <row r="919" customFormat="false" ht="15" hidden="false" customHeight="false" outlineLevel="0" collapsed="false">
      <c r="B919" s="48" t="n">
        <v>45267.5154166667</v>
      </c>
      <c r="C919" s="4" t="n">
        <f aca="false">YEAR(B919)</f>
        <v>2023</v>
      </c>
      <c r="D919" s="49" t="s">
        <v>283</v>
      </c>
      <c r="E919" s="49" t="s">
        <v>2095</v>
      </c>
      <c r="F919" s="50" t="n">
        <v>1</v>
      </c>
      <c r="G919" s="49" t="s">
        <v>290</v>
      </c>
      <c r="H919" s="51" t="n">
        <v>0.0233</v>
      </c>
      <c r="I919" s="51" t="n">
        <v>0.856</v>
      </c>
      <c r="J919" s="51" t="n">
        <v>0.1207</v>
      </c>
      <c r="K919" s="49"/>
      <c r="L919" s="49"/>
      <c r="M919" s="49"/>
      <c r="N919" s="49"/>
      <c r="O919" s="49"/>
      <c r="P919" s="49"/>
      <c r="Q919" s="49"/>
      <c r="R919" s="49"/>
      <c r="S919" s="49" t="n">
        <v>0</v>
      </c>
      <c r="T919" s="49" t="n">
        <v>0</v>
      </c>
      <c r="U919" s="49" t="s">
        <v>2096</v>
      </c>
    </row>
    <row r="920" customFormat="false" ht="15" hidden="false" customHeight="false" outlineLevel="0" collapsed="false">
      <c r="B920" s="48" t="n">
        <v>45267.998900463</v>
      </c>
      <c r="C920" s="4" t="n">
        <f aca="false">YEAR(B920)</f>
        <v>2023</v>
      </c>
      <c r="D920" s="49" t="s">
        <v>283</v>
      </c>
      <c r="E920" s="49" t="s">
        <v>2097</v>
      </c>
      <c r="F920" s="50" t="n">
        <v>4</v>
      </c>
      <c r="G920" s="49" t="s">
        <v>290</v>
      </c>
      <c r="H920" s="51" t="n">
        <v>0.0293</v>
      </c>
      <c r="I920" s="51" t="n">
        <v>0.8671</v>
      </c>
      <c r="J920" s="51" t="n">
        <v>0.1036</v>
      </c>
      <c r="K920" s="49"/>
      <c r="L920" s="49"/>
      <c r="M920" s="49"/>
      <c r="N920" s="49"/>
      <c r="O920" s="49"/>
      <c r="P920" s="49"/>
      <c r="Q920" s="49"/>
      <c r="R920" s="49" t="s">
        <v>281</v>
      </c>
      <c r="S920" s="49" t="n">
        <v>0</v>
      </c>
      <c r="T920" s="49" t="n">
        <v>0</v>
      </c>
      <c r="U920" s="49" t="s">
        <v>2098</v>
      </c>
    </row>
    <row r="921" customFormat="false" ht="15" hidden="false" customHeight="false" outlineLevel="0" collapsed="false">
      <c r="B921" s="48" t="n">
        <v>45268.3561458333</v>
      </c>
      <c r="C921" s="4" t="n">
        <f aca="false">YEAR(B921)</f>
        <v>2023</v>
      </c>
      <c r="D921" s="49" t="s">
        <v>283</v>
      </c>
      <c r="E921" s="49" t="s">
        <v>2099</v>
      </c>
      <c r="F921" s="50" t="n">
        <v>2</v>
      </c>
      <c r="G921" s="49" t="s">
        <v>280</v>
      </c>
      <c r="H921" s="51" t="n">
        <v>0.523</v>
      </c>
      <c r="I921" s="51" t="n">
        <v>0.441</v>
      </c>
      <c r="J921" s="51" t="n">
        <v>0.036</v>
      </c>
      <c r="K921" s="49"/>
      <c r="L921" s="49"/>
      <c r="M921" s="49"/>
      <c r="N921" s="49"/>
      <c r="O921" s="49"/>
      <c r="P921" s="49"/>
      <c r="Q921" s="49" t="s">
        <v>281</v>
      </c>
      <c r="R921" s="49"/>
      <c r="S921" s="49" t="n">
        <v>0</v>
      </c>
      <c r="T921" s="49" t="n">
        <v>0</v>
      </c>
      <c r="U921" s="49" t="s">
        <v>2100</v>
      </c>
    </row>
    <row r="922" customFormat="false" ht="15" hidden="false" customHeight="false" outlineLevel="0" collapsed="false">
      <c r="B922" s="48" t="n">
        <v>45268.739525463</v>
      </c>
      <c r="C922" s="4" t="n">
        <f aca="false">YEAR(B922)</f>
        <v>2023</v>
      </c>
      <c r="D922" s="49" t="s">
        <v>283</v>
      </c>
      <c r="E922" s="49" t="s">
        <v>2101</v>
      </c>
      <c r="F922" s="50" t="n">
        <v>3</v>
      </c>
      <c r="G922" s="49" t="s">
        <v>280</v>
      </c>
      <c r="H922" s="51" t="n">
        <v>0.7348</v>
      </c>
      <c r="I922" s="51" t="n">
        <v>0.2524</v>
      </c>
      <c r="J922" s="51" t="n">
        <v>0.0128</v>
      </c>
      <c r="K922" s="49"/>
      <c r="L922" s="49"/>
      <c r="M922" s="49"/>
      <c r="N922" s="49"/>
      <c r="O922" s="49"/>
      <c r="P922" s="49"/>
      <c r="Q922" s="49"/>
      <c r="R922" s="49" t="s">
        <v>281</v>
      </c>
      <c r="S922" s="49" t="n">
        <v>0</v>
      </c>
      <c r="T922" s="49" t="n">
        <v>0</v>
      </c>
      <c r="U922" s="49" t="s">
        <v>2102</v>
      </c>
    </row>
    <row r="923" customFormat="false" ht="15" hidden="false" customHeight="false" outlineLevel="0" collapsed="false">
      <c r="B923" s="48" t="n">
        <v>45268.8586921296</v>
      </c>
      <c r="C923" s="4" t="n">
        <f aca="false">YEAR(B923)</f>
        <v>2023</v>
      </c>
      <c r="D923" s="49" t="s">
        <v>283</v>
      </c>
      <c r="E923" s="49" t="s">
        <v>2103</v>
      </c>
      <c r="F923" s="50" t="n">
        <v>25</v>
      </c>
      <c r="G923" s="49" t="s">
        <v>280</v>
      </c>
      <c r="H923" s="51" t="n">
        <v>0.8809</v>
      </c>
      <c r="I923" s="51" t="n">
        <v>0.1105</v>
      </c>
      <c r="J923" s="51" t="n">
        <v>0.0087</v>
      </c>
      <c r="K923" s="49"/>
      <c r="L923" s="49"/>
      <c r="M923" s="49"/>
      <c r="N923" s="49"/>
      <c r="O923" s="49"/>
      <c r="P923" s="49"/>
      <c r="Q923" s="49"/>
      <c r="R923" s="49"/>
      <c r="S923" s="49" t="n">
        <v>0</v>
      </c>
      <c r="T923" s="49" t="n">
        <v>0</v>
      </c>
      <c r="U923" s="49" t="s">
        <v>2104</v>
      </c>
    </row>
    <row r="924" customFormat="false" ht="15" hidden="false" customHeight="false" outlineLevel="0" collapsed="false">
      <c r="B924" s="48" t="n">
        <v>45269.2399421296</v>
      </c>
      <c r="C924" s="4" t="n">
        <f aca="false">YEAR(B924)</f>
        <v>2023</v>
      </c>
      <c r="D924" s="49" t="s">
        <v>283</v>
      </c>
      <c r="E924" s="49" t="s">
        <v>2105</v>
      </c>
      <c r="F924" s="50" t="n">
        <v>1</v>
      </c>
      <c r="G924" s="49" t="s">
        <v>280</v>
      </c>
      <c r="H924" s="51" t="n">
        <v>0.7275</v>
      </c>
      <c r="I924" s="51" t="n">
        <v>0.263</v>
      </c>
      <c r="J924" s="51" t="n">
        <v>0.0095</v>
      </c>
      <c r="K924" s="49"/>
      <c r="L924" s="49"/>
      <c r="M924" s="49"/>
      <c r="N924" s="49"/>
      <c r="O924" s="49"/>
      <c r="P924" s="49"/>
      <c r="Q924" s="49"/>
      <c r="R924" s="49" t="s">
        <v>281</v>
      </c>
      <c r="S924" s="49" t="n">
        <v>0</v>
      </c>
      <c r="T924" s="49" t="n">
        <v>0</v>
      </c>
      <c r="U924" s="49" t="s">
        <v>2106</v>
      </c>
    </row>
    <row r="925" customFormat="false" ht="15" hidden="false" customHeight="false" outlineLevel="0" collapsed="false">
      <c r="B925" s="48" t="n">
        <v>45269.5576851852</v>
      </c>
      <c r="C925" s="4" t="n">
        <f aca="false">YEAR(B925)</f>
        <v>2023</v>
      </c>
      <c r="D925" s="49" t="s">
        <v>283</v>
      </c>
      <c r="E925" s="49" t="s">
        <v>2107</v>
      </c>
      <c r="F925" s="50" t="n">
        <v>22</v>
      </c>
      <c r="G925" s="49" t="s">
        <v>287</v>
      </c>
      <c r="H925" s="51" t="n">
        <v>0.0022</v>
      </c>
      <c r="I925" s="51" t="n">
        <v>0.0293</v>
      </c>
      <c r="J925" s="51" t="n">
        <v>0.9684</v>
      </c>
      <c r="K925" s="49"/>
      <c r="L925" s="49"/>
      <c r="M925" s="49"/>
      <c r="N925" s="49"/>
      <c r="O925" s="49"/>
      <c r="P925" s="49"/>
      <c r="Q925" s="49"/>
      <c r="R925" s="49"/>
      <c r="S925" s="49" t="n">
        <v>0</v>
      </c>
      <c r="T925" s="49" t="n">
        <v>0</v>
      </c>
      <c r="U925" s="49" t="s">
        <v>2108</v>
      </c>
    </row>
    <row r="926" customFormat="false" ht="15" hidden="false" customHeight="false" outlineLevel="0" collapsed="false">
      <c r="B926" s="48" t="n">
        <v>45269.8614467593</v>
      </c>
      <c r="C926" s="4" t="n">
        <f aca="false">YEAR(B926)</f>
        <v>2023</v>
      </c>
      <c r="D926" s="49" t="s">
        <v>283</v>
      </c>
      <c r="E926" s="49" t="s">
        <v>2109</v>
      </c>
      <c r="F926" s="50" t="n">
        <v>1</v>
      </c>
      <c r="G926" s="49" t="s">
        <v>290</v>
      </c>
      <c r="H926" s="51" t="n">
        <v>0.0582</v>
      </c>
      <c r="I926" s="51" t="n">
        <v>0.8689</v>
      </c>
      <c r="J926" s="51" t="n">
        <v>0.0729</v>
      </c>
      <c r="K926" s="49"/>
      <c r="L926" s="49"/>
      <c r="M926" s="49"/>
      <c r="N926" s="49"/>
      <c r="O926" s="49"/>
      <c r="P926" s="49"/>
      <c r="Q926" s="49"/>
      <c r="R926" s="49"/>
      <c r="S926" s="49" t="n">
        <v>0</v>
      </c>
      <c r="T926" s="49" t="n">
        <v>0</v>
      </c>
      <c r="U926" s="49" t="s">
        <v>2110</v>
      </c>
    </row>
    <row r="927" customFormat="false" ht="15" hidden="false" customHeight="false" outlineLevel="0" collapsed="false">
      <c r="B927" s="48" t="n">
        <v>45270.6672916667</v>
      </c>
      <c r="C927" s="4" t="n">
        <f aca="false">YEAR(B927)</f>
        <v>2023</v>
      </c>
      <c r="D927" s="49" t="s">
        <v>283</v>
      </c>
      <c r="E927" s="49" t="s">
        <v>2111</v>
      </c>
      <c r="F927" s="50" t="n">
        <v>1</v>
      </c>
      <c r="G927" s="49" t="s">
        <v>287</v>
      </c>
      <c r="H927" s="51" t="n">
        <v>0.1104</v>
      </c>
      <c r="I927" s="51" t="n">
        <v>0.2199</v>
      </c>
      <c r="J927" s="51" t="n">
        <v>0.6696</v>
      </c>
      <c r="K927" s="49"/>
      <c r="L927" s="49"/>
      <c r="M927" s="49"/>
      <c r="N927" s="49"/>
      <c r="O927" s="49"/>
      <c r="P927" s="49"/>
      <c r="Q927" s="49"/>
      <c r="R927" s="49"/>
      <c r="S927" s="49" t="n">
        <v>0</v>
      </c>
      <c r="T927" s="49" t="n">
        <v>0</v>
      </c>
      <c r="U927" s="49" t="s">
        <v>2112</v>
      </c>
    </row>
    <row r="928" customFormat="false" ht="15" hidden="false" customHeight="false" outlineLevel="0" collapsed="false">
      <c r="B928" s="48" t="n">
        <v>45270.7286111111</v>
      </c>
      <c r="C928" s="4" t="n">
        <f aca="false">YEAR(B928)</f>
        <v>2023</v>
      </c>
      <c r="D928" s="49" t="s">
        <v>283</v>
      </c>
      <c r="E928" s="49" t="s">
        <v>2113</v>
      </c>
      <c r="F928" s="50" t="n">
        <v>1</v>
      </c>
      <c r="G928" s="49" t="s">
        <v>280</v>
      </c>
      <c r="H928" s="51" t="n">
        <v>0.5133</v>
      </c>
      <c r="I928" s="51" t="n">
        <v>0.3932</v>
      </c>
      <c r="J928" s="51" t="n">
        <v>0.0935</v>
      </c>
      <c r="K928" s="49"/>
      <c r="L928" s="49"/>
      <c r="M928" s="49"/>
      <c r="N928" s="49"/>
      <c r="O928" s="49"/>
      <c r="P928" s="49"/>
      <c r="Q928" s="49"/>
      <c r="R928" s="49" t="s">
        <v>281</v>
      </c>
      <c r="S928" s="49" t="n">
        <v>1</v>
      </c>
      <c r="T928" s="49" t="n">
        <v>0</v>
      </c>
      <c r="U928" s="49" t="s">
        <v>2114</v>
      </c>
    </row>
    <row r="929" customFormat="false" ht="15" hidden="false" customHeight="false" outlineLevel="0" collapsed="false">
      <c r="B929" s="48" t="n">
        <v>45271.1300115741</v>
      </c>
      <c r="C929" s="4" t="n">
        <f aca="false">YEAR(B929)</f>
        <v>2023</v>
      </c>
      <c r="D929" s="49" t="s">
        <v>283</v>
      </c>
      <c r="E929" s="49" t="s">
        <v>2115</v>
      </c>
      <c r="F929" s="50" t="n">
        <v>1</v>
      </c>
      <c r="G929" s="49" t="s">
        <v>287</v>
      </c>
      <c r="H929" s="51" t="n">
        <v>0.0027</v>
      </c>
      <c r="I929" s="51" t="n">
        <v>0.1029</v>
      </c>
      <c r="J929" s="51" t="n">
        <v>0.8943</v>
      </c>
      <c r="K929" s="49"/>
      <c r="L929" s="49"/>
      <c r="M929" s="49"/>
      <c r="N929" s="49"/>
      <c r="O929" s="49"/>
      <c r="P929" s="49"/>
      <c r="Q929" s="49"/>
      <c r="R929" s="49"/>
      <c r="S929" s="49" t="n">
        <v>0</v>
      </c>
      <c r="T929" s="49" t="n">
        <v>0</v>
      </c>
      <c r="U929" s="49" t="s">
        <v>2116</v>
      </c>
    </row>
    <row r="930" customFormat="false" ht="15" hidden="false" customHeight="false" outlineLevel="0" collapsed="false">
      <c r="B930" s="48" t="n">
        <v>45271.277025463</v>
      </c>
      <c r="C930" s="4" t="n">
        <f aca="false">YEAR(B930)</f>
        <v>2023</v>
      </c>
      <c r="D930" s="49" t="s">
        <v>283</v>
      </c>
      <c r="E930" s="49" t="s">
        <v>2117</v>
      </c>
      <c r="F930" s="50" t="n">
        <v>1</v>
      </c>
      <c r="G930" s="49" t="s">
        <v>287</v>
      </c>
      <c r="H930" s="51" t="n">
        <v>0.0028</v>
      </c>
      <c r="I930" s="51" t="n">
        <v>0.0198</v>
      </c>
      <c r="J930" s="51" t="n">
        <v>0.9774</v>
      </c>
      <c r="K930" s="49"/>
      <c r="L930" s="49"/>
      <c r="M930" s="49"/>
      <c r="N930" s="49"/>
      <c r="O930" s="49"/>
      <c r="P930" s="49"/>
      <c r="Q930" s="49"/>
      <c r="R930" s="49"/>
      <c r="S930" s="49" t="n">
        <v>0</v>
      </c>
      <c r="T930" s="49" t="n">
        <v>0</v>
      </c>
      <c r="U930" s="49" t="s">
        <v>2118</v>
      </c>
    </row>
    <row r="931" customFormat="false" ht="15" hidden="false" customHeight="false" outlineLevel="0" collapsed="false">
      <c r="B931" s="48" t="n">
        <v>45271.5584722222</v>
      </c>
      <c r="C931" s="4" t="n">
        <f aca="false">YEAR(B931)</f>
        <v>2023</v>
      </c>
      <c r="D931" s="49" t="s">
        <v>283</v>
      </c>
      <c r="E931" s="49" t="s">
        <v>2119</v>
      </c>
      <c r="F931" s="50" t="n">
        <v>1</v>
      </c>
      <c r="G931" s="49" t="s">
        <v>287</v>
      </c>
      <c r="H931" s="51" t="n">
        <v>0.0018</v>
      </c>
      <c r="I931" s="51" t="n">
        <v>0.0169</v>
      </c>
      <c r="J931" s="51" t="n">
        <v>0.9813</v>
      </c>
      <c r="K931" s="49"/>
      <c r="L931" s="49"/>
      <c r="M931" s="49"/>
      <c r="N931" s="49"/>
      <c r="O931" s="49"/>
      <c r="P931" s="49"/>
      <c r="Q931" s="49"/>
      <c r="R931" s="49"/>
      <c r="S931" s="49" t="n">
        <v>0</v>
      </c>
      <c r="T931" s="49" t="n">
        <v>0</v>
      </c>
      <c r="U931" s="49" t="s">
        <v>2120</v>
      </c>
    </row>
    <row r="932" customFormat="false" ht="15" hidden="false" customHeight="false" outlineLevel="0" collapsed="false">
      <c r="B932" s="48" t="n">
        <v>45271.7037847222</v>
      </c>
      <c r="C932" s="4" t="n">
        <f aca="false">YEAR(B932)</f>
        <v>2023</v>
      </c>
      <c r="D932" s="49" t="s">
        <v>283</v>
      </c>
      <c r="E932" s="49" t="s">
        <v>2121</v>
      </c>
      <c r="F932" s="50" t="n">
        <v>1</v>
      </c>
      <c r="G932" s="49" t="s">
        <v>280</v>
      </c>
      <c r="H932" s="51" t="n">
        <v>0.5377</v>
      </c>
      <c r="I932" s="51" t="n">
        <v>0.3949</v>
      </c>
      <c r="J932" s="51" t="n">
        <v>0.0674</v>
      </c>
      <c r="K932" s="49"/>
      <c r="L932" s="49"/>
      <c r="M932" s="49"/>
      <c r="N932" s="49"/>
      <c r="O932" s="49"/>
      <c r="P932" s="49"/>
      <c r="Q932" s="49"/>
      <c r="R932" s="49"/>
      <c r="S932" s="49" t="n">
        <v>0</v>
      </c>
      <c r="T932" s="49" t="n">
        <v>0</v>
      </c>
      <c r="U932" s="49" t="s">
        <v>2122</v>
      </c>
    </row>
    <row r="933" customFormat="false" ht="15" hidden="false" customHeight="false" outlineLevel="0" collapsed="false">
      <c r="B933" s="48" t="n">
        <v>45271.8064814815</v>
      </c>
      <c r="C933" s="4" t="n">
        <f aca="false">YEAR(B933)</f>
        <v>2023</v>
      </c>
      <c r="D933" s="49" t="s">
        <v>283</v>
      </c>
      <c r="E933" s="49" t="s">
        <v>2123</v>
      </c>
      <c r="F933" s="50" t="n">
        <v>1</v>
      </c>
      <c r="G933" s="49" t="s">
        <v>280</v>
      </c>
      <c r="H933" s="51" t="n">
        <v>0.7703</v>
      </c>
      <c r="I933" s="51" t="n">
        <v>0.2167</v>
      </c>
      <c r="J933" s="51" t="n">
        <v>0.013</v>
      </c>
      <c r="K933" s="49"/>
      <c r="L933" s="49"/>
      <c r="M933" s="49"/>
      <c r="N933" s="49"/>
      <c r="O933" s="49"/>
      <c r="P933" s="49"/>
      <c r="Q933" s="49"/>
      <c r="R933" s="49"/>
      <c r="S933" s="49" t="n">
        <v>0</v>
      </c>
      <c r="T933" s="49" t="n">
        <v>0</v>
      </c>
      <c r="U933" s="49" t="s">
        <v>2124</v>
      </c>
    </row>
    <row r="934" customFormat="false" ht="15" hidden="false" customHeight="false" outlineLevel="0" collapsed="false">
      <c r="B934" s="48" t="n">
        <v>45272.3741782407</v>
      </c>
      <c r="C934" s="4" t="n">
        <f aca="false">YEAR(B934)</f>
        <v>2023</v>
      </c>
      <c r="D934" s="49" t="s">
        <v>283</v>
      </c>
      <c r="E934" s="49" t="s">
        <v>2125</v>
      </c>
      <c r="F934" s="50" t="n">
        <v>1</v>
      </c>
      <c r="G934" s="49" t="s">
        <v>287</v>
      </c>
      <c r="H934" s="51" t="n">
        <v>0.0111</v>
      </c>
      <c r="I934" s="51" t="n">
        <v>0.427</v>
      </c>
      <c r="J934" s="51" t="n">
        <v>0.5618</v>
      </c>
      <c r="K934" s="49"/>
      <c r="L934" s="49"/>
      <c r="M934" s="49"/>
      <c r="N934" s="49"/>
      <c r="O934" s="49"/>
      <c r="P934" s="49"/>
      <c r="Q934" s="49"/>
      <c r="R934" s="49"/>
      <c r="S934" s="49" t="n">
        <v>0</v>
      </c>
      <c r="T934" s="49" t="n">
        <v>0</v>
      </c>
      <c r="U934" s="49" t="s">
        <v>2126</v>
      </c>
    </row>
    <row r="935" customFormat="false" ht="15" hidden="false" customHeight="false" outlineLevel="0" collapsed="false">
      <c r="B935" s="48" t="n">
        <v>45272.6112731482</v>
      </c>
      <c r="C935" s="4" t="n">
        <f aca="false">YEAR(B935)</f>
        <v>2023</v>
      </c>
      <c r="D935" s="49" t="s">
        <v>283</v>
      </c>
      <c r="E935" s="49" t="s">
        <v>2127</v>
      </c>
      <c r="F935" s="50" t="n">
        <v>1</v>
      </c>
      <c r="G935" s="49" t="s">
        <v>280</v>
      </c>
      <c r="H935" s="51" t="n">
        <v>0.8488</v>
      </c>
      <c r="I935" s="51" t="n">
        <v>0.1207</v>
      </c>
      <c r="J935" s="51" t="n">
        <v>0.0305</v>
      </c>
      <c r="K935" s="49"/>
      <c r="L935" s="49"/>
      <c r="M935" s="49"/>
      <c r="N935" s="49"/>
      <c r="O935" s="49"/>
      <c r="P935" s="49"/>
      <c r="Q935" s="49"/>
      <c r="R935" s="49"/>
      <c r="S935" s="49" t="n">
        <v>0</v>
      </c>
      <c r="T935" s="49" t="n">
        <v>0</v>
      </c>
      <c r="U935" s="49" t="s">
        <v>2128</v>
      </c>
    </row>
    <row r="936" customFormat="false" ht="15" hidden="false" customHeight="false" outlineLevel="0" collapsed="false">
      <c r="B936" s="48" t="n">
        <v>45272.6143981482</v>
      </c>
      <c r="C936" s="4" t="n">
        <f aca="false">YEAR(B936)</f>
        <v>2023</v>
      </c>
      <c r="D936" s="49" t="s">
        <v>283</v>
      </c>
      <c r="E936" s="49" t="s">
        <v>2129</v>
      </c>
      <c r="F936" s="50" t="n">
        <v>13</v>
      </c>
      <c r="G936" s="49" t="s">
        <v>287</v>
      </c>
      <c r="H936" s="51" t="n">
        <v>0.0258</v>
      </c>
      <c r="I936" s="51" t="n">
        <v>0.4666</v>
      </c>
      <c r="J936" s="51" t="n">
        <v>0.5077</v>
      </c>
      <c r="K936" s="49"/>
      <c r="L936" s="49"/>
      <c r="M936" s="49"/>
      <c r="N936" s="49"/>
      <c r="O936" s="49"/>
      <c r="P936" s="49"/>
      <c r="Q936" s="49"/>
      <c r="R936" s="49"/>
      <c r="S936" s="49" t="n">
        <v>0</v>
      </c>
      <c r="T936" s="49" t="n">
        <v>0</v>
      </c>
      <c r="U936" s="49" t="s">
        <v>2130</v>
      </c>
    </row>
    <row r="937" customFormat="false" ht="15" hidden="false" customHeight="false" outlineLevel="0" collapsed="false">
      <c r="B937" s="48" t="n">
        <v>45272.6238194444</v>
      </c>
      <c r="C937" s="4" t="n">
        <f aca="false">YEAR(B937)</f>
        <v>2023</v>
      </c>
      <c r="D937" s="49" t="s">
        <v>283</v>
      </c>
      <c r="E937" s="49" t="s">
        <v>2131</v>
      </c>
      <c r="F937" s="50" t="n">
        <v>1</v>
      </c>
      <c r="G937" s="49" t="s">
        <v>280</v>
      </c>
      <c r="H937" s="51" t="n">
        <v>0.5984</v>
      </c>
      <c r="I937" s="51" t="n">
        <v>0.356</v>
      </c>
      <c r="J937" s="51" t="n">
        <v>0.0456</v>
      </c>
      <c r="K937" s="49"/>
      <c r="L937" s="49"/>
      <c r="M937" s="49"/>
      <c r="N937" s="49"/>
      <c r="O937" s="49"/>
      <c r="P937" s="49"/>
      <c r="Q937" s="49"/>
      <c r="R937" s="49"/>
      <c r="S937" s="49" t="n">
        <v>0</v>
      </c>
      <c r="T937" s="49" t="n">
        <v>0</v>
      </c>
      <c r="U937" s="49" t="s">
        <v>2132</v>
      </c>
    </row>
    <row r="938" customFormat="false" ht="15" hidden="false" customHeight="false" outlineLevel="0" collapsed="false">
      <c r="B938" s="48" t="n">
        <v>45273.6959953704</v>
      </c>
      <c r="C938" s="4" t="n">
        <f aca="false">YEAR(B938)</f>
        <v>2023</v>
      </c>
      <c r="D938" s="49" t="s">
        <v>283</v>
      </c>
      <c r="E938" s="49" t="s">
        <v>2133</v>
      </c>
      <c r="F938" s="50" t="n">
        <v>3</v>
      </c>
      <c r="G938" s="49" t="s">
        <v>287</v>
      </c>
      <c r="H938" s="51" t="n">
        <v>0.0056</v>
      </c>
      <c r="I938" s="51" t="n">
        <v>0.3638</v>
      </c>
      <c r="J938" s="51" t="n">
        <v>0.6306</v>
      </c>
      <c r="K938" s="49"/>
      <c r="L938" s="49"/>
      <c r="M938" s="49"/>
      <c r="N938" s="49"/>
      <c r="O938" s="49"/>
      <c r="P938" s="49"/>
      <c r="Q938" s="49"/>
      <c r="R938" s="49"/>
      <c r="S938" s="49" t="n">
        <v>0</v>
      </c>
      <c r="T938" s="49" t="n">
        <v>0</v>
      </c>
      <c r="U938" s="49" t="s">
        <v>2134</v>
      </c>
    </row>
    <row r="939" customFormat="false" ht="15" hidden="false" customHeight="false" outlineLevel="0" collapsed="false">
      <c r="B939" s="48" t="n">
        <v>45273.6987037037</v>
      </c>
      <c r="C939" s="4" t="n">
        <f aca="false">YEAR(B939)</f>
        <v>2023</v>
      </c>
      <c r="D939" s="49" t="s">
        <v>283</v>
      </c>
      <c r="E939" s="49" t="s">
        <v>2135</v>
      </c>
      <c r="F939" s="50" t="n">
        <v>1</v>
      </c>
      <c r="G939" s="49" t="s">
        <v>290</v>
      </c>
      <c r="H939" s="51" t="n">
        <v>0.0122</v>
      </c>
      <c r="I939" s="51" t="n">
        <v>0.5828</v>
      </c>
      <c r="J939" s="51" t="n">
        <v>0.405</v>
      </c>
      <c r="K939" s="49"/>
      <c r="L939" s="49"/>
      <c r="M939" s="49"/>
      <c r="N939" s="49"/>
      <c r="O939" s="49"/>
      <c r="P939" s="49"/>
      <c r="Q939" s="49"/>
      <c r="R939" s="49"/>
      <c r="S939" s="49" t="n">
        <v>0</v>
      </c>
      <c r="T939" s="49" t="n">
        <v>0</v>
      </c>
      <c r="U939" s="49" t="s">
        <v>2136</v>
      </c>
    </row>
    <row r="940" customFormat="false" ht="15" hidden="false" customHeight="false" outlineLevel="0" collapsed="false">
      <c r="B940" s="48" t="n">
        <v>45274.0177199074</v>
      </c>
      <c r="C940" s="4" t="n">
        <f aca="false">YEAR(B940)</f>
        <v>2023</v>
      </c>
      <c r="D940" s="49" t="s">
        <v>283</v>
      </c>
      <c r="E940" s="49" t="s">
        <v>2137</v>
      </c>
      <c r="F940" s="50" t="n">
        <v>7</v>
      </c>
      <c r="G940" s="49" t="s">
        <v>280</v>
      </c>
      <c r="H940" s="51" t="n">
        <v>0.7788</v>
      </c>
      <c r="I940" s="51" t="n">
        <v>0.1966</v>
      </c>
      <c r="J940" s="51" t="n">
        <v>0.0246</v>
      </c>
      <c r="K940" s="49"/>
      <c r="L940" s="49"/>
      <c r="M940" s="49"/>
      <c r="N940" s="49"/>
      <c r="O940" s="49"/>
      <c r="P940" s="49"/>
      <c r="Q940" s="49"/>
      <c r="R940" s="49"/>
      <c r="S940" s="49" t="n">
        <v>0</v>
      </c>
      <c r="T940" s="49" t="n">
        <v>0</v>
      </c>
      <c r="U940" s="49" t="s">
        <v>2138</v>
      </c>
    </row>
    <row r="941" customFormat="false" ht="15" hidden="false" customHeight="false" outlineLevel="0" collapsed="false">
      <c r="B941" s="48" t="n">
        <v>45274.5639236111</v>
      </c>
      <c r="C941" s="4" t="n">
        <f aca="false">YEAR(B941)</f>
        <v>2023</v>
      </c>
      <c r="D941" s="49" t="s">
        <v>283</v>
      </c>
      <c r="E941" s="49" t="s">
        <v>2139</v>
      </c>
      <c r="F941" s="50" t="n">
        <v>1</v>
      </c>
      <c r="G941" s="49" t="s">
        <v>287</v>
      </c>
      <c r="H941" s="51" t="n">
        <v>0.0055</v>
      </c>
      <c r="I941" s="51" t="n">
        <v>0.0222</v>
      </c>
      <c r="J941" s="51" t="n">
        <v>0.9723</v>
      </c>
      <c r="K941" s="49"/>
      <c r="L941" s="49"/>
      <c r="M941" s="49"/>
      <c r="N941" s="49"/>
      <c r="O941" s="49"/>
      <c r="P941" s="49"/>
      <c r="Q941" s="49"/>
      <c r="R941" s="49" t="s">
        <v>281</v>
      </c>
      <c r="S941" s="49" t="n">
        <v>0</v>
      </c>
      <c r="T941" s="49" t="n">
        <v>0</v>
      </c>
      <c r="U941" s="49" t="s">
        <v>2140</v>
      </c>
    </row>
    <row r="942" customFormat="false" ht="15" hidden="false" customHeight="false" outlineLevel="0" collapsed="false">
      <c r="B942" s="48" t="n">
        <v>45274.6485648148</v>
      </c>
      <c r="C942" s="4" t="n">
        <f aca="false">YEAR(B942)</f>
        <v>2023</v>
      </c>
      <c r="D942" s="49" t="s">
        <v>283</v>
      </c>
      <c r="E942" s="49" t="s">
        <v>2141</v>
      </c>
      <c r="F942" s="50" t="n">
        <v>2</v>
      </c>
      <c r="G942" s="49" t="s">
        <v>280</v>
      </c>
      <c r="H942" s="51" t="n">
        <v>0.8865</v>
      </c>
      <c r="I942" s="51" t="n">
        <v>0.1051</v>
      </c>
      <c r="J942" s="51" t="n">
        <v>0.0084</v>
      </c>
      <c r="K942" s="49"/>
      <c r="L942" s="49"/>
      <c r="M942" s="49"/>
      <c r="N942" s="49"/>
      <c r="O942" s="49"/>
      <c r="P942" s="49"/>
      <c r="Q942" s="49"/>
      <c r="R942" s="49" t="s">
        <v>281</v>
      </c>
      <c r="S942" s="49" t="n">
        <v>0</v>
      </c>
      <c r="T942" s="49" t="n">
        <v>0</v>
      </c>
      <c r="U942" s="49" t="s">
        <v>2142</v>
      </c>
    </row>
    <row r="943" customFormat="false" ht="15" hidden="false" customHeight="false" outlineLevel="0" collapsed="false">
      <c r="B943" s="48" t="n">
        <v>45275.5694097222</v>
      </c>
      <c r="C943" s="4" t="n">
        <f aca="false">YEAR(B943)</f>
        <v>2023</v>
      </c>
      <c r="D943" s="49" t="s">
        <v>283</v>
      </c>
      <c r="E943" s="49" t="s">
        <v>2143</v>
      </c>
      <c r="F943" s="50" t="n">
        <v>1</v>
      </c>
      <c r="G943" s="49" t="s">
        <v>290</v>
      </c>
      <c r="H943" s="51" t="n">
        <v>0.0389</v>
      </c>
      <c r="I943" s="51" t="n">
        <v>0.9371</v>
      </c>
      <c r="J943" s="51" t="n">
        <v>0.024</v>
      </c>
      <c r="K943" s="49"/>
      <c r="L943" s="49"/>
      <c r="M943" s="49"/>
      <c r="N943" s="49"/>
      <c r="O943" s="49"/>
      <c r="P943" s="49"/>
      <c r="Q943" s="49"/>
      <c r="R943" s="49"/>
      <c r="S943" s="49" t="n">
        <v>1</v>
      </c>
      <c r="T943" s="49" t="n">
        <v>0</v>
      </c>
      <c r="U943" s="49" t="s">
        <v>2144</v>
      </c>
    </row>
    <row r="944" customFormat="false" ht="15" hidden="false" customHeight="false" outlineLevel="0" collapsed="false">
      <c r="B944" s="48" t="n">
        <v>45275.576099537</v>
      </c>
      <c r="C944" s="4" t="n">
        <f aca="false">YEAR(B944)</f>
        <v>2023</v>
      </c>
      <c r="D944" s="49" t="s">
        <v>283</v>
      </c>
      <c r="E944" s="49" t="s">
        <v>2145</v>
      </c>
      <c r="F944" s="50" t="n">
        <v>2</v>
      </c>
      <c r="G944" s="49" t="s">
        <v>290</v>
      </c>
      <c r="H944" s="51" t="n">
        <v>0.03</v>
      </c>
      <c r="I944" s="51" t="n">
        <v>0.6627</v>
      </c>
      <c r="J944" s="51" t="n">
        <v>0.3072</v>
      </c>
      <c r="K944" s="49"/>
      <c r="L944" s="49"/>
      <c r="M944" s="49"/>
      <c r="N944" s="49"/>
      <c r="O944" s="49"/>
      <c r="P944" s="49"/>
      <c r="Q944" s="49"/>
      <c r="R944" s="49"/>
      <c r="S944" s="49" t="n">
        <v>0</v>
      </c>
      <c r="T944" s="49" t="n">
        <v>0</v>
      </c>
      <c r="U944" s="49" t="s">
        <v>2146</v>
      </c>
    </row>
    <row r="945" customFormat="false" ht="15" hidden="false" customHeight="false" outlineLevel="0" collapsed="false">
      <c r="B945" s="48" t="n">
        <v>45275.5828125</v>
      </c>
      <c r="C945" s="4" t="n">
        <f aca="false">YEAR(B945)</f>
        <v>2023</v>
      </c>
      <c r="D945" s="49" t="s">
        <v>278</v>
      </c>
      <c r="E945" s="49" t="s">
        <v>2147</v>
      </c>
      <c r="F945" s="50" t="n">
        <v>36</v>
      </c>
      <c r="G945" s="49" t="s">
        <v>290</v>
      </c>
      <c r="H945" s="51" t="n">
        <v>0.4686</v>
      </c>
      <c r="I945" s="51" t="n">
        <v>0.5083</v>
      </c>
      <c r="J945" s="51" t="n">
        <v>0.0231</v>
      </c>
      <c r="K945" s="49" t="s">
        <v>281</v>
      </c>
      <c r="L945" s="49"/>
      <c r="M945" s="49"/>
      <c r="N945" s="49"/>
      <c r="O945" s="49"/>
      <c r="P945" s="49"/>
      <c r="Q945" s="49"/>
      <c r="R945" s="49"/>
      <c r="S945" s="49" t="n">
        <v>0</v>
      </c>
      <c r="T945" s="49" t="n">
        <v>0</v>
      </c>
      <c r="U945" s="49" t="s">
        <v>2148</v>
      </c>
    </row>
    <row r="946" customFormat="false" ht="15" hidden="false" customHeight="false" outlineLevel="0" collapsed="false">
      <c r="B946" s="48" t="n">
        <v>45275.8114467593</v>
      </c>
      <c r="C946" s="4" t="n">
        <f aca="false">YEAR(B946)</f>
        <v>2023</v>
      </c>
      <c r="D946" s="49" t="s">
        <v>283</v>
      </c>
      <c r="E946" s="49" t="s">
        <v>2149</v>
      </c>
      <c r="F946" s="50" t="n">
        <v>1</v>
      </c>
      <c r="G946" s="49" t="s">
        <v>287</v>
      </c>
      <c r="H946" s="51" t="n">
        <v>0.0169</v>
      </c>
      <c r="I946" s="51" t="n">
        <v>0.1636</v>
      </c>
      <c r="J946" s="51" t="n">
        <v>0.8195</v>
      </c>
      <c r="K946" s="49"/>
      <c r="L946" s="49"/>
      <c r="M946" s="49"/>
      <c r="N946" s="49"/>
      <c r="O946" s="49"/>
      <c r="P946" s="49"/>
      <c r="Q946" s="49"/>
      <c r="R946" s="49"/>
      <c r="S946" s="49" t="n">
        <v>1</v>
      </c>
      <c r="T946" s="49" t="n">
        <v>0</v>
      </c>
      <c r="U946" s="49" t="s">
        <v>2150</v>
      </c>
    </row>
    <row r="947" customFormat="false" ht="15" hidden="false" customHeight="false" outlineLevel="0" collapsed="false">
      <c r="B947" s="48" t="n">
        <v>45276.0084143519</v>
      </c>
      <c r="C947" s="4" t="n">
        <f aca="false">YEAR(B947)</f>
        <v>2023</v>
      </c>
      <c r="D947" s="49" t="s">
        <v>283</v>
      </c>
      <c r="E947" s="49" t="s">
        <v>2151</v>
      </c>
      <c r="F947" s="50" t="n">
        <v>217</v>
      </c>
      <c r="G947" s="49" t="s">
        <v>287</v>
      </c>
      <c r="H947" s="51" t="n">
        <v>0.0025</v>
      </c>
      <c r="I947" s="51" t="n">
        <v>0.0483</v>
      </c>
      <c r="J947" s="51" t="n">
        <v>0.9492</v>
      </c>
      <c r="K947" s="49"/>
      <c r="L947" s="49"/>
      <c r="M947" s="49"/>
      <c r="N947" s="49"/>
      <c r="O947" s="49"/>
      <c r="P947" s="49"/>
      <c r="Q947" s="49"/>
      <c r="R947" s="49"/>
      <c r="S947" s="49" t="n">
        <v>0</v>
      </c>
      <c r="T947" s="49" t="n">
        <v>0</v>
      </c>
      <c r="U947" s="49" t="s">
        <v>2152</v>
      </c>
    </row>
    <row r="948" customFormat="false" ht="15" hidden="false" customHeight="false" outlineLevel="0" collapsed="false">
      <c r="B948" s="48" t="n">
        <v>45276.0551736111</v>
      </c>
      <c r="C948" s="4" t="n">
        <f aca="false">YEAR(B948)</f>
        <v>2023</v>
      </c>
      <c r="D948" s="49" t="s">
        <v>283</v>
      </c>
      <c r="E948" s="49" t="s">
        <v>2153</v>
      </c>
      <c r="F948" s="50" t="n">
        <v>2</v>
      </c>
      <c r="G948" s="49" t="s">
        <v>290</v>
      </c>
      <c r="H948" s="51" t="n">
        <v>0.0174</v>
      </c>
      <c r="I948" s="51" t="n">
        <v>0.8997</v>
      </c>
      <c r="J948" s="51" t="n">
        <v>0.0828</v>
      </c>
      <c r="K948" s="49"/>
      <c r="L948" s="49"/>
      <c r="M948" s="49"/>
      <c r="N948" s="49"/>
      <c r="O948" s="49"/>
      <c r="P948" s="49"/>
      <c r="Q948" s="49"/>
      <c r="R948" s="49"/>
      <c r="S948" s="49" t="n">
        <v>0</v>
      </c>
      <c r="T948" s="49" t="n">
        <v>0</v>
      </c>
      <c r="U948" s="49" t="s">
        <v>2154</v>
      </c>
    </row>
    <row r="949" customFormat="false" ht="15" hidden="false" customHeight="false" outlineLevel="0" collapsed="false">
      <c r="B949" s="48" t="n">
        <v>45276.1213194444</v>
      </c>
      <c r="C949" s="4" t="n">
        <f aca="false">YEAR(B949)</f>
        <v>2023</v>
      </c>
      <c r="D949" s="49" t="s">
        <v>283</v>
      </c>
      <c r="E949" s="49" t="s">
        <v>2155</v>
      </c>
      <c r="F949" s="50" t="n">
        <v>2</v>
      </c>
      <c r="G949" s="49" t="s">
        <v>287</v>
      </c>
      <c r="H949" s="51" t="n">
        <v>0.0037</v>
      </c>
      <c r="I949" s="51" t="n">
        <v>0.0726</v>
      </c>
      <c r="J949" s="51" t="n">
        <v>0.9238</v>
      </c>
      <c r="K949" s="49"/>
      <c r="L949" s="49"/>
      <c r="M949" s="49"/>
      <c r="N949" s="49"/>
      <c r="O949" s="49"/>
      <c r="P949" s="49"/>
      <c r="Q949" s="49"/>
      <c r="R949" s="49"/>
      <c r="S949" s="49" t="n">
        <v>0</v>
      </c>
      <c r="T949" s="49" t="n">
        <v>0</v>
      </c>
      <c r="U949" s="49" t="s">
        <v>2156</v>
      </c>
    </row>
    <row r="950" customFormat="false" ht="15" hidden="false" customHeight="false" outlineLevel="0" collapsed="false">
      <c r="B950" s="48" t="n">
        <v>45276.5865740741</v>
      </c>
      <c r="C950" s="4" t="n">
        <f aca="false">YEAR(B950)</f>
        <v>2023</v>
      </c>
      <c r="D950" s="49" t="s">
        <v>283</v>
      </c>
      <c r="E950" s="49" t="s">
        <v>2157</v>
      </c>
      <c r="F950" s="50" t="n">
        <v>1</v>
      </c>
      <c r="G950" s="49" t="s">
        <v>290</v>
      </c>
      <c r="H950" s="51" t="n">
        <v>0.0091</v>
      </c>
      <c r="I950" s="51" t="n">
        <v>0.7245</v>
      </c>
      <c r="J950" s="51" t="n">
        <v>0.2664</v>
      </c>
      <c r="K950" s="49"/>
      <c r="L950" s="49"/>
      <c r="M950" s="49"/>
      <c r="N950" s="49"/>
      <c r="O950" s="49"/>
      <c r="P950" s="49"/>
      <c r="Q950" s="49"/>
      <c r="R950" s="49"/>
      <c r="S950" s="49" t="n">
        <v>1</v>
      </c>
      <c r="T950" s="49" t="n">
        <v>0</v>
      </c>
      <c r="U950" s="49" t="s">
        <v>2158</v>
      </c>
    </row>
    <row r="951" customFormat="false" ht="15" hidden="false" customHeight="false" outlineLevel="0" collapsed="false">
      <c r="B951" s="48" t="n">
        <v>45276.931712963</v>
      </c>
      <c r="C951" s="4" t="n">
        <f aca="false">YEAR(B951)</f>
        <v>2023</v>
      </c>
      <c r="D951" s="49" t="s">
        <v>283</v>
      </c>
      <c r="E951" s="49" t="s">
        <v>2159</v>
      </c>
      <c r="F951" s="50" t="n">
        <v>3</v>
      </c>
      <c r="G951" s="49" t="s">
        <v>280</v>
      </c>
      <c r="H951" s="51" t="n">
        <v>0.8271</v>
      </c>
      <c r="I951" s="51" t="n">
        <v>0.1646</v>
      </c>
      <c r="J951" s="51" t="n">
        <v>0.0084</v>
      </c>
      <c r="K951" s="49"/>
      <c r="L951" s="49"/>
      <c r="M951" s="49"/>
      <c r="N951" s="49"/>
      <c r="O951" s="49"/>
      <c r="P951" s="49"/>
      <c r="Q951" s="49"/>
      <c r="R951" s="49"/>
      <c r="S951" s="49" t="n">
        <v>0</v>
      </c>
      <c r="T951" s="49" t="n">
        <v>0</v>
      </c>
      <c r="U951" s="49" t="s">
        <v>2160</v>
      </c>
    </row>
    <row r="952" customFormat="false" ht="15" hidden="false" customHeight="false" outlineLevel="0" collapsed="false">
      <c r="B952" s="48" t="n">
        <v>45277.2552314815</v>
      </c>
      <c r="C952" s="4" t="n">
        <f aca="false">YEAR(B952)</f>
        <v>2023</v>
      </c>
      <c r="D952" s="49" t="s">
        <v>283</v>
      </c>
      <c r="E952" s="49" t="s">
        <v>2161</v>
      </c>
      <c r="F952" s="50" t="n">
        <v>1</v>
      </c>
      <c r="G952" s="49" t="s">
        <v>280</v>
      </c>
      <c r="H952" s="51" t="n">
        <v>0.5309</v>
      </c>
      <c r="I952" s="51" t="n">
        <v>0.3738</v>
      </c>
      <c r="J952" s="51" t="n">
        <v>0.0953</v>
      </c>
      <c r="K952" s="49"/>
      <c r="L952" s="49"/>
      <c r="M952" s="49"/>
      <c r="N952" s="49"/>
      <c r="O952" s="49"/>
      <c r="P952" s="49"/>
      <c r="Q952" s="49"/>
      <c r="R952" s="49"/>
      <c r="S952" s="49" t="n">
        <v>0</v>
      </c>
      <c r="T952" s="49" t="n">
        <v>0</v>
      </c>
      <c r="U952" s="49" t="s">
        <v>2162</v>
      </c>
    </row>
    <row r="953" customFormat="false" ht="15" hidden="false" customHeight="false" outlineLevel="0" collapsed="false">
      <c r="B953" s="48" t="n">
        <v>45277.6629861111</v>
      </c>
      <c r="C953" s="4" t="n">
        <f aca="false">YEAR(B953)</f>
        <v>2023</v>
      </c>
      <c r="D953" s="49" t="s">
        <v>283</v>
      </c>
      <c r="E953" s="49" t="s">
        <v>2163</v>
      </c>
      <c r="F953" s="50" t="n">
        <v>1</v>
      </c>
      <c r="G953" s="49" t="s">
        <v>287</v>
      </c>
      <c r="H953" s="51" t="n">
        <v>0.0115</v>
      </c>
      <c r="I953" s="51" t="n">
        <v>0.4081</v>
      </c>
      <c r="J953" s="51" t="n">
        <v>0.5804</v>
      </c>
      <c r="K953" s="49"/>
      <c r="L953" s="49"/>
      <c r="M953" s="49"/>
      <c r="N953" s="49"/>
      <c r="O953" s="49"/>
      <c r="P953" s="49"/>
      <c r="Q953" s="49"/>
      <c r="R953" s="49"/>
      <c r="S953" s="49" t="n">
        <v>0</v>
      </c>
      <c r="T953" s="49" t="n">
        <v>0</v>
      </c>
      <c r="U953" s="49" t="s">
        <v>2164</v>
      </c>
    </row>
    <row r="954" customFormat="false" ht="15" hidden="false" customHeight="false" outlineLevel="0" collapsed="false">
      <c r="B954" s="48" t="n">
        <v>45277.7055092593</v>
      </c>
      <c r="C954" s="4" t="n">
        <f aca="false">YEAR(B954)</f>
        <v>2023</v>
      </c>
      <c r="D954" s="49" t="s">
        <v>283</v>
      </c>
      <c r="E954" s="49" t="s">
        <v>2165</v>
      </c>
      <c r="F954" s="50" t="n">
        <v>1</v>
      </c>
      <c r="G954" s="49" t="s">
        <v>290</v>
      </c>
      <c r="H954" s="51" t="n">
        <v>0.0058</v>
      </c>
      <c r="I954" s="51" t="n">
        <v>0.5682</v>
      </c>
      <c r="J954" s="51" t="n">
        <v>0.426</v>
      </c>
      <c r="K954" s="49"/>
      <c r="L954" s="49"/>
      <c r="M954" s="49"/>
      <c r="N954" s="49"/>
      <c r="O954" s="49"/>
      <c r="P954" s="49"/>
      <c r="Q954" s="49"/>
      <c r="R954" s="49"/>
      <c r="S954" s="49" t="n">
        <v>1</v>
      </c>
      <c r="T954" s="49" t="n">
        <v>0</v>
      </c>
      <c r="U954" s="49" t="s">
        <v>2166</v>
      </c>
    </row>
    <row r="955" customFormat="false" ht="15" hidden="false" customHeight="false" outlineLevel="0" collapsed="false">
      <c r="B955" s="48" t="n">
        <v>45277.8677662037</v>
      </c>
      <c r="C955" s="4" t="n">
        <f aca="false">YEAR(B955)</f>
        <v>2023</v>
      </c>
      <c r="D955" s="49" t="s">
        <v>283</v>
      </c>
      <c r="E955" s="49" t="s">
        <v>2167</v>
      </c>
      <c r="F955" s="50" t="n">
        <v>1</v>
      </c>
      <c r="G955" s="49" t="s">
        <v>280</v>
      </c>
      <c r="H955" s="51" t="n">
        <v>0.5132</v>
      </c>
      <c r="I955" s="51" t="n">
        <v>0.4767</v>
      </c>
      <c r="J955" s="51" t="n">
        <v>0.0101</v>
      </c>
      <c r="K955" s="49"/>
      <c r="L955" s="49"/>
      <c r="M955" s="49"/>
      <c r="N955" s="49"/>
      <c r="O955" s="49"/>
      <c r="P955" s="49"/>
      <c r="Q955" s="49"/>
      <c r="R955" s="49" t="s">
        <v>281</v>
      </c>
      <c r="S955" s="49" t="n">
        <v>1</v>
      </c>
      <c r="T955" s="49" t="n">
        <v>0</v>
      </c>
      <c r="U955" s="49" t="s">
        <v>2168</v>
      </c>
    </row>
    <row r="956" customFormat="false" ht="15" hidden="false" customHeight="false" outlineLevel="0" collapsed="false">
      <c r="B956" s="48" t="n">
        <v>45277.898287037</v>
      </c>
      <c r="C956" s="4" t="n">
        <f aca="false">YEAR(B956)</f>
        <v>2023</v>
      </c>
      <c r="D956" s="49" t="s">
        <v>283</v>
      </c>
      <c r="E956" s="49" t="s">
        <v>2169</v>
      </c>
      <c r="F956" s="50" t="n">
        <v>7</v>
      </c>
      <c r="G956" s="49" t="s">
        <v>287</v>
      </c>
      <c r="H956" s="51" t="n">
        <v>0.0164</v>
      </c>
      <c r="I956" s="51" t="n">
        <v>0.4535</v>
      </c>
      <c r="J956" s="51" t="n">
        <v>0.5302</v>
      </c>
      <c r="K956" s="49"/>
      <c r="L956" s="49"/>
      <c r="M956" s="49"/>
      <c r="N956" s="49"/>
      <c r="O956" s="49"/>
      <c r="P956" s="49"/>
      <c r="Q956" s="49"/>
      <c r="R956" s="49"/>
      <c r="S956" s="49" t="n">
        <v>0</v>
      </c>
      <c r="T956" s="49" t="n">
        <v>0</v>
      </c>
      <c r="U956" s="49" t="s">
        <v>2170</v>
      </c>
    </row>
    <row r="957" customFormat="false" ht="15" hidden="false" customHeight="false" outlineLevel="0" collapsed="false">
      <c r="B957" s="48" t="n">
        <v>45277.9583680556</v>
      </c>
      <c r="C957" s="4" t="n">
        <f aca="false">YEAR(B957)</f>
        <v>2023</v>
      </c>
      <c r="D957" s="49" t="s">
        <v>283</v>
      </c>
      <c r="E957" s="49" t="s">
        <v>2171</v>
      </c>
      <c r="F957" s="50" t="n">
        <v>1</v>
      </c>
      <c r="G957" s="49" t="s">
        <v>287</v>
      </c>
      <c r="H957" s="51" t="n">
        <v>0.004</v>
      </c>
      <c r="I957" s="51" t="n">
        <v>0.0662</v>
      </c>
      <c r="J957" s="51" t="n">
        <v>0.9298</v>
      </c>
      <c r="K957" s="49"/>
      <c r="L957" s="49"/>
      <c r="M957" s="49"/>
      <c r="N957" s="49"/>
      <c r="O957" s="49"/>
      <c r="P957" s="49"/>
      <c r="Q957" s="49"/>
      <c r="R957" s="49"/>
      <c r="S957" s="49" t="n">
        <v>0</v>
      </c>
      <c r="T957" s="49" t="n">
        <v>0</v>
      </c>
      <c r="U957" s="49" t="s">
        <v>2172</v>
      </c>
    </row>
    <row r="958" customFormat="false" ht="15" hidden="false" customHeight="false" outlineLevel="0" collapsed="false">
      <c r="B958" s="48" t="n">
        <v>45278.1557523148</v>
      </c>
      <c r="C958" s="4" t="n">
        <f aca="false">YEAR(B958)</f>
        <v>2023</v>
      </c>
      <c r="D958" s="49" t="s">
        <v>283</v>
      </c>
      <c r="E958" s="49" t="s">
        <v>2173</v>
      </c>
      <c r="F958" s="50" t="n">
        <v>1</v>
      </c>
      <c r="G958" s="49" t="s">
        <v>290</v>
      </c>
      <c r="H958" s="51" t="n">
        <v>0.0128</v>
      </c>
      <c r="I958" s="51" t="n">
        <v>0.9002</v>
      </c>
      <c r="J958" s="51" t="n">
        <v>0.087</v>
      </c>
      <c r="K958" s="49"/>
      <c r="L958" s="49"/>
      <c r="M958" s="49"/>
      <c r="N958" s="49"/>
      <c r="O958" s="49"/>
      <c r="P958" s="49"/>
      <c r="Q958" s="49"/>
      <c r="R958" s="49"/>
      <c r="S958" s="49" t="n">
        <v>1</v>
      </c>
      <c r="T958" s="49" t="n">
        <v>0</v>
      </c>
      <c r="U958" s="49" t="s">
        <v>2174</v>
      </c>
    </row>
    <row r="959" customFormat="false" ht="15" hidden="false" customHeight="false" outlineLevel="0" collapsed="false">
      <c r="B959" s="48" t="n">
        <v>45278.5390393519</v>
      </c>
      <c r="C959" s="4" t="n">
        <f aca="false">YEAR(B959)</f>
        <v>2023</v>
      </c>
      <c r="D959" s="49" t="s">
        <v>283</v>
      </c>
      <c r="E959" s="49" t="s">
        <v>2175</v>
      </c>
      <c r="F959" s="50" t="n">
        <v>3</v>
      </c>
      <c r="G959" s="49" t="s">
        <v>280</v>
      </c>
      <c r="H959" s="51" t="n">
        <v>0.7471</v>
      </c>
      <c r="I959" s="51" t="n">
        <v>0.2387</v>
      </c>
      <c r="J959" s="51" t="n">
        <v>0.0142</v>
      </c>
      <c r="K959" s="49"/>
      <c r="L959" s="49"/>
      <c r="M959" s="49"/>
      <c r="N959" s="49"/>
      <c r="O959" s="49"/>
      <c r="P959" s="49"/>
      <c r="Q959" s="49"/>
      <c r="R959" s="49" t="s">
        <v>281</v>
      </c>
      <c r="S959" s="49" t="n">
        <v>0</v>
      </c>
      <c r="T959" s="49" t="n">
        <v>0</v>
      </c>
      <c r="U959" s="49" t="s">
        <v>2176</v>
      </c>
    </row>
    <row r="960" customFormat="false" ht="15" hidden="false" customHeight="false" outlineLevel="0" collapsed="false">
      <c r="B960" s="48" t="n">
        <v>45278.7892708333</v>
      </c>
      <c r="C960" s="4" t="n">
        <f aca="false">YEAR(B960)</f>
        <v>2023</v>
      </c>
      <c r="D960" s="49" t="s">
        <v>283</v>
      </c>
      <c r="E960" s="49" t="s">
        <v>2177</v>
      </c>
      <c r="F960" s="50" t="n">
        <v>11</v>
      </c>
      <c r="G960" s="49" t="s">
        <v>280</v>
      </c>
      <c r="H960" s="51" t="n">
        <v>0.6191</v>
      </c>
      <c r="I960" s="51" t="n">
        <v>0.3567</v>
      </c>
      <c r="J960" s="51" t="n">
        <v>0.0242</v>
      </c>
      <c r="K960" s="49" t="s">
        <v>281</v>
      </c>
      <c r="L960" s="49"/>
      <c r="M960" s="49"/>
      <c r="N960" s="49"/>
      <c r="O960" s="49"/>
      <c r="P960" s="49"/>
      <c r="Q960" s="49"/>
      <c r="R960" s="49"/>
      <c r="S960" s="49" t="n">
        <v>0</v>
      </c>
      <c r="T960" s="49" t="n">
        <v>0</v>
      </c>
      <c r="U960" s="49" t="s">
        <v>2178</v>
      </c>
    </row>
    <row r="961" customFormat="false" ht="15" hidden="false" customHeight="false" outlineLevel="0" collapsed="false">
      <c r="B961" s="48" t="n">
        <v>45278.9765625</v>
      </c>
      <c r="C961" s="4" t="n">
        <f aca="false">YEAR(B961)</f>
        <v>2023</v>
      </c>
      <c r="D961" s="49" t="s">
        <v>283</v>
      </c>
      <c r="E961" s="49" t="s">
        <v>2179</v>
      </c>
      <c r="F961" s="50" t="n">
        <v>1</v>
      </c>
      <c r="G961" s="49" t="s">
        <v>290</v>
      </c>
      <c r="H961" s="51" t="n">
        <v>0.2937</v>
      </c>
      <c r="I961" s="51" t="n">
        <v>0.6795</v>
      </c>
      <c r="J961" s="51" t="n">
        <v>0.0269</v>
      </c>
      <c r="K961" s="49"/>
      <c r="L961" s="49"/>
      <c r="M961" s="49"/>
      <c r="N961" s="49"/>
      <c r="O961" s="49"/>
      <c r="P961" s="49"/>
      <c r="Q961" s="49"/>
      <c r="R961" s="49"/>
      <c r="S961" s="49" t="n">
        <v>0</v>
      </c>
      <c r="T961" s="49" t="n">
        <v>0</v>
      </c>
      <c r="U961" s="49" t="s">
        <v>2180</v>
      </c>
    </row>
    <row r="962" customFormat="false" ht="15" hidden="false" customHeight="false" outlineLevel="0" collapsed="false">
      <c r="B962" s="48" t="n">
        <v>45279.4577662037</v>
      </c>
      <c r="C962" s="4" t="n">
        <f aca="false">YEAR(B962)</f>
        <v>2023</v>
      </c>
      <c r="D962" s="49" t="s">
        <v>283</v>
      </c>
      <c r="E962" s="49" t="s">
        <v>2181</v>
      </c>
      <c r="F962" s="50" t="n">
        <v>1</v>
      </c>
      <c r="G962" s="49" t="s">
        <v>280</v>
      </c>
      <c r="H962" s="51" t="n">
        <v>0.7348</v>
      </c>
      <c r="I962" s="51" t="n">
        <v>0.2532</v>
      </c>
      <c r="J962" s="51" t="n">
        <v>0.012</v>
      </c>
      <c r="K962" s="49"/>
      <c r="L962" s="49"/>
      <c r="M962" s="49"/>
      <c r="N962" s="49"/>
      <c r="O962" s="49"/>
      <c r="P962" s="49"/>
      <c r="Q962" s="49"/>
      <c r="R962" s="49" t="s">
        <v>281</v>
      </c>
      <c r="S962" s="49" t="n">
        <v>0</v>
      </c>
      <c r="T962" s="49" t="n">
        <v>0</v>
      </c>
      <c r="U962" s="49" t="s">
        <v>2182</v>
      </c>
    </row>
    <row r="963" customFormat="false" ht="15" hidden="false" customHeight="false" outlineLevel="0" collapsed="false">
      <c r="B963" s="48" t="n">
        <v>45279.7070833333</v>
      </c>
      <c r="C963" s="4" t="n">
        <f aca="false">YEAR(B963)</f>
        <v>2023</v>
      </c>
      <c r="D963" s="49" t="s">
        <v>283</v>
      </c>
      <c r="E963" s="49" t="s">
        <v>2183</v>
      </c>
      <c r="F963" s="50" t="n">
        <v>1</v>
      </c>
      <c r="G963" s="49" t="s">
        <v>290</v>
      </c>
      <c r="H963" s="51" t="n">
        <v>0.1787</v>
      </c>
      <c r="I963" s="51" t="n">
        <v>0.564</v>
      </c>
      <c r="J963" s="51" t="n">
        <v>0.2573</v>
      </c>
      <c r="K963" s="49"/>
      <c r="L963" s="49"/>
      <c r="M963" s="49"/>
      <c r="N963" s="49"/>
      <c r="O963" s="49"/>
      <c r="P963" s="49"/>
      <c r="Q963" s="49"/>
      <c r="R963" s="49"/>
      <c r="S963" s="49" t="n">
        <v>0</v>
      </c>
      <c r="T963" s="49" t="n">
        <v>0</v>
      </c>
      <c r="U963" s="49" t="s">
        <v>2184</v>
      </c>
    </row>
    <row r="964" customFormat="false" ht="15" hidden="false" customHeight="false" outlineLevel="0" collapsed="false">
      <c r="B964" s="48" t="n">
        <v>45279.9803472222</v>
      </c>
      <c r="C964" s="4" t="n">
        <f aca="false">YEAR(B964)</f>
        <v>2023</v>
      </c>
      <c r="D964" s="49" t="s">
        <v>283</v>
      </c>
      <c r="E964" s="49" t="s">
        <v>2185</v>
      </c>
      <c r="F964" s="50" t="n">
        <v>1</v>
      </c>
      <c r="G964" s="49" t="s">
        <v>290</v>
      </c>
      <c r="H964" s="51" t="n">
        <v>0.0623</v>
      </c>
      <c r="I964" s="51" t="n">
        <v>0.7947</v>
      </c>
      <c r="J964" s="51" t="n">
        <v>0.143</v>
      </c>
      <c r="K964" s="49"/>
      <c r="L964" s="49"/>
      <c r="M964" s="49"/>
      <c r="N964" s="49"/>
      <c r="O964" s="49"/>
      <c r="P964" s="49"/>
      <c r="Q964" s="49"/>
      <c r="R964" s="49"/>
      <c r="S964" s="49" t="n">
        <v>1</v>
      </c>
      <c r="T964" s="49" t="n">
        <v>0</v>
      </c>
      <c r="U964" s="49" t="s">
        <v>2186</v>
      </c>
    </row>
    <row r="965" customFormat="false" ht="15" hidden="false" customHeight="false" outlineLevel="0" collapsed="false">
      <c r="B965" s="48" t="n">
        <v>45280.0495601852</v>
      </c>
      <c r="C965" s="4" t="n">
        <f aca="false">YEAR(B965)</f>
        <v>2023</v>
      </c>
      <c r="D965" s="49" t="s">
        <v>283</v>
      </c>
      <c r="E965" s="49" t="s">
        <v>2187</v>
      </c>
      <c r="F965" s="50" t="n">
        <v>3</v>
      </c>
      <c r="G965" s="49" t="s">
        <v>287</v>
      </c>
      <c r="H965" s="51" t="n">
        <v>0.0087</v>
      </c>
      <c r="I965" s="51" t="n">
        <v>0.1131</v>
      </c>
      <c r="J965" s="51" t="n">
        <v>0.8783</v>
      </c>
      <c r="K965" s="49"/>
      <c r="L965" s="49"/>
      <c r="M965" s="49"/>
      <c r="N965" s="49"/>
      <c r="O965" s="49"/>
      <c r="P965" s="49"/>
      <c r="Q965" s="49"/>
      <c r="R965" s="49"/>
      <c r="S965" s="49" t="n">
        <v>0</v>
      </c>
      <c r="T965" s="49" t="n">
        <v>0</v>
      </c>
      <c r="U965" s="49" t="s">
        <v>2188</v>
      </c>
    </row>
    <row r="966" customFormat="false" ht="15" hidden="false" customHeight="false" outlineLevel="0" collapsed="false">
      <c r="B966" s="48" t="n">
        <v>45280.0535069444</v>
      </c>
      <c r="C966" s="4" t="n">
        <f aca="false">YEAR(B966)</f>
        <v>2023</v>
      </c>
      <c r="D966" s="49" t="s">
        <v>278</v>
      </c>
      <c r="E966" s="49" t="s">
        <v>2189</v>
      </c>
      <c r="F966" s="50" t="n">
        <v>16</v>
      </c>
      <c r="G966" s="49" t="s">
        <v>280</v>
      </c>
      <c r="H966" s="51" t="n">
        <v>0.8036</v>
      </c>
      <c r="I966" s="51" t="n">
        <v>0.1847</v>
      </c>
      <c r="J966" s="51" t="n">
        <v>0.0117</v>
      </c>
      <c r="K966" s="49"/>
      <c r="L966" s="49" t="s">
        <v>281</v>
      </c>
      <c r="M966" s="49"/>
      <c r="N966" s="49"/>
      <c r="O966" s="49"/>
      <c r="P966" s="49"/>
      <c r="Q966" s="49"/>
      <c r="R966" s="49" t="s">
        <v>281</v>
      </c>
      <c r="S966" s="49" t="n">
        <v>0</v>
      </c>
      <c r="T966" s="49" t="n">
        <v>0</v>
      </c>
      <c r="U966" s="49" t="s">
        <v>2190</v>
      </c>
    </row>
    <row r="967" customFormat="false" ht="15" hidden="false" customHeight="false" outlineLevel="0" collapsed="false">
      <c r="B967" s="48" t="n">
        <v>45280.3887037037</v>
      </c>
      <c r="C967" s="4" t="n">
        <f aca="false">YEAR(B967)</f>
        <v>2023</v>
      </c>
      <c r="D967" s="49" t="s">
        <v>278</v>
      </c>
      <c r="E967" s="49" t="s">
        <v>2191</v>
      </c>
      <c r="F967" s="50" t="n">
        <v>151</v>
      </c>
      <c r="G967" s="49" t="s">
        <v>280</v>
      </c>
      <c r="H967" s="51" t="n">
        <v>0.7828</v>
      </c>
      <c r="I967" s="51" t="n">
        <v>0.2053</v>
      </c>
      <c r="J967" s="51" t="n">
        <v>0.0119</v>
      </c>
      <c r="K967" s="49"/>
      <c r="L967" s="49"/>
      <c r="M967" s="49"/>
      <c r="N967" s="49"/>
      <c r="O967" s="49"/>
      <c r="P967" s="49"/>
      <c r="Q967" s="49" t="s">
        <v>281</v>
      </c>
      <c r="R967" s="49"/>
      <c r="S967" s="49" t="n">
        <v>0</v>
      </c>
      <c r="T967" s="49" t="n">
        <v>0</v>
      </c>
      <c r="U967" s="49" t="s">
        <v>2192</v>
      </c>
    </row>
    <row r="968" customFormat="false" ht="15" hidden="false" customHeight="false" outlineLevel="0" collapsed="false">
      <c r="B968" s="48" t="n">
        <v>45280.7218634259</v>
      </c>
      <c r="C968" s="4" t="n">
        <f aca="false">YEAR(B968)</f>
        <v>2023</v>
      </c>
      <c r="D968" s="49" t="s">
        <v>283</v>
      </c>
      <c r="E968" s="49" t="s">
        <v>2193</v>
      </c>
      <c r="F968" s="50" t="n">
        <v>97</v>
      </c>
      <c r="G968" s="49" t="s">
        <v>280</v>
      </c>
      <c r="H968" s="51" t="n">
        <v>0.388</v>
      </c>
      <c r="I968" s="51" t="n">
        <v>0.383</v>
      </c>
      <c r="J968" s="51" t="n">
        <v>0.229</v>
      </c>
      <c r="K968" s="49"/>
      <c r="L968" s="49"/>
      <c r="M968" s="49"/>
      <c r="N968" s="49"/>
      <c r="O968" s="49"/>
      <c r="P968" s="49"/>
      <c r="Q968" s="49"/>
      <c r="R968" s="49"/>
      <c r="S968" s="49" t="n">
        <v>0</v>
      </c>
      <c r="T968" s="49" t="n">
        <v>0</v>
      </c>
      <c r="U968" s="49" t="s">
        <v>2194</v>
      </c>
    </row>
    <row r="969" customFormat="false" ht="15" hidden="false" customHeight="false" outlineLevel="0" collapsed="false">
      <c r="B969" s="48" t="n">
        <v>45281.5861342593</v>
      </c>
      <c r="C969" s="4" t="n">
        <f aca="false">YEAR(B969)</f>
        <v>2023</v>
      </c>
      <c r="D969" s="49" t="s">
        <v>283</v>
      </c>
      <c r="E969" s="49" t="s">
        <v>2195</v>
      </c>
      <c r="F969" s="50" t="n">
        <v>29</v>
      </c>
      <c r="G969" s="49" t="s">
        <v>287</v>
      </c>
      <c r="H969" s="51" t="n">
        <v>0.1021</v>
      </c>
      <c r="I969" s="51" t="n">
        <v>0.2837</v>
      </c>
      <c r="J969" s="51" t="n">
        <v>0.6142</v>
      </c>
      <c r="K969" s="49"/>
      <c r="L969" s="49"/>
      <c r="M969" s="49"/>
      <c r="N969" s="49"/>
      <c r="O969" s="49"/>
      <c r="P969" s="49"/>
      <c r="Q969" s="49"/>
      <c r="R969" s="49"/>
      <c r="S969" s="49" t="n">
        <v>0</v>
      </c>
      <c r="T969" s="49" t="n">
        <v>0</v>
      </c>
      <c r="U969" s="49" t="s">
        <v>2196</v>
      </c>
    </row>
    <row r="970" customFormat="false" ht="15" hidden="false" customHeight="false" outlineLevel="0" collapsed="false">
      <c r="B970" s="48" t="n">
        <v>45282.0319444445</v>
      </c>
      <c r="C970" s="4" t="n">
        <f aca="false">YEAR(B970)</f>
        <v>2023</v>
      </c>
      <c r="D970" s="49" t="s">
        <v>283</v>
      </c>
      <c r="E970" s="49" t="s">
        <v>2197</v>
      </c>
      <c r="F970" s="50" t="n">
        <v>14</v>
      </c>
      <c r="G970" s="49" t="s">
        <v>287</v>
      </c>
      <c r="H970" s="51" t="n">
        <v>0.0104</v>
      </c>
      <c r="I970" s="51" t="n">
        <v>0.1683</v>
      </c>
      <c r="J970" s="51" t="n">
        <v>0.8214</v>
      </c>
      <c r="K970" s="49"/>
      <c r="L970" s="49"/>
      <c r="M970" s="49"/>
      <c r="N970" s="49"/>
      <c r="O970" s="49"/>
      <c r="P970" s="49" t="s">
        <v>281</v>
      </c>
      <c r="Q970" s="49"/>
      <c r="R970" s="49"/>
      <c r="S970" s="49" t="n">
        <v>0</v>
      </c>
      <c r="T970" s="49" t="n">
        <v>0</v>
      </c>
      <c r="U970" s="49" t="s">
        <v>2198</v>
      </c>
    </row>
    <row r="971" customFormat="false" ht="15" hidden="false" customHeight="false" outlineLevel="0" collapsed="false">
      <c r="B971" s="48" t="n">
        <v>45282.4763078704</v>
      </c>
      <c r="C971" s="4" t="n">
        <f aca="false">YEAR(B971)</f>
        <v>2023</v>
      </c>
      <c r="D971" s="49" t="s">
        <v>283</v>
      </c>
      <c r="E971" s="49" t="s">
        <v>2199</v>
      </c>
      <c r="F971" s="50" t="n">
        <v>1</v>
      </c>
      <c r="G971" s="49" t="s">
        <v>287</v>
      </c>
      <c r="H971" s="51" t="n">
        <v>0.0309</v>
      </c>
      <c r="I971" s="51" t="n">
        <v>0.1162</v>
      </c>
      <c r="J971" s="51" t="n">
        <v>0.8529</v>
      </c>
      <c r="K971" s="49"/>
      <c r="L971" s="49"/>
      <c r="M971" s="49"/>
      <c r="N971" s="49"/>
      <c r="O971" s="49"/>
      <c r="P971" s="49"/>
      <c r="Q971" s="49"/>
      <c r="R971" s="49"/>
      <c r="S971" s="49" t="n">
        <v>0</v>
      </c>
      <c r="T971" s="49" t="n">
        <v>0</v>
      </c>
      <c r="U971" s="49" t="s">
        <v>2200</v>
      </c>
    </row>
    <row r="972" customFormat="false" ht="15" hidden="false" customHeight="false" outlineLevel="0" collapsed="false">
      <c r="B972" s="48" t="n">
        <v>45282.6541203704</v>
      </c>
      <c r="C972" s="4" t="n">
        <f aca="false">YEAR(B972)</f>
        <v>2023</v>
      </c>
      <c r="D972" s="49" t="s">
        <v>283</v>
      </c>
      <c r="E972" s="49" t="s">
        <v>2201</v>
      </c>
      <c r="F972" s="50" t="n">
        <v>1</v>
      </c>
      <c r="G972" s="49" t="s">
        <v>290</v>
      </c>
      <c r="H972" s="51" t="n">
        <v>0.0769</v>
      </c>
      <c r="I972" s="51" t="n">
        <v>0.7978</v>
      </c>
      <c r="J972" s="51" t="n">
        <v>0.1253</v>
      </c>
      <c r="K972" s="49"/>
      <c r="L972" s="49"/>
      <c r="M972" s="49"/>
      <c r="N972" s="49"/>
      <c r="O972" s="49"/>
      <c r="P972" s="49"/>
      <c r="Q972" s="49"/>
      <c r="R972" s="49"/>
      <c r="S972" s="49" t="n">
        <v>0</v>
      </c>
      <c r="T972" s="49" t="n">
        <v>0</v>
      </c>
      <c r="U972" s="49" t="s">
        <v>2202</v>
      </c>
    </row>
    <row r="973" customFormat="false" ht="15" hidden="false" customHeight="false" outlineLevel="0" collapsed="false">
      <c r="B973" s="48" t="n">
        <v>45282.7163541667</v>
      </c>
      <c r="C973" s="4" t="n">
        <f aca="false">YEAR(B973)</f>
        <v>2023</v>
      </c>
      <c r="D973" s="49" t="s">
        <v>283</v>
      </c>
      <c r="E973" s="49" t="s">
        <v>2203</v>
      </c>
      <c r="F973" s="50" t="n">
        <v>1</v>
      </c>
      <c r="G973" s="49" t="s">
        <v>280</v>
      </c>
      <c r="H973" s="51" t="n">
        <v>0.8071</v>
      </c>
      <c r="I973" s="51" t="n">
        <v>0.1694</v>
      </c>
      <c r="J973" s="51" t="n">
        <v>0.0235</v>
      </c>
      <c r="K973" s="49"/>
      <c r="L973" s="49"/>
      <c r="M973" s="49"/>
      <c r="N973" s="49"/>
      <c r="O973" s="49"/>
      <c r="P973" s="49"/>
      <c r="Q973" s="49" t="s">
        <v>281</v>
      </c>
      <c r="R973" s="49"/>
      <c r="S973" s="49" t="n">
        <v>0</v>
      </c>
      <c r="T973" s="49" t="n">
        <v>0</v>
      </c>
      <c r="U973" s="49" t="s">
        <v>2204</v>
      </c>
    </row>
    <row r="974" customFormat="false" ht="15" hidden="false" customHeight="false" outlineLevel="0" collapsed="false">
      <c r="B974" s="48" t="n">
        <v>45282.7184375</v>
      </c>
      <c r="C974" s="4" t="n">
        <f aca="false">YEAR(B974)</f>
        <v>2023</v>
      </c>
      <c r="D974" s="49" t="s">
        <v>283</v>
      </c>
      <c r="E974" s="49" t="s">
        <v>2205</v>
      </c>
      <c r="F974" s="50" t="n">
        <v>3</v>
      </c>
      <c r="G974" s="49" t="s">
        <v>287</v>
      </c>
      <c r="H974" s="51" t="n">
        <v>0.0263</v>
      </c>
      <c r="I974" s="51" t="n">
        <v>0.2997</v>
      </c>
      <c r="J974" s="51" t="n">
        <v>0.674</v>
      </c>
      <c r="K974" s="49"/>
      <c r="L974" s="49"/>
      <c r="M974" s="49"/>
      <c r="N974" s="49"/>
      <c r="O974" s="49"/>
      <c r="P974" s="49"/>
      <c r="Q974" s="49"/>
      <c r="R974" s="49"/>
      <c r="S974" s="49" t="n">
        <v>0</v>
      </c>
      <c r="T974" s="49" t="n">
        <v>0</v>
      </c>
      <c r="U974" s="49" t="s">
        <v>2206</v>
      </c>
    </row>
    <row r="975" customFormat="false" ht="15" hidden="false" customHeight="false" outlineLevel="0" collapsed="false">
      <c r="B975" s="48" t="n">
        <v>45282.9283217593</v>
      </c>
      <c r="C975" s="4" t="n">
        <f aca="false">YEAR(B975)</f>
        <v>2023</v>
      </c>
      <c r="D975" s="49" t="s">
        <v>283</v>
      </c>
      <c r="E975" s="49" t="s">
        <v>2207</v>
      </c>
      <c r="F975" s="50" t="n">
        <v>1</v>
      </c>
      <c r="G975" s="49" t="s">
        <v>287</v>
      </c>
      <c r="H975" s="51" t="n">
        <v>0.0055</v>
      </c>
      <c r="I975" s="51" t="n">
        <v>0.4444</v>
      </c>
      <c r="J975" s="51" t="n">
        <v>0.5501</v>
      </c>
      <c r="K975" s="49"/>
      <c r="L975" s="49"/>
      <c r="M975" s="49"/>
      <c r="N975" s="49"/>
      <c r="O975" s="49"/>
      <c r="P975" s="49"/>
      <c r="Q975" s="49"/>
      <c r="R975" s="49"/>
      <c r="S975" s="49" t="n">
        <v>0</v>
      </c>
      <c r="T975" s="49" t="n">
        <v>0</v>
      </c>
      <c r="U975" s="49" t="s">
        <v>2208</v>
      </c>
    </row>
    <row r="976" customFormat="false" ht="15" hidden="false" customHeight="false" outlineLevel="0" collapsed="false">
      <c r="B976" s="48" t="n">
        <v>45283.2340046296</v>
      </c>
      <c r="C976" s="4" t="n">
        <f aca="false">YEAR(B976)</f>
        <v>2023</v>
      </c>
      <c r="D976" s="49" t="s">
        <v>283</v>
      </c>
      <c r="E976" s="49" t="s">
        <v>2209</v>
      </c>
      <c r="F976" s="50" t="n">
        <v>2</v>
      </c>
      <c r="G976" s="49" t="s">
        <v>290</v>
      </c>
      <c r="H976" s="51" t="n">
        <v>0.0097</v>
      </c>
      <c r="I976" s="51" t="n">
        <v>0.5783</v>
      </c>
      <c r="J976" s="51" t="n">
        <v>0.412</v>
      </c>
      <c r="K976" s="49"/>
      <c r="L976" s="49"/>
      <c r="M976" s="49"/>
      <c r="N976" s="49"/>
      <c r="O976" s="49"/>
      <c r="P976" s="49"/>
      <c r="Q976" s="49"/>
      <c r="R976" s="49"/>
      <c r="S976" s="49" t="n">
        <v>0</v>
      </c>
      <c r="T976" s="49" t="n">
        <v>0</v>
      </c>
      <c r="U976" s="49" t="s">
        <v>2210</v>
      </c>
    </row>
    <row r="977" customFormat="false" ht="15" hidden="false" customHeight="false" outlineLevel="0" collapsed="false">
      <c r="B977" s="48" t="n">
        <v>45283.7199305556</v>
      </c>
      <c r="C977" s="4" t="n">
        <f aca="false">YEAR(B977)</f>
        <v>2023</v>
      </c>
      <c r="D977" s="49" t="s">
        <v>283</v>
      </c>
      <c r="E977" s="49" t="s">
        <v>2211</v>
      </c>
      <c r="F977" s="50" t="n">
        <v>3</v>
      </c>
      <c r="G977" s="49" t="s">
        <v>287</v>
      </c>
      <c r="H977" s="51" t="n">
        <v>0.0037</v>
      </c>
      <c r="I977" s="51" t="n">
        <v>0.0493</v>
      </c>
      <c r="J977" s="51" t="n">
        <v>0.947</v>
      </c>
      <c r="K977" s="49"/>
      <c r="L977" s="49"/>
      <c r="M977" s="49"/>
      <c r="N977" s="49"/>
      <c r="O977" s="49"/>
      <c r="P977" s="49"/>
      <c r="Q977" s="49"/>
      <c r="R977" s="49"/>
      <c r="S977" s="49" t="n">
        <v>0</v>
      </c>
      <c r="T977" s="49" t="n">
        <v>0</v>
      </c>
      <c r="U977" s="49" t="s">
        <v>2212</v>
      </c>
    </row>
    <row r="978" customFormat="false" ht="15" hidden="false" customHeight="false" outlineLevel="0" collapsed="false">
      <c r="B978" s="48" t="n">
        <v>45284.0658680556</v>
      </c>
      <c r="C978" s="4" t="n">
        <f aca="false">YEAR(B978)</f>
        <v>2023</v>
      </c>
      <c r="D978" s="49" t="s">
        <v>283</v>
      </c>
      <c r="E978" s="49" t="s">
        <v>2213</v>
      </c>
      <c r="F978" s="50" t="n">
        <v>24</v>
      </c>
      <c r="G978" s="49" t="s">
        <v>290</v>
      </c>
      <c r="H978" s="51" t="n">
        <v>0.4163</v>
      </c>
      <c r="I978" s="51" t="n">
        <v>0.5113</v>
      </c>
      <c r="J978" s="51" t="n">
        <v>0.0724</v>
      </c>
      <c r="K978" s="49"/>
      <c r="L978" s="49"/>
      <c r="M978" s="49"/>
      <c r="N978" s="49"/>
      <c r="O978" s="49"/>
      <c r="P978" s="49"/>
      <c r="Q978" s="49"/>
      <c r="R978" s="49"/>
      <c r="S978" s="49" t="n">
        <v>0</v>
      </c>
      <c r="T978" s="49" t="n">
        <v>0</v>
      </c>
      <c r="U978" s="49" t="s">
        <v>2214</v>
      </c>
    </row>
    <row r="979" customFormat="false" ht="15" hidden="false" customHeight="false" outlineLevel="0" collapsed="false">
      <c r="B979" s="48" t="n">
        <v>45284.0682986111</v>
      </c>
      <c r="C979" s="4" t="n">
        <f aca="false">YEAR(B979)</f>
        <v>2023</v>
      </c>
      <c r="D979" s="49" t="s">
        <v>283</v>
      </c>
      <c r="E979" s="49" t="s">
        <v>2215</v>
      </c>
      <c r="F979" s="50" t="n">
        <v>1</v>
      </c>
      <c r="G979" s="49" t="s">
        <v>290</v>
      </c>
      <c r="H979" s="51" t="n">
        <v>0.3141</v>
      </c>
      <c r="I979" s="51" t="n">
        <v>0.6339</v>
      </c>
      <c r="J979" s="51" t="n">
        <v>0.052</v>
      </c>
      <c r="K979" s="49"/>
      <c r="L979" s="49"/>
      <c r="M979" s="49"/>
      <c r="N979" s="49"/>
      <c r="O979" s="49"/>
      <c r="P979" s="49"/>
      <c r="Q979" s="49"/>
      <c r="R979" s="49" t="s">
        <v>281</v>
      </c>
      <c r="S979" s="49" t="n">
        <v>0</v>
      </c>
      <c r="T979" s="49" t="n">
        <v>0</v>
      </c>
      <c r="U979" s="49" t="s">
        <v>2216</v>
      </c>
    </row>
    <row r="980" customFormat="false" ht="15" hidden="false" customHeight="false" outlineLevel="0" collapsed="false">
      <c r="B980" s="48" t="n">
        <v>45284.2886111111</v>
      </c>
      <c r="C980" s="4" t="n">
        <f aca="false">YEAR(B980)</f>
        <v>2023</v>
      </c>
      <c r="D980" s="49" t="s">
        <v>283</v>
      </c>
      <c r="E980" s="49" t="s">
        <v>2217</v>
      </c>
      <c r="F980" s="50" t="n">
        <v>1</v>
      </c>
      <c r="G980" s="49" t="s">
        <v>290</v>
      </c>
      <c r="H980" s="51" t="n">
        <v>0.1944</v>
      </c>
      <c r="I980" s="51" t="n">
        <v>0.6406</v>
      </c>
      <c r="J980" s="51" t="n">
        <v>0.165</v>
      </c>
      <c r="K980" s="49"/>
      <c r="L980" s="49"/>
      <c r="M980" s="49"/>
      <c r="N980" s="49"/>
      <c r="O980" s="49"/>
      <c r="P980" s="49"/>
      <c r="Q980" s="49"/>
      <c r="R980" s="49"/>
      <c r="S980" s="49" t="n">
        <v>0</v>
      </c>
      <c r="T980" s="49" t="n">
        <v>0</v>
      </c>
      <c r="U980" s="49" t="s">
        <v>2218</v>
      </c>
    </row>
    <row r="981" customFormat="false" ht="15" hidden="false" customHeight="false" outlineLevel="0" collapsed="false">
      <c r="B981" s="48" t="n">
        <v>45284.3522800926</v>
      </c>
      <c r="C981" s="4" t="n">
        <f aca="false">YEAR(B981)</f>
        <v>2023</v>
      </c>
      <c r="D981" s="49" t="s">
        <v>283</v>
      </c>
      <c r="E981" s="49" t="s">
        <v>2219</v>
      </c>
      <c r="F981" s="50" t="n">
        <v>1</v>
      </c>
      <c r="G981" s="49" t="s">
        <v>287</v>
      </c>
      <c r="H981" s="51" t="n">
        <v>0.0056</v>
      </c>
      <c r="I981" s="51" t="n">
        <v>0.4348</v>
      </c>
      <c r="J981" s="51" t="n">
        <v>0.5597</v>
      </c>
      <c r="K981" s="49"/>
      <c r="L981" s="49"/>
      <c r="M981" s="49"/>
      <c r="N981" s="49"/>
      <c r="O981" s="49"/>
      <c r="P981" s="49"/>
      <c r="Q981" s="49"/>
      <c r="R981" s="49"/>
      <c r="S981" s="49" t="n">
        <v>1</v>
      </c>
      <c r="T981" s="49" t="n">
        <v>0</v>
      </c>
      <c r="U981" s="49" t="s">
        <v>2220</v>
      </c>
    </row>
    <row r="982" customFormat="false" ht="15" hidden="false" customHeight="false" outlineLevel="0" collapsed="false">
      <c r="B982" s="48" t="n">
        <v>45285.1063425926</v>
      </c>
      <c r="C982" s="4" t="n">
        <f aca="false">YEAR(B982)</f>
        <v>2023</v>
      </c>
      <c r="D982" s="49" t="s">
        <v>278</v>
      </c>
      <c r="E982" s="49" t="s">
        <v>2221</v>
      </c>
      <c r="F982" s="50" t="n">
        <v>4</v>
      </c>
      <c r="G982" s="49" t="s">
        <v>280</v>
      </c>
      <c r="H982" s="51" t="n">
        <v>0.5794</v>
      </c>
      <c r="I982" s="51" t="n">
        <v>0.3877</v>
      </c>
      <c r="J982" s="51" t="n">
        <v>0.0329</v>
      </c>
      <c r="K982" s="49"/>
      <c r="L982" s="49"/>
      <c r="M982" s="49"/>
      <c r="N982" s="49"/>
      <c r="O982" s="49"/>
      <c r="P982" s="49"/>
      <c r="Q982" s="49"/>
      <c r="R982" s="49"/>
      <c r="S982" s="49" t="n">
        <v>0</v>
      </c>
      <c r="T982" s="49" t="n">
        <v>0</v>
      </c>
      <c r="U982" s="49" t="s">
        <v>2222</v>
      </c>
    </row>
    <row r="983" customFormat="false" ht="15" hidden="false" customHeight="false" outlineLevel="0" collapsed="false">
      <c r="B983" s="48" t="n">
        <v>45285.8425810185</v>
      </c>
      <c r="C983" s="4" t="n">
        <f aca="false">YEAR(B983)</f>
        <v>2023</v>
      </c>
      <c r="D983" s="49" t="s">
        <v>283</v>
      </c>
      <c r="E983" s="49" t="s">
        <v>2223</v>
      </c>
      <c r="F983" s="50" t="n">
        <v>1</v>
      </c>
      <c r="G983" s="49" t="s">
        <v>280</v>
      </c>
      <c r="H983" s="51" t="n">
        <v>0.7914</v>
      </c>
      <c r="I983" s="51" t="n">
        <v>0.1995</v>
      </c>
      <c r="J983" s="51" t="n">
        <v>0.0091</v>
      </c>
      <c r="K983" s="49"/>
      <c r="L983" s="49"/>
      <c r="M983" s="49"/>
      <c r="N983" s="49"/>
      <c r="O983" s="49"/>
      <c r="P983" s="49"/>
      <c r="Q983" s="49"/>
      <c r="R983" s="49"/>
      <c r="S983" s="49" t="n">
        <v>0</v>
      </c>
      <c r="T983" s="49" t="n">
        <v>0</v>
      </c>
      <c r="U983" s="49" t="s">
        <v>2224</v>
      </c>
    </row>
    <row r="984" customFormat="false" ht="15" hidden="false" customHeight="false" outlineLevel="0" collapsed="false">
      <c r="B984" s="48" t="n">
        <v>45286.8955555556</v>
      </c>
      <c r="C984" s="4" t="n">
        <f aca="false">YEAR(B984)</f>
        <v>2023</v>
      </c>
      <c r="D984" s="49" t="s">
        <v>283</v>
      </c>
      <c r="E984" s="49" t="s">
        <v>2225</v>
      </c>
      <c r="F984" s="50" t="n">
        <v>1</v>
      </c>
      <c r="G984" s="49" t="s">
        <v>280</v>
      </c>
      <c r="H984" s="51" t="n">
        <v>0.8582</v>
      </c>
      <c r="I984" s="51" t="n">
        <v>0.1128</v>
      </c>
      <c r="J984" s="51" t="n">
        <v>0.0291</v>
      </c>
      <c r="K984" s="49"/>
      <c r="L984" s="49"/>
      <c r="M984" s="49"/>
      <c r="N984" s="49"/>
      <c r="O984" s="49"/>
      <c r="P984" s="49"/>
      <c r="Q984" s="49"/>
      <c r="R984" s="49" t="s">
        <v>281</v>
      </c>
      <c r="S984" s="49" t="n">
        <v>0</v>
      </c>
      <c r="T984" s="49" t="n">
        <v>0</v>
      </c>
      <c r="U984" s="49" t="s">
        <v>2226</v>
      </c>
    </row>
    <row r="985" customFormat="false" ht="15" hidden="false" customHeight="false" outlineLevel="0" collapsed="false">
      <c r="B985" s="48" t="n">
        <v>45287.0440162037</v>
      </c>
      <c r="C985" s="4" t="n">
        <f aca="false">YEAR(B985)</f>
        <v>2023</v>
      </c>
      <c r="D985" s="49" t="s">
        <v>283</v>
      </c>
      <c r="E985" s="49" t="s">
        <v>2227</v>
      </c>
      <c r="F985" s="50" t="n">
        <v>1</v>
      </c>
      <c r="G985" s="49" t="s">
        <v>287</v>
      </c>
      <c r="H985" s="51" t="n">
        <v>0.0449</v>
      </c>
      <c r="I985" s="51" t="n">
        <v>0.0978</v>
      </c>
      <c r="J985" s="51" t="n">
        <v>0.8573</v>
      </c>
      <c r="K985" s="49"/>
      <c r="L985" s="49"/>
      <c r="M985" s="49"/>
      <c r="N985" s="49"/>
      <c r="O985" s="49"/>
      <c r="P985" s="49" t="s">
        <v>281</v>
      </c>
      <c r="Q985" s="49"/>
      <c r="R985" s="49"/>
      <c r="S985" s="49" t="n">
        <v>0</v>
      </c>
      <c r="T985" s="49" t="n">
        <v>0</v>
      </c>
      <c r="U985" s="49" t="s">
        <v>2228</v>
      </c>
    </row>
    <row r="986" customFormat="false" ht="15" hidden="false" customHeight="false" outlineLevel="0" collapsed="false">
      <c r="B986" s="48" t="n">
        <v>45287.7253125</v>
      </c>
      <c r="C986" s="4" t="n">
        <f aca="false">YEAR(B986)</f>
        <v>2023</v>
      </c>
      <c r="D986" s="49" t="s">
        <v>283</v>
      </c>
      <c r="E986" s="49" t="s">
        <v>2229</v>
      </c>
      <c r="F986" s="50" t="n">
        <v>1</v>
      </c>
      <c r="G986" s="49" t="s">
        <v>280</v>
      </c>
      <c r="H986" s="51" t="n">
        <v>0.4641</v>
      </c>
      <c r="I986" s="51" t="n">
        <v>0.4588</v>
      </c>
      <c r="J986" s="51" t="n">
        <v>0.0771</v>
      </c>
      <c r="K986" s="49" t="s">
        <v>281</v>
      </c>
      <c r="L986" s="49"/>
      <c r="M986" s="49"/>
      <c r="N986" s="49"/>
      <c r="O986" s="49"/>
      <c r="P986" s="49"/>
      <c r="Q986" s="49"/>
      <c r="R986" s="49" t="s">
        <v>281</v>
      </c>
      <c r="S986" s="49" t="n">
        <v>0</v>
      </c>
      <c r="T986" s="49" t="n">
        <v>0</v>
      </c>
      <c r="U986" s="49" t="s">
        <v>2230</v>
      </c>
    </row>
    <row r="987" customFormat="false" ht="15" hidden="false" customHeight="false" outlineLevel="0" collapsed="false">
      <c r="B987" s="48" t="n">
        <v>45287.7430092593</v>
      </c>
      <c r="C987" s="4" t="n">
        <f aca="false">YEAR(B987)</f>
        <v>2023</v>
      </c>
      <c r="D987" s="49" t="s">
        <v>283</v>
      </c>
      <c r="E987" s="49" t="s">
        <v>2231</v>
      </c>
      <c r="F987" s="50" t="n">
        <v>5</v>
      </c>
      <c r="G987" s="49" t="s">
        <v>290</v>
      </c>
      <c r="H987" s="51" t="n">
        <v>0.0738</v>
      </c>
      <c r="I987" s="51" t="n">
        <v>0.8606</v>
      </c>
      <c r="J987" s="51" t="n">
        <v>0.0656</v>
      </c>
      <c r="K987" s="49"/>
      <c r="L987" s="49"/>
      <c r="M987" s="49"/>
      <c r="N987" s="49"/>
      <c r="O987" s="49"/>
      <c r="P987" s="49"/>
      <c r="Q987" s="49"/>
      <c r="R987" s="49" t="s">
        <v>281</v>
      </c>
      <c r="S987" s="49" t="n">
        <v>0</v>
      </c>
      <c r="T987" s="49" t="n">
        <v>0</v>
      </c>
      <c r="U987" s="49" t="s">
        <v>2232</v>
      </c>
    </row>
    <row r="988" customFormat="false" ht="15" hidden="false" customHeight="false" outlineLevel="0" collapsed="false">
      <c r="B988" s="48" t="n">
        <v>45287.7971412037</v>
      </c>
      <c r="C988" s="4" t="n">
        <f aca="false">YEAR(B988)</f>
        <v>2023</v>
      </c>
      <c r="D988" s="49" t="s">
        <v>283</v>
      </c>
      <c r="E988" s="49" t="s">
        <v>2233</v>
      </c>
      <c r="F988" s="50" t="n">
        <v>2</v>
      </c>
      <c r="G988" s="49" t="s">
        <v>290</v>
      </c>
      <c r="H988" s="51" t="n">
        <v>0.0182</v>
      </c>
      <c r="I988" s="51" t="n">
        <v>0.5978</v>
      </c>
      <c r="J988" s="51" t="n">
        <v>0.384</v>
      </c>
      <c r="K988" s="49"/>
      <c r="L988" s="49"/>
      <c r="M988" s="49"/>
      <c r="N988" s="49"/>
      <c r="O988" s="49"/>
      <c r="P988" s="49"/>
      <c r="Q988" s="49"/>
      <c r="R988" s="49"/>
      <c r="S988" s="49" t="n">
        <v>0</v>
      </c>
      <c r="T988" s="49" t="n">
        <v>0</v>
      </c>
      <c r="U988" s="49" t="s">
        <v>2234</v>
      </c>
    </row>
    <row r="989" customFormat="false" ht="15" hidden="false" customHeight="false" outlineLevel="0" collapsed="false">
      <c r="B989" s="48" t="n">
        <v>45287.9702083333</v>
      </c>
      <c r="C989" s="4" t="n">
        <f aca="false">YEAR(B989)</f>
        <v>2023</v>
      </c>
      <c r="D989" s="49" t="s">
        <v>283</v>
      </c>
      <c r="E989" s="49" t="s">
        <v>2235</v>
      </c>
      <c r="F989" s="50" t="n">
        <v>1</v>
      </c>
      <c r="G989" s="49" t="s">
        <v>290</v>
      </c>
      <c r="H989" s="51" t="n">
        <v>0.0451</v>
      </c>
      <c r="I989" s="51" t="n">
        <v>0.9136</v>
      </c>
      <c r="J989" s="51" t="n">
        <v>0.0412</v>
      </c>
      <c r="K989" s="49"/>
      <c r="L989" s="49"/>
      <c r="M989" s="49"/>
      <c r="N989" s="49"/>
      <c r="O989" s="49"/>
      <c r="P989" s="49"/>
      <c r="Q989" s="49"/>
      <c r="R989" s="49"/>
      <c r="S989" s="49" t="n">
        <v>1</v>
      </c>
      <c r="T989" s="49" t="n">
        <v>0</v>
      </c>
      <c r="U989" s="49" t="s">
        <v>2236</v>
      </c>
    </row>
    <row r="990" customFormat="false" ht="15" hidden="false" customHeight="false" outlineLevel="0" collapsed="false">
      <c r="B990" s="48" t="n">
        <v>45287.989224537</v>
      </c>
      <c r="C990" s="4" t="n">
        <f aca="false">YEAR(B990)</f>
        <v>2023</v>
      </c>
      <c r="D990" s="49" t="s">
        <v>283</v>
      </c>
      <c r="E990" s="49" t="s">
        <v>2237</v>
      </c>
      <c r="F990" s="50" t="n">
        <v>12</v>
      </c>
      <c r="G990" s="49" t="s">
        <v>287</v>
      </c>
      <c r="H990" s="51" t="n">
        <v>0.0071</v>
      </c>
      <c r="I990" s="51" t="n">
        <v>0.1904</v>
      </c>
      <c r="J990" s="51" t="n">
        <v>0.8026</v>
      </c>
      <c r="K990" s="49"/>
      <c r="L990" s="49"/>
      <c r="M990" s="49"/>
      <c r="N990" s="49"/>
      <c r="O990" s="49"/>
      <c r="P990" s="49"/>
      <c r="Q990" s="49"/>
      <c r="R990" s="49"/>
      <c r="S990" s="49" t="n">
        <v>0</v>
      </c>
      <c r="T990" s="49" t="n">
        <v>0</v>
      </c>
      <c r="U990" s="49" t="s">
        <v>2238</v>
      </c>
    </row>
    <row r="991" customFormat="false" ht="15" hidden="false" customHeight="false" outlineLevel="0" collapsed="false">
      <c r="B991" s="48" t="n">
        <v>45288.6743287037</v>
      </c>
      <c r="C991" s="4" t="n">
        <f aca="false">YEAR(B991)</f>
        <v>2023</v>
      </c>
      <c r="D991" s="49" t="s">
        <v>283</v>
      </c>
      <c r="E991" s="49" t="s">
        <v>2239</v>
      </c>
      <c r="F991" s="50" t="n">
        <v>3</v>
      </c>
      <c r="G991" s="49" t="s">
        <v>290</v>
      </c>
      <c r="H991" s="51" t="n">
        <v>0.0448</v>
      </c>
      <c r="I991" s="51" t="n">
        <v>0.5085</v>
      </c>
      <c r="J991" s="51" t="n">
        <v>0.4467</v>
      </c>
      <c r="K991" s="49"/>
      <c r="L991" s="49"/>
      <c r="M991" s="49"/>
      <c r="N991" s="49"/>
      <c r="O991" s="49"/>
      <c r="P991" s="49"/>
      <c r="Q991" s="49"/>
      <c r="R991" s="49"/>
      <c r="S991" s="49" t="n">
        <v>0</v>
      </c>
      <c r="T991" s="49" t="n">
        <v>0</v>
      </c>
      <c r="U991" s="49" t="s">
        <v>2240</v>
      </c>
    </row>
    <row r="992" customFormat="false" ht="15" hidden="false" customHeight="false" outlineLevel="0" collapsed="false">
      <c r="B992" s="48" t="n">
        <v>45288.7572569445</v>
      </c>
      <c r="C992" s="4" t="n">
        <f aca="false">YEAR(B992)</f>
        <v>2023</v>
      </c>
      <c r="D992" s="49" t="s">
        <v>283</v>
      </c>
      <c r="E992" s="49" t="s">
        <v>2241</v>
      </c>
      <c r="F992" s="50" t="n">
        <v>15</v>
      </c>
      <c r="G992" s="49" t="s">
        <v>287</v>
      </c>
      <c r="H992" s="51" t="n">
        <v>0.005</v>
      </c>
      <c r="I992" s="51" t="n">
        <v>0.2428</v>
      </c>
      <c r="J992" s="51" t="n">
        <v>0.7522</v>
      </c>
      <c r="K992" s="49"/>
      <c r="L992" s="49"/>
      <c r="M992" s="49"/>
      <c r="N992" s="49"/>
      <c r="O992" s="49"/>
      <c r="P992" s="49"/>
      <c r="Q992" s="49"/>
      <c r="R992" s="49"/>
      <c r="S992" s="49" t="n">
        <v>0</v>
      </c>
      <c r="T992" s="49" t="n">
        <v>0</v>
      </c>
      <c r="U992" s="49" t="s">
        <v>2242</v>
      </c>
    </row>
    <row r="993" customFormat="false" ht="15" hidden="false" customHeight="false" outlineLevel="0" collapsed="false">
      <c r="B993" s="48" t="n">
        <v>45289.0908564815</v>
      </c>
      <c r="C993" s="4" t="n">
        <f aca="false">YEAR(B993)</f>
        <v>2023</v>
      </c>
      <c r="D993" s="49" t="s">
        <v>283</v>
      </c>
      <c r="E993" s="49" t="s">
        <v>2243</v>
      </c>
      <c r="F993" s="50" t="n">
        <v>1</v>
      </c>
      <c r="G993" s="49" t="s">
        <v>290</v>
      </c>
      <c r="H993" s="51" t="n">
        <v>0.0242</v>
      </c>
      <c r="I993" s="51" t="n">
        <v>0.6337</v>
      </c>
      <c r="J993" s="51" t="n">
        <v>0.3421</v>
      </c>
      <c r="K993" s="49"/>
      <c r="L993" s="49"/>
      <c r="M993" s="49"/>
      <c r="N993" s="49"/>
      <c r="O993" s="49"/>
      <c r="P993" s="49"/>
      <c r="Q993" s="49"/>
      <c r="R993" s="49"/>
      <c r="S993" s="49" t="n">
        <v>0</v>
      </c>
      <c r="T993" s="49" t="n">
        <v>0</v>
      </c>
      <c r="U993" s="49" t="s">
        <v>2244</v>
      </c>
    </row>
    <row r="994" customFormat="false" ht="15" hidden="false" customHeight="false" outlineLevel="0" collapsed="false">
      <c r="B994" s="48" t="n">
        <v>45289.2803819445</v>
      </c>
      <c r="C994" s="4" t="n">
        <f aca="false">YEAR(B994)</f>
        <v>2023</v>
      </c>
      <c r="D994" s="49" t="s">
        <v>283</v>
      </c>
      <c r="E994" s="49" t="s">
        <v>2245</v>
      </c>
      <c r="F994" s="50" t="n">
        <v>1</v>
      </c>
      <c r="G994" s="49" t="s">
        <v>290</v>
      </c>
      <c r="H994" s="51" t="n">
        <v>0.0159</v>
      </c>
      <c r="I994" s="51" t="n">
        <v>0.6884</v>
      </c>
      <c r="J994" s="51" t="n">
        <v>0.2957</v>
      </c>
      <c r="K994" s="49" t="s">
        <v>281</v>
      </c>
      <c r="L994" s="49"/>
      <c r="M994" s="49"/>
      <c r="N994" s="49"/>
      <c r="O994" s="49"/>
      <c r="P994" s="49"/>
      <c r="Q994" s="49"/>
      <c r="R994" s="49"/>
      <c r="S994" s="49" t="n">
        <v>0</v>
      </c>
      <c r="T994" s="49" t="n">
        <v>0</v>
      </c>
      <c r="U994" s="49" t="s">
        <v>2246</v>
      </c>
    </row>
    <row r="995" customFormat="false" ht="15" hidden="false" customHeight="false" outlineLevel="0" collapsed="false">
      <c r="B995" s="48" t="n">
        <v>45289.2949652778</v>
      </c>
      <c r="C995" s="4" t="n">
        <f aca="false">YEAR(B995)</f>
        <v>2023</v>
      </c>
      <c r="D995" s="49" t="s">
        <v>283</v>
      </c>
      <c r="E995" s="49" t="s">
        <v>2247</v>
      </c>
      <c r="F995" s="50" t="n">
        <v>20</v>
      </c>
      <c r="G995" s="49" t="s">
        <v>287</v>
      </c>
      <c r="H995" s="51" t="n">
        <v>0.0035</v>
      </c>
      <c r="I995" s="51" t="n">
        <v>0.0571</v>
      </c>
      <c r="J995" s="51" t="n">
        <v>0.9394</v>
      </c>
      <c r="K995" s="49"/>
      <c r="L995" s="49"/>
      <c r="M995" s="49"/>
      <c r="N995" s="49"/>
      <c r="O995" s="49"/>
      <c r="P995" s="49"/>
      <c r="Q995" s="49"/>
      <c r="R995" s="49"/>
      <c r="S995" s="49" t="n">
        <v>0</v>
      </c>
      <c r="T995" s="49" t="n">
        <v>0</v>
      </c>
      <c r="U995" s="49" t="s">
        <v>2248</v>
      </c>
    </row>
    <row r="996" customFormat="false" ht="15" hidden="false" customHeight="false" outlineLevel="0" collapsed="false">
      <c r="B996" s="48" t="n">
        <v>45289.3100231482</v>
      </c>
      <c r="C996" s="4" t="n">
        <f aca="false">YEAR(B996)</f>
        <v>2023</v>
      </c>
      <c r="D996" s="49" t="s">
        <v>283</v>
      </c>
      <c r="E996" s="49" t="s">
        <v>2249</v>
      </c>
      <c r="F996" s="50" t="n">
        <v>1</v>
      </c>
      <c r="G996" s="49" t="s">
        <v>287</v>
      </c>
      <c r="H996" s="51" t="n">
        <v>0.0013</v>
      </c>
      <c r="I996" s="51" t="n">
        <v>0.0874</v>
      </c>
      <c r="J996" s="51" t="n">
        <v>0.9113</v>
      </c>
      <c r="K996" s="49"/>
      <c r="L996" s="49"/>
      <c r="M996" s="49"/>
      <c r="N996" s="49"/>
      <c r="O996" s="49"/>
      <c r="P996" s="49"/>
      <c r="Q996" s="49"/>
      <c r="R996" s="49"/>
      <c r="S996" s="49" t="n">
        <v>1</v>
      </c>
      <c r="T996" s="49" t="n">
        <v>0</v>
      </c>
      <c r="U996" s="49" t="s">
        <v>2250</v>
      </c>
    </row>
    <row r="997" customFormat="false" ht="15" hidden="false" customHeight="false" outlineLevel="0" collapsed="false">
      <c r="B997" s="48" t="n">
        <v>45289.9410185185</v>
      </c>
      <c r="C997" s="4" t="n">
        <f aca="false">YEAR(B997)</f>
        <v>2023</v>
      </c>
      <c r="D997" s="49" t="s">
        <v>283</v>
      </c>
      <c r="E997" s="49" t="s">
        <v>2251</v>
      </c>
      <c r="F997" s="50" t="n">
        <v>4</v>
      </c>
      <c r="G997" s="49" t="s">
        <v>280</v>
      </c>
      <c r="H997" s="51" t="n">
        <v>0.7357</v>
      </c>
      <c r="I997" s="51" t="n">
        <v>0.2247</v>
      </c>
      <c r="J997" s="51" t="n">
        <v>0.0396</v>
      </c>
      <c r="K997" s="49"/>
      <c r="L997" s="49"/>
      <c r="M997" s="49"/>
      <c r="N997" s="49"/>
      <c r="O997" s="49"/>
      <c r="P997" s="49"/>
      <c r="Q997" s="49"/>
      <c r="R997" s="49"/>
      <c r="S997" s="49" t="n">
        <v>0</v>
      </c>
      <c r="T997" s="49" t="n">
        <v>0</v>
      </c>
      <c r="U997" s="49" t="s">
        <v>2252</v>
      </c>
    </row>
    <row r="998" customFormat="false" ht="15" hidden="false" customHeight="false" outlineLevel="0" collapsed="false">
      <c r="B998" s="48" t="n">
        <v>45290.2026851852</v>
      </c>
      <c r="C998" s="4" t="n">
        <f aca="false">YEAR(B998)</f>
        <v>2023</v>
      </c>
      <c r="D998" s="49" t="s">
        <v>283</v>
      </c>
      <c r="E998" s="49" t="s">
        <v>2253</v>
      </c>
      <c r="F998" s="50" t="n">
        <v>1</v>
      </c>
      <c r="G998" s="49" t="s">
        <v>290</v>
      </c>
      <c r="H998" s="51" t="n">
        <v>0.0307</v>
      </c>
      <c r="I998" s="51" t="n">
        <v>0.6486</v>
      </c>
      <c r="J998" s="51" t="n">
        <v>0.3207</v>
      </c>
      <c r="K998" s="49"/>
      <c r="L998" s="49"/>
      <c r="M998" s="49"/>
      <c r="N998" s="49"/>
      <c r="O998" s="49"/>
      <c r="P998" s="49"/>
      <c r="Q998" s="49" t="s">
        <v>281</v>
      </c>
      <c r="R998" s="49"/>
      <c r="S998" s="49" t="n">
        <v>1</v>
      </c>
      <c r="T998" s="49" t="n">
        <v>0</v>
      </c>
      <c r="U998" s="49" t="s">
        <v>2254</v>
      </c>
    </row>
    <row r="999" customFormat="false" ht="15" hidden="false" customHeight="false" outlineLevel="0" collapsed="false">
      <c r="B999" s="48" t="n">
        <v>45290.3496643519</v>
      </c>
      <c r="C999" s="4" t="n">
        <f aca="false">YEAR(B999)</f>
        <v>2023</v>
      </c>
      <c r="D999" s="49" t="s">
        <v>283</v>
      </c>
      <c r="E999" s="49" t="s">
        <v>2255</v>
      </c>
      <c r="F999" s="50" t="n">
        <v>1</v>
      </c>
      <c r="G999" s="49" t="s">
        <v>290</v>
      </c>
      <c r="H999" s="51" t="n">
        <v>0.0081</v>
      </c>
      <c r="I999" s="51" t="n">
        <v>0.9242</v>
      </c>
      <c r="J999" s="51" t="n">
        <v>0.0676</v>
      </c>
      <c r="K999" s="49"/>
      <c r="L999" s="49"/>
      <c r="M999" s="49"/>
      <c r="N999" s="49"/>
      <c r="O999" s="49"/>
      <c r="P999" s="49"/>
      <c r="Q999" s="49"/>
      <c r="R999" s="49"/>
      <c r="S999" s="49" t="n">
        <v>1</v>
      </c>
      <c r="T999" s="49" t="n">
        <v>0</v>
      </c>
      <c r="U999" s="49" t="s">
        <v>2256</v>
      </c>
    </row>
    <row r="1000" customFormat="false" ht="15" hidden="false" customHeight="false" outlineLevel="0" collapsed="false">
      <c r="B1000" s="48" t="n">
        <v>45290.6594212963</v>
      </c>
      <c r="C1000" s="4" t="n">
        <f aca="false">YEAR(B1000)</f>
        <v>2023</v>
      </c>
      <c r="D1000" s="49" t="s">
        <v>283</v>
      </c>
      <c r="E1000" s="49" t="s">
        <v>2257</v>
      </c>
      <c r="F1000" s="50" t="n">
        <v>3</v>
      </c>
      <c r="G1000" s="49" t="s">
        <v>280</v>
      </c>
      <c r="H1000" s="51" t="n">
        <v>0.8773</v>
      </c>
      <c r="I1000" s="51" t="n">
        <v>0.1148</v>
      </c>
      <c r="J1000" s="51" t="n">
        <v>0.008</v>
      </c>
      <c r="K1000" s="49"/>
      <c r="L1000" s="49"/>
      <c r="M1000" s="49"/>
      <c r="N1000" s="49"/>
      <c r="O1000" s="49"/>
      <c r="P1000" s="49"/>
      <c r="Q1000" s="49"/>
      <c r="R1000" s="49"/>
      <c r="S1000" s="49" t="n">
        <v>0</v>
      </c>
      <c r="T1000" s="49" t="n">
        <v>0</v>
      </c>
      <c r="U1000" s="49" t="s">
        <v>2258</v>
      </c>
    </row>
    <row r="1001" customFormat="false" ht="15" hidden="false" customHeight="false" outlineLevel="0" collapsed="false">
      <c r="B1001" s="48" t="n">
        <v>45290.7500810185</v>
      </c>
      <c r="C1001" s="4" t="n">
        <f aca="false">YEAR(B1001)</f>
        <v>2023</v>
      </c>
      <c r="D1001" s="49" t="s">
        <v>283</v>
      </c>
      <c r="E1001" s="49" t="s">
        <v>2259</v>
      </c>
      <c r="F1001" s="50" t="n">
        <v>1</v>
      </c>
      <c r="G1001" s="49" t="s">
        <v>280</v>
      </c>
      <c r="H1001" s="51" t="n">
        <v>0.6042</v>
      </c>
      <c r="I1001" s="51" t="n">
        <v>0.3721</v>
      </c>
      <c r="J1001" s="51" t="n">
        <v>0.0238</v>
      </c>
      <c r="K1001" s="49"/>
      <c r="L1001" s="49"/>
      <c r="M1001" s="49"/>
      <c r="N1001" s="49"/>
      <c r="O1001" s="49"/>
      <c r="P1001" s="49"/>
      <c r="Q1001" s="49"/>
      <c r="R1001" s="49"/>
      <c r="S1001" s="49" t="n">
        <v>0</v>
      </c>
      <c r="T1001" s="49" t="n">
        <v>0</v>
      </c>
      <c r="U1001" s="49" t="s">
        <v>2260</v>
      </c>
    </row>
    <row r="1002" customFormat="false" ht="15" hidden="false" customHeight="false" outlineLevel="0" collapsed="false">
      <c r="B1002" s="48" t="n">
        <v>45290.9489236111</v>
      </c>
      <c r="C1002" s="4" t="n">
        <f aca="false">YEAR(B1002)</f>
        <v>2023</v>
      </c>
      <c r="D1002" s="49" t="s">
        <v>278</v>
      </c>
      <c r="E1002" s="49" t="s">
        <v>2261</v>
      </c>
      <c r="F1002" s="50" t="n">
        <v>2</v>
      </c>
      <c r="G1002" s="49" t="s">
        <v>290</v>
      </c>
      <c r="H1002" s="51" t="n">
        <v>0.161</v>
      </c>
      <c r="I1002" s="51" t="n">
        <v>0.8112</v>
      </c>
      <c r="J1002" s="51" t="n">
        <v>0.0278</v>
      </c>
      <c r="K1002" s="49" t="s">
        <v>281</v>
      </c>
      <c r="L1002" s="49"/>
      <c r="M1002" s="49"/>
      <c r="N1002" s="49"/>
      <c r="O1002" s="49"/>
      <c r="P1002" s="49"/>
      <c r="Q1002" s="49"/>
      <c r="R1002" s="49" t="s">
        <v>281</v>
      </c>
      <c r="S1002" s="49" t="n">
        <v>0</v>
      </c>
      <c r="T1002" s="49" t="n">
        <v>0</v>
      </c>
      <c r="U1002" s="49" t="s">
        <v>2262</v>
      </c>
    </row>
    <row r="1003" customFormat="false" ht="15" hidden="false" customHeight="false" outlineLevel="0" collapsed="false">
      <c r="B1003" s="48" t="n">
        <v>45291.6301388889</v>
      </c>
      <c r="C1003" s="4" t="n">
        <f aca="false">YEAR(B1003)</f>
        <v>2023</v>
      </c>
      <c r="D1003" s="49" t="s">
        <v>283</v>
      </c>
      <c r="E1003" s="49" t="s">
        <v>2263</v>
      </c>
      <c r="F1003" s="50" t="n">
        <v>2</v>
      </c>
      <c r="G1003" s="49" t="s">
        <v>290</v>
      </c>
      <c r="H1003" s="51" t="n">
        <v>0.4616</v>
      </c>
      <c r="I1003" s="51" t="n">
        <v>0.5068</v>
      </c>
      <c r="J1003" s="51" t="n">
        <v>0.0316</v>
      </c>
      <c r="K1003" s="49"/>
      <c r="L1003" s="49"/>
      <c r="M1003" s="49"/>
      <c r="N1003" s="49"/>
      <c r="O1003" s="49"/>
      <c r="P1003" s="49"/>
      <c r="Q1003" s="49"/>
      <c r="R1003" s="49"/>
      <c r="S1003" s="49" t="n">
        <v>0</v>
      </c>
      <c r="T1003" s="49" t="n">
        <v>0</v>
      </c>
      <c r="U1003" s="49" t="s">
        <v>2264</v>
      </c>
    </row>
    <row r="1004" customFormat="false" ht="15" hidden="false" customHeight="false" outlineLevel="0" collapsed="false">
      <c r="B1004" s="48" t="n">
        <v>45293.0256365741</v>
      </c>
      <c r="C1004" s="4" t="n">
        <f aca="false">YEAR(B1004)</f>
        <v>2024</v>
      </c>
      <c r="D1004" s="49" t="s">
        <v>278</v>
      </c>
      <c r="E1004" s="49" t="s">
        <v>2265</v>
      </c>
      <c r="F1004" s="50" t="n">
        <v>1</v>
      </c>
      <c r="G1004" s="49" t="s">
        <v>290</v>
      </c>
      <c r="H1004" s="51" t="n">
        <v>0.0227</v>
      </c>
      <c r="I1004" s="51" t="n">
        <v>0.9468</v>
      </c>
      <c r="J1004" s="51" t="n">
        <v>0.0305</v>
      </c>
      <c r="K1004" s="49"/>
      <c r="L1004" s="49"/>
      <c r="M1004" s="49"/>
      <c r="N1004" s="49"/>
      <c r="O1004" s="49"/>
      <c r="P1004" s="49"/>
      <c r="Q1004" s="49"/>
      <c r="R1004" s="49" t="s">
        <v>281</v>
      </c>
      <c r="S1004" s="49" t="n">
        <v>1</v>
      </c>
      <c r="T1004" s="49" t="n">
        <v>0</v>
      </c>
      <c r="U1004" s="49" t="s">
        <v>2266</v>
      </c>
    </row>
    <row r="1005" customFormat="false" ht="15" hidden="false" customHeight="false" outlineLevel="0" collapsed="false">
      <c r="B1005" s="48" t="n">
        <v>45293.5682407407</v>
      </c>
      <c r="C1005" s="4" t="n">
        <f aca="false">YEAR(B1005)</f>
        <v>2024</v>
      </c>
      <c r="D1005" s="49" t="s">
        <v>278</v>
      </c>
      <c r="E1005" s="49" t="s">
        <v>2267</v>
      </c>
      <c r="F1005" s="50" t="n">
        <v>1</v>
      </c>
      <c r="G1005" s="49" t="s">
        <v>290</v>
      </c>
      <c r="H1005" s="51" t="n">
        <v>0.0077</v>
      </c>
      <c r="I1005" s="51" t="n">
        <v>0.5612</v>
      </c>
      <c r="J1005" s="51" t="n">
        <v>0.4311</v>
      </c>
      <c r="K1005" s="49"/>
      <c r="L1005" s="49"/>
      <c r="M1005" s="49"/>
      <c r="N1005" s="49"/>
      <c r="O1005" s="49"/>
      <c r="P1005" s="49"/>
      <c r="Q1005" s="49"/>
      <c r="R1005" s="49" t="s">
        <v>281</v>
      </c>
      <c r="S1005" s="49" t="n">
        <v>0</v>
      </c>
      <c r="T1005" s="49" t="n">
        <v>0</v>
      </c>
      <c r="U1005" s="49" t="s">
        <v>2268</v>
      </c>
    </row>
    <row r="1006" customFormat="false" ht="15" hidden="false" customHeight="false" outlineLevel="0" collapsed="false">
      <c r="B1006" s="48" t="n">
        <v>45294.1579976852</v>
      </c>
      <c r="C1006" s="4" t="n">
        <f aca="false">YEAR(B1006)</f>
        <v>2024</v>
      </c>
      <c r="D1006" s="49" t="s">
        <v>283</v>
      </c>
      <c r="E1006" s="49" t="s">
        <v>2269</v>
      </c>
      <c r="F1006" s="50" t="n">
        <v>1</v>
      </c>
      <c r="G1006" s="49" t="s">
        <v>290</v>
      </c>
      <c r="H1006" s="51" t="n">
        <v>0.0149</v>
      </c>
      <c r="I1006" s="51" t="n">
        <v>0.6242</v>
      </c>
      <c r="J1006" s="51" t="n">
        <v>0.3608</v>
      </c>
      <c r="K1006" s="49"/>
      <c r="L1006" s="49"/>
      <c r="M1006" s="49"/>
      <c r="N1006" s="49"/>
      <c r="O1006" s="49"/>
      <c r="P1006" s="49"/>
      <c r="Q1006" s="49"/>
      <c r="R1006" s="49"/>
      <c r="S1006" s="49" t="n">
        <v>1</v>
      </c>
      <c r="T1006" s="49" t="n">
        <v>0</v>
      </c>
      <c r="U1006" s="49" t="s">
        <v>2270</v>
      </c>
    </row>
    <row r="1007" customFormat="false" ht="15" hidden="false" customHeight="false" outlineLevel="0" collapsed="false">
      <c r="B1007" s="48" t="n">
        <v>45294.3593981482</v>
      </c>
      <c r="C1007" s="4" t="n">
        <f aca="false">YEAR(B1007)</f>
        <v>2024</v>
      </c>
      <c r="D1007" s="49" t="s">
        <v>278</v>
      </c>
      <c r="E1007" s="49" t="s">
        <v>2271</v>
      </c>
      <c r="F1007" s="50" t="n">
        <v>1</v>
      </c>
      <c r="G1007" s="49" t="s">
        <v>287</v>
      </c>
      <c r="H1007" s="51" t="n">
        <v>0.0228</v>
      </c>
      <c r="I1007" s="51" t="n">
        <v>0.4094</v>
      </c>
      <c r="J1007" s="51" t="n">
        <v>0.5678</v>
      </c>
      <c r="K1007" s="49"/>
      <c r="L1007" s="49"/>
      <c r="M1007" s="49"/>
      <c r="N1007" s="49"/>
      <c r="O1007" s="49"/>
      <c r="P1007" s="49"/>
      <c r="Q1007" s="49"/>
      <c r="R1007" s="49"/>
      <c r="S1007" s="49" t="n">
        <v>0</v>
      </c>
      <c r="T1007" s="49" t="n">
        <v>0</v>
      </c>
      <c r="U1007" s="49" t="s">
        <v>2272</v>
      </c>
    </row>
    <row r="1008" customFormat="false" ht="15" hidden="false" customHeight="false" outlineLevel="0" collapsed="false">
      <c r="B1008" s="48" t="n">
        <v>45294.9425578704</v>
      </c>
      <c r="C1008" s="4" t="n">
        <f aca="false">YEAR(B1008)</f>
        <v>2024</v>
      </c>
      <c r="D1008" s="49" t="s">
        <v>283</v>
      </c>
      <c r="E1008" s="49" t="s">
        <v>2273</v>
      </c>
      <c r="F1008" s="50" t="n">
        <v>1</v>
      </c>
      <c r="G1008" s="49" t="s">
        <v>290</v>
      </c>
      <c r="H1008" s="51" t="n">
        <v>0.2116</v>
      </c>
      <c r="I1008" s="51" t="n">
        <v>0.738</v>
      </c>
      <c r="J1008" s="51" t="n">
        <v>0.0503</v>
      </c>
      <c r="K1008" s="49"/>
      <c r="L1008" s="49"/>
      <c r="M1008" s="49"/>
      <c r="N1008" s="49"/>
      <c r="O1008" s="49"/>
      <c r="P1008" s="49"/>
      <c r="Q1008" s="49"/>
      <c r="R1008" s="49"/>
      <c r="S1008" s="49" t="n">
        <v>0</v>
      </c>
      <c r="T1008" s="49" t="n">
        <v>0</v>
      </c>
      <c r="U1008" s="49" t="s">
        <v>2274</v>
      </c>
    </row>
    <row r="1009" customFormat="false" ht="15" hidden="false" customHeight="false" outlineLevel="0" collapsed="false">
      <c r="B1009" s="48" t="n">
        <v>45295.2396643519</v>
      </c>
      <c r="C1009" s="4" t="n">
        <f aca="false">YEAR(B1009)</f>
        <v>2024</v>
      </c>
      <c r="D1009" s="49" t="s">
        <v>283</v>
      </c>
      <c r="E1009" s="49" t="s">
        <v>2275</v>
      </c>
      <c r="F1009" s="50" t="n">
        <v>1</v>
      </c>
      <c r="G1009" s="49" t="s">
        <v>280</v>
      </c>
      <c r="H1009" s="51" t="n">
        <v>0.8318</v>
      </c>
      <c r="I1009" s="51" t="n">
        <v>0.1493</v>
      </c>
      <c r="J1009" s="51" t="n">
        <v>0.0189</v>
      </c>
      <c r="K1009" s="49"/>
      <c r="L1009" s="49"/>
      <c r="M1009" s="49"/>
      <c r="N1009" s="49"/>
      <c r="O1009" s="49"/>
      <c r="P1009" s="49"/>
      <c r="Q1009" s="49"/>
      <c r="R1009" s="49"/>
      <c r="S1009" s="49" t="n">
        <v>0</v>
      </c>
      <c r="T1009" s="49" t="n">
        <v>0</v>
      </c>
      <c r="U1009" s="49" t="s">
        <v>2276</v>
      </c>
    </row>
    <row r="1010" customFormat="false" ht="15" hidden="false" customHeight="false" outlineLevel="0" collapsed="false">
      <c r="B1010" s="48" t="n">
        <v>45295.7771412037</v>
      </c>
      <c r="C1010" s="4" t="n">
        <f aca="false">YEAR(B1010)</f>
        <v>2024</v>
      </c>
      <c r="D1010" s="49" t="s">
        <v>283</v>
      </c>
      <c r="E1010" s="49" t="s">
        <v>2277</v>
      </c>
      <c r="F1010" s="50" t="n">
        <v>1</v>
      </c>
      <c r="G1010" s="49" t="s">
        <v>280</v>
      </c>
      <c r="H1010" s="51" t="n">
        <v>0.8384</v>
      </c>
      <c r="I1010" s="51" t="n">
        <v>0.1551</v>
      </c>
      <c r="J1010" s="51" t="n">
        <v>0.0065</v>
      </c>
      <c r="K1010" s="49"/>
      <c r="L1010" s="49"/>
      <c r="M1010" s="49"/>
      <c r="N1010" s="49"/>
      <c r="O1010" s="49"/>
      <c r="P1010" s="49"/>
      <c r="Q1010" s="49"/>
      <c r="R1010" s="49"/>
      <c r="S1010" s="49" t="n">
        <v>1</v>
      </c>
      <c r="T1010" s="49" t="n">
        <v>0</v>
      </c>
      <c r="U1010" s="49" t="s">
        <v>2278</v>
      </c>
    </row>
    <row r="1011" customFormat="false" ht="15" hidden="false" customHeight="false" outlineLevel="0" collapsed="false">
      <c r="B1011" s="48" t="n">
        <v>45295.885162037</v>
      </c>
      <c r="C1011" s="4" t="n">
        <f aca="false">YEAR(B1011)</f>
        <v>2024</v>
      </c>
      <c r="D1011" s="49" t="s">
        <v>283</v>
      </c>
      <c r="E1011" s="49" t="s">
        <v>2279</v>
      </c>
      <c r="F1011" s="50" t="n">
        <v>1</v>
      </c>
      <c r="G1011" s="49" t="s">
        <v>290</v>
      </c>
      <c r="H1011" s="51" t="n">
        <v>0.0082</v>
      </c>
      <c r="I1011" s="51" t="n">
        <v>0.7517</v>
      </c>
      <c r="J1011" s="51" t="n">
        <v>0.2401</v>
      </c>
      <c r="K1011" s="49"/>
      <c r="L1011" s="49"/>
      <c r="M1011" s="49"/>
      <c r="N1011" s="49"/>
      <c r="O1011" s="49"/>
      <c r="P1011" s="49"/>
      <c r="Q1011" s="49"/>
      <c r="R1011" s="49"/>
      <c r="S1011" s="49" t="n">
        <v>0</v>
      </c>
      <c r="T1011" s="49" t="n">
        <v>0</v>
      </c>
      <c r="U1011" s="49" t="s">
        <v>2280</v>
      </c>
    </row>
    <row r="1012" customFormat="false" ht="15" hidden="false" customHeight="false" outlineLevel="0" collapsed="false">
      <c r="B1012" s="48" t="n">
        <v>45296.4879282407</v>
      </c>
      <c r="C1012" s="4" t="n">
        <f aca="false">YEAR(B1012)</f>
        <v>2024</v>
      </c>
      <c r="D1012" s="49" t="s">
        <v>283</v>
      </c>
      <c r="E1012" s="49" t="s">
        <v>2281</v>
      </c>
      <c r="F1012" s="50" t="n">
        <v>1</v>
      </c>
      <c r="G1012" s="49" t="s">
        <v>280</v>
      </c>
      <c r="H1012" s="51" t="n">
        <v>0.702</v>
      </c>
      <c r="I1012" s="51" t="n">
        <v>0.284</v>
      </c>
      <c r="J1012" s="51" t="n">
        <v>0.014</v>
      </c>
      <c r="K1012" s="49"/>
      <c r="L1012" s="49"/>
      <c r="M1012" s="49"/>
      <c r="N1012" s="49"/>
      <c r="O1012" s="49"/>
      <c r="P1012" s="49"/>
      <c r="Q1012" s="49"/>
      <c r="R1012" s="49"/>
      <c r="S1012" s="49" t="n">
        <v>0</v>
      </c>
      <c r="T1012" s="49" t="n">
        <v>0</v>
      </c>
      <c r="U1012" s="49" t="s">
        <v>2282</v>
      </c>
    </row>
    <row r="1013" customFormat="false" ht="15" hidden="false" customHeight="false" outlineLevel="0" collapsed="false">
      <c r="B1013" s="48" t="n">
        <v>45296.6399884259</v>
      </c>
      <c r="C1013" s="4" t="n">
        <f aca="false">YEAR(B1013)</f>
        <v>2024</v>
      </c>
      <c r="D1013" s="49" t="s">
        <v>283</v>
      </c>
      <c r="E1013" s="49" t="s">
        <v>2283</v>
      </c>
      <c r="F1013" s="50" t="n">
        <v>1</v>
      </c>
      <c r="G1013" s="49" t="s">
        <v>287</v>
      </c>
      <c r="H1013" s="51" t="n">
        <v>0.0039</v>
      </c>
      <c r="I1013" s="51" t="n">
        <v>0.0271</v>
      </c>
      <c r="J1013" s="51" t="n">
        <v>0.969</v>
      </c>
      <c r="K1013" s="49"/>
      <c r="L1013" s="49"/>
      <c r="M1013" s="49"/>
      <c r="N1013" s="49"/>
      <c r="O1013" s="49"/>
      <c r="P1013" s="49"/>
      <c r="Q1013" s="49"/>
      <c r="R1013" s="49"/>
      <c r="S1013" s="49" t="n">
        <v>0</v>
      </c>
      <c r="T1013" s="49" t="n">
        <v>0</v>
      </c>
      <c r="U1013" s="49" t="s">
        <v>2284</v>
      </c>
    </row>
    <row r="1014" customFormat="false" ht="15" hidden="false" customHeight="false" outlineLevel="0" collapsed="false">
      <c r="B1014" s="48" t="n">
        <v>45297.9542824074</v>
      </c>
      <c r="C1014" s="4" t="n">
        <f aca="false">YEAR(B1014)</f>
        <v>2024</v>
      </c>
      <c r="D1014" s="49" t="s">
        <v>278</v>
      </c>
      <c r="E1014" s="49" t="s">
        <v>2285</v>
      </c>
      <c r="F1014" s="50" t="n">
        <v>1</v>
      </c>
      <c r="G1014" s="49" t="s">
        <v>290</v>
      </c>
      <c r="H1014" s="51" t="n">
        <v>0.2834</v>
      </c>
      <c r="I1014" s="51" t="n">
        <v>0.692</v>
      </c>
      <c r="J1014" s="51" t="n">
        <v>0.0246</v>
      </c>
      <c r="K1014" s="49"/>
      <c r="L1014" s="49"/>
      <c r="M1014" s="49"/>
      <c r="N1014" s="49"/>
      <c r="O1014" s="49"/>
      <c r="P1014" s="49"/>
      <c r="Q1014" s="49"/>
      <c r="R1014" s="49"/>
      <c r="S1014" s="49" t="n">
        <v>0</v>
      </c>
      <c r="T1014" s="49" t="n">
        <v>0</v>
      </c>
      <c r="U1014" s="49" t="s">
        <v>2286</v>
      </c>
    </row>
    <row r="1015" customFormat="false" ht="15" hidden="false" customHeight="false" outlineLevel="0" collapsed="false">
      <c r="B1015" s="48" t="n">
        <v>45297.9631481482</v>
      </c>
      <c r="C1015" s="4" t="n">
        <f aca="false">YEAR(B1015)</f>
        <v>2024</v>
      </c>
      <c r="D1015" s="49" t="s">
        <v>283</v>
      </c>
      <c r="E1015" s="49" t="s">
        <v>2287</v>
      </c>
      <c r="F1015" s="50" t="n">
        <v>1</v>
      </c>
      <c r="G1015" s="49" t="s">
        <v>290</v>
      </c>
      <c r="H1015" s="51" t="n">
        <v>0.0093</v>
      </c>
      <c r="I1015" s="51" t="n">
        <v>0.7135</v>
      </c>
      <c r="J1015" s="51" t="n">
        <v>0.2772</v>
      </c>
      <c r="K1015" s="49"/>
      <c r="L1015" s="49"/>
      <c r="M1015" s="49"/>
      <c r="N1015" s="49"/>
      <c r="O1015" s="49"/>
      <c r="P1015" s="49"/>
      <c r="Q1015" s="49"/>
      <c r="R1015" s="49"/>
      <c r="S1015" s="49" t="n">
        <v>0</v>
      </c>
      <c r="T1015" s="49" t="n">
        <v>0</v>
      </c>
      <c r="U1015" s="49" t="s">
        <v>2288</v>
      </c>
    </row>
    <row r="1016" customFormat="false" ht="15" hidden="false" customHeight="false" outlineLevel="0" collapsed="false">
      <c r="B1016" s="48" t="n">
        <v>45298.2525810185</v>
      </c>
      <c r="C1016" s="4" t="n">
        <f aca="false">YEAR(B1016)</f>
        <v>2024</v>
      </c>
      <c r="D1016" s="49" t="s">
        <v>283</v>
      </c>
      <c r="E1016" s="49" t="s">
        <v>2289</v>
      </c>
      <c r="F1016" s="50" t="n">
        <v>2</v>
      </c>
      <c r="G1016" s="49" t="s">
        <v>280</v>
      </c>
      <c r="H1016" s="51" t="n">
        <v>0.706</v>
      </c>
      <c r="I1016" s="51" t="n">
        <v>0.2798</v>
      </c>
      <c r="J1016" s="51" t="n">
        <v>0.0141</v>
      </c>
      <c r="K1016" s="49"/>
      <c r="L1016" s="49"/>
      <c r="M1016" s="49"/>
      <c r="N1016" s="49"/>
      <c r="O1016" s="49"/>
      <c r="P1016" s="49"/>
      <c r="Q1016" s="49"/>
      <c r="R1016" s="49"/>
      <c r="S1016" s="49" t="n">
        <v>0</v>
      </c>
      <c r="T1016" s="49" t="n">
        <v>0</v>
      </c>
      <c r="U1016" s="49" t="s">
        <v>2290</v>
      </c>
    </row>
    <row r="1017" customFormat="false" ht="15" hidden="false" customHeight="false" outlineLevel="0" collapsed="false">
      <c r="B1017" s="48" t="n">
        <v>45298.87125</v>
      </c>
      <c r="C1017" s="4" t="n">
        <f aca="false">YEAR(B1017)</f>
        <v>2024</v>
      </c>
      <c r="D1017" s="49" t="s">
        <v>283</v>
      </c>
      <c r="E1017" s="49" t="s">
        <v>2291</v>
      </c>
      <c r="F1017" s="50" t="n">
        <v>1</v>
      </c>
      <c r="G1017" s="49" t="s">
        <v>280</v>
      </c>
      <c r="H1017" s="51" t="n">
        <v>0.9585</v>
      </c>
      <c r="I1017" s="51" t="n">
        <v>0.0362</v>
      </c>
      <c r="J1017" s="51" t="n">
        <v>0.0053</v>
      </c>
      <c r="K1017" s="49"/>
      <c r="L1017" s="49"/>
      <c r="M1017" s="49"/>
      <c r="N1017" s="49"/>
      <c r="O1017" s="49"/>
      <c r="P1017" s="49"/>
      <c r="Q1017" s="49"/>
      <c r="R1017" s="49"/>
      <c r="S1017" s="49" t="n">
        <v>0</v>
      </c>
      <c r="T1017" s="49" t="n">
        <v>0</v>
      </c>
      <c r="U1017" s="49" t="s">
        <v>2292</v>
      </c>
    </row>
    <row r="1018" customFormat="false" ht="15" hidden="false" customHeight="false" outlineLevel="0" collapsed="false">
      <c r="B1018" s="48" t="n">
        <v>45299.2660069445</v>
      </c>
      <c r="C1018" s="4" t="n">
        <f aca="false">YEAR(B1018)</f>
        <v>2024</v>
      </c>
      <c r="D1018" s="49" t="s">
        <v>283</v>
      </c>
      <c r="E1018" s="49" t="s">
        <v>2293</v>
      </c>
      <c r="F1018" s="50" t="n">
        <v>5</v>
      </c>
      <c r="G1018" s="49" t="s">
        <v>290</v>
      </c>
      <c r="H1018" s="51" t="n">
        <v>0.2046</v>
      </c>
      <c r="I1018" s="51" t="n">
        <v>0.6108</v>
      </c>
      <c r="J1018" s="51" t="n">
        <v>0.1846</v>
      </c>
      <c r="K1018" s="49"/>
      <c r="L1018" s="49"/>
      <c r="M1018" s="49"/>
      <c r="N1018" s="49"/>
      <c r="O1018" s="49"/>
      <c r="P1018" s="49"/>
      <c r="Q1018" s="49"/>
      <c r="R1018" s="49"/>
      <c r="S1018" s="49" t="n">
        <v>0</v>
      </c>
      <c r="T1018" s="49" t="n">
        <v>0</v>
      </c>
      <c r="U1018" s="49" t="s">
        <v>2294</v>
      </c>
    </row>
    <row r="1019" customFormat="false" ht="15" hidden="false" customHeight="false" outlineLevel="0" collapsed="false">
      <c r="B1019" s="48" t="n">
        <v>45299.3203819445</v>
      </c>
      <c r="C1019" s="4" t="n">
        <f aca="false">YEAR(B1019)</f>
        <v>2024</v>
      </c>
      <c r="D1019" s="49" t="s">
        <v>283</v>
      </c>
      <c r="E1019" s="49" t="s">
        <v>2295</v>
      </c>
      <c r="F1019" s="50" t="n">
        <v>3</v>
      </c>
      <c r="G1019" s="49" t="s">
        <v>287</v>
      </c>
      <c r="H1019" s="51" t="n">
        <v>0.0029</v>
      </c>
      <c r="I1019" s="51" t="n">
        <v>0.1197</v>
      </c>
      <c r="J1019" s="51" t="n">
        <v>0.8774</v>
      </c>
      <c r="K1019" s="49"/>
      <c r="L1019" s="49"/>
      <c r="M1019" s="49"/>
      <c r="N1019" s="49"/>
      <c r="O1019" s="49"/>
      <c r="P1019" s="49"/>
      <c r="Q1019" s="49"/>
      <c r="R1019" s="49"/>
      <c r="S1019" s="49" t="n">
        <v>0</v>
      </c>
      <c r="T1019" s="49" t="n">
        <v>0</v>
      </c>
      <c r="U1019" s="49" t="s">
        <v>2296</v>
      </c>
    </row>
    <row r="1020" customFormat="false" ht="15" hidden="false" customHeight="false" outlineLevel="0" collapsed="false">
      <c r="B1020" s="48" t="n">
        <v>45299.6411458333</v>
      </c>
      <c r="C1020" s="4" t="n">
        <f aca="false">YEAR(B1020)</f>
        <v>2024</v>
      </c>
      <c r="D1020" s="49" t="s">
        <v>283</v>
      </c>
      <c r="E1020" s="49" t="s">
        <v>2297</v>
      </c>
      <c r="F1020" s="50" t="n">
        <v>1</v>
      </c>
      <c r="G1020" s="49" t="s">
        <v>290</v>
      </c>
      <c r="H1020" s="51" t="n">
        <v>0.0844</v>
      </c>
      <c r="I1020" s="51" t="n">
        <v>0.7547</v>
      </c>
      <c r="J1020" s="51" t="n">
        <v>0.1609</v>
      </c>
      <c r="K1020" s="49"/>
      <c r="L1020" s="49"/>
      <c r="M1020" s="49"/>
      <c r="N1020" s="49"/>
      <c r="O1020" s="49"/>
      <c r="P1020" s="49"/>
      <c r="Q1020" s="49"/>
      <c r="R1020" s="49"/>
      <c r="S1020" s="49" t="n">
        <v>0</v>
      </c>
      <c r="T1020" s="49" t="n">
        <v>0</v>
      </c>
      <c r="U1020" s="49" t="s">
        <v>2298</v>
      </c>
    </row>
    <row r="1021" customFormat="false" ht="15" hidden="false" customHeight="false" outlineLevel="0" collapsed="false">
      <c r="B1021" s="48" t="n">
        <v>45299.9715393519</v>
      </c>
      <c r="C1021" s="4" t="n">
        <f aca="false">YEAR(B1021)</f>
        <v>2024</v>
      </c>
      <c r="D1021" s="49" t="s">
        <v>283</v>
      </c>
      <c r="E1021" s="49" t="s">
        <v>2299</v>
      </c>
      <c r="F1021" s="50" t="n">
        <v>1</v>
      </c>
      <c r="G1021" s="49" t="s">
        <v>290</v>
      </c>
      <c r="H1021" s="51" t="n">
        <v>0.1763</v>
      </c>
      <c r="I1021" s="51" t="n">
        <v>0.7298</v>
      </c>
      <c r="J1021" s="51" t="n">
        <v>0.0938</v>
      </c>
      <c r="K1021" s="49"/>
      <c r="L1021" s="49"/>
      <c r="M1021" s="49"/>
      <c r="N1021" s="49"/>
      <c r="O1021" s="49"/>
      <c r="P1021" s="49"/>
      <c r="Q1021" s="49"/>
      <c r="R1021" s="49"/>
      <c r="S1021" s="49" t="n">
        <v>1</v>
      </c>
      <c r="T1021" s="49" t="n">
        <v>0</v>
      </c>
      <c r="U1021" s="49" t="s">
        <v>2300</v>
      </c>
    </row>
    <row r="1022" customFormat="false" ht="15" hidden="false" customHeight="false" outlineLevel="0" collapsed="false">
      <c r="B1022" s="48" t="n">
        <v>45300.2950115741</v>
      </c>
      <c r="C1022" s="4" t="n">
        <f aca="false">YEAR(B1022)</f>
        <v>2024</v>
      </c>
      <c r="D1022" s="49" t="s">
        <v>283</v>
      </c>
      <c r="E1022" s="49" t="s">
        <v>2301</v>
      </c>
      <c r="F1022" s="50" t="n">
        <v>27</v>
      </c>
      <c r="G1022" s="49" t="s">
        <v>290</v>
      </c>
      <c r="H1022" s="51" t="n">
        <v>0.365</v>
      </c>
      <c r="I1022" s="51" t="n">
        <v>0.5985</v>
      </c>
      <c r="J1022" s="51" t="n">
        <v>0.0365</v>
      </c>
      <c r="K1022" s="49"/>
      <c r="L1022" s="49"/>
      <c r="M1022" s="49"/>
      <c r="N1022" s="49"/>
      <c r="O1022" s="49"/>
      <c r="P1022" s="49"/>
      <c r="Q1022" s="49"/>
      <c r="R1022" s="49"/>
      <c r="S1022" s="49" t="n">
        <v>0</v>
      </c>
      <c r="T1022" s="49" t="n">
        <v>0</v>
      </c>
      <c r="U1022" s="49" t="s">
        <v>2302</v>
      </c>
    </row>
    <row r="1023" customFormat="false" ht="15" hidden="false" customHeight="false" outlineLevel="0" collapsed="false">
      <c r="B1023" s="48" t="n">
        <v>45300.3244212963</v>
      </c>
      <c r="C1023" s="4" t="n">
        <f aca="false">YEAR(B1023)</f>
        <v>2024</v>
      </c>
      <c r="D1023" s="49" t="s">
        <v>278</v>
      </c>
      <c r="E1023" s="49" t="s">
        <v>2303</v>
      </c>
      <c r="F1023" s="50" t="n">
        <v>5</v>
      </c>
      <c r="G1023" s="49" t="s">
        <v>290</v>
      </c>
      <c r="H1023" s="51" t="n">
        <v>0.0237</v>
      </c>
      <c r="I1023" s="51" t="n">
        <v>0.5008</v>
      </c>
      <c r="J1023" s="51" t="n">
        <v>0.4754</v>
      </c>
      <c r="K1023" s="49"/>
      <c r="L1023" s="49"/>
      <c r="M1023" s="49"/>
      <c r="N1023" s="49"/>
      <c r="O1023" s="49"/>
      <c r="P1023" s="49"/>
      <c r="Q1023" s="49"/>
      <c r="R1023" s="49"/>
      <c r="S1023" s="49" t="n">
        <v>0</v>
      </c>
      <c r="T1023" s="49" t="n">
        <v>0</v>
      </c>
      <c r="U1023" s="49" t="s">
        <v>2304</v>
      </c>
    </row>
    <row r="1024" customFormat="false" ht="15" hidden="false" customHeight="false" outlineLevel="0" collapsed="false">
      <c r="B1024" s="48" t="n">
        <v>45300.5014467593</v>
      </c>
      <c r="C1024" s="4" t="n">
        <f aca="false">YEAR(B1024)</f>
        <v>2024</v>
      </c>
      <c r="D1024" s="49" t="s">
        <v>283</v>
      </c>
      <c r="E1024" s="49" t="s">
        <v>2305</v>
      </c>
      <c r="F1024" s="50" t="n">
        <v>8</v>
      </c>
      <c r="G1024" s="49" t="s">
        <v>287</v>
      </c>
      <c r="H1024" s="51" t="n">
        <v>0.0534</v>
      </c>
      <c r="I1024" s="51" t="n">
        <v>0.2696</v>
      </c>
      <c r="J1024" s="51" t="n">
        <v>0.677</v>
      </c>
      <c r="K1024" s="49"/>
      <c r="L1024" s="49"/>
      <c r="M1024" s="49"/>
      <c r="N1024" s="49"/>
      <c r="O1024" s="49"/>
      <c r="P1024" s="49"/>
      <c r="Q1024" s="49"/>
      <c r="R1024" s="49" t="s">
        <v>281</v>
      </c>
      <c r="S1024" s="49" t="n">
        <v>0</v>
      </c>
      <c r="T1024" s="49" t="n">
        <v>0</v>
      </c>
      <c r="U1024" s="49" t="s">
        <v>2306</v>
      </c>
    </row>
    <row r="1025" customFormat="false" ht="15" hidden="false" customHeight="false" outlineLevel="0" collapsed="false">
      <c r="B1025" s="48" t="n">
        <v>45300.9654282407</v>
      </c>
      <c r="C1025" s="4" t="n">
        <f aca="false">YEAR(B1025)</f>
        <v>2024</v>
      </c>
      <c r="D1025" s="49" t="s">
        <v>278</v>
      </c>
      <c r="E1025" s="49" t="s">
        <v>2307</v>
      </c>
      <c r="F1025" s="50" t="n">
        <v>27</v>
      </c>
      <c r="G1025" s="49" t="s">
        <v>287</v>
      </c>
      <c r="H1025" s="51" t="n">
        <v>0.0878</v>
      </c>
      <c r="I1025" s="51" t="n">
        <v>0.1829</v>
      </c>
      <c r="J1025" s="51" t="n">
        <v>0.7293</v>
      </c>
      <c r="K1025" s="49"/>
      <c r="L1025" s="49"/>
      <c r="M1025" s="49"/>
      <c r="N1025" s="49"/>
      <c r="O1025" s="49"/>
      <c r="P1025" s="49"/>
      <c r="Q1025" s="49"/>
      <c r="R1025" s="49" t="s">
        <v>281</v>
      </c>
      <c r="S1025" s="49" t="n">
        <v>0</v>
      </c>
      <c r="T1025" s="49" t="n">
        <v>0</v>
      </c>
      <c r="U1025" s="49" t="s">
        <v>2308</v>
      </c>
    </row>
    <row r="1026" customFormat="false" ht="15" hidden="false" customHeight="false" outlineLevel="0" collapsed="false">
      <c r="B1026" s="48" t="n">
        <v>45301.1319097222</v>
      </c>
      <c r="C1026" s="4" t="n">
        <f aca="false">YEAR(B1026)</f>
        <v>2024</v>
      </c>
      <c r="D1026" s="49" t="s">
        <v>283</v>
      </c>
      <c r="E1026" s="49" t="s">
        <v>2309</v>
      </c>
      <c r="F1026" s="50" t="n">
        <v>1</v>
      </c>
      <c r="G1026" s="49" t="s">
        <v>287</v>
      </c>
      <c r="H1026" s="51" t="n">
        <v>0.223</v>
      </c>
      <c r="I1026" s="51" t="n">
        <v>0.3829</v>
      </c>
      <c r="J1026" s="51" t="n">
        <v>0.394</v>
      </c>
      <c r="K1026" s="49"/>
      <c r="L1026" s="49"/>
      <c r="M1026" s="49"/>
      <c r="N1026" s="49"/>
      <c r="O1026" s="49"/>
      <c r="P1026" s="49"/>
      <c r="Q1026" s="49"/>
      <c r="R1026" s="49"/>
      <c r="S1026" s="49" t="n">
        <v>0</v>
      </c>
      <c r="T1026" s="49" t="n">
        <v>0</v>
      </c>
      <c r="U1026" s="49" t="s">
        <v>2310</v>
      </c>
    </row>
    <row r="1027" customFormat="false" ht="15" hidden="false" customHeight="false" outlineLevel="0" collapsed="false">
      <c r="B1027" s="48" t="n">
        <v>45301.3722337963</v>
      </c>
      <c r="C1027" s="4" t="n">
        <f aca="false">YEAR(B1027)</f>
        <v>2024</v>
      </c>
      <c r="D1027" s="49" t="s">
        <v>278</v>
      </c>
      <c r="E1027" s="49" t="s">
        <v>2311</v>
      </c>
      <c r="F1027" s="50" t="n">
        <v>15</v>
      </c>
      <c r="G1027" s="49" t="s">
        <v>280</v>
      </c>
      <c r="H1027" s="51" t="n">
        <v>0.8921</v>
      </c>
      <c r="I1027" s="51" t="n">
        <v>0.0998</v>
      </c>
      <c r="J1027" s="51" t="n">
        <v>0.0081</v>
      </c>
      <c r="K1027" s="49"/>
      <c r="L1027" s="49"/>
      <c r="M1027" s="49"/>
      <c r="N1027" s="49"/>
      <c r="O1027" s="49"/>
      <c r="P1027" s="49"/>
      <c r="Q1027" s="49"/>
      <c r="R1027" s="49"/>
      <c r="S1027" s="49" t="n">
        <v>0</v>
      </c>
      <c r="T1027" s="49" t="n">
        <v>0</v>
      </c>
      <c r="U1027" s="49" t="s">
        <v>2312</v>
      </c>
    </row>
    <row r="1028" customFormat="false" ht="15" hidden="false" customHeight="false" outlineLevel="0" collapsed="false">
      <c r="B1028" s="48" t="n">
        <v>45301.4059143519</v>
      </c>
      <c r="C1028" s="4" t="n">
        <f aca="false">YEAR(B1028)</f>
        <v>2024</v>
      </c>
      <c r="D1028" s="49" t="s">
        <v>278</v>
      </c>
      <c r="E1028" s="49" t="s">
        <v>2313</v>
      </c>
      <c r="F1028" s="50" t="n">
        <v>1</v>
      </c>
      <c r="G1028" s="49" t="s">
        <v>280</v>
      </c>
      <c r="H1028" s="51" t="n">
        <v>0.6333</v>
      </c>
      <c r="I1028" s="51" t="n">
        <v>0.3457</v>
      </c>
      <c r="J1028" s="51" t="n">
        <v>0.021</v>
      </c>
      <c r="K1028" s="49"/>
      <c r="L1028" s="49"/>
      <c r="M1028" s="49"/>
      <c r="N1028" s="49"/>
      <c r="O1028" s="49"/>
      <c r="P1028" s="49"/>
      <c r="Q1028" s="49"/>
      <c r="R1028" s="49" t="s">
        <v>281</v>
      </c>
      <c r="S1028" s="49" t="n">
        <v>0</v>
      </c>
      <c r="T1028" s="49" t="n">
        <v>0</v>
      </c>
      <c r="U1028" s="49" t="s">
        <v>2314</v>
      </c>
    </row>
    <row r="1029" customFormat="false" ht="15" hidden="false" customHeight="false" outlineLevel="0" collapsed="false">
      <c r="B1029" s="48" t="n">
        <v>45301.642037037</v>
      </c>
      <c r="C1029" s="4" t="n">
        <f aca="false">YEAR(B1029)</f>
        <v>2024</v>
      </c>
      <c r="D1029" s="49" t="s">
        <v>283</v>
      </c>
      <c r="E1029" s="49" t="s">
        <v>2315</v>
      </c>
      <c r="F1029" s="50" t="n">
        <v>8</v>
      </c>
      <c r="G1029" s="49" t="s">
        <v>280</v>
      </c>
      <c r="H1029" s="51" t="n">
        <v>0.7442</v>
      </c>
      <c r="I1029" s="51" t="n">
        <v>0.2431</v>
      </c>
      <c r="J1029" s="51" t="n">
        <v>0.0126</v>
      </c>
      <c r="K1029" s="49" t="s">
        <v>281</v>
      </c>
      <c r="L1029" s="49"/>
      <c r="M1029" s="49"/>
      <c r="N1029" s="49"/>
      <c r="O1029" s="49"/>
      <c r="P1029" s="49"/>
      <c r="Q1029" s="49" t="s">
        <v>281</v>
      </c>
      <c r="R1029" s="49"/>
      <c r="S1029" s="49" t="n">
        <v>0</v>
      </c>
      <c r="T1029" s="49" t="n">
        <v>0</v>
      </c>
      <c r="U1029" s="49" t="s">
        <v>2316</v>
      </c>
    </row>
    <row r="1030" customFormat="false" ht="15" hidden="false" customHeight="false" outlineLevel="0" collapsed="false">
      <c r="B1030" s="48" t="n">
        <v>45301.9918287037</v>
      </c>
      <c r="C1030" s="4" t="n">
        <f aca="false">YEAR(B1030)</f>
        <v>2024</v>
      </c>
      <c r="D1030" s="49" t="s">
        <v>283</v>
      </c>
      <c r="E1030" s="49" t="s">
        <v>2317</v>
      </c>
      <c r="F1030" s="50" t="n">
        <v>1</v>
      </c>
      <c r="G1030" s="49" t="s">
        <v>290</v>
      </c>
      <c r="H1030" s="51" t="n">
        <v>0.0263</v>
      </c>
      <c r="I1030" s="51" t="n">
        <v>0.8138</v>
      </c>
      <c r="J1030" s="51" t="n">
        <v>0.1598</v>
      </c>
      <c r="K1030" s="49"/>
      <c r="L1030" s="49"/>
      <c r="M1030" s="49"/>
      <c r="N1030" s="49"/>
      <c r="O1030" s="49"/>
      <c r="P1030" s="49"/>
      <c r="Q1030" s="49"/>
      <c r="R1030" s="49"/>
      <c r="S1030" s="49" t="n">
        <v>0</v>
      </c>
      <c r="T1030" s="49" t="n">
        <v>0</v>
      </c>
      <c r="U1030" s="49" t="s">
        <v>2318</v>
      </c>
    </row>
    <row r="1031" customFormat="false" ht="15" hidden="false" customHeight="false" outlineLevel="0" collapsed="false">
      <c r="B1031" s="48" t="n">
        <v>45303.0352083333</v>
      </c>
      <c r="C1031" s="4" t="n">
        <f aca="false">YEAR(B1031)</f>
        <v>2024</v>
      </c>
      <c r="D1031" s="49" t="s">
        <v>283</v>
      </c>
      <c r="E1031" s="49" t="s">
        <v>2319</v>
      </c>
      <c r="F1031" s="50" t="n">
        <v>1</v>
      </c>
      <c r="G1031" s="49" t="s">
        <v>290</v>
      </c>
      <c r="H1031" s="51" t="n">
        <v>0.2924</v>
      </c>
      <c r="I1031" s="51" t="n">
        <v>0.6279</v>
      </c>
      <c r="J1031" s="51" t="n">
        <v>0.0797</v>
      </c>
      <c r="K1031" s="49"/>
      <c r="L1031" s="49"/>
      <c r="M1031" s="49"/>
      <c r="N1031" s="49"/>
      <c r="O1031" s="49"/>
      <c r="P1031" s="49"/>
      <c r="Q1031" s="49"/>
      <c r="R1031" s="49"/>
      <c r="S1031" s="49" t="n">
        <v>0</v>
      </c>
      <c r="T1031" s="49" t="n">
        <v>0</v>
      </c>
      <c r="U1031" s="49" t="s">
        <v>2320</v>
      </c>
    </row>
    <row r="1032" customFormat="false" ht="15" hidden="false" customHeight="false" outlineLevel="0" collapsed="false">
      <c r="B1032" s="48" t="n">
        <v>45303.0999421296</v>
      </c>
      <c r="C1032" s="4" t="n">
        <f aca="false">YEAR(B1032)</f>
        <v>2024</v>
      </c>
      <c r="D1032" s="49" t="s">
        <v>283</v>
      </c>
      <c r="E1032" s="49" t="s">
        <v>2321</v>
      </c>
      <c r="F1032" s="50" t="n">
        <v>1</v>
      </c>
      <c r="G1032" s="49" t="s">
        <v>287</v>
      </c>
      <c r="H1032" s="51" t="n">
        <v>0.0091</v>
      </c>
      <c r="I1032" s="51" t="n">
        <v>0.3792</v>
      </c>
      <c r="J1032" s="51" t="n">
        <v>0.6118</v>
      </c>
      <c r="K1032" s="49"/>
      <c r="L1032" s="49"/>
      <c r="M1032" s="49"/>
      <c r="N1032" s="49"/>
      <c r="O1032" s="49"/>
      <c r="P1032" s="49"/>
      <c r="Q1032" s="49"/>
      <c r="R1032" s="49"/>
      <c r="S1032" s="49" t="n">
        <v>0</v>
      </c>
      <c r="T1032" s="49" t="n">
        <v>0</v>
      </c>
      <c r="U1032" s="49" t="s">
        <v>2322</v>
      </c>
    </row>
    <row r="1033" customFormat="false" ht="15" hidden="false" customHeight="false" outlineLevel="0" collapsed="false">
      <c r="B1033" s="48" t="n">
        <v>45303.145150463</v>
      </c>
      <c r="C1033" s="4" t="n">
        <f aca="false">YEAR(B1033)</f>
        <v>2024</v>
      </c>
      <c r="D1033" s="49" t="s">
        <v>278</v>
      </c>
      <c r="E1033" s="49" t="s">
        <v>2323</v>
      </c>
      <c r="F1033" s="50" t="n">
        <v>9</v>
      </c>
      <c r="G1033" s="49" t="s">
        <v>287</v>
      </c>
      <c r="H1033" s="51" t="n">
        <v>0.0945</v>
      </c>
      <c r="I1033" s="51" t="n">
        <v>0.1456</v>
      </c>
      <c r="J1033" s="51" t="n">
        <v>0.7599</v>
      </c>
      <c r="K1033" s="49"/>
      <c r="L1033" s="49"/>
      <c r="M1033" s="49"/>
      <c r="N1033" s="49"/>
      <c r="O1033" s="49"/>
      <c r="P1033" s="49"/>
      <c r="Q1033" s="49"/>
      <c r="R1033" s="49" t="s">
        <v>281</v>
      </c>
      <c r="S1033" s="49" t="n">
        <v>0</v>
      </c>
      <c r="T1033" s="49" t="n">
        <v>0</v>
      </c>
      <c r="U1033" s="49" t="s">
        <v>2324</v>
      </c>
    </row>
    <row r="1034" customFormat="false" ht="15" hidden="false" customHeight="false" outlineLevel="0" collapsed="false">
      <c r="B1034" s="48" t="n">
        <v>45303.2461111111</v>
      </c>
      <c r="C1034" s="4" t="n">
        <f aca="false">YEAR(B1034)</f>
        <v>2024</v>
      </c>
      <c r="D1034" s="49" t="s">
        <v>283</v>
      </c>
      <c r="E1034" s="49" t="s">
        <v>2325</v>
      </c>
      <c r="F1034" s="50" t="n">
        <v>1</v>
      </c>
      <c r="G1034" s="49" t="s">
        <v>287</v>
      </c>
      <c r="H1034" s="51" t="n">
        <v>0.008</v>
      </c>
      <c r="I1034" s="51" t="n">
        <v>0.3461</v>
      </c>
      <c r="J1034" s="51" t="n">
        <v>0.6459</v>
      </c>
      <c r="K1034" s="49"/>
      <c r="L1034" s="49"/>
      <c r="M1034" s="49"/>
      <c r="N1034" s="49"/>
      <c r="O1034" s="49"/>
      <c r="P1034" s="49"/>
      <c r="Q1034" s="49"/>
      <c r="R1034" s="49"/>
      <c r="S1034" s="49" t="n">
        <v>0</v>
      </c>
      <c r="T1034" s="49" t="n">
        <v>0</v>
      </c>
      <c r="U1034" s="49" t="s">
        <v>2326</v>
      </c>
    </row>
    <row r="1035" customFormat="false" ht="15" hidden="false" customHeight="false" outlineLevel="0" collapsed="false">
      <c r="B1035" s="48" t="n">
        <v>45303.7800925926</v>
      </c>
      <c r="C1035" s="4" t="n">
        <f aca="false">YEAR(B1035)</f>
        <v>2024</v>
      </c>
      <c r="D1035" s="49" t="s">
        <v>283</v>
      </c>
      <c r="E1035" s="49" t="s">
        <v>2327</v>
      </c>
      <c r="F1035" s="50" t="n">
        <v>1</v>
      </c>
      <c r="G1035" s="49" t="s">
        <v>280</v>
      </c>
      <c r="H1035" s="51" t="n">
        <v>0.8788</v>
      </c>
      <c r="I1035" s="51" t="n">
        <v>0.1136</v>
      </c>
      <c r="J1035" s="51" t="n">
        <v>0.0076</v>
      </c>
      <c r="K1035" s="49"/>
      <c r="L1035" s="49"/>
      <c r="M1035" s="49"/>
      <c r="N1035" s="49"/>
      <c r="O1035" s="49"/>
      <c r="P1035" s="49"/>
      <c r="Q1035" s="49" t="s">
        <v>281</v>
      </c>
      <c r="R1035" s="49"/>
      <c r="S1035" s="49" t="n">
        <v>1</v>
      </c>
      <c r="T1035" s="49" t="n">
        <v>0</v>
      </c>
      <c r="U1035" s="49" t="s">
        <v>2328</v>
      </c>
    </row>
    <row r="1036" customFormat="false" ht="15" hidden="false" customHeight="false" outlineLevel="0" collapsed="false">
      <c r="B1036" s="48" t="n">
        <v>45304.9427199074</v>
      </c>
      <c r="C1036" s="4" t="n">
        <f aca="false">YEAR(B1036)</f>
        <v>2024</v>
      </c>
      <c r="D1036" s="49" t="s">
        <v>283</v>
      </c>
      <c r="E1036" s="49" t="s">
        <v>2329</v>
      </c>
      <c r="F1036" s="50" t="n">
        <v>3</v>
      </c>
      <c r="G1036" s="49" t="s">
        <v>290</v>
      </c>
      <c r="H1036" s="51" t="n">
        <v>0.0289</v>
      </c>
      <c r="I1036" s="51" t="n">
        <v>0.676</v>
      </c>
      <c r="J1036" s="51" t="n">
        <v>0.2952</v>
      </c>
      <c r="K1036" s="49"/>
      <c r="L1036" s="49"/>
      <c r="M1036" s="49"/>
      <c r="N1036" s="49"/>
      <c r="O1036" s="49"/>
      <c r="P1036" s="49"/>
      <c r="Q1036" s="49"/>
      <c r="R1036" s="49"/>
      <c r="S1036" s="49" t="n">
        <v>0</v>
      </c>
      <c r="T1036" s="49" t="n">
        <v>0</v>
      </c>
      <c r="U1036" s="49" t="s">
        <v>2330</v>
      </c>
    </row>
    <row r="1037" customFormat="false" ht="15" hidden="false" customHeight="false" outlineLevel="0" collapsed="false">
      <c r="B1037" s="48" t="n">
        <v>45305.8546990741</v>
      </c>
      <c r="C1037" s="4" t="n">
        <f aca="false">YEAR(B1037)</f>
        <v>2024</v>
      </c>
      <c r="D1037" s="49" t="s">
        <v>283</v>
      </c>
      <c r="E1037" s="49" t="s">
        <v>2331</v>
      </c>
      <c r="F1037" s="50" t="n">
        <v>1</v>
      </c>
      <c r="G1037" s="49" t="s">
        <v>280</v>
      </c>
      <c r="H1037" s="51" t="n">
        <v>0.8533</v>
      </c>
      <c r="I1037" s="51" t="n">
        <v>0.1324</v>
      </c>
      <c r="J1037" s="51" t="n">
        <v>0.0144</v>
      </c>
      <c r="K1037" s="49" t="s">
        <v>281</v>
      </c>
      <c r="L1037" s="49"/>
      <c r="M1037" s="49"/>
      <c r="N1037" s="49"/>
      <c r="O1037" s="49"/>
      <c r="P1037" s="49"/>
      <c r="Q1037" s="49"/>
      <c r="R1037" s="49"/>
      <c r="S1037" s="49" t="n">
        <v>0</v>
      </c>
      <c r="T1037" s="49" t="n">
        <v>0</v>
      </c>
      <c r="U1037" s="49" t="s">
        <v>2332</v>
      </c>
    </row>
    <row r="1038" customFormat="false" ht="15" hidden="false" customHeight="false" outlineLevel="0" collapsed="false">
      <c r="B1038" s="48" t="n">
        <v>45306.0221643519</v>
      </c>
      <c r="C1038" s="4" t="n">
        <f aca="false">YEAR(B1038)</f>
        <v>2024</v>
      </c>
      <c r="D1038" s="49" t="s">
        <v>283</v>
      </c>
      <c r="E1038" s="49" t="s">
        <v>2333</v>
      </c>
      <c r="F1038" s="50" t="n">
        <v>1</v>
      </c>
      <c r="G1038" s="49" t="s">
        <v>290</v>
      </c>
      <c r="H1038" s="51" t="n">
        <v>0.0065</v>
      </c>
      <c r="I1038" s="51" t="n">
        <v>0.6719</v>
      </c>
      <c r="J1038" s="51" t="n">
        <v>0.3216</v>
      </c>
      <c r="K1038" s="49"/>
      <c r="L1038" s="49"/>
      <c r="M1038" s="49"/>
      <c r="N1038" s="49"/>
      <c r="O1038" s="49"/>
      <c r="P1038" s="49"/>
      <c r="Q1038" s="49"/>
      <c r="R1038" s="49"/>
      <c r="S1038" s="49" t="n">
        <v>0</v>
      </c>
      <c r="T1038" s="49" t="n">
        <v>0</v>
      </c>
      <c r="U1038" s="49" t="s">
        <v>2334</v>
      </c>
    </row>
    <row r="1039" customFormat="false" ht="15" hidden="false" customHeight="false" outlineLevel="0" collapsed="false">
      <c r="B1039" s="48" t="n">
        <v>45306.2378587963</v>
      </c>
      <c r="C1039" s="4" t="n">
        <f aca="false">YEAR(B1039)</f>
        <v>2024</v>
      </c>
      <c r="D1039" s="49" t="s">
        <v>278</v>
      </c>
      <c r="E1039" s="49" t="s">
        <v>2335</v>
      </c>
      <c r="F1039" s="50" t="n">
        <v>1</v>
      </c>
      <c r="G1039" s="49" t="s">
        <v>280</v>
      </c>
      <c r="H1039" s="51" t="n">
        <v>0.9062</v>
      </c>
      <c r="I1039" s="51" t="n">
        <v>0.0861</v>
      </c>
      <c r="J1039" s="51" t="n">
        <v>0.0076</v>
      </c>
      <c r="K1039" s="49"/>
      <c r="L1039" s="49"/>
      <c r="M1039" s="49"/>
      <c r="N1039" s="49"/>
      <c r="O1039" s="49"/>
      <c r="P1039" s="49"/>
      <c r="Q1039" s="49"/>
      <c r="R1039" s="49"/>
      <c r="S1039" s="49" t="n">
        <v>0</v>
      </c>
      <c r="T1039" s="49" t="n">
        <v>0</v>
      </c>
      <c r="U1039" s="49" t="s">
        <v>2336</v>
      </c>
    </row>
    <row r="1040" customFormat="false" ht="15" hidden="false" customHeight="false" outlineLevel="0" collapsed="false">
      <c r="B1040" s="48" t="n">
        <v>45307.1875231482</v>
      </c>
      <c r="C1040" s="4" t="n">
        <f aca="false">YEAR(B1040)</f>
        <v>2024</v>
      </c>
      <c r="D1040" s="49" t="s">
        <v>283</v>
      </c>
      <c r="E1040" s="49" t="s">
        <v>2337</v>
      </c>
      <c r="F1040" s="50" t="n">
        <v>1</v>
      </c>
      <c r="G1040" s="49" t="s">
        <v>290</v>
      </c>
      <c r="H1040" s="51" t="n">
        <v>0.0573</v>
      </c>
      <c r="I1040" s="51" t="n">
        <v>0.8572</v>
      </c>
      <c r="J1040" s="51" t="n">
        <v>0.0855</v>
      </c>
      <c r="K1040" s="49"/>
      <c r="L1040" s="49"/>
      <c r="M1040" s="49"/>
      <c r="N1040" s="49"/>
      <c r="O1040" s="49"/>
      <c r="P1040" s="49"/>
      <c r="Q1040" s="49"/>
      <c r="R1040" s="49" t="s">
        <v>281</v>
      </c>
      <c r="S1040" s="49" t="n">
        <v>0</v>
      </c>
      <c r="T1040" s="49" t="n">
        <v>0</v>
      </c>
      <c r="U1040" s="49" t="s">
        <v>2338</v>
      </c>
    </row>
    <row r="1041" customFormat="false" ht="15" hidden="false" customHeight="false" outlineLevel="0" collapsed="false">
      <c r="B1041" s="48" t="n">
        <v>45307.1884953704</v>
      </c>
      <c r="C1041" s="4" t="n">
        <f aca="false">YEAR(B1041)</f>
        <v>2024</v>
      </c>
      <c r="D1041" s="49" t="s">
        <v>278</v>
      </c>
      <c r="E1041" s="49" t="s">
        <v>2337</v>
      </c>
      <c r="F1041" s="50" t="n">
        <v>8</v>
      </c>
      <c r="G1041" s="49" t="s">
        <v>290</v>
      </c>
      <c r="H1041" s="51" t="n">
        <v>0.0573</v>
      </c>
      <c r="I1041" s="51" t="n">
        <v>0.8572</v>
      </c>
      <c r="J1041" s="51" t="n">
        <v>0.0855</v>
      </c>
      <c r="K1041" s="49"/>
      <c r="L1041" s="49"/>
      <c r="M1041" s="49"/>
      <c r="N1041" s="49"/>
      <c r="O1041" s="49"/>
      <c r="P1041" s="49"/>
      <c r="Q1041" s="49"/>
      <c r="R1041" s="49" t="s">
        <v>281</v>
      </c>
      <c r="S1041" s="49" t="n">
        <v>0</v>
      </c>
      <c r="T1041" s="49" t="n">
        <v>0</v>
      </c>
      <c r="U1041" s="49" t="s">
        <v>2339</v>
      </c>
    </row>
    <row r="1042" customFormat="false" ht="15" hidden="false" customHeight="false" outlineLevel="0" collapsed="false">
      <c r="B1042" s="48" t="n">
        <v>45307.39</v>
      </c>
      <c r="C1042" s="4" t="n">
        <f aca="false">YEAR(B1042)</f>
        <v>2024</v>
      </c>
      <c r="D1042" s="49" t="s">
        <v>283</v>
      </c>
      <c r="E1042" s="49" t="s">
        <v>2340</v>
      </c>
      <c r="F1042" s="50" t="n">
        <v>1</v>
      </c>
      <c r="G1042" s="49" t="s">
        <v>290</v>
      </c>
      <c r="H1042" s="51" t="n">
        <v>0.0859</v>
      </c>
      <c r="I1042" s="51" t="n">
        <v>0.708</v>
      </c>
      <c r="J1042" s="51" t="n">
        <v>0.2061</v>
      </c>
      <c r="K1042" s="49"/>
      <c r="L1042" s="49"/>
      <c r="M1042" s="49"/>
      <c r="N1042" s="49"/>
      <c r="O1042" s="49"/>
      <c r="P1042" s="49"/>
      <c r="Q1042" s="49" t="s">
        <v>281</v>
      </c>
      <c r="R1042" s="49"/>
      <c r="S1042" s="49" t="n">
        <v>0</v>
      </c>
      <c r="T1042" s="49" t="n">
        <v>0</v>
      </c>
      <c r="U1042" s="49" t="s">
        <v>2341</v>
      </c>
    </row>
    <row r="1043" customFormat="false" ht="15" hidden="false" customHeight="false" outlineLevel="0" collapsed="false">
      <c r="B1043" s="48" t="n">
        <v>45307.4616319445</v>
      </c>
      <c r="C1043" s="4" t="n">
        <f aca="false">YEAR(B1043)</f>
        <v>2024</v>
      </c>
      <c r="D1043" s="49" t="s">
        <v>283</v>
      </c>
      <c r="E1043" s="49" t="s">
        <v>2342</v>
      </c>
      <c r="F1043" s="50" t="n">
        <v>1</v>
      </c>
      <c r="G1043" s="49" t="s">
        <v>280</v>
      </c>
      <c r="H1043" s="51" t="n">
        <v>0.8762</v>
      </c>
      <c r="I1043" s="51" t="n">
        <v>0.1162</v>
      </c>
      <c r="J1043" s="51" t="n">
        <v>0.0076</v>
      </c>
      <c r="K1043" s="49"/>
      <c r="L1043" s="49"/>
      <c r="M1043" s="49"/>
      <c r="N1043" s="49"/>
      <c r="O1043" s="49"/>
      <c r="P1043" s="49"/>
      <c r="Q1043" s="49"/>
      <c r="R1043" s="49"/>
      <c r="S1043" s="49" t="n">
        <v>0</v>
      </c>
      <c r="T1043" s="49" t="n">
        <v>0</v>
      </c>
      <c r="U1043" s="49" t="s">
        <v>2343</v>
      </c>
    </row>
    <row r="1044" customFormat="false" ht="15" hidden="false" customHeight="false" outlineLevel="0" collapsed="false">
      <c r="B1044" s="48" t="n">
        <v>45307.7806597222</v>
      </c>
      <c r="C1044" s="4" t="n">
        <f aca="false">YEAR(B1044)</f>
        <v>2024</v>
      </c>
      <c r="D1044" s="49" t="s">
        <v>283</v>
      </c>
      <c r="E1044" s="49" t="s">
        <v>2344</v>
      </c>
      <c r="F1044" s="50" t="n">
        <v>6</v>
      </c>
      <c r="G1044" s="49" t="s">
        <v>290</v>
      </c>
      <c r="H1044" s="51" t="n">
        <v>0.1841</v>
      </c>
      <c r="I1044" s="51" t="n">
        <v>0.5779</v>
      </c>
      <c r="J1044" s="51" t="n">
        <v>0.238</v>
      </c>
      <c r="K1044" s="49"/>
      <c r="L1044" s="49"/>
      <c r="M1044" s="49"/>
      <c r="N1044" s="49"/>
      <c r="O1044" s="49"/>
      <c r="P1044" s="49"/>
      <c r="Q1044" s="49"/>
      <c r="R1044" s="49"/>
      <c r="S1044" s="49" t="n">
        <v>0</v>
      </c>
      <c r="T1044" s="49" t="n">
        <v>0</v>
      </c>
      <c r="U1044" s="49" t="s">
        <v>2345</v>
      </c>
    </row>
    <row r="1045" customFormat="false" ht="15" hidden="false" customHeight="false" outlineLevel="0" collapsed="false">
      <c r="B1045" s="48" t="n">
        <v>45307.806087963</v>
      </c>
      <c r="C1045" s="4" t="n">
        <f aca="false">YEAR(B1045)</f>
        <v>2024</v>
      </c>
      <c r="D1045" s="49" t="s">
        <v>283</v>
      </c>
      <c r="E1045" s="49" t="s">
        <v>2346</v>
      </c>
      <c r="F1045" s="50" t="n">
        <v>1</v>
      </c>
      <c r="G1045" s="49" t="s">
        <v>287</v>
      </c>
      <c r="H1045" s="51" t="n">
        <v>0.0051</v>
      </c>
      <c r="I1045" s="51" t="n">
        <v>0.0742</v>
      </c>
      <c r="J1045" s="51" t="n">
        <v>0.9208</v>
      </c>
      <c r="K1045" s="49"/>
      <c r="L1045" s="49"/>
      <c r="M1045" s="49"/>
      <c r="N1045" s="49"/>
      <c r="O1045" s="49"/>
      <c r="P1045" s="49"/>
      <c r="Q1045" s="49"/>
      <c r="R1045" s="49"/>
      <c r="S1045" s="49" t="n">
        <v>0</v>
      </c>
      <c r="T1045" s="49" t="n">
        <v>0</v>
      </c>
      <c r="U1045" s="49" t="s">
        <v>2347</v>
      </c>
    </row>
    <row r="1046" customFormat="false" ht="15" hidden="false" customHeight="false" outlineLevel="0" collapsed="false">
      <c r="B1046" s="48" t="n">
        <v>45308.1358796296</v>
      </c>
      <c r="C1046" s="4" t="n">
        <f aca="false">YEAR(B1046)</f>
        <v>2024</v>
      </c>
      <c r="D1046" s="49" t="s">
        <v>283</v>
      </c>
      <c r="E1046" s="49" t="s">
        <v>2348</v>
      </c>
      <c r="F1046" s="50" t="n">
        <v>1</v>
      </c>
      <c r="G1046" s="49" t="s">
        <v>290</v>
      </c>
      <c r="H1046" s="51" t="n">
        <v>0.3799</v>
      </c>
      <c r="I1046" s="51" t="n">
        <v>0.601</v>
      </c>
      <c r="J1046" s="51" t="n">
        <v>0.0191</v>
      </c>
      <c r="K1046" s="49"/>
      <c r="L1046" s="49"/>
      <c r="M1046" s="49"/>
      <c r="N1046" s="49"/>
      <c r="O1046" s="49"/>
      <c r="P1046" s="49"/>
      <c r="Q1046" s="49"/>
      <c r="R1046" s="49"/>
      <c r="S1046" s="49" t="n">
        <v>1</v>
      </c>
      <c r="T1046" s="49" t="n">
        <v>0</v>
      </c>
      <c r="U1046" s="49" t="s">
        <v>2349</v>
      </c>
    </row>
    <row r="1047" customFormat="false" ht="15" hidden="false" customHeight="false" outlineLevel="0" collapsed="false">
      <c r="B1047" s="48" t="n">
        <v>45308.9987847222</v>
      </c>
      <c r="C1047" s="4" t="n">
        <f aca="false">YEAR(B1047)</f>
        <v>2024</v>
      </c>
      <c r="D1047" s="49" t="s">
        <v>278</v>
      </c>
      <c r="E1047" s="49" t="s">
        <v>2350</v>
      </c>
      <c r="F1047" s="50" t="n">
        <v>1</v>
      </c>
      <c r="G1047" s="49" t="s">
        <v>290</v>
      </c>
      <c r="H1047" s="51" t="n">
        <v>0.0157</v>
      </c>
      <c r="I1047" s="51" t="n">
        <v>0.946</v>
      </c>
      <c r="J1047" s="51" t="n">
        <v>0.0383</v>
      </c>
      <c r="K1047" s="49"/>
      <c r="L1047" s="49"/>
      <c r="M1047" s="49"/>
      <c r="N1047" s="49"/>
      <c r="O1047" s="49"/>
      <c r="P1047" s="49"/>
      <c r="Q1047" s="49"/>
      <c r="R1047" s="49" t="s">
        <v>281</v>
      </c>
      <c r="S1047" s="49" t="n">
        <v>1</v>
      </c>
      <c r="T1047" s="49" t="n">
        <v>0</v>
      </c>
      <c r="U1047" s="49" t="s">
        <v>2351</v>
      </c>
    </row>
    <row r="1048" customFormat="false" ht="15" hidden="false" customHeight="false" outlineLevel="0" collapsed="false">
      <c r="B1048" s="48" t="n">
        <v>45309.2778125</v>
      </c>
      <c r="C1048" s="4" t="n">
        <f aca="false">YEAR(B1048)</f>
        <v>2024</v>
      </c>
      <c r="D1048" s="49" t="s">
        <v>283</v>
      </c>
      <c r="E1048" s="49" t="s">
        <v>2352</v>
      </c>
      <c r="F1048" s="50" t="n">
        <v>1</v>
      </c>
      <c r="G1048" s="49" t="s">
        <v>290</v>
      </c>
      <c r="H1048" s="51" t="n">
        <v>0.0104</v>
      </c>
      <c r="I1048" s="51" t="n">
        <v>0.9122</v>
      </c>
      <c r="J1048" s="51" t="n">
        <v>0.0774</v>
      </c>
      <c r="K1048" s="49"/>
      <c r="L1048" s="49"/>
      <c r="M1048" s="49"/>
      <c r="N1048" s="49"/>
      <c r="O1048" s="49"/>
      <c r="P1048" s="49"/>
      <c r="Q1048" s="49"/>
      <c r="R1048" s="49"/>
      <c r="S1048" s="49" t="n">
        <v>1</v>
      </c>
      <c r="T1048" s="49" t="n">
        <v>0</v>
      </c>
      <c r="U1048" s="49" t="s">
        <v>2353</v>
      </c>
    </row>
    <row r="1049" customFormat="false" ht="15" hidden="false" customHeight="false" outlineLevel="0" collapsed="false">
      <c r="B1049" s="48" t="n">
        <v>45309.356724537</v>
      </c>
      <c r="C1049" s="4" t="n">
        <f aca="false">YEAR(B1049)</f>
        <v>2024</v>
      </c>
      <c r="D1049" s="49" t="s">
        <v>278</v>
      </c>
      <c r="E1049" s="49" t="s">
        <v>2354</v>
      </c>
      <c r="F1049" s="50" t="n">
        <v>3</v>
      </c>
      <c r="G1049" s="49" t="s">
        <v>290</v>
      </c>
      <c r="H1049" s="51" t="n">
        <v>0.3145</v>
      </c>
      <c r="I1049" s="51" t="n">
        <v>0.5278</v>
      </c>
      <c r="J1049" s="51" t="n">
        <v>0.1577</v>
      </c>
      <c r="K1049" s="49"/>
      <c r="L1049" s="49"/>
      <c r="M1049" s="49"/>
      <c r="N1049" s="49"/>
      <c r="O1049" s="49"/>
      <c r="P1049" s="49"/>
      <c r="Q1049" s="49"/>
      <c r="R1049" s="49" t="s">
        <v>281</v>
      </c>
      <c r="S1049" s="49" t="n">
        <v>0</v>
      </c>
      <c r="T1049" s="49" t="n">
        <v>0</v>
      </c>
      <c r="U1049" s="49" t="s">
        <v>2355</v>
      </c>
    </row>
    <row r="1050" customFormat="false" ht="15" hidden="false" customHeight="false" outlineLevel="0" collapsed="false">
      <c r="B1050" s="48" t="n">
        <v>45309.3872453704</v>
      </c>
      <c r="C1050" s="4" t="n">
        <f aca="false">YEAR(B1050)</f>
        <v>2024</v>
      </c>
      <c r="D1050" s="49" t="s">
        <v>283</v>
      </c>
      <c r="E1050" s="49" t="s">
        <v>2356</v>
      </c>
      <c r="F1050" s="50" t="n">
        <v>1</v>
      </c>
      <c r="G1050" s="49" t="s">
        <v>290</v>
      </c>
      <c r="H1050" s="51" t="n">
        <v>0.0067</v>
      </c>
      <c r="I1050" s="51" t="n">
        <v>0.9046</v>
      </c>
      <c r="J1050" s="51" t="n">
        <v>0.0887</v>
      </c>
      <c r="K1050" s="49"/>
      <c r="L1050" s="49"/>
      <c r="M1050" s="49"/>
      <c r="N1050" s="49"/>
      <c r="O1050" s="49"/>
      <c r="P1050" s="49"/>
      <c r="Q1050" s="49"/>
      <c r="R1050" s="49"/>
      <c r="S1050" s="49" t="n">
        <v>1</v>
      </c>
      <c r="T1050" s="49" t="n">
        <v>0</v>
      </c>
      <c r="U1050" s="49" t="s">
        <v>2357</v>
      </c>
    </row>
    <row r="1051" customFormat="false" ht="15" hidden="false" customHeight="false" outlineLevel="0" collapsed="false">
      <c r="B1051" s="48" t="n">
        <v>45310.0204050926</v>
      </c>
      <c r="C1051" s="4" t="n">
        <f aca="false">YEAR(B1051)</f>
        <v>2024</v>
      </c>
      <c r="D1051" s="49" t="s">
        <v>278</v>
      </c>
      <c r="E1051" s="49" t="s">
        <v>2358</v>
      </c>
      <c r="F1051" s="50" t="n">
        <v>1</v>
      </c>
      <c r="G1051" s="49" t="s">
        <v>280</v>
      </c>
      <c r="H1051" s="51" t="n">
        <v>0.7533</v>
      </c>
      <c r="I1051" s="51" t="n">
        <v>0.2347</v>
      </c>
      <c r="J1051" s="51" t="n">
        <v>0.012</v>
      </c>
      <c r="K1051" s="49"/>
      <c r="L1051" s="49"/>
      <c r="M1051" s="49"/>
      <c r="N1051" s="49"/>
      <c r="O1051" s="49"/>
      <c r="P1051" s="49"/>
      <c r="Q1051" s="49"/>
      <c r="R1051" s="49"/>
      <c r="S1051" s="49" t="n">
        <v>0</v>
      </c>
      <c r="T1051" s="49" t="n">
        <v>0</v>
      </c>
      <c r="U1051" s="49" t="s">
        <v>2359</v>
      </c>
    </row>
    <row r="1052" customFormat="false" ht="15" hidden="false" customHeight="false" outlineLevel="0" collapsed="false">
      <c r="B1052" s="48" t="n">
        <v>45310.3671064815</v>
      </c>
      <c r="C1052" s="4" t="n">
        <f aca="false">YEAR(B1052)</f>
        <v>2024</v>
      </c>
      <c r="D1052" s="49" t="s">
        <v>283</v>
      </c>
      <c r="E1052" s="49" t="s">
        <v>2360</v>
      </c>
      <c r="F1052" s="50" t="n">
        <v>3</v>
      </c>
      <c r="G1052" s="49" t="s">
        <v>287</v>
      </c>
      <c r="H1052" s="51" t="n">
        <v>0.0023</v>
      </c>
      <c r="I1052" s="51" t="n">
        <v>0.0184</v>
      </c>
      <c r="J1052" s="51" t="n">
        <v>0.9794</v>
      </c>
      <c r="K1052" s="49"/>
      <c r="L1052" s="49"/>
      <c r="M1052" s="49"/>
      <c r="N1052" s="49"/>
      <c r="O1052" s="49"/>
      <c r="P1052" s="49"/>
      <c r="Q1052" s="49"/>
      <c r="R1052" s="49"/>
      <c r="S1052" s="49" t="n">
        <v>0</v>
      </c>
      <c r="T1052" s="49" t="n">
        <v>0</v>
      </c>
      <c r="U1052" s="49" t="s">
        <v>2361</v>
      </c>
    </row>
    <row r="1053" customFormat="false" ht="15" hidden="false" customHeight="false" outlineLevel="0" collapsed="false">
      <c r="B1053" s="48" t="n">
        <v>45310.387974537</v>
      </c>
      <c r="C1053" s="4" t="n">
        <f aca="false">YEAR(B1053)</f>
        <v>2024</v>
      </c>
      <c r="D1053" s="49" t="s">
        <v>278</v>
      </c>
      <c r="E1053" s="49" t="s">
        <v>2362</v>
      </c>
      <c r="F1053" s="50" t="n">
        <v>15</v>
      </c>
      <c r="G1053" s="49" t="s">
        <v>280</v>
      </c>
      <c r="H1053" s="51" t="n">
        <v>0.6176</v>
      </c>
      <c r="I1053" s="51" t="n">
        <v>0.3314</v>
      </c>
      <c r="J1053" s="51" t="n">
        <v>0.051</v>
      </c>
      <c r="K1053" s="49"/>
      <c r="L1053" s="49"/>
      <c r="M1053" s="49"/>
      <c r="N1053" s="49"/>
      <c r="O1053" s="49"/>
      <c r="P1053" s="49"/>
      <c r="Q1053" s="49"/>
      <c r="R1053" s="49" t="s">
        <v>281</v>
      </c>
      <c r="S1053" s="49" t="n">
        <v>0</v>
      </c>
      <c r="T1053" s="49" t="n">
        <v>0</v>
      </c>
      <c r="U1053" s="49" t="s">
        <v>2363</v>
      </c>
    </row>
    <row r="1054" customFormat="false" ht="15" hidden="false" customHeight="false" outlineLevel="0" collapsed="false">
      <c r="B1054" s="48" t="n">
        <v>45310.6664699074</v>
      </c>
      <c r="C1054" s="4" t="n">
        <f aca="false">YEAR(B1054)</f>
        <v>2024</v>
      </c>
      <c r="D1054" s="49" t="s">
        <v>278</v>
      </c>
      <c r="E1054" s="49" t="s">
        <v>2364</v>
      </c>
      <c r="F1054" s="50" t="n">
        <v>1</v>
      </c>
      <c r="G1054" s="49" t="s">
        <v>290</v>
      </c>
      <c r="H1054" s="51" t="n">
        <v>0.0191</v>
      </c>
      <c r="I1054" s="51" t="n">
        <v>0.9533</v>
      </c>
      <c r="J1054" s="51" t="n">
        <v>0.0276</v>
      </c>
      <c r="K1054" s="49"/>
      <c r="L1054" s="49"/>
      <c r="M1054" s="49"/>
      <c r="N1054" s="49"/>
      <c r="O1054" s="49"/>
      <c r="P1054" s="49"/>
      <c r="Q1054" s="49" t="s">
        <v>281</v>
      </c>
      <c r="R1054" s="49"/>
      <c r="S1054" s="49" t="n">
        <v>1</v>
      </c>
      <c r="T1054" s="49" t="n">
        <v>0</v>
      </c>
      <c r="U1054" s="49" t="s">
        <v>2365</v>
      </c>
    </row>
    <row r="1055" customFormat="false" ht="15" hidden="false" customHeight="false" outlineLevel="0" collapsed="false">
      <c r="B1055" s="48" t="n">
        <v>45311.0071296296</v>
      </c>
      <c r="C1055" s="4" t="n">
        <f aca="false">YEAR(B1055)</f>
        <v>2024</v>
      </c>
      <c r="D1055" s="49" t="s">
        <v>283</v>
      </c>
      <c r="E1055" s="49" t="s">
        <v>2366</v>
      </c>
      <c r="F1055" s="50" t="n">
        <v>1</v>
      </c>
      <c r="G1055" s="49" t="s">
        <v>280</v>
      </c>
      <c r="H1055" s="51" t="n">
        <v>0.9271</v>
      </c>
      <c r="I1055" s="51" t="n">
        <v>0.0661</v>
      </c>
      <c r="J1055" s="51" t="n">
        <v>0.0068</v>
      </c>
      <c r="K1055" s="49"/>
      <c r="L1055" s="49"/>
      <c r="M1055" s="49"/>
      <c r="N1055" s="49"/>
      <c r="O1055" s="49"/>
      <c r="P1055" s="49"/>
      <c r="Q1055" s="49"/>
      <c r="R1055" s="49" t="s">
        <v>281</v>
      </c>
      <c r="S1055" s="49" t="n">
        <v>0</v>
      </c>
      <c r="T1055" s="49" t="n">
        <v>0</v>
      </c>
      <c r="U1055" s="49" t="s">
        <v>2367</v>
      </c>
    </row>
    <row r="1056" customFormat="false" ht="15" hidden="false" customHeight="false" outlineLevel="0" collapsed="false">
      <c r="B1056" s="48" t="n">
        <v>45311.0775578704</v>
      </c>
      <c r="C1056" s="4" t="n">
        <f aca="false">YEAR(B1056)</f>
        <v>2024</v>
      </c>
      <c r="D1056" s="49" t="s">
        <v>283</v>
      </c>
      <c r="E1056" s="49" t="s">
        <v>2368</v>
      </c>
      <c r="F1056" s="50" t="n">
        <v>228</v>
      </c>
      <c r="G1056" s="49" t="s">
        <v>287</v>
      </c>
      <c r="H1056" s="51" t="n">
        <v>0.0054</v>
      </c>
      <c r="I1056" s="51" t="n">
        <v>0.1375</v>
      </c>
      <c r="J1056" s="51" t="n">
        <v>0.8571</v>
      </c>
      <c r="K1056" s="49"/>
      <c r="L1056" s="49"/>
      <c r="M1056" s="49"/>
      <c r="N1056" s="49"/>
      <c r="O1056" s="49"/>
      <c r="P1056" s="49"/>
      <c r="Q1056" s="49"/>
      <c r="R1056" s="49"/>
      <c r="S1056" s="49" t="n">
        <v>0</v>
      </c>
      <c r="T1056" s="49" t="n">
        <v>0</v>
      </c>
      <c r="U1056" s="49" t="s">
        <v>2369</v>
      </c>
    </row>
    <row r="1057" customFormat="false" ht="15" hidden="false" customHeight="false" outlineLevel="0" collapsed="false">
      <c r="B1057" s="48" t="n">
        <v>45311.3513194445</v>
      </c>
      <c r="C1057" s="4" t="n">
        <f aca="false">YEAR(B1057)</f>
        <v>2024</v>
      </c>
      <c r="D1057" s="49" t="s">
        <v>278</v>
      </c>
      <c r="E1057" s="49" t="s">
        <v>2370</v>
      </c>
      <c r="F1057" s="50" t="n">
        <v>147</v>
      </c>
      <c r="G1057" s="49" t="s">
        <v>280</v>
      </c>
      <c r="H1057" s="51" t="n">
        <v>0.8199</v>
      </c>
      <c r="I1057" s="51" t="n">
        <v>0.1621</v>
      </c>
      <c r="J1057" s="51" t="n">
        <v>0.018</v>
      </c>
      <c r="K1057" s="49"/>
      <c r="L1057" s="49"/>
      <c r="M1057" s="49"/>
      <c r="N1057" s="49"/>
      <c r="O1057" s="49"/>
      <c r="P1057" s="49"/>
      <c r="Q1057" s="49"/>
      <c r="R1057" s="49"/>
      <c r="S1057" s="49" t="n">
        <v>0</v>
      </c>
      <c r="T1057" s="49" t="n">
        <v>0</v>
      </c>
      <c r="U1057" s="49" t="s">
        <v>2371</v>
      </c>
    </row>
    <row r="1058" customFormat="false" ht="15" hidden="false" customHeight="false" outlineLevel="0" collapsed="false">
      <c r="B1058" s="48" t="n">
        <v>45311.9235185185</v>
      </c>
      <c r="C1058" s="4" t="n">
        <f aca="false">YEAR(B1058)</f>
        <v>2024</v>
      </c>
      <c r="D1058" s="49" t="s">
        <v>283</v>
      </c>
      <c r="E1058" s="49" t="s">
        <v>2372</v>
      </c>
      <c r="F1058" s="50" t="n">
        <v>5</v>
      </c>
      <c r="G1058" s="49" t="s">
        <v>290</v>
      </c>
      <c r="H1058" s="51" t="n">
        <v>0.3768</v>
      </c>
      <c r="I1058" s="51" t="n">
        <v>0.5923</v>
      </c>
      <c r="J1058" s="51" t="n">
        <v>0.0309</v>
      </c>
      <c r="K1058" s="49"/>
      <c r="L1058" s="49"/>
      <c r="M1058" s="49"/>
      <c r="N1058" s="49" t="s">
        <v>281</v>
      </c>
      <c r="O1058" s="49"/>
      <c r="P1058" s="49"/>
      <c r="Q1058" s="49"/>
      <c r="R1058" s="49" t="s">
        <v>281</v>
      </c>
      <c r="S1058" s="49" t="n">
        <v>0</v>
      </c>
      <c r="T1058" s="49" t="n">
        <v>0</v>
      </c>
      <c r="U1058" s="49" t="s">
        <v>2373</v>
      </c>
    </row>
    <row r="1059" customFormat="false" ht="15" hidden="false" customHeight="false" outlineLevel="0" collapsed="false">
      <c r="B1059" s="48" t="n">
        <v>45312.0418518519</v>
      </c>
      <c r="C1059" s="4" t="n">
        <f aca="false">YEAR(B1059)</f>
        <v>2024</v>
      </c>
      <c r="D1059" s="49" t="s">
        <v>283</v>
      </c>
      <c r="E1059" s="49" t="s">
        <v>2374</v>
      </c>
      <c r="F1059" s="50" t="n">
        <v>1</v>
      </c>
      <c r="G1059" s="49" t="s">
        <v>280</v>
      </c>
      <c r="H1059" s="51" t="n">
        <v>0.5993</v>
      </c>
      <c r="I1059" s="51" t="n">
        <v>0.3648</v>
      </c>
      <c r="J1059" s="51" t="n">
        <v>0.0359</v>
      </c>
      <c r="K1059" s="49"/>
      <c r="L1059" s="49"/>
      <c r="M1059" s="49"/>
      <c r="N1059" s="49"/>
      <c r="O1059" s="49"/>
      <c r="P1059" s="49"/>
      <c r="Q1059" s="49"/>
      <c r="R1059" s="49"/>
      <c r="S1059" s="49" t="n">
        <v>0</v>
      </c>
      <c r="T1059" s="49" t="n">
        <v>0</v>
      </c>
      <c r="U1059" s="49" t="s">
        <v>2375</v>
      </c>
    </row>
    <row r="1060" customFormat="false" ht="15" hidden="false" customHeight="false" outlineLevel="0" collapsed="false">
      <c r="B1060" s="48" t="n">
        <v>45312.3149652778</v>
      </c>
      <c r="C1060" s="4" t="n">
        <f aca="false">YEAR(B1060)</f>
        <v>2024</v>
      </c>
      <c r="D1060" s="49" t="s">
        <v>283</v>
      </c>
      <c r="E1060" s="49" t="s">
        <v>2376</v>
      </c>
      <c r="F1060" s="50" t="n">
        <v>40</v>
      </c>
      <c r="G1060" s="49" t="s">
        <v>287</v>
      </c>
      <c r="H1060" s="51" t="n">
        <v>0.0035</v>
      </c>
      <c r="I1060" s="51" t="n">
        <v>0.1521</v>
      </c>
      <c r="J1060" s="51" t="n">
        <v>0.8445</v>
      </c>
      <c r="K1060" s="49"/>
      <c r="L1060" s="49"/>
      <c r="M1060" s="49"/>
      <c r="N1060" s="49"/>
      <c r="O1060" s="49"/>
      <c r="P1060" s="49"/>
      <c r="Q1060" s="49"/>
      <c r="R1060" s="49"/>
      <c r="S1060" s="49" t="n">
        <v>0</v>
      </c>
      <c r="T1060" s="49" t="n">
        <v>0</v>
      </c>
      <c r="U1060" s="49" t="s">
        <v>2377</v>
      </c>
    </row>
    <row r="1061" customFormat="false" ht="15" hidden="false" customHeight="false" outlineLevel="0" collapsed="false">
      <c r="B1061" s="48" t="n">
        <v>45312.4087037037</v>
      </c>
      <c r="C1061" s="4" t="n">
        <f aca="false">YEAR(B1061)</f>
        <v>2024</v>
      </c>
      <c r="D1061" s="49" t="s">
        <v>283</v>
      </c>
      <c r="E1061" s="49" t="s">
        <v>2378</v>
      </c>
      <c r="F1061" s="50" t="n">
        <v>1</v>
      </c>
      <c r="G1061" s="49" t="s">
        <v>287</v>
      </c>
      <c r="H1061" s="51" t="n">
        <v>0.0232</v>
      </c>
      <c r="I1061" s="51" t="n">
        <v>0.1513</v>
      </c>
      <c r="J1061" s="51" t="n">
        <v>0.8256</v>
      </c>
      <c r="K1061" s="49"/>
      <c r="L1061" s="49"/>
      <c r="M1061" s="49"/>
      <c r="N1061" s="49"/>
      <c r="O1061" s="49"/>
      <c r="P1061" s="49"/>
      <c r="Q1061" s="49"/>
      <c r="R1061" s="49"/>
      <c r="S1061" s="49" t="n">
        <v>0</v>
      </c>
      <c r="T1061" s="49" t="n">
        <v>0</v>
      </c>
      <c r="U1061" s="49" t="s">
        <v>2379</v>
      </c>
    </row>
    <row r="1062" customFormat="false" ht="15" hidden="false" customHeight="false" outlineLevel="0" collapsed="false">
      <c r="B1062" s="48" t="n">
        <v>45312.418599537</v>
      </c>
      <c r="C1062" s="4" t="n">
        <f aca="false">YEAR(B1062)</f>
        <v>2024</v>
      </c>
      <c r="D1062" s="49" t="s">
        <v>283</v>
      </c>
      <c r="E1062" s="49" t="s">
        <v>2380</v>
      </c>
      <c r="F1062" s="50" t="n">
        <v>1</v>
      </c>
      <c r="G1062" s="49" t="s">
        <v>290</v>
      </c>
      <c r="H1062" s="51" t="n">
        <v>0.0178</v>
      </c>
      <c r="I1062" s="51" t="n">
        <v>0.7776</v>
      </c>
      <c r="J1062" s="51" t="n">
        <v>0.2045</v>
      </c>
      <c r="K1062" s="49"/>
      <c r="L1062" s="49"/>
      <c r="M1062" s="49"/>
      <c r="N1062" s="49"/>
      <c r="O1062" s="49"/>
      <c r="P1062" s="49"/>
      <c r="Q1062" s="49"/>
      <c r="R1062" s="49"/>
      <c r="S1062" s="49" t="n">
        <v>0</v>
      </c>
      <c r="T1062" s="49" t="n">
        <v>0</v>
      </c>
      <c r="U1062" s="49" t="s">
        <v>2381</v>
      </c>
    </row>
    <row r="1063" customFormat="false" ht="15" hidden="false" customHeight="false" outlineLevel="0" collapsed="false">
      <c r="B1063" s="48" t="n">
        <v>45312.6562615741</v>
      </c>
      <c r="C1063" s="4" t="n">
        <f aca="false">YEAR(B1063)</f>
        <v>2024</v>
      </c>
      <c r="D1063" s="49" t="s">
        <v>283</v>
      </c>
      <c r="E1063" s="49" t="s">
        <v>2382</v>
      </c>
      <c r="F1063" s="50" t="n">
        <v>1</v>
      </c>
      <c r="G1063" s="49" t="s">
        <v>280</v>
      </c>
      <c r="H1063" s="51" t="n">
        <v>0.7377</v>
      </c>
      <c r="I1063" s="51" t="n">
        <v>0.2202</v>
      </c>
      <c r="J1063" s="51" t="n">
        <v>0.0422</v>
      </c>
      <c r="K1063" s="49"/>
      <c r="L1063" s="49"/>
      <c r="M1063" s="49"/>
      <c r="N1063" s="49"/>
      <c r="O1063" s="49"/>
      <c r="P1063" s="49"/>
      <c r="Q1063" s="49"/>
      <c r="R1063" s="49" t="s">
        <v>281</v>
      </c>
      <c r="S1063" s="49" t="n">
        <v>0</v>
      </c>
      <c r="T1063" s="49" t="n">
        <v>0</v>
      </c>
      <c r="U1063" s="49" t="s">
        <v>2383</v>
      </c>
    </row>
    <row r="1064" customFormat="false" ht="15" hidden="false" customHeight="false" outlineLevel="0" collapsed="false">
      <c r="B1064" s="48" t="n">
        <v>45312.6875347222</v>
      </c>
      <c r="C1064" s="4" t="n">
        <f aca="false">YEAR(B1064)</f>
        <v>2024</v>
      </c>
      <c r="D1064" s="49" t="s">
        <v>283</v>
      </c>
      <c r="E1064" s="49" t="s">
        <v>2384</v>
      </c>
      <c r="F1064" s="50" t="n">
        <v>1</v>
      </c>
      <c r="G1064" s="49" t="s">
        <v>280</v>
      </c>
      <c r="H1064" s="51" t="n">
        <v>0.7258</v>
      </c>
      <c r="I1064" s="51" t="n">
        <v>0.2448</v>
      </c>
      <c r="J1064" s="51" t="n">
        <v>0.0294</v>
      </c>
      <c r="K1064" s="49"/>
      <c r="L1064" s="49"/>
      <c r="M1064" s="49"/>
      <c r="N1064" s="49"/>
      <c r="O1064" s="49"/>
      <c r="P1064" s="49"/>
      <c r="Q1064" s="49"/>
      <c r="R1064" s="49"/>
      <c r="S1064" s="49" t="n">
        <v>0</v>
      </c>
      <c r="T1064" s="49" t="n">
        <v>0</v>
      </c>
      <c r="U1064" s="49" t="s">
        <v>2385</v>
      </c>
    </row>
    <row r="1065" customFormat="false" ht="15" hidden="false" customHeight="false" outlineLevel="0" collapsed="false">
      <c r="B1065" s="48" t="n">
        <v>45312.6922916667</v>
      </c>
      <c r="C1065" s="4" t="n">
        <f aca="false">YEAR(B1065)</f>
        <v>2024</v>
      </c>
      <c r="D1065" s="49" t="s">
        <v>283</v>
      </c>
      <c r="E1065" s="49" t="s">
        <v>2386</v>
      </c>
      <c r="F1065" s="50" t="n">
        <v>1</v>
      </c>
      <c r="G1065" s="49" t="s">
        <v>280</v>
      </c>
      <c r="H1065" s="51" t="n">
        <v>0.7023</v>
      </c>
      <c r="I1065" s="51" t="n">
        <v>0.2527</v>
      </c>
      <c r="J1065" s="51" t="n">
        <v>0.045</v>
      </c>
      <c r="K1065" s="49"/>
      <c r="L1065" s="49"/>
      <c r="M1065" s="49"/>
      <c r="N1065" s="49"/>
      <c r="O1065" s="49"/>
      <c r="P1065" s="49"/>
      <c r="Q1065" s="49"/>
      <c r="R1065" s="49" t="s">
        <v>281</v>
      </c>
      <c r="S1065" s="49" t="n">
        <v>0</v>
      </c>
      <c r="T1065" s="49" t="n">
        <v>0</v>
      </c>
      <c r="U1065" s="49" t="s">
        <v>2387</v>
      </c>
    </row>
    <row r="1066" customFormat="false" ht="15" hidden="false" customHeight="false" outlineLevel="0" collapsed="false">
      <c r="B1066" s="48" t="n">
        <v>45313.08125</v>
      </c>
      <c r="C1066" s="4" t="n">
        <f aca="false">YEAR(B1066)</f>
        <v>2024</v>
      </c>
      <c r="D1066" s="49" t="s">
        <v>283</v>
      </c>
      <c r="E1066" s="49" t="s">
        <v>2388</v>
      </c>
      <c r="F1066" s="50" t="n">
        <v>1</v>
      </c>
      <c r="G1066" s="49" t="s">
        <v>280</v>
      </c>
      <c r="H1066" s="51" t="n">
        <v>0.8621</v>
      </c>
      <c r="I1066" s="51" t="n">
        <v>0.1256</v>
      </c>
      <c r="J1066" s="51" t="n">
        <v>0.0124</v>
      </c>
      <c r="K1066" s="49"/>
      <c r="L1066" s="49"/>
      <c r="M1066" s="49"/>
      <c r="N1066" s="49"/>
      <c r="O1066" s="49"/>
      <c r="P1066" s="49"/>
      <c r="Q1066" s="49"/>
      <c r="R1066" s="49"/>
      <c r="S1066" s="49" t="n">
        <v>0</v>
      </c>
      <c r="T1066" s="49" t="n">
        <v>0</v>
      </c>
      <c r="U1066" s="49" t="s">
        <v>2389</v>
      </c>
    </row>
    <row r="1067" customFormat="false" ht="15" hidden="false" customHeight="false" outlineLevel="0" collapsed="false">
      <c r="B1067" s="48" t="n">
        <v>45313.1502893519</v>
      </c>
      <c r="C1067" s="4" t="n">
        <f aca="false">YEAR(B1067)</f>
        <v>2024</v>
      </c>
      <c r="D1067" s="49" t="s">
        <v>283</v>
      </c>
      <c r="E1067" s="49" t="s">
        <v>2390</v>
      </c>
      <c r="F1067" s="50" t="n">
        <v>3</v>
      </c>
      <c r="G1067" s="49" t="s">
        <v>280</v>
      </c>
      <c r="H1067" s="51" t="n">
        <v>0.5506</v>
      </c>
      <c r="I1067" s="51" t="n">
        <v>0.3789</v>
      </c>
      <c r="J1067" s="51" t="n">
        <v>0.0704</v>
      </c>
      <c r="K1067" s="49" t="s">
        <v>281</v>
      </c>
      <c r="L1067" s="49"/>
      <c r="M1067" s="49"/>
      <c r="N1067" s="49"/>
      <c r="O1067" s="49"/>
      <c r="P1067" s="49"/>
      <c r="Q1067" s="49"/>
      <c r="R1067" s="49" t="s">
        <v>281</v>
      </c>
      <c r="S1067" s="49" t="n">
        <v>0</v>
      </c>
      <c r="T1067" s="49" t="n">
        <v>0</v>
      </c>
      <c r="U1067" s="49" t="s">
        <v>2391</v>
      </c>
    </row>
    <row r="1068" customFormat="false" ht="15" hidden="false" customHeight="false" outlineLevel="0" collapsed="false">
      <c r="B1068" s="48" t="n">
        <v>45313.2088888889</v>
      </c>
      <c r="C1068" s="4" t="n">
        <f aca="false">YEAR(B1068)</f>
        <v>2024</v>
      </c>
      <c r="D1068" s="49" t="s">
        <v>283</v>
      </c>
      <c r="E1068" s="49" t="s">
        <v>2392</v>
      </c>
      <c r="F1068" s="50" t="n">
        <v>79</v>
      </c>
      <c r="G1068" s="49" t="s">
        <v>290</v>
      </c>
      <c r="H1068" s="51" t="n">
        <v>0.167</v>
      </c>
      <c r="I1068" s="51" t="n">
        <v>0.7112</v>
      </c>
      <c r="J1068" s="51" t="n">
        <v>0.1218</v>
      </c>
      <c r="K1068" s="49"/>
      <c r="L1068" s="49"/>
      <c r="M1068" s="49"/>
      <c r="N1068" s="49"/>
      <c r="O1068" s="49"/>
      <c r="P1068" s="49"/>
      <c r="Q1068" s="49"/>
      <c r="R1068" s="49" t="s">
        <v>281</v>
      </c>
      <c r="S1068" s="49" t="n">
        <v>0</v>
      </c>
      <c r="T1068" s="49" t="n">
        <v>0</v>
      </c>
      <c r="U1068" s="49" t="s">
        <v>2393</v>
      </c>
    </row>
    <row r="1069" customFormat="false" ht="15" hidden="false" customHeight="false" outlineLevel="0" collapsed="false">
      <c r="B1069" s="48" t="n">
        <v>45313.7644907407</v>
      </c>
      <c r="C1069" s="4" t="n">
        <f aca="false">YEAR(B1069)</f>
        <v>2024</v>
      </c>
      <c r="D1069" s="49" t="s">
        <v>283</v>
      </c>
      <c r="E1069" s="49" t="s">
        <v>2394</v>
      </c>
      <c r="F1069" s="50" t="n">
        <v>1</v>
      </c>
      <c r="G1069" s="49" t="s">
        <v>280</v>
      </c>
      <c r="H1069" s="51" t="n">
        <v>0.6397</v>
      </c>
      <c r="I1069" s="51" t="n">
        <v>0.3374</v>
      </c>
      <c r="J1069" s="51" t="n">
        <v>0.0228</v>
      </c>
      <c r="K1069" s="49"/>
      <c r="L1069" s="49"/>
      <c r="M1069" s="49"/>
      <c r="N1069" s="49"/>
      <c r="O1069" s="49"/>
      <c r="P1069" s="49"/>
      <c r="Q1069" s="49"/>
      <c r="R1069" s="49"/>
      <c r="S1069" s="49" t="n">
        <v>0</v>
      </c>
      <c r="T1069" s="49" t="n">
        <v>0</v>
      </c>
      <c r="U1069" s="49" t="s">
        <v>2395</v>
      </c>
    </row>
    <row r="1070" customFormat="false" ht="15" hidden="false" customHeight="false" outlineLevel="0" collapsed="false">
      <c r="B1070" s="48" t="n">
        <v>45314.3156828704</v>
      </c>
      <c r="C1070" s="4" t="n">
        <f aca="false">YEAR(B1070)</f>
        <v>2024</v>
      </c>
      <c r="D1070" s="49" t="s">
        <v>283</v>
      </c>
      <c r="E1070" s="49" t="s">
        <v>2396</v>
      </c>
      <c r="F1070" s="50" t="n">
        <v>2</v>
      </c>
      <c r="G1070" s="49" t="s">
        <v>280</v>
      </c>
      <c r="H1070" s="51" t="n">
        <v>0.8612</v>
      </c>
      <c r="I1070" s="51" t="n">
        <v>0.1303</v>
      </c>
      <c r="J1070" s="51" t="n">
        <v>0.0085</v>
      </c>
      <c r="K1070" s="49"/>
      <c r="L1070" s="49"/>
      <c r="M1070" s="49"/>
      <c r="N1070" s="49"/>
      <c r="O1070" s="49"/>
      <c r="P1070" s="49"/>
      <c r="Q1070" s="49"/>
      <c r="R1070" s="49" t="s">
        <v>281</v>
      </c>
      <c r="S1070" s="49" t="n">
        <v>0</v>
      </c>
      <c r="T1070" s="49" t="n">
        <v>0</v>
      </c>
      <c r="U1070" s="49" t="s">
        <v>2397</v>
      </c>
    </row>
    <row r="1071" customFormat="false" ht="15" hidden="false" customHeight="false" outlineLevel="0" collapsed="false">
      <c r="B1071" s="48" t="n">
        <v>45314.8932060185</v>
      </c>
      <c r="C1071" s="4" t="n">
        <f aca="false">YEAR(B1071)</f>
        <v>2024</v>
      </c>
      <c r="D1071" s="49" t="s">
        <v>283</v>
      </c>
      <c r="E1071" s="49" t="s">
        <v>2398</v>
      </c>
      <c r="F1071" s="50" t="n">
        <v>2</v>
      </c>
      <c r="G1071" s="49" t="s">
        <v>280</v>
      </c>
      <c r="H1071" s="51" t="n">
        <v>0.6986</v>
      </c>
      <c r="I1071" s="51" t="n">
        <v>0.2928</v>
      </c>
      <c r="J1071" s="51" t="n">
        <v>0.0086</v>
      </c>
      <c r="K1071" s="49"/>
      <c r="L1071" s="49"/>
      <c r="M1071" s="49"/>
      <c r="N1071" s="49"/>
      <c r="O1071" s="49"/>
      <c r="P1071" s="49"/>
      <c r="Q1071" s="49"/>
      <c r="R1071" s="49" t="s">
        <v>281</v>
      </c>
      <c r="S1071" s="49" t="n">
        <v>0</v>
      </c>
      <c r="T1071" s="49" t="n">
        <v>0</v>
      </c>
      <c r="U1071" s="49" t="s">
        <v>2399</v>
      </c>
    </row>
    <row r="1072" customFormat="false" ht="15" hidden="false" customHeight="false" outlineLevel="0" collapsed="false">
      <c r="B1072" s="48" t="n">
        <v>45315.7286342593</v>
      </c>
      <c r="C1072" s="4" t="n">
        <f aca="false">YEAR(B1072)</f>
        <v>2024</v>
      </c>
      <c r="D1072" s="49" t="s">
        <v>283</v>
      </c>
      <c r="E1072" s="49" t="s">
        <v>2400</v>
      </c>
      <c r="F1072" s="50" t="n">
        <v>1</v>
      </c>
      <c r="G1072" s="49" t="s">
        <v>290</v>
      </c>
      <c r="H1072" s="51" t="n">
        <v>0.0095</v>
      </c>
      <c r="I1072" s="51" t="n">
        <v>0.8413</v>
      </c>
      <c r="J1072" s="51" t="n">
        <v>0.1492</v>
      </c>
      <c r="K1072" s="49"/>
      <c r="L1072" s="49"/>
      <c r="M1072" s="49"/>
      <c r="N1072" s="49"/>
      <c r="O1072" s="49"/>
      <c r="P1072" s="49"/>
      <c r="Q1072" s="49"/>
      <c r="R1072" s="49"/>
      <c r="S1072" s="49" t="n">
        <v>1</v>
      </c>
      <c r="T1072" s="49" t="n">
        <v>0</v>
      </c>
      <c r="U1072" s="49" t="s">
        <v>2401</v>
      </c>
    </row>
    <row r="1073" customFormat="false" ht="15" hidden="false" customHeight="false" outlineLevel="0" collapsed="false">
      <c r="B1073" s="48" t="n">
        <v>45315.8860069444</v>
      </c>
      <c r="C1073" s="4" t="n">
        <f aca="false">YEAR(B1073)</f>
        <v>2024</v>
      </c>
      <c r="D1073" s="49" t="s">
        <v>283</v>
      </c>
      <c r="E1073" s="49" t="s">
        <v>2402</v>
      </c>
      <c r="F1073" s="50" t="n">
        <v>4</v>
      </c>
      <c r="G1073" s="49" t="s">
        <v>290</v>
      </c>
      <c r="H1073" s="51" t="n">
        <v>0.4261</v>
      </c>
      <c r="I1073" s="51" t="n">
        <v>0.5437</v>
      </c>
      <c r="J1073" s="51" t="n">
        <v>0.0301</v>
      </c>
      <c r="K1073" s="49"/>
      <c r="L1073" s="49"/>
      <c r="M1073" s="49"/>
      <c r="N1073" s="49"/>
      <c r="O1073" s="49"/>
      <c r="P1073" s="49"/>
      <c r="Q1073" s="49"/>
      <c r="R1073" s="49"/>
      <c r="S1073" s="49" t="n">
        <v>0</v>
      </c>
      <c r="T1073" s="49" t="n">
        <v>0</v>
      </c>
      <c r="U1073" s="49" t="s">
        <v>2403</v>
      </c>
    </row>
    <row r="1074" customFormat="false" ht="15" hidden="false" customHeight="false" outlineLevel="0" collapsed="false">
      <c r="B1074" s="48" t="n">
        <v>45316.6964814815</v>
      </c>
      <c r="C1074" s="4" t="n">
        <f aca="false">YEAR(B1074)</f>
        <v>2024</v>
      </c>
      <c r="D1074" s="49" t="s">
        <v>283</v>
      </c>
      <c r="E1074" s="49" t="s">
        <v>2404</v>
      </c>
      <c r="F1074" s="50" t="n">
        <v>2</v>
      </c>
      <c r="G1074" s="49" t="s">
        <v>290</v>
      </c>
      <c r="H1074" s="51" t="n">
        <v>0.0123</v>
      </c>
      <c r="I1074" s="51" t="n">
        <v>0.5422</v>
      </c>
      <c r="J1074" s="51" t="n">
        <v>0.4455</v>
      </c>
      <c r="K1074" s="49"/>
      <c r="L1074" s="49"/>
      <c r="M1074" s="49"/>
      <c r="N1074" s="49"/>
      <c r="O1074" s="49"/>
      <c r="P1074" s="49"/>
      <c r="Q1074" s="49"/>
      <c r="R1074" s="49"/>
      <c r="S1074" s="49" t="n">
        <v>0</v>
      </c>
      <c r="T1074" s="49" t="n">
        <v>0</v>
      </c>
      <c r="U1074" s="49" t="s">
        <v>2405</v>
      </c>
    </row>
    <row r="1075" customFormat="false" ht="15" hidden="false" customHeight="false" outlineLevel="0" collapsed="false">
      <c r="B1075" s="48" t="n">
        <v>45316.8075115741</v>
      </c>
      <c r="C1075" s="4" t="n">
        <f aca="false">YEAR(B1075)</f>
        <v>2024</v>
      </c>
      <c r="D1075" s="49" t="s">
        <v>278</v>
      </c>
      <c r="E1075" s="49" t="s">
        <v>2406</v>
      </c>
      <c r="F1075" s="50" t="n">
        <v>3</v>
      </c>
      <c r="G1075" s="49" t="s">
        <v>290</v>
      </c>
      <c r="H1075" s="51" t="n">
        <v>0.3877</v>
      </c>
      <c r="I1075" s="51" t="n">
        <v>0.5869</v>
      </c>
      <c r="J1075" s="51" t="n">
        <v>0.0254</v>
      </c>
      <c r="K1075" s="49"/>
      <c r="L1075" s="49"/>
      <c r="M1075" s="49"/>
      <c r="N1075" s="49"/>
      <c r="O1075" s="49"/>
      <c r="P1075" s="49"/>
      <c r="Q1075" s="49"/>
      <c r="R1075" s="49"/>
      <c r="S1075" s="49" t="n">
        <v>0</v>
      </c>
      <c r="T1075" s="49" t="n">
        <v>0</v>
      </c>
      <c r="U1075" s="49" t="s">
        <v>2407</v>
      </c>
    </row>
    <row r="1076" customFormat="false" ht="15" hidden="false" customHeight="false" outlineLevel="0" collapsed="false">
      <c r="B1076" s="48" t="n">
        <v>45316.8841319445</v>
      </c>
      <c r="C1076" s="4" t="n">
        <f aca="false">YEAR(B1076)</f>
        <v>2024</v>
      </c>
      <c r="D1076" s="49" t="s">
        <v>283</v>
      </c>
      <c r="E1076" s="49" t="s">
        <v>2408</v>
      </c>
      <c r="F1076" s="50" t="n">
        <v>1</v>
      </c>
      <c r="G1076" s="49" t="s">
        <v>290</v>
      </c>
      <c r="H1076" s="51" t="n">
        <v>0.0069</v>
      </c>
      <c r="I1076" s="51" t="n">
        <v>0.513</v>
      </c>
      <c r="J1076" s="51" t="n">
        <v>0.4802</v>
      </c>
      <c r="K1076" s="49"/>
      <c r="L1076" s="49"/>
      <c r="M1076" s="49"/>
      <c r="N1076" s="49"/>
      <c r="O1076" s="49"/>
      <c r="P1076" s="49"/>
      <c r="Q1076" s="49"/>
      <c r="R1076" s="49"/>
      <c r="S1076" s="49" t="n">
        <v>0</v>
      </c>
      <c r="T1076" s="49" t="n">
        <v>0</v>
      </c>
      <c r="U1076" s="49" t="s">
        <v>2409</v>
      </c>
    </row>
    <row r="1077" customFormat="false" ht="15" hidden="false" customHeight="false" outlineLevel="0" collapsed="false">
      <c r="B1077" s="48" t="n">
        <v>45317.1216666667</v>
      </c>
      <c r="C1077" s="4" t="n">
        <f aca="false">YEAR(B1077)</f>
        <v>2024</v>
      </c>
      <c r="D1077" s="49" t="s">
        <v>278</v>
      </c>
      <c r="E1077" s="49" t="s">
        <v>2410</v>
      </c>
      <c r="F1077" s="50" t="n">
        <v>1</v>
      </c>
      <c r="G1077" s="49" t="s">
        <v>280</v>
      </c>
      <c r="H1077" s="51" t="n">
        <v>0.8432</v>
      </c>
      <c r="I1077" s="51" t="n">
        <v>0.1482</v>
      </c>
      <c r="J1077" s="51" t="n">
        <v>0.0086</v>
      </c>
      <c r="K1077" s="49"/>
      <c r="L1077" s="49"/>
      <c r="M1077" s="49"/>
      <c r="N1077" s="49"/>
      <c r="O1077" s="49"/>
      <c r="P1077" s="49"/>
      <c r="Q1077" s="49"/>
      <c r="R1077" s="49"/>
      <c r="S1077" s="49" t="n">
        <v>0</v>
      </c>
      <c r="T1077" s="49" t="n">
        <v>0</v>
      </c>
      <c r="U1077" s="49" t="s">
        <v>2411</v>
      </c>
    </row>
    <row r="1078" customFormat="false" ht="15" hidden="false" customHeight="false" outlineLevel="0" collapsed="false">
      <c r="B1078" s="48" t="n">
        <v>45317.7300578704</v>
      </c>
      <c r="C1078" s="4" t="n">
        <f aca="false">YEAR(B1078)</f>
        <v>2024</v>
      </c>
      <c r="D1078" s="49" t="s">
        <v>283</v>
      </c>
      <c r="E1078" s="49" t="s">
        <v>2412</v>
      </c>
      <c r="F1078" s="50" t="n">
        <v>1</v>
      </c>
      <c r="G1078" s="49" t="s">
        <v>290</v>
      </c>
      <c r="H1078" s="51" t="n">
        <v>0.2385</v>
      </c>
      <c r="I1078" s="51" t="n">
        <v>0.6294</v>
      </c>
      <c r="J1078" s="51" t="n">
        <v>0.1321</v>
      </c>
      <c r="K1078" s="49"/>
      <c r="L1078" s="49"/>
      <c r="M1078" s="49"/>
      <c r="N1078" s="49"/>
      <c r="O1078" s="49"/>
      <c r="P1078" s="49"/>
      <c r="Q1078" s="49"/>
      <c r="R1078" s="49"/>
      <c r="S1078" s="49" t="n">
        <v>0</v>
      </c>
      <c r="T1078" s="49" t="n">
        <v>0</v>
      </c>
      <c r="U1078" s="49" t="s">
        <v>2413</v>
      </c>
    </row>
    <row r="1079" customFormat="false" ht="15" hidden="false" customHeight="false" outlineLevel="0" collapsed="false">
      <c r="B1079" s="48" t="n">
        <v>45317.8483796296</v>
      </c>
      <c r="C1079" s="4" t="n">
        <f aca="false">YEAR(B1079)</f>
        <v>2024</v>
      </c>
      <c r="D1079" s="49" t="s">
        <v>283</v>
      </c>
      <c r="E1079" s="49" t="s">
        <v>2414</v>
      </c>
      <c r="F1079" s="50" t="n">
        <v>84</v>
      </c>
      <c r="G1079" s="49" t="s">
        <v>290</v>
      </c>
      <c r="H1079" s="51" t="n">
        <v>0.1266</v>
      </c>
      <c r="I1079" s="51" t="n">
        <v>0.518</v>
      </c>
      <c r="J1079" s="51" t="n">
        <v>0.3554</v>
      </c>
      <c r="K1079" s="49"/>
      <c r="L1079" s="49"/>
      <c r="M1079" s="49"/>
      <c r="N1079" s="49"/>
      <c r="O1079" s="49"/>
      <c r="P1079" s="49"/>
      <c r="Q1079" s="49"/>
      <c r="R1079" s="49" t="s">
        <v>281</v>
      </c>
      <c r="S1079" s="49" t="n">
        <v>0</v>
      </c>
      <c r="T1079" s="49" t="n">
        <v>0</v>
      </c>
      <c r="U1079" s="49" t="s">
        <v>2415</v>
      </c>
    </row>
    <row r="1080" customFormat="false" ht="15" hidden="false" customHeight="false" outlineLevel="0" collapsed="false">
      <c r="B1080" s="48" t="n">
        <v>45318.5711458333</v>
      </c>
      <c r="C1080" s="4" t="n">
        <f aca="false">YEAR(B1080)</f>
        <v>2024</v>
      </c>
      <c r="D1080" s="49" t="s">
        <v>283</v>
      </c>
      <c r="E1080" s="49" t="s">
        <v>2416</v>
      </c>
      <c r="F1080" s="50" t="n">
        <v>1</v>
      </c>
      <c r="G1080" s="49" t="s">
        <v>280</v>
      </c>
      <c r="H1080" s="51" t="n">
        <v>0.665</v>
      </c>
      <c r="I1080" s="51" t="n">
        <v>0.2979</v>
      </c>
      <c r="J1080" s="51" t="n">
        <v>0.0371</v>
      </c>
      <c r="K1080" s="49"/>
      <c r="L1080" s="49"/>
      <c r="M1080" s="49"/>
      <c r="N1080" s="49"/>
      <c r="O1080" s="49"/>
      <c r="P1080" s="49"/>
      <c r="Q1080" s="49"/>
      <c r="R1080" s="49"/>
      <c r="S1080" s="49" t="n">
        <v>0</v>
      </c>
      <c r="T1080" s="49" t="n">
        <v>0</v>
      </c>
      <c r="U1080" s="49" t="s">
        <v>2417</v>
      </c>
    </row>
    <row r="1081" customFormat="false" ht="15" hidden="false" customHeight="false" outlineLevel="0" collapsed="false">
      <c r="B1081" s="48" t="n">
        <v>45319.4261226852</v>
      </c>
      <c r="C1081" s="4" t="n">
        <f aca="false">YEAR(B1081)</f>
        <v>2024</v>
      </c>
      <c r="D1081" s="49" t="s">
        <v>283</v>
      </c>
      <c r="E1081" s="49" t="s">
        <v>2418</v>
      </c>
      <c r="F1081" s="50" t="n">
        <v>1</v>
      </c>
      <c r="G1081" s="49" t="s">
        <v>290</v>
      </c>
      <c r="H1081" s="51" t="n">
        <v>0.1101</v>
      </c>
      <c r="I1081" s="51" t="n">
        <v>0.8566</v>
      </c>
      <c r="J1081" s="51" t="n">
        <v>0.0333</v>
      </c>
      <c r="K1081" s="49"/>
      <c r="L1081" s="49"/>
      <c r="M1081" s="49"/>
      <c r="N1081" s="49"/>
      <c r="O1081" s="49"/>
      <c r="P1081" s="49"/>
      <c r="Q1081" s="49"/>
      <c r="R1081" s="49"/>
      <c r="S1081" s="49" t="n">
        <v>1</v>
      </c>
      <c r="T1081" s="49" t="n">
        <v>0</v>
      </c>
      <c r="U1081" s="49" t="s">
        <v>2419</v>
      </c>
    </row>
    <row r="1082" customFormat="false" ht="15" hidden="false" customHeight="false" outlineLevel="0" collapsed="false">
      <c r="B1082" s="48" t="n">
        <v>45319.6843865741</v>
      </c>
      <c r="C1082" s="4" t="n">
        <f aca="false">YEAR(B1082)</f>
        <v>2024</v>
      </c>
      <c r="D1082" s="49" t="s">
        <v>283</v>
      </c>
      <c r="E1082" s="49" t="s">
        <v>2420</v>
      </c>
      <c r="F1082" s="50" t="n">
        <v>1</v>
      </c>
      <c r="G1082" s="49" t="s">
        <v>290</v>
      </c>
      <c r="H1082" s="51" t="n">
        <v>0.1706</v>
      </c>
      <c r="I1082" s="51" t="n">
        <v>0.7788</v>
      </c>
      <c r="J1082" s="51" t="n">
        <v>0.0507</v>
      </c>
      <c r="K1082" s="49"/>
      <c r="L1082" s="49"/>
      <c r="M1082" s="49"/>
      <c r="N1082" s="49"/>
      <c r="O1082" s="49"/>
      <c r="P1082" s="49"/>
      <c r="Q1082" s="49"/>
      <c r="R1082" s="49"/>
      <c r="S1082" s="49" t="n">
        <v>0</v>
      </c>
      <c r="T1082" s="49" t="n">
        <v>0</v>
      </c>
      <c r="U1082" s="49" t="s">
        <v>2421</v>
      </c>
    </row>
    <row r="1083" customFormat="false" ht="15" hidden="false" customHeight="false" outlineLevel="0" collapsed="false">
      <c r="B1083" s="48" t="n">
        <v>45319.8038773148</v>
      </c>
      <c r="C1083" s="4" t="n">
        <f aca="false">YEAR(B1083)</f>
        <v>2024</v>
      </c>
      <c r="D1083" s="49" t="s">
        <v>283</v>
      </c>
      <c r="E1083" s="49" t="s">
        <v>2422</v>
      </c>
      <c r="F1083" s="50" t="n">
        <v>1</v>
      </c>
      <c r="G1083" s="49" t="s">
        <v>287</v>
      </c>
      <c r="H1083" s="51" t="n">
        <v>0.0032</v>
      </c>
      <c r="I1083" s="51" t="n">
        <v>0.2407</v>
      </c>
      <c r="J1083" s="51" t="n">
        <v>0.7561</v>
      </c>
      <c r="K1083" s="49"/>
      <c r="L1083" s="49"/>
      <c r="M1083" s="49"/>
      <c r="N1083" s="49"/>
      <c r="O1083" s="49"/>
      <c r="P1083" s="49"/>
      <c r="Q1083" s="49"/>
      <c r="R1083" s="49"/>
      <c r="S1083" s="49" t="n">
        <v>1</v>
      </c>
      <c r="T1083" s="49" t="n">
        <v>0</v>
      </c>
      <c r="U1083" s="49" t="s">
        <v>2423</v>
      </c>
    </row>
    <row r="1084" customFormat="false" ht="15" hidden="false" customHeight="false" outlineLevel="0" collapsed="false">
      <c r="B1084" s="48" t="n">
        <v>45319.9081481482</v>
      </c>
      <c r="C1084" s="4" t="n">
        <f aca="false">YEAR(B1084)</f>
        <v>2024</v>
      </c>
      <c r="D1084" s="49" t="s">
        <v>283</v>
      </c>
      <c r="E1084" s="49" t="s">
        <v>2424</v>
      </c>
      <c r="F1084" s="50" t="n">
        <v>3</v>
      </c>
      <c r="G1084" s="49" t="s">
        <v>290</v>
      </c>
      <c r="H1084" s="51" t="n">
        <v>0.3992</v>
      </c>
      <c r="I1084" s="51" t="n">
        <v>0.4251</v>
      </c>
      <c r="J1084" s="51" t="n">
        <v>0.1756</v>
      </c>
      <c r="K1084" s="49"/>
      <c r="L1084" s="49"/>
      <c r="M1084" s="49"/>
      <c r="N1084" s="49"/>
      <c r="O1084" s="49"/>
      <c r="P1084" s="49"/>
      <c r="Q1084" s="49"/>
      <c r="R1084" s="49"/>
      <c r="S1084" s="49" t="n">
        <v>0</v>
      </c>
      <c r="T1084" s="49" t="n">
        <v>0</v>
      </c>
      <c r="U1084" s="49" t="s">
        <v>2425</v>
      </c>
    </row>
    <row r="1085" customFormat="false" ht="15" hidden="false" customHeight="false" outlineLevel="0" collapsed="false">
      <c r="B1085" s="48" t="n">
        <v>45320.0199884259</v>
      </c>
      <c r="C1085" s="4" t="n">
        <f aca="false">YEAR(B1085)</f>
        <v>2024</v>
      </c>
      <c r="D1085" s="49" t="s">
        <v>283</v>
      </c>
      <c r="E1085" s="49" t="s">
        <v>2426</v>
      </c>
      <c r="F1085" s="50" t="n">
        <v>14</v>
      </c>
      <c r="G1085" s="49" t="s">
        <v>287</v>
      </c>
      <c r="H1085" s="51" t="n">
        <v>0.0046</v>
      </c>
      <c r="I1085" s="51" t="n">
        <v>0.4158</v>
      </c>
      <c r="J1085" s="51" t="n">
        <v>0.5796</v>
      </c>
      <c r="K1085" s="49"/>
      <c r="L1085" s="49"/>
      <c r="M1085" s="49"/>
      <c r="N1085" s="49"/>
      <c r="O1085" s="49"/>
      <c r="P1085" s="49"/>
      <c r="Q1085" s="49"/>
      <c r="R1085" s="49"/>
      <c r="S1085" s="49" t="n">
        <v>0</v>
      </c>
      <c r="T1085" s="49" t="n">
        <v>0</v>
      </c>
      <c r="U1085" s="49" t="s">
        <v>2427</v>
      </c>
    </row>
    <row r="1086" customFormat="false" ht="15" hidden="false" customHeight="false" outlineLevel="0" collapsed="false">
      <c r="B1086" s="48" t="n">
        <v>45320.0981365741</v>
      </c>
      <c r="C1086" s="4" t="n">
        <f aca="false">YEAR(B1086)</f>
        <v>2024</v>
      </c>
      <c r="D1086" s="49" t="s">
        <v>278</v>
      </c>
      <c r="E1086" s="49" t="s">
        <v>2428</v>
      </c>
      <c r="F1086" s="50" t="n">
        <v>1</v>
      </c>
      <c r="G1086" s="49" t="s">
        <v>290</v>
      </c>
      <c r="H1086" s="51" t="n">
        <v>0.1843</v>
      </c>
      <c r="I1086" s="51" t="n">
        <v>0.7861</v>
      </c>
      <c r="J1086" s="51" t="n">
        <v>0.0297</v>
      </c>
      <c r="K1086" s="49"/>
      <c r="L1086" s="49"/>
      <c r="M1086" s="49"/>
      <c r="N1086" s="49"/>
      <c r="O1086" s="49"/>
      <c r="P1086" s="49"/>
      <c r="Q1086" s="49"/>
      <c r="R1086" s="49"/>
      <c r="S1086" s="49" t="n">
        <v>0</v>
      </c>
      <c r="T1086" s="49" t="n">
        <v>0</v>
      </c>
      <c r="U1086" s="49" t="s">
        <v>2429</v>
      </c>
    </row>
    <row r="1087" customFormat="false" ht="15" hidden="false" customHeight="false" outlineLevel="0" collapsed="false">
      <c r="B1087" s="48" t="n">
        <v>45320.6526388889</v>
      </c>
      <c r="C1087" s="4" t="n">
        <f aca="false">YEAR(B1087)</f>
        <v>2024</v>
      </c>
      <c r="D1087" s="49" t="s">
        <v>283</v>
      </c>
      <c r="E1087" s="49" t="s">
        <v>2430</v>
      </c>
      <c r="F1087" s="50" t="n">
        <v>2</v>
      </c>
      <c r="G1087" s="49" t="s">
        <v>290</v>
      </c>
      <c r="H1087" s="51" t="n">
        <v>0.3186</v>
      </c>
      <c r="I1087" s="51" t="n">
        <v>0.6063</v>
      </c>
      <c r="J1087" s="51" t="n">
        <v>0.0751</v>
      </c>
      <c r="K1087" s="49"/>
      <c r="L1087" s="49"/>
      <c r="M1087" s="49"/>
      <c r="N1087" s="49"/>
      <c r="O1087" s="49"/>
      <c r="P1087" s="49"/>
      <c r="Q1087" s="49"/>
      <c r="R1087" s="49" t="s">
        <v>281</v>
      </c>
      <c r="S1087" s="49" t="n">
        <v>0</v>
      </c>
      <c r="T1087" s="49" t="n">
        <v>0</v>
      </c>
      <c r="U1087" s="49" t="s">
        <v>2431</v>
      </c>
    </row>
    <row r="1088" customFormat="false" ht="15" hidden="false" customHeight="false" outlineLevel="0" collapsed="false">
      <c r="B1088" s="48" t="n">
        <v>45321.1053472222</v>
      </c>
      <c r="C1088" s="4" t="n">
        <f aca="false">YEAR(B1088)</f>
        <v>2024</v>
      </c>
      <c r="D1088" s="49" t="s">
        <v>278</v>
      </c>
      <c r="E1088" s="49" t="s">
        <v>2432</v>
      </c>
      <c r="F1088" s="50" t="n">
        <v>3</v>
      </c>
      <c r="G1088" s="49" t="s">
        <v>290</v>
      </c>
      <c r="H1088" s="51" t="n">
        <v>0.1805</v>
      </c>
      <c r="I1088" s="51" t="n">
        <v>0.4586</v>
      </c>
      <c r="J1088" s="51" t="n">
        <v>0.3609</v>
      </c>
      <c r="K1088" s="49"/>
      <c r="L1088" s="49"/>
      <c r="M1088" s="49"/>
      <c r="N1088" s="49"/>
      <c r="O1088" s="49"/>
      <c r="P1088" s="49"/>
      <c r="Q1088" s="49"/>
      <c r="R1088" s="49"/>
      <c r="S1088" s="49" t="n">
        <v>0</v>
      </c>
      <c r="T1088" s="49" t="n">
        <v>0</v>
      </c>
      <c r="U1088" s="49" t="s">
        <v>2433</v>
      </c>
    </row>
    <row r="1089" customFormat="false" ht="15" hidden="false" customHeight="false" outlineLevel="0" collapsed="false">
      <c r="B1089" s="48" t="n">
        <v>45321.1861458333</v>
      </c>
      <c r="C1089" s="4" t="n">
        <f aca="false">YEAR(B1089)</f>
        <v>2024</v>
      </c>
      <c r="D1089" s="49" t="s">
        <v>283</v>
      </c>
      <c r="E1089" s="49" t="s">
        <v>2434</v>
      </c>
      <c r="F1089" s="50" t="n">
        <v>1</v>
      </c>
      <c r="G1089" s="49" t="s">
        <v>280</v>
      </c>
      <c r="H1089" s="51" t="n">
        <v>0.7965</v>
      </c>
      <c r="I1089" s="51" t="n">
        <v>0.1865</v>
      </c>
      <c r="J1089" s="51" t="n">
        <v>0.017</v>
      </c>
      <c r="K1089" s="49" t="s">
        <v>281</v>
      </c>
      <c r="L1089" s="49"/>
      <c r="M1089" s="49"/>
      <c r="N1089" s="49"/>
      <c r="O1089" s="49"/>
      <c r="P1089" s="49"/>
      <c r="Q1089" s="49"/>
      <c r="R1089" s="49"/>
      <c r="S1089" s="49" t="n">
        <v>0</v>
      </c>
      <c r="T1089" s="49" t="n">
        <v>0</v>
      </c>
      <c r="U1089" s="49" t="s">
        <v>2435</v>
      </c>
    </row>
    <row r="1090" customFormat="false" ht="15" hidden="false" customHeight="false" outlineLevel="0" collapsed="false">
      <c r="B1090" s="48" t="n">
        <v>45321.7387152778</v>
      </c>
      <c r="C1090" s="4" t="n">
        <f aca="false">YEAR(B1090)</f>
        <v>2024</v>
      </c>
      <c r="D1090" s="49" t="s">
        <v>278</v>
      </c>
      <c r="E1090" s="49" t="s">
        <v>2436</v>
      </c>
      <c r="F1090" s="50" t="n">
        <v>1</v>
      </c>
      <c r="G1090" s="49" t="s">
        <v>290</v>
      </c>
      <c r="H1090" s="51" t="n">
        <v>0.2204</v>
      </c>
      <c r="I1090" s="51" t="n">
        <v>0.6671</v>
      </c>
      <c r="J1090" s="51" t="n">
        <v>0.1125</v>
      </c>
      <c r="K1090" s="49"/>
      <c r="L1090" s="49"/>
      <c r="M1090" s="49"/>
      <c r="N1090" s="49"/>
      <c r="O1090" s="49"/>
      <c r="P1090" s="49"/>
      <c r="Q1090" s="49"/>
      <c r="R1090" s="49" t="s">
        <v>281</v>
      </c>
      <c r="S1090" s="49" t="n">
        <v>0</v>
      </c>
      <c r="T1090" s="49" t="n">
        <v>0</v>
      </c>
      <c r="U1090" s="49" t="s">
        <v>2437</v>
      </c>
    </row>
    <row r="1091" customFormat="false" ht="15" hidden="false" customHeight="false" outlineLevel="0" collapsed="false">
      <c r="B1091" s="48" t="n">
        <v>45323.1084837963</v>
      </c>
      <c r="C1091" s="4" t="n">
        <f aca="false">YEAR(B1091)</f>
        <v>2024</v>
      </c>
      <c r="D1091" s="49" t="s">
        <v>283</v>
      </c>
      <c r="E1091" s="49" t="s">
        <v>2438</v>
      </c>
      <c r="F1091" s="50" t="n">
        <v>1</v>
      </c>
      <c r="G1091" s="49" t="s">
        <v>290</v>
      </c>
      <c r="H1091" s="51" t="n">
        <v>0.0191</v>
      </c>
      <c r="I1091" s="51" t="n">
        <v>0.9246</v>
      </c>
      <c r="J1091" s="51" t="n">
        <v>0.0562</v>
      </c>
      <c r="K1091" s="49"/>
      <c r="L1091" s="49"/>
      <c r="M1091" s="49"/>
      <c r="N1091" s="49"/>
      <c r="O1091" s="49"/>
      <c r="P1091" s="49"/>
      <c r="Q1091" s="49"/>
      <c r="R1091" s="49"/>
      <c r="S1091" s="49" t="n">
        <v>1</v>
      </c>
      <c r="T1091" s="49" t="n">
        <v>0</v>
      </c>
      <c r="U1091" s="49" t="s">
        <v>2439</v>
      </c>
    </row>
    <row r="1092" customFormat="false" ht="15" hidden="false" customHeight="false" outlineLevel="0" collapsed="false">
      <c r="B1092" s="48" t="n">
        <v>45323.3381481482</v>
      </c>
      <c r="C1092" s="4" t="n">
        <f aca="false">YEAR(B1092)</f>
        <v>2024</v>
      </c>
      <c r="D1092" s="49" t="s">
        <v>283</v>
      </c>
      <c r="E1092" s="49" t="s">
        <v>2440</v>
      </c>
      <c r="F1092" s="50" t="n">
        <v>1</v>
      </c>
      <c r="G1092" s="49" t="s">
        <v>290</v>
      </c>
      <c r="H1092" s="51" t="n">
        <v>0.0165</v>
      </c>
      <c r="I1092" s="51" t="n">
        <v>0.5791</v>
      </c>
      <c r="J1092" s="51" t="n">
        <v>0.4044</v>
      </c>
      <c r="K1092" s="49"/>
      <c r="L1092" s="49"/>
      <c r="M1092" s="49"/>
      <c r="N1092" s="49"/>
      <c r="O1092" s="49"/>
      <c r="P1092" s="49"/>
      <c r="Q1092" s="49"/>
      <c r="R1092" s="49"/>
      <c r="S1092" s="49" t="n">
        <v>0</v>
      </c>
      <c r="T1092" s="49" t="n">
        <v>0</v>
      </c>
      <c r="U1092" s="49" t="s">
        <v>2441</v>
      </c>
    </row>
    <row r="1093" customFormat="false" ht="15" hidden="false" customHeight="false" outlineLevel="0" collapsed="false">
      <c r="B1093" s="48" t="n">
        <v>45323.3474074074</v>
      </c>
      <c r="C1093" s="4" t="n">
        <f aca="false">YEAR(B1093)</f>
        <v>2024</v>
      </c>
      <c r="D1093" s="49" t="s">
        <v>283</v>
      </c>
      <c r="E1093" s="49" t="s">
        <v>2442</v>
      </c>
      <c r="F1093" s="50" t="n">
        <v>5</v>
      </c>
      <c r="G1093" s="49" t="s">
        <v>287</v>
      </c>
      <c r="H1093" s="51" t="n">
        <v>0.0313</v>
      </c>
      <c r="I1093" s="51" t="n">
        <v>0.3745</v>
      </c>
      <c r="J1093" s="51" t="n">
        <v>0.5942</v>
      </c>
      <c r="K1093" s="49"/>
      <c r="L1093" s="49"/>
      <c r="M1093" s="49"/>
      <c r="N1093" s="49"/>
      <c r="O1093" s="49"/>
      <c r="P1093" s="49"/>
      <c r="Q1093" s="49"/>
      <c r="R1093" s="49"/>
      <c r="S1093" s="49" t="n">
        <v>0</v>
      </c>
      <c r="T1093" s="49" t="n">
        <v>0</v>
      </c>
      <c r="U1093" s="49" t="s">
        <v>2443</v>
      </c>
    </row>
    <row r="1094" customFormat="false" ht="15" hidden="false" customHeight="false" outlineLevel="0" collapsed="false">
      <c r="B1094" s="48" t="n">
        <v>45323.625474537</v>
      </c>
      <c r="C1094" s="4" t="n">
        <f aca="false">YEAR(B1094)</f>
        <v>2024</v>
      </c>
      <c r="D1094" s="49" t="s">
        <v>283</v>
      </c>
      <c r="E1094" s="49" t="s">
        <v>2444</v>
      </c>
      <c r="F1094" s="50" t="n">
        <v>1</v>
      </c>
      <c r="G1094" s="49" t="s">
        <v>287</v>
      </c>
      <c r="H1094" s="51" t="n">
        <v>0.008</v>
      </c>
      <c r="I1094" s="51" t="n">
        <v>0.3729</v>
      </c>
      <c r="J1094" s="51" t="n">
        <v>0.6191</v>
      </c>
      <c r="K1094" s="49"/>
      <c r="L1094" s="49"/>
      <c r="M1094" s="49"/>
      <c r="N1094" s="49"/>
      <c r="O1094" s="49"/>
      <c r="P1094" s="49"/>
      <c r="Q1094" s="49"/>
      <c r="R1094" s="49"/>
      <c r="S1094" s="49" t="n">
        <v>0</v>
      </c>
      <c r="T1094" s="49" t="n">
        <v>0</v>
      </c>
      <c r="U1094" s="49" t="s">
        <v>2445</v>
      </c>
    </row>
    <row r="1095" customFormat="false" ht="15" hidden="false" customHeight="false" outlineLevel="0" collapsed="false">
      <c r="B1095" s="48" t="n">
        <v>45323.8742361111</v>
      </c>
      <c r="C1095" s="4" t="n">
        <f aca="false">YEAR(B1095)</f>
        <v>2024</v>
      </c>
      <c r="D1095" s="49" t="s">
        <v>283</v>
      </c>
      <c r="E1095" s="49" t="s">
        <v>2446</v>
      </c>
      <c r="F1095" s="50" t="n">
        <v>1</v>
      </c>
      <c r="G1095" s="49" t="s">
        <v>280</v>
      </c>
      <c r="H1095" s="51" t="n">
        <v>0.8406</v>
      </c>
      <c r="I1095" s="51" t="n">
        <v>0.1486</v>
      </c>
      <c r="J1095" s="51" t="n">
        <v>0.0109</v>
      </c>
      <c r="K1095" s="49" t="s">
        <v>281</v>
      </c>
      <c r="L1095" s="49"/>
      <c r="M1095" s="49"/>
      <c r="N1095" s="49"/>
      <c r="O1095" s="49"/>
      <c r="P1095" s="49"/>
      <c r="Q1095" s="49"/>
      <c r="R1095" s="49"/>
      <c r="S1095" s="49" t="n">
        <v>0</v>
      </c>
      <c r="T1095" s="49" t="n">
        <v>0</v>
      </c>
      <c r="U1095" s="49" t="s">
        <v>2447</v>
      </c>
    </row>
    <row r="1096" customFormat="false" ht="15" hidden="false" customHeight="false" outlineLevel="0" collapsed="false">
      <c r="B1096" s="48" t="n">
        <v>45325.0213310185</v>
      </c>
      <c r="C1096" s="4" t="n">
        <f aca="false">YEAR(B1096)</f>
        <v>2024</v>
      </c>
      <c r="D1096" s="49" t="s">
        <v>283</v>
      </c>
      <c r="E1096" s="49" t="s">
        <v>2448</v>
      </c>
      <c r="F1096" s="50" t="n">
        <v>2</v>
      </c>
      <c r="G1096" s="49" t="s">
        <v>287</v>
      </c>
      <c r="H1096" s="51" t="n">
        <v>0.0027</v>
      </c>
      <c r="I1096" s="51" t="n">
        <v>0.0815</v>
      </c>
      <c r="J1096" s="51" t="n">
        <v>0.9158</v>
      </c>
      <c r="K1096" s="49"/>
      <c r="L1096" s="49"/>
      <c r="M1096" s="49"/>
      <c r="N1096" s="49"/>
      <c r="O1096" s="49"/>
      <c r="P1096" s="49"/>
      <c r="Q1096" s="49"/>
      <c r="R1096" s="49"/>
      <c r="S1096" s="49" t="n">
        <v>0</v>
      </c>
      <c r="T1096" s="49" t="n">
        <v>0</v>
      </c>
      <c r="U1096" s="49" t="s">
        <v>2449</v>
      </c>
    </row>
    <row r="1097" customFormat="false" ht="15" hidden="false" customHeight="false" outlineLevel="0" collapsed="false">
      <c r="B1097" s="48" t="n">
        <v>45325.1883564815</v>
      </c>
      <c r="C1097" s="4" t="n">
        <f aca="false">YEAR(B1097)</f>
        <v>2024</v>
      </c>
      <c r="D1097" s="49" t="s">
        <v>283</v>
      </c>
      <c r="E1097" s="49" t="s">
        <v>2450</v>
      </c>
      <c r="F1097" s="50" t="n">
        <v>1</v>
      </c>
      <c r="G1097" s="49" t="s">
        <v>290</v>
      </c>
      <c r="H1097" s="51" t="n">
        <v>0.3392</v>
      </c>
      <c r="I1097" s="51" t="n">
        <v>0.5738</v>
      </c>
      <c r="J1097" s="51" t="n">
        <v>0.0871</v>
      </c>
      <c r="K1097" s="49"/>
      <c r="L1097" s="49"/>
      <c r="M1097" s="49"/>
      <c r="N1097" s="49"/>
      <c r="O1097" s="49"/>
      <c r="P1097" s="49"/>
      <c r="Q1097" s="49"/>
      <c r="R1097" s="49"/>
      <c r="S1097" s="49" t="n">
        <v>0</v>
      </c>
      <c r="T1097" s="49" t="n">
        <v>0</v>
      </c>
      <c r="U1097" s="49" t="s">
        <v>2451</v>
      </c>
    </row>
    <row r="1098" customFormat="false" ht="15" hidden="false" customHeight="false" outlineLevel="0" collapsed="false">
      <c r="B1098" s="48" t="n">
        <v>45325.3910763889</v>
      </c>
      <c r="C1098" s="4" t="n">
        <f aca="false">YEAR(B1098)</f>
        <v>2024</v>
      </c>
      <c r="D1098" s="49" t="s">
        <v>283</v>
      </c>
      <c r="E1098" s="49" t="s">
        <v>2452</v>
      </c>
      <c r="F1098" s="50" t="n">
        <v>1</v>
      </c>
      <c r="G1098" s="49" t="s">
        <v>280</v>
      </c>
      <c r="H1098" s="51" t="n">
        <v>0.9218</v>
      </c>
      <c r="I1098" s="51" t="n">
        <v>0.0715</v>
      </c>
      <c r="J1098" s="51" t="n">
        <v>0.0067</v>
      </c>
      <c r="K1098" s="49" t="s">
        <v>281</v>
      </c>
      <c r="L1098" s="49"/>
      <c r="M1098" s="49"/>
      <c r="N1098" s="49"/>
      <c r="O1098" s="49"/>
      <c r="P1098" s="49"/>
      <c r="Q1098" s="49"/>
      <c r="R1098" s="49"/>
      <c r="S1098" s="49" t="n">
        <v>0</v>
      </c>
      <c r="T1098" s="49" t="n">
        <v>0</v>
      </c>
      <c r="U1098" s="49" t="s">
        <v>2453</v>
      </c>
    </row>
    <row r="1099" customFormat="false" ht="15" hidden="false" customHeight="false" outlineLevel="0" collapsed="false">
      <c r="B1099" s="48" t="n">
        <v>45325.4464699074</v>
      </c>
      <c r="C1099" s="4" t="n">
        <f aca="false">YEAR(B1099)</f>
        <v>2024</v>
      </c>
      <c r="D1099" s="49" t="s">
        <v>283</v>
      </c>
      <c r="E1099" s="49" t="s">
        <v>2454</v>
      </c>
      <c r="F1099" s="50" t="n">
        <v>1</v>
      </c>
      <c r="G1099" s="49" t="s">
        <v>280</v>
      </c>
      <c r="H1099" s="51" t="n">
        <v>0.8702</v>
      </c>
      <c r="I1099" s="51" t="n">
        <v>0.118</v>
      </c>
      <c r="J1099" s="51" t="n">
        <v>0.0118</v>
      </c>
      <c r="K1099" s="49"/>
      <c r="L1099" s="49"/>
      <c r="M1099" s="49"/>
      <c r="N1099" s="49"/>
      <c r="O1099" s="49"/>
      <c r="P1099" s="49"/>
      <c r="Q1099" s="49"/>
      <c r="R1099" s="49"/>
      <c r="S1099" s="49" t="n">
        <v>0</v>
      </c>
      <c r="T1099" s="49" t="n">
        <v>0</v>
      </c>
      <c r="U1099" s="49" t="s">
        <v>2455</v>
      </c>
    </row>
    <row r="1100" customFormat="false" ht="15" hidden="false" customHeight="false" outlineLevel="0" collapsed="false">
      <c r="B1100" s="48" t="n">
        <v>45325.8349652778</v>
      </c>
      <c r="C1100" s="4" t="n">
        <f aca="false">YEAR(B1100)</f>
        <v>2024</v>
      </c>
      <c r="D1100" s="49" t="s">
        <v>283</v>
      </c>
      <c r="E1100" s="49" t="s">
        <v>2456</v>
      </c>
      <c r="F1100" s="50" t="n">
        <v>1</v>
      </c>
      <c r="G1100" s="49" t="s">
        <v>280</v>
      </c>
      <c r="H1100" s="51" t="n">
        <v>0.651</v>
      </c>
      <c r="I1100" s="51" t="n">
        <v>0.309</v>
      </c>
      <c r="J1100" s="51" t="n">
        <v>0.04</v>
      </c>
      <c r="K1100" s="49"/>
      <c r="L1100" s="49"/>
      <c r="M1100" s="49"/>
      <c r="N1100" s="49"/>
      <c r="O1100" s="49"/>
      <c r="P1100" s="49"/>
      <c r="Q1100" s="49" t="s">
        <v>281</v>
      </c>
      <c r="R1100" s="49"/>
      <c r="S1100" s="49" t="n">
        <v>0</v>
      </c>
      <c r="T1100" s="49" t="n">
        <v>0</v>
      </c>
      <c r="U1100" s="49" t="s">
        <v>2457</v>
      </c>
    </row>
    <row r="1101" customFormat="false" ht="15" hidden="false" customHeight="false" outlineLevel="0" collapsed="false">
      <c r="B1101" s="48" t="n">
        <v>45325.8546064815</v>
      </c>
      <c r="C1101" s="4" t="n">
        <f aca="false">YEAR(B1101)</f>
        <v>2024</v>
      </c>
      <c r="D1101" s="49" t="s">
        <v>283</v>
      </c>
      <c r="E1101" s="49" t="s">
        <v>2458</v>
      </c>
      <c r="F1101" s="50" t="n">
        <v>1</v>
      </c>
      <c r="G1101" s="49" t="s">
        <v>290</v>
      </c>
      <c r="H1101" s="51" t="n">
        <v>0.0145</v>
      </c>
      <c r="I1101" s="51" t="n">
        <v>0.8554</v>
      </c>
      <c r="J1101" s="51" t="n">
        <v>0.1301</v>
      </c>
      <c r="K1101" s="49"/>
      <c r="L1101" s="49"/>
      <c r="M1101" s="49"/>
      <c r="N1101" s="49"/>
      <c r="O1101" s="49"/>
      <c r="P1101" s="49"/>
      <c r="Q1101" s="49"/>
      <c r="R1101" s="49"/>
      <c r="S1101" s="49" t="n">
        <v>0</v>
      </c>
      <c r="T1101" s="49" t="n">
        <v>0</v>
      </c>
      <c r="U1101" s="49" t="s">
        <v>2459</v>
      </c>
    </row>
    <row r="1102" customFormat="false" ht="15" hidden="false" customHeight="false" outlineLevel="0" collapsed="false">
      <c r="B1102" s="48" t="n">
        <v>45326.3216550926</v>
      </c>
      <c r="C1102" s="4" t="n">
        <f aca="false">YEAR(B1102)</f>
        <v>2024</v>
      </c>
      <c r="D1102" s="49" t="s">
        <v>283</v>
      </c>
      <c r="E1102" s="49" t="s">
        <v>2460</v>
      </c>
      <c r="F1102" s="50" t="n">
        <v>6</v>
      </c>
      <c r="G1102" s="49" t="s">
        <v>290</v>
      </c>
      <c r="H1102" s="51" t="n">
        <v>0.008</v>
      </c>
      <c r="I1102" s="51" t="n">
        <v>0.5469</v>
      </c>
      <c r="J1102" s="51" t="n">
        <v>0.4451</v>
      </c>
      <c r="K1102" s="49"/>
      <c r="L1102" s="49"/>
      <c r="M1102" s="49"/>
      <c r="N1102" s="49"/>
      <c r="O1102" s="49"/>
      <c r="P1102" s="49"/>
      <c r="Q1102" s="49"/>
      <c r="R1102" s="49"/>
      <c r="S1102" s="49" t="n">
        <v>0</v>
      </c>
      <c r="T1102" s="49" t="n">
        <v>0</v>
      </c>
      <c r="U1102" s="49" t="s">
        <v>2461</v>
      </c>
    </row>
    <row r="1103" customFormat="false" ht="15" hidden="false" customHeight="false" outlineLevel="0" collapsed="false">
      <c r="B1103" s="48" t="n">
        <v>45326.3668518519</v>
      </c>
      <c r="C1103" s="4" t="n">
        <f aca="false">YEAR(B1103)</f>
        <v>2024</v>
      </c>
      <c r="D1103" s="49" t="s">
        <v>283</v>
      </c>
      <c r="E1103" s="49" t="s">
        <v>2462</v>
      </c>
      <c r="F1103" s="50" t="n">
        <v>1</v>
      </c>
      <c r="G1103" s="49" t="s">
        <v>290</v>
      </c>
      <c r="H1103" s="51" t="n">
        <v>0.1473</v>
      </c>
      <c r="I1103" s="51" t="n">
        <v>0.8278</v>
      </c>
      <c r="J1103" s="51" t="n">
        <v>0.0249</v>
      </c>
      <c r="K1103" s="49"/>
      <c r="L1103" s="49"/>
      <c r="M1103" s="49"/>
      <c r="N1103" s="49"/>
      <c r="O1103" s="49"/>
      <c r="P1103" s="49"/>
      <c r="Q1103" s="49"/>
      <c r="R1103" s="49"/>
      <c r="S1103" s="49" t="n">
        <v>1</v>
      </c>
      <c r="T1103" s="49" t="n">
        <v>0</v>
      </c>
      <c r="U1103" s="49" t="s">
        <v>2463</v>
      </c>
    </row>
    <row r="1104" customFormat="false" ht="15" hidden="false" customHeight="false" outlineLevel="0" collapsed="false">
      <c r="B1104" s="48" t="n">
        <v>45327.1531597222</v>
      </c>
      <c r="C1104" s="4" t="n">
        <f aca="false">YEAR(B1104)</f>
        <v>2024</v>
      </c>
      <c r="D1104" s="49" t="s">
        <v>283</v>
      </c>
      <c r="E1104" s="49" t="s">
        <v>2464</v>
      </c>
      <c r="F1104" s="50" t="n">
        <v>29</v>
      </c>
      <c r="G1104" s="49" t="s">
        <v>287</v>
      </c>
      <c r="H1104" s="51" t="n">
        <v>0.0068</v>
      </c>
      <c r="I1104" s="51" t="n">
        <v>0.0547</v>
      </c>
      <c r="J1104" s="51" t="n">
        <v>0.9385</v>
      </c>
      <c r="K1104" s="49"/>
      <c r="L1104" s="49"/>
      <c r="M1104" s="49"/>
      <c r="N1104" s="49"/>
      <c r="O1104" s="49"/>
      <c r="P1104" s="49"/>
      <c r="Q1104" s="49"/>
      <c r="R1104" s="49"/>
      <c r="S1104" s="49" t="n">
        <v>0</v>
      </c>
      <c r="T1104" s="49" t="n">
        <v>0</v>
      </c>
      <c r="U1104" s="49" t="s">
        <v>2465</v>
      </c>
    </row>
    <row r="1105" customFormat="false" ht="15" hidden="false" customHeight="false" outlineLevel="0" collapsed="false">
      <c r="B1105" s="48" t="n">
        <v>45327.2645833333</v>
      </c>
      <c r="C1105" s="4" t="n">
        <f aca="false">YEAR(B1105)</f>
        <v>2024</v>
      </c>
      <c r="D1105" s="49" t="s">
        <v>278</v>
      </c>
      <c r="E1105" s="49" t="s">
        <v>2466</v>
      </c>
      <c r="F1105" s="50" t="n">
        <v>1</v>
      </c>
      <c r="G1105" s="49" t="s">
        <v>290</v>
      </c>
      <c r="H1105" s="51" t="n">
        <v>0.0515</v>
      </c>
      <c r="I1105" s="51" t="n">
        <v>0.762</v>
      </c>
      <c r="J1105" s="51" t="n">
        <v>0.1865</v>
      </c>
      <c r="K1105" s="49" t="s">
        <v>281</v>
      </c>
      <c r="L1105" s="49"/>
      <c r="M1105" s="49"/>
      <c r="N1105" s="49"/>
      <c r="O1105" s="49"/>
      <c r="P1105" s="49"/>
      <c r="Q1105" s="49"/>
      <c r="R1105" s="49"/>
      <c r="S1105" s="49" t="n">
        <v>0</v>
      </c>
      <c r="T1105" s="49" t="n">
        <v>1</v>
      </c>
      <c r="U1105" s="49" t="s">
        <v>2467</v>
      </c>
    </row>
    <row r="1106" customFormat="false" ht="15" hidden="false" customHeight="false" outlineLevel="0" collapsed="false">
      <c r="B1106" s="48" t="n">
        <v>45327.486099537</v>
      </c>
      <c r="C1106" s="4" t="n">
        <f aca="false">YEAR(B1106)</f>
        <v>2024</v>
      </c>
      <c r="D1106" s="49" t="s">
        <v>278</v>
      </c>
      <c r="E1106" s="49" t="s">
        <v>2468</v>
      </c>
      <c r="F1106" s="50" t="n">
        <v>8</v>
      </c>
      <c r="G1106" s="49" t="s">
        <v>280</v>
      </c>
      <c r="H1106" s="51" t="n">
        <v>0.8359</v>
      </c>
      <c r="I1106" s="51" t="n">
        <v>0.1514</v>
      </c>
      <c r="J1106" s="51" t="n">
        <v>0.0128</v>
      </c>
      <c r="K1106" s="49"/>
      <c r="L1106" s="49"/>
      <c r="M1106" s="49"/>
      <c r="N1106" s="49"/>
      <c r="O1106" s="49"/>
      <c r="P1106" s="49"/>
      <c r="Q1106" s="49"/>
      <c r="R1106" s="49"/>
      <c r="S1106" s="49" t="n">
        <v>0</v>
      </c>
      <c r="T1106" s="49" t="n">
        <v>0</v>
      </c>
      <c r="U1106" s="49" t="s">
        <v>2469</v>
      </c>
    </row>
    <row r="1107" customFormat="false" ht="15" hidden="false" customHeight="false" outlineLevel="0" collapsed="false">
      <c r="B1107" s="48" t="n">
        <v>45327.490150463</v>
      </c>
      <c r="C1107" s="4" t="n">
        <f aca="false">YEAR(B1107)</f>
        <v>2024</v>
      </c>
      <c r="D1107" s="49" t="s">
        <v>283</v>
      </c>
      <c r="E1107" s="49" t="s">
        <v>2470</v>
      </c>
      <c r="F1107" s="50" t="n">
        <v>1</v>
      </c>
      <c r="G1107" s="49" t="s">
        <v>287</v>
      </c>
      <c r="H1107" s="51" t="n">
        <v>0.0048</v>
      </c>
      <c r="I1107" s="51" t="n">
        <v>0.4127</v>
      </c>
      <c r="J1107" s="51" t="n">
        <v>0.5825</v>
      </c>
      <c r="K1107" s="49"/>
      <c r="L1107" s="49"/>
      <c r="M1107" s="49"/>
      <c r="N1107" s="49"/>
      <c r="O1107" s="49"/>
      <c r="P1107" s="49"/>
      <c r="Q1107" s="49"/>
      <c r="R1107" s="49"/>
      <c r="S1107" s="49" t="n">
        <v>0</v>
      </c>
      <c r="T1107" s="49" t="n">
        <v>0</v>
      </c>
      <c r="U1107" s="49" t="s">
        <v>2471</v>
      </c>
    </row>
    <row r="1108" customFormat="false" ht="15" hidden="false" customHeight="false" outlineLevel="0" collapsed="false">
      <c r="B1108" s="48" t="n">
        <v>45328.5906597222</v>
      </c>
      <c r="C1108" s="4" t="n">
        <f aca="false">YEAR(B1108)</f>
        <v>2024</v>
      </c>
      <c r="D1108" s="49" t="s">
        <v>283</v>
      </c>
      <c r="E1108" s="49" t="s">
        <v>2472</v>
      </c>
      <c r="F1108" s="50" t="n">
        <v>2</v>
      </c>
      <c r="G1108" s="49" t="s">
        <v>287</v>
      </c>
      <c r="H1108" s="51" t="n">
        <v>0.005</v>
      </c>
      <c r="I1108" s="51" t="n">
        <v>0.3114</v>
      </c>
      <c r="J1108" s="51" t="n">
        <v>0.6836</v>
      </c>
      <c r="K1108" s="49"/>
      <c r="L1108" s="49"/>
      <c r="M1108" s="49"/>
      <c r="N1108" s="49"/>
      <c r="O1108" s="49"/>
      <c r="P1108" s="49"/>
      <c r="Q1108" s="49"/>
      <c r="R1108" s="49"/>
      <c r="S1108" s="49" t="n">
        <v>0</v>
      </c>
      <c r="T1108" s="49" t="n">
        <v>0</v>
      </c>
      <c r="U1108" s="49" t="s">
        <v>2473</v>
      </c>
    </row>
    <row r="1109" customFormat="false" ht="15" hidden="false" customHeight="false" outlineLevel="0" collapsed="false">
      <c r="B1109" s="48" t="n">
        <v>45328.698912037</v>
      </c>
      <c r="C1109" s="4" t="n">
        <f aca="false">YEAR(B1109)</f>
        <v>2024</v>
      </c>
      <c r="D1109" s="49" t="s">
        <v>283</v>
      </c>
      <c r="E1109" s="49" t="s">
        <v>2474</v>
      </c>
      <c r="F1109" s="50" t="n">
        <v>1</v>
      </c>
      <c r="G1109" s="49" t="s">
        <v>290</v>
      </c>
      <c r="H1109" s="51" t="n">
        <v>0.1456</v>
      </c>
      <c r="I1109" s="51" t="n">
        <v>0.7529</v>
      </c>
      <c r="J1109" s="51" t="n">
        <v>0.1014</v>
      </c>
      <c r="K1109" s="49"/>
      <c r="L1109" s="49"/>
      <c r="M1109" s="49"/>
      <c r="N1109" s="49"/>
      <c r="O1109" s="49"/>
      <c r="P1109" s="49"/>
      <c r="Q1109" s="49"/>
      <c r="R1109" s="49"/>
      <c r="S1109" s="49" t="n">
        <v>0</v>
      </c>
      <c r="T1109" s="49" t="n">
        <v>0</v>
      </c>
      <c r="U1109" s="49" t="s">
        <v>2475</v>
      </c>
    </row>
    <row r="1110" customFormat="false" ht="15" hidden="false" customHeight="false" outlineLevel="0" collapsed="false">
      <c r="B1110" s="48" t="n">
        <v>45328.7391203704</v>
      </c>
      <c r="C1110" s="4" t="n">
        <f aca="false">YEAR(B1110)</f>
        <v>2024</v>
      </c>
      <c r="D1110" s="49" t="s">
        <v>278</v>
      </c>
      <c r="E1110" s="49" t="s">
        <v>2476</v>
      </c>
      <c r="F1110" s="50" t="n">
        <v>1</v>
      </c>
      <c r="G1110" s="49" t="s">
        <v>290</v>
      </c>
      <c r="H1110" s="51" t="n">
        <v>0.1347</v>
      </c>
      <c r="I1110" s="51" t="n">
        <v>0.8318</v>
      </c>
      <c r="J1110" s="51" t="n">
        <v>0.0335</v>
      </c>
      <c r="K1110" s="49"/>
      <c r="L1110" s="49"/>
      <c r="M1110" s="49"/>
      <c r="N1110" s="49"/>
      <c r="O1110" s="49"/>
      <c r="P1110" s="49"/>
      <c r="Q1110" s="49"/>
      <c r="R1110" s="49"/>
      <c r="S1110" s="49" t="n">
        <v>0</v>
      </c>
      <c r="T1110" s="49" t="n">
        <v>0</v>
      </c>
      <c r="U1110" s="49" t="s">
        <v>2477</v>
      </c>
    </row>
    <row r="1111" customFormat="false" ht="15" hidden="false" customHeight="false" outlineLevel="0" collapsed="false">
      <c r="B1111" s="48" t="n">
        <v>45329.0735185185</v>
      </c>
      <c r="C1111" s="4" t="n">
        <f aca="false">YEAR(B1111)</f>
        <v>2024</v>
      </c>
      <c r="D1111" s="49" t="s">
        <v>283</v>
      </c>
      <c r="E1111" s="49" t="s">
        <v>2478</v>
      </c>
      <c r="F1111" s="50" t="n">
        <v>3</v>
      </c>
      <c r="G1111" s="49" t="s">
        <v>280</v>
      </c>
      <c r="H1111" s="51" t="n">
        <v>0.848</v>
      </c>
      <c r="I1111" s="51" t="n">
        <v>0.1402</v>
      </c>
      <c r="J1111" s="51" t="n">
        <v>0.0118</v>
      </c>
      <c r="K1111" s="49" t="s">
        <v>281</v>
      </c>
      <c r="L1111" s="49"/>
      <c r="M1111" s="49"/>
      <c r="N1111" s="49"/>
      <c r="O1111" s="49"/>
      <c r="P1111" s="49"/>
      <c r="Q1111" s="49"/>
      <c r="R1111" s="49"/>
      <c r="S1111" s="49" t="n">
        <v>0</v>
      </c>
      <c r="T1111" s="49" t="n">
        <v>0</v>
      </c>
      <c r="U1111" s="49" t="s">
        <v>2479</v>
      </c>
    </row>
    <row r="1112" customFormat="false" ht="15" hidden="false" customHeight="false" outlineLevel="0" collapsed="false">
      <c r="B1112" s="48" t="n">
        <v>45329.0843865741</v>
      </c>
      <c r="C1112" s="4" t="n">
        <f aca="false">YEAR(B1112)</f>
        <v>2024</v>
      </c>
      <c r="D1112" s="49" t="s">
        <v>283</v>
      </c>
      <c r="E1112" s="49" t="s">
        <v>2480</v>
      </c>
      <c r="F1112" s="50" t="n">
        <v>1</v>
      </c>
      <c r="G1112" s="49" t="s">
        <v>290</v>
      </c>
      <c r="H1112" s="51" t="n">
        <v>0.0212</v>
      </c>
      <c r="I1112" s="51" t="n">
        <v>0.5334</v>
      </c>
      <c r="J1112" s="51" t="n">
        <v>0.4454</v>
      </c>
      <c r="K1112" s="49"/>
      <c r="L1112" s="49"/>
      <c r="M1112" s="49"/>
      <c r="N1112" s="49"/>
      <c r="O1112" s="49"/>
      <c r="P1112" s="49"/>
      <c r="Q1112" s="49"/>
      <c r="R1112" s="49"/>
      <c r="S1112" s="49" t="n">
        <v>0</v>
      </c>
      <c r="T1112" s="49" t="n">
        <v>0</v>
      </c>
      <c r="U1112" s="49" t="s">
        <v>2481</v>
      </c>
    </row>
    <row r="1113" customFormat="false" ht="15" hidden="false" customHeight="false" outlineLevel="0" collapsed="false">
      <c r="B1113" s="48" t="n">
        <v>45329.7339814815</v>
      </c>
      <c r="C1113" s="4" t="n">
        <f aca="false">YEAR(B1113)</f>
        <v>2024</v>
      </c>
      <c r="D1113" s="49" t="s">
        <v>283</v>
      </c>
      <c r="E1113" s="49" t="s">
        <v>2482</v>
      </c>
      <c r="F1113" s="50" t="n">
        <v>3</v>
      </c>
      <c r="G1113" s="49" t="s">
        <v>280</v>
      </c>
      <c r="H1113" s="51" t="n">
        <v>0.5953</v>
      </c>
      <c r="I1113" s="51" t="n">
        <v>0.3588</v>
      </c>
      <c r="J1113" s="51" t="n">
        <v>0.0459</v>
      </c>
      <c r="K1113" s="49"/>
      <c r="L1113" s="49"/>
      <c r="M1113" s="49"/>
      <c r="N1113" s="49"/>
      <c r="O1113" s="49"/>
      <c r="P1113" s="49"/>
      <c r="Q1113" s="49"/>
      <c r="R1113" s="49" t="s">
        <v>281</v>
      </c>
      <c r="S1113" s="49" t="n">
        <v>0</v>
      </c>
      <c r="T1113" s="49" t="n">
        <v>0</v>
      </c>
      <c r="U1113" s="49" t="s">
        <v>2483</v>
      </c>
    </row>
    <row r="1114" customFormat="false" ht="15" hidden="false" customHeight="false" outlineLevel="0" collapsed="false">
      <c r="B1114" s="48" t="n">
        <v>45330.5100578704</v>
      </c>
      <c r="C1114" s="4" t="n">
        <f aca="false">YEAR(B1114)</f>
        <v>2024</v>
      </c>
      <c r="D1114" s="49" t="s">
        <v>283</v>
      </c>
      <c r="E1114" s="49" t="s">
        <v>2484</v>
      </c>
      <c r="F1114" s="50" t="n">
        <v>1</v>
      </c>
      <c r="G1114" s="49" t="s">
        <v>290</v>
      </c>
      <c r="H1114" s="51" t="n">
        <v>0.0065</v>
      </c>
      <c r="I1114" s="51" t="n">
        <v>0.6981</v>
      </c>
      <c r="J1114" s="51" t="n">
        <v>0.2954</v>
      </c>
      <c r="K1114" s="49"/>
      <c r="L1114" s="49"/>
      <c r="M1114" s="49"/>
      <c r="N1114" s="49"/>
      <c r="O1114" s="49"/>
      <c r="P1114" s="49"/>
      <c r="Q1114" s="49"/>
      <c r="R1114" s="49"/>
      <c r="S1114" s="49" t="n">
        <v>1</v>
      </c>
      <c r="T1114" s="49" t="n">
        <v>0</v>
      </c>
      <c r="U1114" s="49" t="s">
        <v>2485</v>
      </c>
    </row>
    <row r="1115" customFormat="false" ht="15" hidden="false" customHeight="false" outlineLevel="0" collapsed="false">
      <c r="B1115" s="48" t="n">
        <v>45330.881412037</v>
      </c>
      <c r="C1115" s="4" t="n">
        <f aca="false">YEAR(B1115)</f>
        <v>2024</v>
      </c>
      <c r="D1115" s="49" t="s">
        <v>283</v>
      </c>
      <c r="E1115" s="49" t="s">
        <v>2486</v>
      </c>
      <c r="F1115" s="50" t="n">
        <v>1</v>
      </c>
      <c r="G1115" s="49" t="s">
        <v>290</v>
      </c>
      <c r="H1115" s="51" t="n">
        <v>0.0114</v>
      </c>
      <c r="I1115" s="51" t="n">
        <v>0.9146</v>
      </c>
      <c r="J1115" s="51" t="n">
        <v>0.074</v>
      </c>
      <c r="K1115" s="49"/>
      <c r="L1115" s="49"/>
      <c r="M1115" s="49"/>
      <c r="N1115" s="49"/>
      <c r="O1115" s="49"/>
      <c r="P1115" s="49"/>
      <c r="Q1115" s="49"/>
      <c r="R1115" s="49"/>
      <c r="S1115" s="49" t="n">
        <v>1</v>
      </c>
      <c r="T1115" s="49" t="n">
        <v>0</v>
      </c>
      <c r="U1115" s="49" t="s">
        <v>2487</v>
      </c>
    </row>
    <row r="1116" customFormat="false" ht="15" hidden="false" customHeight="false" outlineLevel="0" collapsed="false">
      <c r="B1116" s="48" t="n">
        <v>45331.0369444444</v>
      </c>
      <c r="C1116" s="4" t="n">
        <f aca="false">YEAR(B1116)</f>
        <v>2024</v>
      </c>
      <c r="D1116" s="49" t="s">
        <v>278</v>
      </c>
      <c r="E1116" s="49" t="s">
        <v>2488</v>
      </c>
      <c r="F1116" s="50" t="n">
        <v>3</v>
      </c>
      <c r="G1116" s="49" t="s">
        <v>280</v>
      </c>
      <c r="H1116" s="51" t="n">
        <v>0.6605</v>
      </c>
      <c r="I1116" s="51" t="n">
        <v>0.3276</v>
      </c>
      <c r="J1116" s="51" t="n">
        <v>0.012</v>
      </c>
      <c r="K1116" s="49" t="s">
        <v>281</v>
      </c>
      <c r="L1116" s="49"/>
      <c r="M1116" s="49"/>
      <c r="N1116" s="49"/>
      <c r="O1116" s="49"/>
      <c r="P1116" s="49"/>
      <c r="Q1116" s="49"/>
      <c r="R1116" s="49"/>
      <c r="S1116" s="49" t="n">
        <v>0</v>
      </c>
      <c r="T1116" s="49" t="n">
        <v>0</v>
      </c>
      <c r="U1116" s="49" t="s">
        <v>2489</v>
      </c>
    </row>
    <row r="1117" customFormat="false" ht="15" hidden="false" customHeight="false" outlineLevel="0" collapsed="false">
      <c r="B1117" s="48" t="n">
        <v>45331.4111226852</v>
      </c>
      <c r="C1117" s="4" t="n">
        <f aca="false">YEAR(B1117)</f>
        <v>2024</v>
      </c>
      <c r="D1117" s="49" t="s">
        <v>283</v>
      </c>
      <c r="E1117" s="49" t="s">
        <v>2490</v>
      </c>
      <c r="F1117" s="50" t="n">
        <v>1</v>
      </c>
      <c r="G1117" s="49" t="s">
        <v>290</v>
      </c>
      <c r="H1117" s="51" t="n">
        <v>0.0725</v>
      </c>
      <c r="I1117" s="51" t="n">
        <v>0.6633</v>
      </c>
      <c r="J1117" s="51" t="n">
        <v>0.2642</v>
      </c>
      <c r="K1117" s="49"/>
      <c r="L1117" s="49"/>
      <c r="M1117" s="49"/>
      <c r="N1117" s="49"/>
      <c r="O1117" s="49"/>
      <c r="P1117" s="49"/>
      <c r="Q1117" s="49"/>
      <c r="R1117" s="49"/>
      <c r="S1117" s="49" t="n">
        <v>0</v>
      </c>
      <c r="T1117" s="49" t="n">
        <v>0</v>
      </c>
      <c r="U1117" s="49" t="s">
        <v>2491</v>
      </c>
    </row>
    <row r="1118" customFormat="false" ht="15" hidden="false" customHeight="false" outlineLevel="0" collapsed="false">
      <c r="B1118" s="48" t="n">
        <v>45331.551087963</v>
      </c>
      <c r="C1118" s="4" t="n">
        <f aca="false">YEAR(B1118)</f>
        <v>2024</v>
      </c>
      <c r="D1118" s="49" t="s">
        <v>278</v>
      </c>
      <c r="E1118" s="49" t="s">
        <v>2492</v>
      </c>
      <c r="F1118" s="50" t="n">
        <v>3</v>
      </c>
      <c r="G1118" s="49" t="s">
        <v>290</v>
      </c>
      <c r="H1118" s="51" t="n">
        <v>0.4601</v>
      </c>
      <c r="I1118" s="51" t="n">
        <v>0.5102</v>
      </c>
      <c r="J1118" s="51" t="n">
        <v>0.0297</v>
      </c>
      <c r="K1118" s="49"/>
      <c r="L1118" s="49"/>
      <c r="M1118" s="49"/>
      <c r="N1118" s="49"/>
      <c r="O1118" s="49"/>
      <c r="P1118" s="49"/>
      <c r="Q1118" s="49"/>
      <c r="R1118" s="49"/>
      <c r="S1118" s="49" t="n">
        <v>0</v>
      </c>
      <c r="T1118" s="49" t="n">
        <v>0</v>
      </c>
      <c r="U1118" s="49" t="s">
        <v>2493</v>
      </c>
    </row>
    <row r="1119" customFormat="false" ht="15" hidden="false" customHeight="false" outlineLevel="0" collapsed="false">
      <c r="B1119" s="48" t="n">
        <v>45331.8004050926</v>
      </c>
      <c r="C1119" s="4" t="n">
        <f aca="false">YEAR(B1119)</f>
        <v>2024</v>
      </c>
      <c r="D1119" s="49" t="s">
        <v>283</v>
      </c>
      <c r="E1119" s="49" t="s">
        <v>2494</v>
      </c>
      <c r="F1119" s="50" t="n">
        <v>223</v>
      </c>
      <c r="G1119" s="49" t="s">
        <v>280</v>
      </c>
      <c r="H1119" s="51" t="n">
        <v>0.3774</v>
      </c>
      <c r="I1119" s="51" t="n">
        <v>0.3356</v>
      </c>
      <c r="J1119" s="51" t="n">
        <v>0.287</v>
      </c>
      <c r="K1119" s="49"/>
      <c r="L1119" s="49"/>
      <c r="M1119" s="49"/>
      <c r="N1119" s="49"/>
      <c r="O1119" s="49"/>
      <c r="P1119" s="49"/>
      <c r="Q1119" s="49"/>
      <c r="R1119" s="49"/>
      <c r="S1119" s="49" t="n">
        <v>0</v>
      </c>
      <c r="T1119" s="49" t="n">
        <v>0</v>
      </c>
      <c r="U1119" s="49" t="s">
        <v>2495</v>
      </c>
    </row>
    <row r="1120" customFormat="false" ht="15" hidden="false" customHeight="false" outlineLevel="0" collapsed="false">
      <c r="B1120" s="48" t="n">
        <v>45332.0980902778</v>
      </c>
      <c r="C1120" s="4" t="n">
        <f aca="false">YEAR(B1120)</f>
        <v>2024</v>
      </c>
      <c r="D1120" s="49" t="s">
        <v>283</v>
      </c>
      <c r="E1120" s="49" t="s">
        <v>2496</v>
      </c>
      <c r="F1120" s="50" t="n">
        <v>1</v>
      </c>
      <c r="G1120" s="49" t="s">
        <v>290</v>
      </c>
      <c r="H1120" s="51" t="n">
        <v>0.014</v>
      </c>
      <c r="I1120" s="51" t="n">
        <v>0.8709</v>
      </c>
      <c r="J1120" s="51" t="n">
        <v>0.1151</v>
      </c>
      <c r="K1120" s="49"/>
      <c r="L1120" s="49"/>
      <c r="M1120" s="49"/>
      <c r="N1120" s="49"/>
      <c r="O1120" s="49"/>
      <c r="P1120" s="49"/>
      <c r="Q1120" s="49"/>
      <c r="R1120" s="49"/>
      <c r="S1120" s="49" t="n">
        <v>1</v>
      </c>
      <c r="T1120" s="49" t="n">
        <v>0</v>
      </c>
      <c r="U1120" s="49" t="s">
        <v>2497</v>
      </c>
    </row>
    <row r="1121" customFormat="false" ht="15" hidden="false" customHeight="false" outlineLevel="0" collapsed="false">
      <c r="B1121" s="48" t="n">
        <v>45333.8370601852</v>
      </c>
      <c r="C1121" s="4" t="n">
        <f aca="false">YEAR(B1121)</f>
        <v>2024</v>
      </c>
      <c r="D1121" s="49" t="s">
        <v>283</v>
      </c>
      <c r="E1121" s="49" t="s">
        <v>2498</v>
      </c>
      <c r="F1121" s="50" t="n">
        <v>1</v>
      </c>
      <c r="G1121" s="49" t="s">
        <v>287</v>
      </c>
      <c r="H1121" s="51" t="n">
        <v>0.0054</v>
      </c>
      <c r="I1121" s="51" t="n">
        <v>0.3939</v>
      </c>
      <c r="J1121" s="51" t="n">
        <v>0.6007</v>
      </c>
      <c r="K1121" s="49"/>
      <c r="L1121" s="49"/>
      <c r="M1121" s="49"/>
      <c r="N1121" s="49"/>
      <c r="O1121" s="49"/>
      <c r="P1121" s="49"/>
      <c r="Q1121" s="49"/>
      <c r="R1121" s="49"/>
      <c r="S1121" s="49" t="n">
        <v>0</v>
      </c>
      <c r="T1121" s="49" t="n">
        <v>0</v>
      </c>
      <c r="U1121" s="49" t="s">
        <v>2499</v>
      </c>
    </row>
    <row r="1122" customFormat="false" ht="15" hidden="false" customHeight="false" outlineLevel="0" collapsed="false">
      <c r="B1122" s="48" t="n">
        <v>45333.9437847222</v>
      </c>
      <c r="C1122" s="4" t="n">
        <f aca="false">YEAR(B1122)</f>
        <v>2024</v>
      </c>
      <c r="D1122" s="49" t="s">
        <v>283</v>
      </c>
      <c r="E1122" s="49" t="s">
        <v>2500</v>
      </c>
      <c r="F1122" s="50" t="n">
        <v>1</v>
      </c>
      <c r="G1122" s="49" t="s">
        <v>280</v>
      </c>
      <c r="H1122" s="51" t="n">
        <v>0.8321</v>
      </c>
      <c r="I1122" s="51" t="n">
        <v>0.1589</v>
      </c>
      <c r="J1122" s="51" t="n">
        <v>0.009</v>
      </c>
      <c r="K1122" s="49"/>
      <c r="L1122" s="49"/>
      <c r="M1122" s="49"/>
      <c r="N1122" s="49"/>
      <c r="O1122" s="49"/>
      <c r="P1122" s="49"/>
      <c r="Q1122" s="49" t="s">
        <v>281</v>
      </c>
      <c r="R1122" s="49"/>
      <c r="S1122" s="49" t="n">
        <v>0</v>
      </c>
      <c r="T1122" s="49" t="n">
        <v>0</v>
      </c>
      <c r="U1122" s="49" t="s">
        <v>2501</v>
      </c>
    </row>
    <row r="1123" customFormat="false" ht="15" hidden="false" customHeight="false" outlineLevel="0" collapsed="false">
      <c r="B1123" s="48" t="n">
        <v>45334.5974305556</v>
      </c>
      <c r="C1123" s="4" t="n">
        <f aca="false">YEAR(B1123)</f>
        <v>2024</v>
      </c>
      <c r="D1123" s="49" t="s">
        <v>283</v>
      </c>
      <c r="E1123" s="49" t="s">
        <v>2502</v>
      </c>
      <c r="F1123" s="50" t="n">
        <v>1</v>
      </c>
      <c r="G1123" s="49" t="s">
        <v>280</v>
      </c>
      <c r="H1123" s="51" t="n">
        <v>0.9506</v>
      </c>
      <c r="I1123" s="51" t="n">
        <v>0.0449</v>
      </c>
      <c r="J1123" s="51" t="n">
        <v>0.0045</v>
      </c>
      <c r="K1123" s="49"/>
      <c r="L1123" s="49"/>
      <c r="M1123" s="49"/>
      <c r="N1123" s="49"/>
      <c r="O1123" s="49"/>
      <c r="P1123" s="49"/>
      <c r="Q1123" s="49"/>
      <c r="R1123" s="49"/>
      <c r="S1123" s="49" t="n">
        <v>1</v>
      </c>
      <c r="T1123" s="49" t="n">
        <v>0</v>
      </c>
      <c r="U1123" s="49" t="s">
        <v>2503</v>
      </c>
    </row>
    <row r="1124" customFormat="false" ht="15" hidden="false" customHeight="false" outlineLevel="0" collapsed="false">
      <c r="B1124" s="48" t="n">
        <v>45335.0804861111</v>
      </c>
      <c r="C1124" s="4" t="n">
        <f aca="false">YEAR(B1124)</f>
        <v>2024</v>
      </c>
      <c r="D1124" s="49" t="s">
        <v>278</v>
      </c>
      <c r="E1124" s="49" t="s">
        <v>2504</v>
      </c>
      <c r="F1124" s="50" t="n">
        <v>277</v>
      </c>
      <c r="G1124" s="49" t="s">
        <v>280</v>
      </c>
      <c r="H1124" s="51" t="n">
        <v>0.8133</v>
      </c>
      <c r="I1124" s="51" t="n">
        <v>0.1779</v>
      </c>
      <c r="J1124" s="51" t="n">
        <v>0.0088</v>
      </c>
      <c r="K1124" s="49"/>
      <c r="L1124" s="49"/>
      <c r="M1124" s="49"/>
      <c r="N1124" s="49"/>
      <c r="O1124" s="49"/>
      <c r="P1124" s="49"/>
      <c r="Q1124" s="49"/>
      <c r="R1124" s="49"/>
      <c r="S1124" s="49" t="n">
        <v>0</v>
      </c>
      <c r="T1124" s="49" t="n">
        <v>0</v>
      </c>
      <c r="U1124" s="49" t="s">
        <v>2505</v>
      </c>
    </row>
    <row r="1125" customFormat="false" ht="15" hidden="false" customHeight="false" outlineLevel="0" collapsed="false">
      <c r="B1125" s="48" t="n">
        <v>45335.5029166667</v>
      </c>
      <c r="C1125" s="4" t="n">
        <f aca="false">YEAR(B1125)</f>
        <v>2024</v>
      </c>
      <c r="D1125" s="49" t="s">
        <v>283</v>
      </c>
      <c r="E1125" s="49" t="s">
        <v>2506</v>
      </c>
      <c r="F1125" s="50" t="n">
        <v>21</v>
      </c>
      <c r="G1125" s="49" t="s">
        <v>280</v>
      </c>
      <c r="H1125" s="51" t="n">
        <v>0.7241</v>
      </c>
      <c r="I1125" s="51" t="n">
        <v>0.2529</v>
      </c>
      <c r="J1125" s="51" t="n">
        <v>0.023</v>
      </c>
      <c r="K1125" s="49" t="s">
        <v>281</v>
      </c>
      <c r="L1125" s="49"/>
      <c r="M1125" s="49"/>
      <c r="N1125" s="49"/>
      <c r="O1125" s="49"/>
      <c r="P1125" s="49"/>
      <c r="Q1125" s="49"/>
      <c r="R1125" s="49" t="s">
        <v>281</v>
      </c>
      <c r="S1125" s="49" t="n">
        <v>0</v>
      </c>
      <c r="T1125" s="49" t="n">
        <v>0</v>
      </c>
      <c r="U1125" s="49" t="s">
        <v>2507</v>
      </c>
    </row>
    <row r="1126" customFormat="false" ht="15" hidden="false" customHeight="false" outlineLevel="0" collapsed="false">
      <c r="B1126" s="48" t="n">
        <v>45335.5623726852</v>
      </c>
      <c r="C1126" s="4" t="n">
        <f aca="false">YEAR(B1126)</f>
        <v>2024</v>
      </c>
      <c r="D1126" s="49" t="s">
        <v>283</v>
      </c>
      <c r="E1126" s="49" t="s">
        <v>2508</v>
      </c>
      <c r="F1126" s="50" t="n">
        <v>1</v>
      </c>
      <c r="G1126" s="49" t="s">
        <v>287</v>
      </c>
      <c r="H1126" s="51" t="n">
        <v>0.0292</v>
      </c>
      <c r="I1126" s="51" t="n">
        <v>0.2992</v>
      </c>
      <c r="J1126" s="51" t="n">
        <v>0.6716</v>
      </c>
      <c r="K1126" s="49"/>
      <c r="L1126" s="49"/>
      <c r="M1126" s="49"/>
      <c r="N1126" s="49"/>
      <c r="O1126" s="49"/>
      <c r="P1126" s="49"/>
      <c r="Q1126" s="49"/>
      <c r="R1126" s="49"/>
      <c r="S1126" s="49" t="n">
        <v>0</v>
      </c>
      <c r="T1126" s="49" t="n">
        <v>0</v>
      </c>
      <c r="U1126" s="49" t="s">
        <v>2509</v>
      </c>
    </row>
    <row r="1127" customFormat="false" ht="15" hidden="false" customHeight="false" outlineLevel="0" collapsed="false">
      <c r="B1127" s="48" t="n">
        <v>45335.7839467593</v>
      </c>
      <c r="C1127" s="4" t="n">
        <f aca="false">YEAR(B1127)</f>
        <v>2024</v>
      </c>
      <c r="D1127" s="49" t="s">
        <v>283</v>
      </c>
      <c r="E1127" s="49" t="s">
        <v>2510</v>
      </c>
      <c r="F1127" s="50" t="n">
        <v>84</v>
      </c>
      <c r="G1127" s="49" t="s">
        <v>287</v>
      </c>
      <c r="H1127" s="51" t="n">
        <v>0.0057</v>
      </c>
      <c r="I1127" s="51" t="n">
        <v>0.0733</v>
      </c>
      <c r="J1127" s="51" t="n">
        <v>0.921</v>
      </c>
      <c r="K1127" s="49"/>
      <c r="L1127" s="49"/>
      <c r="M1127" s="49"/>
      <c r="N1127" s="49"/>
      <c r="O1127" s="49"/>
      <c r="P1127" s="49"/>
      <c r="Q1127" s="49"/>
      <c r="R1127" s="49"/>
      <c r="S1127" s="49" t="n">
        <v>0</v>
      </c>
      <c r="T1127" s="49" t="n">
        <v>0</v>
      </c>
      <c r="U1127" s="49" t="s">
        <v>2511</v>
      </c>
    </row>
    <row r="1128" customFormat="false" ht="15" hidden="false" customHeight="false" outlineLevel="0" collapsed="false">
      <c r="B1128" s="48" t="n">
        <v>45335.8930555556</v>
      </c>
      <c r="C1128" s="4" t="n">
        <f aca="false">YEAR(B1128)</f>
        <v>2024</v>
      </c>
      <c r="D1128" s="49" t="s">
        <v>283</v>
      </c>
      <c r="E1128" s="49" t="s">
        <v>2512</v>
      </c>
      <c r="F1128" s="50" t="n">
        <v>1</v>
      </c>
      <c r="G1128" s="49" t="s">
        <v>280</v>
      </c>
      <c r="H1128" s="51" t="n">
        <v>0.9361</v>
      </c>
      <c r="I1128" s="51" t="n">
        <v>0.0574</v>
      </c>
      <c r="J1128" s="51" t="n">
        <v>0.0065</v>
      </c>
      <c r="K1128" s="49"/>
      <c r="L1128" s="49"/>
      <c r="M1128" s="49"/>
      <c r="N1128" s="49"/>
      <c r="O1128" s="49"/>
      <c r="P1128" s="49"/>
      <c r="Q1128" s="49"/>
      <c r="R1128" s="49"/>
      <c r="S1128" s="49" t="n">
        <v>0</v>
      </c>
      <c r="T1128" s="49" t="n">
        <v>0</v>
      </c>
      <c r="U1128" s="49" t="s">
        <v>2513</v>
      </c>
    </row>
    <row r="1129" customFormat="false" ht="15" hidden="false" customHeight="false" outlineLevel="0" collapsed="false">
      <c r="B1129" s="48" t="n">
        <v>45336.7619328704</v>
      </c>
      <c r="C1129" s="4" t="n">
        <f aca="false">YEAR(B1129)</f>
        <v>2024</v>
      </c>
      <c r="D1129" s="49" t="s">
        <v>283</v>
      </c>
      <c r="E1129" s="49" t="s">
        <v>2514</v>
      </c>
      <c r="F1129" s="50" t="n">
        <v>1</v>
      </c>
      <c r="G1129" s="49" t="s">
        <v>280</v>
      </c>
      <c r="H1129" s="51" t="n">
        <v>0.6443</v>
      </c>
      <c r="I1129" s="51" t="n">
        <v>0.2603</v>
      </c>
      <c r="J1129" s="51" t="n">
        <v>0.0954</v>
      </c>
      <c r="K1129" s="49"/>
      <c r="L1129" s="49"/>
      <c r="M1129" s="49"/>
      <c r="N1129" s="49"/>
      <c r="O1129" s="49"/>
      <c r="P1129" s="49"/>
      <c r="Q1129" s="49"/>
      <c r="R1129" s="49"/>
      <c r="S1129" s="49" t="n">
        <v>0</v>
      </c>
      <c r="T1129" s="49" t="n">
        <v>0</v>
      </c>
      <c r="U1129" s="49" t="s">
        <v>2515</v>
      </c>
    </row>
    <row r="1130" customFormat="false" ht="15" hidden="false" customHeight="false" outlineLevel="0" collapsed="false">
      <c r="B1130" s="48" t="n">
        <v>45336.9530671296</v>
      </c>
      <c r="C1130" s="4" t="n">
        <f aca="false">YEAR(B1130)</f>
        <v>2024</v>
      </c>
      <c r="D1130" s="49" t="s">
        <v>283</v>
      </c>
      <c r="E1130" s="49" t="s">
        <v>2516</v>
      </c>
      <c r="F1130" s="50" t="n">
        <v>1</v>
      </c>
      <c r="G1130" s="49" t="s">
        <v>280</v>
      </c>
      <c r="H1130" s="51" t="n">
        <v>0.9292</v>
      </c>
      <c r="I1130" s="51" t="n">
        <v>0.0638</v>
      </c>
      <c r="J1130" s="51" t="n">
        <v>0.007</v>
      </c>
      <c r="K1130" s="49"/>
      <c r="L1130" s="49"/>
      <c r="M1130" s="49"/>
      <c r="N1130" s="49"/>
      <c r="O1130" s="49"/>
      <c r="P1130" s="49"/>
      <c r="Q1130" s="49"/>
      <c r="R1130" s="49"/>
      <c r="S1130" s="49" t="n">
        <v>0</v>
      </c>
      <c r="T1130" s="49" t="n">
        <v>0</v>
      </c>
      <c r="U1130" s="49" t="s">
        <v>2517</v>
      </c>
    </row>
    <row r="1131" customFormat="false" ht="15" hidden="false" customHeight="false" outlineLevel="0" collapsed="false">
      <c r="B1131" s="48" t="n">
        <v>45337.0213425926</v>
      </c>
      <c r="C1131" s="4" t="n">
        <f aca="false">YEAR(B1131)</f>
        <v>2024</v>
      </c>
      <c r="D1131" s="49" t="s">
        <v>283</v>
      </c>
      <c r="E1131" s="49" t="s">
        <v>2518</v>
      </c>
      <c r="F1131" s="50" t="n">
        <v>1</v>
      </c>
      <c r="G1131" s="49" t="s">
        <v>287</v>
      </c>
      <c r="H1131" s="51" t="n">
        <v>0.023</v>
      </c>
      <c r="I1131" s="51" t="n">
        <v>0.2933</v>
      </c>
      <c r="J1131" s="51" t="n">
        <v>0.6837</v>
      </c>
      <c r="K1131" s="49"/>
      <c r="L1131" s="49"/>
      <c r="M1131" s="49"/>
      <c r="N1131" s="49"/>
      <c r="O1131" s="49"/>
      <c r="P1131" s="49"/>
      <c r="Q1131" s="49"/>
      <c r="R1131" s="49"/>
      <c r="S1131" s="49" t="n">
        <v>0</v>
      </c>
      <c r="T1131" s="49" t="n">
        <v>0</v>
      </c>
      <c r="U1131" s="49" t="s">
        <v>2519</v>
      </c>
    </row>
    <row r="1132" customFormat="false" ht="15" hidden="false" customHeight="false" outlineLevel="0" collapsed="false">
      <c r="B1132" s="48" t="n">
        <v>45338.0846875</v>
      </c>
      <c r="C1132" s="4" t="n">
        <f aca="false">YEAR(B1132)</f>
        <v>2024</v>
      </c>
      <c r="D1132" s="49" t="s">
        <v>283</v>
      </c>
      <c r="E1132" s="49" t="s">
        <v>2520</v>
      </c>
      <c r="F1132" s="50" t="n">
        <v>1</v>
      </c>
      <c r="G1132" s="49" t="s">
        <v>280</v>
      </c>
      <c r="H1132" s="51" t="n">
        <v>0.6641</v>
      </c>
      <c r="I1132" s="51" t="n">
        <v>0.32</v>
      </c>
      <c r="J1132" s="51" t="n">
        <v>0.0159</v>
      </c>
      <c r="K1132" s="49" t="s">
        <v>281</v>
      </c>
      <c r="L1132" s="49"/>
      <c r="M1132" s="49"/>
      <c r="N1132" s="49"/>
      <c r="O1132" s="49"/>
      <c r="P1132" s="49"/>
      <c r="Q1132" s="49"/>
      <c r="R1132" s="49"/>
      <c r="S1132" s="49" t="n">
        <v>0</v>
      </c>
      <c r="T1132" s="49" t="n">
        <v>0</v>
      </c>
      <c r="U1132" s="49" t="s">
        <v>2521</v>
      </c>
    </row>
    <row r="1133" customFormat="false" ht="15" hidden="false" customHeight="false" outlineLevel="0" collapsed="false">
      <c r="B1133" s="48" t="n">
        <v>45338.6803587963</v>
      </c>
      <c r="C1133" s="4" t="n">
        <f aca="false">YEAR(B1133)</f>
        <v>2024</v>
      </c>
      <c r="D1133" s="49" t="s">
        <v>283</v>
      </c>
      <c r="E1133" s="49" t="s">
        <v>2522</v>
      </c>
      <c r="F1133" s="50" t="n">
        <v>1</v>
      </c>
      <c r="G1133" s="49" t="s">
        <v>290</v>
      </c>
      <c r="H1133" s="51" t="n">
        <v>0.3073</v>
      </c>
      <c r="I1133" s="51" t="n">
        <v>0.6639</v>
      </c>
      <c r="J1133" s="51" t="n">
        <v>0.0289</v>
      </c>
      <c r="K1133" s="49"/>
      <c r="L1133" s="49"/>
      <c r="M1133" s="49"/>
      <c r="N1133" s="49"/>
      <c r="O1133" s="49"/>
      <c r="P1133" s="49"/>
      <c r="Q1133" s="49"/>
      <c r="R1133" s="49"/>
      <c r="S1133" s="49" t="n">
        <v>0</v>
      </c>
      <c r="T1133" s="49" t="n">
        <v>0</v>
      </c>
      <c r="U1133" s="49" t="s">
        <v>2523</v>
      </c>
    </row>
    <row r="1134" customFormat="false" ht="15" hidden="false" customHeight="false" outlineLevel="0" collapsed="false">
      <c r="B1134" s="48" t="n">
        <v>45338.8381828704</v>
      </c>
      <c r="C1134" s="4" t="n">
        <f aca="false">YEAR(B1134)</f>
        <v>2024</v>
      </c>
      <c r="D1134" s="49" t="s">
        <v>283</v>
      </c>
      <c r="E1134" s="49" t="s">
        <v>2524</v>
      </c>
      <c r="F1134" s="50" t="n">
        <v>9</v>
      </c>
      <c r="G1134" s="49" t="s">
        <v>287</v>
      </c>
      <c r="H1134" s="51" t="n">
        <v>0.005</v>
      </c>
      <c r="I1134" s="51" t="n">
        <v>0.027</v>
      </c>
      <c r="J1134" s="51" t="n">
        <v>0.968</v>
      </c>
      <c r="K1134" s="49"/>
      <c r="L1134" s="49"/>
      <c r="M1134" s="49"/>
      <c r="N1134" s="49"/>
      <c r="O1134" s="49"/>
      <c r="P1134" s="49"/>
      <c r="Q1134" s="49"/>
      <c r="R1134" s="49"/>
      <c r="S1134" s="49" t="n">
        <v>0</v>
      </c>
      <c r="T1134" s="49" t="n">
        <v>0</v>
      </c>
      <c r="U1134" s="49" t="s">
        <v>2525</v>
      </c>
    </row>
    <row r="1135" customFormat="false" ht="15" hidden="false" customHeight="false" outlineLevel="0" collapsed="false">
      <c r="B1135" s="48" t="n">
        <v>45338.9415046296</v>
      </c>
      <c r="C1135" s="4" t="n">
        <f aca="false">YEAR(B1135)</f>
        <v>2024</v>
      </c>
      <c r="D1135" s="49" t="s">
        <v>283</v>
      </c>
      <c r="E1135" s="49" t="s">
        <v>2526</v>
      </c>
      <c r="F1135" s="50" t="n">
        <v>3</v>
      </c>
      <c r="G1135" s="49" t="s">
        <v>290</v>
      </c>
      <c r="H1135" s="51" t="n">
        <v>0.4494</v>
      </c>
      <c r="I1135" s="51" t="n">
        <v>0.4989</v>
      </c>
      <c r="J1135" s="51" t="n">
        <v>0.0517</v>
      </c>
      <c r="K1135" s="49" t="s">
        <v>281</v>
      </c>
      <c r="L1135" s="49"/>
      <c r="M1135" s="49"/>
      <c r="N1135" s="49"/>
      <c r="O1135" s="49"/>
      <c r="P1135" s="49"/>
      <c r="Q1135" s="49"/>
      <c r="R1135" s="49"/>
      <c r="S1135" s="49" t="n">
        <v>0</v>
      </c>
      <c r="T1135" s="49" t="n">
        <v>0</v>
      </c>
      <c r="U1135" s="49" t="s">
        <v>2527</v>
      </c>
    </row>
    <row r="1136" customFormat="false" ht="15" hidden="false" customHeight="false" outlineLevel="0" collapsed="false">
      <c r="B1136" s="48" t="n">
        <v>45339.1103125</v>
      </c>
      <c r="C1136" s="4" t="n">
        <f aca="false">YEAR(B1136)</f>
        <v>2024</v>
      </c>
      <c r="D1136" s="49" t="s">
        <v>283</v>
      </c>
      <c r="E1136" s="49" t="s">
        <v>2528</v>
      </c>
      <c r="F1136" s="50" t="n">
        <v>1</v>
      </c>
      <c r="G1136" s="49" t="s">
        <v>287</v>
      </c>
      <c r="H1136" s="51" t="n">
        <v>0.0041</v>
      </c>
      <c r="I1136" s="51" t="n">
        <v>0.0492</v>
      </c>
      <c r="J1136" s="51" t="n">
        <v>0.9466</v>
      </c>
      <c r="K1136" s="49"/>
      <c r="L1136" s="49"/>
      <c r="M1136" s="49"/>
      <c r="N1136" s="49"/>
      <c r="O1136" s="49"/>
      <c r="P1136" s="49"/>
      <c r="Q1136" s="49"/>
      <c r="R1136" s="49"/>
      <c r="S1136" s="49" t="n">
        <v>1</v>
      </c>
      <c r="T1136" s="49" t="n">
        <v>0</v>
      </c>
      <c r="U1136" s="49" t="s">
        <v>2529</v>
      </c>
    </row>
    <row r="1137" customFormat="false" ht="15" hidden="false" customHeight="false" outlineLevel="0" collapsed="false">
      <c r="B1137" s="48" t="n">
        <v>45340.1380092593</v>
      </c>
      <c r="C1137" s="4" t="n">
        <f aca="false">YEAR(B1137)</f>
        <v>2024</v>
      </c>
      <c r="D1137" s="49" t="s">
        <v>283</v>
      </c>
      <c r="E1137" s="49" t="s">
        <v>2530</v>
      </c>
      <c r="F1137" s="50" t="n">
        <v>2</v>
      </c>
      <c r="G1137" s="49" t="s">
        <v>290</v>
      </c>
      <c r="H1137" s="51" t="n">
        <v>0.0334</v>
      </c>
      <c r="I1137" s="51" t="n">
        <v>0.8202</v>
      </c>
      <c r="J1137" s="51" t="n">
        <v>0.1464</v>
      </c>
      <c r="K1137" s="49"/>
      <c r="L1137" s="49"/>
      <c r="M1137" s="49"/>
      <c r="N1137" s="49"/>
      <c r="O1137" s="49"/>
      <c r="P1137" s="49"/>
      <c r="Q1137" s="49"/>
      <c r="R1137" s="49"/>
      <c r="S1137" s="49" t="n">
        <v>0</v>
      </c>
      <c r="T1137" s="49" t="n">
        <v>0</v>
      </c>
      <c r="U1137" s="49" t="s">
        <v>2531</v>
      </c>
    </row>
    <row r="1138" customFormat="false" ht="15" hidden="false" customHeight="false" outlineLevel="0" collapsed="false">
      <c r="B1138" s="48" t="n">
        <v>45340.2671875</v>
      </c>
      <c r="C1138" s="4" t="n">
        <f aca="false">YEAR(B1138)</f>
        <v>2024</v>
      </c>
      <c r="D1138" s="49" t="s">
        <v>283</v>
      </c>
      <c r="E1138" s="49" t="s">
        <v>2532</v>
      </c>
      <c r="F1138" s="50" t="n">
        <v>1</v>
      </c>
      <c r="G1138" s="49" t="s">
        <v>280</v>
      </c>
      <c r="H1138" s="51" t="n">
        <v>0.8402</v>
      </c>
      <c r="I1138" s="51" t="n">
        <v>0.1512</v>
      </c>
      <c r="J1138" s="51" t="n">
        <v>0.0086</v>
      </c>
      <c r="K1138" s="49"/>
      <c r="L1138" s="49"/>
      <c r="M1138" s="49"/>
      <c r="N1138" s="49"/>
      <c r="O1138" s="49"/>
      <c r="P1138" s="49"/>
      <c r="Q1138" s="49"/>
      <c r="R1138" s="49"/>
      <c r="S1138" s="49" t="n">
        <v>0</v>
      </c>
      <c r="T1138" s="49" t="n">
        <v>0</v>
      </c>
      <c r="U1138" s="49" t="s">
        <v>2533</v>
      </c>
    </row>
    <row r="1139" customFormat="false" ht="15" hidden="false" customHeight="false" outlineLevel="0" collapsed="false">
      <c r="B1139" s="48" t="n">
        <v>45340.7438310185</v>
      </c>
      <c r="C1139" s="4" t="n">
        <f aca="false">YEAR(B1139)</f>
        <v>2024</v>
      </c>
      <c r="D1139" s="49" t="s">
        <v>283</v>
      </c>
      <c r="E1139" s="49" t="s">
        <v>2534</v>
      </c>
      <c r="F1139" s="50" t="n">
        <v>1</v>
      </c>
      <c r="G1139" s="49" t="s">
        <v>287</v>
      </c>
      <c r="H1139" s="51" t="n">
        <v>0.0036</v>
      </c>
      <c r="I1139" s="51" t="n">
        <v>0.1233</v>
      </c>
      <c r="J1139" s="51" t="n">
        <v>0.8732</v>
      </c>
      <c r="K1139" s="49"/>
      <c r="L1139" s="49"/>
      <c r="M1139" s="49"/>
      <c r="N1139" s="49"/>
      <c r="O1139" s="49"/>
      <c r="P1139" s="49"/>
      <c r="Q1139" s="49"/>
      <c r="R1139" s="49"/>
      <c r="S1139" s="49" t="n">
        <v>0</v>
      </c>
      <c r="T1139" s="49" t="n">
        <v>0</v>
      </c>
      <c r="U1139" s="49" t="s">
        <v>2535</v>
      </c>
    </row>
    <row r="1140" customFormat="false" ht="15" hidden="false" customHeight="false" outlineLevel="0" collapsed="false">
      <c r="B1140" s="48" t="n">
        <v>45342.1455671296</v>
      </c>
      <c r="C1140" s="4" t="n">
        <f aca="false">YEAR(B1140)</f>
        <v>2024</v>
      </c>
      <c r="D1140" s="49" t="s">
        <v>283</v>
      </c>
      <c r="E1140" s="49" t="s">
        <v>2536</v>
      </c>
      <c r="F1140" s="50" t="n">
        <v>2</v>
      </c>
      <c r="G1140" s="49" t="s">
        <v>290</v>
      </c>
      <c r="H1140" s="51" t="n">
        <v>0.0216</v>
      </c>
      <c r="I1140" s="51" t="n">
        <v>0.7782</v>
      </c>
      <c r="J1140" s="51" t="n">
        <v>0.2003</v>
      </c>
      <c r="K1140" s="49"/>
      <c r="L1140" s="49"/>
      <c r="M1140" s="49"/>
      <c r="N1140" s="49"/>
      <c r="O1140" s="49"/>
      <c r="P1140" s="49"/>
      <c r="Q1140" s="49"/>
      <c r="R1140" s="49"/>
      <c r="S1140" s="49" t="n">
        <v>0</v>
      </c>
      <c r="T1140" s="49" t="n">
        <v>0</v>
      </c>
      <c r="U1140" s="49" t="s">
        <v>2537</v>
      </c>
    </row>
    <row r="1141" customFormat="false" ht="15" hidden="false" customHeight="false" outlineLevel="0" collapsed="false">
      <c r="B1141" s="48" t="n">
        <v>45342.210787037</v>
      </c>
      <c r="C1141" s="4" t="n">
        <f aca="false">YEAR(B1141)</f>
        <v>2024</v>
      </c>
      <c r="D1141" s="49" t="s">
        <v>283</v>
      </c>
      <c r="E1141" s="49" t="s">
        <v>2538</v>
      </c>
      <c r="F1141" s="50" t="n">
        <v>1</v>
      </c>
      <c r="G1141" s="49" t="s">
        <v>280</v>
      </c>
      <c r="H1141" s="51" t="n">
        <v>0.8648</v>
      </c>
      <c r="I1141" s="51" t="n">
        <v>0.124</v>
      </c>
      <c r="J1141" s="51" t="n">
        <v>0.0112</v>
      </c>
      <c r="K1141" s="49"/>
      <c r="L1141" s="49"/>
      <c r="M1141" s="49"/>
      <c r="N1141" s="49"/>
      <c r="O1141" s="49"/>
      <c r="P1141" s="49"/>
      <c r="Q1141" s="49"/>
      <c r="R1141" s="49" t="s">
        <v>281</v>
      </c>
      <c r="S1141" s="49" t="n">
        <v>0</v>
      </c>
      <c r="T1141" s="49" t="n">
        <v>0</v>
      </c>
      <c r="U1141" s="49" t="s">
        <v>2539</v>
      </c>
    </row>
    <row r="1142" customFormat="false" ht="15" hidden="false" customHeight="false" outlineLevel="0" collapsed="false">
      <c r="B1142" s="48" t="n">
        <v>45342.7558796296</v>
      </c>
      <c r="C1142" s="4" t="n">
        <f aca="false">YEAR(B1142)</f>
        <v>2024</v>
      </c>
      <c r="D1142" s="49" t="s">
        <v>283</v>
      </c>
      <c r="E1142" s="49" t="s">
        <v>2540</v>
      </c>
      <c r="F1142" s="50" t="n">
        <v>1</v>
      </c>
      <c r="G1142" s="49" t="s">
        <v>280</v>
      </c>
      <c r="H1142" s="51" t="n">
        <v>0.5416</v>
      </c>
      <c r="I1142" s="51" t="n">
        <v>0.401</v>
      </c>
      <c r="J1142" s="51" t="n">
        <v>0.0574</v>
      </c>
      <c r="K1142" s="49"/>
      <c r="L1142" s="49"/>
      <c r="M1142" s="49"/>
      <c r="N1142" s="49"/>
      <c r="O1142" s="49"/>
      <c r="P1142" s="49" t="s">
        <v>281</v>
      </c>
      <c r="Q1142" s="49"/>
      <c r="R1142" s="49"/>
      <c r="S1142" s="49" t="n">
        <v>0</v>
      </c>
      <c r="T1142" s="49" t="n">
        <v>0</v>
      </c>
      <c r="U1142" s="49" t="s">
        <v>2541</v>
      </c>
    </row>
    <row r="1143" customFormat="false" ht="15" hidden="false" customHeight="false" outlineLevel="0" collapsed="false">
      <c r="B1143" s="48" t="n">
        <v>45343.8966435185</v>
      </c>
      <c r="C1143" s="4" t="n">
        <f aca="false">YEAR(B1143)</f>
        <v>2024</v>
      </c>
      <c r="D1143" s="49" t="s">
        <v>283</v>
      </c>
      <c r="E1143" s="49" t="s">
        <v>2542</v>
      </c>
      <c r="F1143" s="50" t="n">
        <v>1</v>
      </c>
      <c r="G1143" s="49" t="s">
        <v>280</v>
      </c>
      <c r="H1143" s="51" t="n">
        <v>0.5147</v>
      </c>
      <c r="I1143" s="51" t="n">
        <v>0.4457</v>
      </c>
      <c r="J1143" s="51" t="n">
        <v>0.0396</v>
      </c>
      <c r="K1143" s="49"/>
      <c r="L1143" s="49"/>
      <c r="M1143" s="49"/>
      <c r="N1143" s="49"/>
      <c r="O1143" s="49"/>
      <c r="P1143" s="49"/>
      <c r="Q1143" s="49"/>
      <c r="R1143" s="49"/>
      <c r="S1143" s="49" t="n">
        <v>0</v>
      </c>
      <c r="T1143" s="49" t="n">
        <v>0</v>
      </c>
      <c r="U1143" s="49" t="s">
        <v>2543</v>
      </c>
    </row>
    <row r="1144" customFormat="false" ht="15" hidden="false" customHeight="false" outlineLevel="0" collapsed="false">
      <c r="B1144" s="48" t="n">
        <v>45344.0685069444</v>
      </c>
      <c r="C1144" s="4" t="n">
        <f aca="false">YEAR(B1144)</f>
        <v>2024</v>
      </c>
      <c r="D1144" s="49" t="s">
        <v>278</v>
      </c>
      <c r="E1144" s="49" t="s">
        <v>2544</v>
      </c>
      <c r="F1144" s="50" t="n">
        <v>8</v>
      </c>
      <c r="G1144" s="49" t="s">
        <v>290</v>
      </c>
      <c r="H1144" s="51" t="n">
        <v>0.2986</v>
      </c>
      <c r="I1144" s="51" t="n">
        <v>0.6646</v>
      </c>
      <c r="J1144" s="51" t="n">
        <v>0.0368</v>
      </c>
      <c r="K1144" s="49"/>
      <c r="L1144" s="49"/>
      <c r="M1144" s="49"/>
      <c r="N1144" s="49"/>
      <c r="O1144" s="49"/>
      <c r="P1144" s="49"/>
      <c r="Q1144" s="49"/>
      <c r="R1144" s="49"/>
      <c r="S1144" s="49" t="n">
        <v>0</v>
      </c>
      <c r="T1144" s="49" t="n">
        <v>0</v>
      </c>
      <c r="U1144" s="49" t="s">
        <v>2545</v>
      </c>
    </row>
    <row r="1145" customFormat="false" ht="15" hidden="false" customHeight="false" outlineLevel="0" collapsed="false">
      <c r="B1145" s="48" t="n">
        <v>45344.6793055556</v>
      </c>
      <c r="C1145" s="4" t="n">
        <f aca="false">YEAR(B1145)</f>
        <v>2024</v>
      </c>
      <c r="D1145" s="49" t="s">
        <v>283</v>
      </c>
      <c r="E1145" s="49" t="s">
        <v>2546</v>
      </c>
      <c r="F1145" s="50" t="n">
        <v>1</v>
      </c>
      <c r="G1145" s="49" t="s">
        <v>280</v>
      </c>
      <c r="H1145" s="51" t="n">
        <v>0.7417</v>
      </c>
      <c r="I1145" s="51" t="n">
        <v>0.2091</v>
      </c>
      <c r="J1145" s="51" t="n">
        <v>0.0492</v>
      </c>
      <c r="K1145" s="49"/>
      <c r="L1145" s="49"/>
      <c r="M1145" s="49"/>
      <c r="N1145" s="49"/>
      <c r="O1145" s="49"/>
      <c r="P1145" s="49"/>
      <c r="Q1145" s="49"/>
      <c r="R1145" s="49"/>
      <c r="S1145" s="49" t="n">
        <v>0</v>
      </c>
      <c r="T1145" s="49" t="n">
        <v>0</v>
      </c>
      <c r="U1145" s="49" t="s">
        <v>2547</v>
      </c>
    </row>
    <row r="1146" customFormat="false" ht="15" hidden="false" customHeight="false" outlineLevel="0" collapsed="false">
      <c r="B1146" s="48" t="n">
        <v>45344.917962963</v>
      </c>
      <c r="C1146" s="4" t="n">
        <f aca="false">YEAR(B1146)</f>
        <v>2024</v>
      </c>
      <c r="D1146" s="49" t="s">
        <v>283</v>
      </c>
      <c r="E1146" s="49" t="s">
        <v>2548</v>
      </c>
      <c r="F1146" s="50" t="n">
        <v>1</v>
      </c>
      <c r="G1146" s="49" t="s">
        <v>280</v>
      </c>
      <c r="H1146" s="51" t="n">
        <v>0.5437</v>
      </c>
      <c r="I1146" s="51" t="n">
        <v>0.3907</v>
      </c>
      <c r="J1146" s="51" t="n">
        <v>0.0656</v>
      </c>
      <c r="K1146" s="49"/>
      <c r="L1146" s="49"/>
      <c r="M1146" s="49"/>
      <c r="N1146" s="49"/>
      <c r="O1146" s="49"/>
      <c r="P1146" s="49"/>
      <c r="Q1146" s="49"/>
      <c r="R1146" s="49"/>
      <c r="S1146" s="49" t="n">
        <v>0</v>
      </c>
      <c r="T1146" s="49" t="n">
        <v>0</v>
      </c>
      <c r="U1146" s="49" t="s">
        <v>2549</v>
      </c>
    </row>
    <row r="1147" customFormat="false" ht="15" hidden="false" customHeight="false" outlineLevel="0" collapsed="false">
      <c r="B1147" s="48" t="n">
        <v>45345.0261458333</v>
      </c>
      <c r="C1147" s="4" t="n">
        <f aca="false">YEAR(B1147)</f>
        <v>2024</v>
      </c>
      <c r="D1147" s="49" t="s">
        <v>283</v>
      </c>
      <c r="E1147" s="49" t="s">
        <v>2550</v>
      </c>
      <c r="F1147" s="50" t="n">
        <v>1</v>
      </c>
      <c r="G1147" s="49" t="s">
        <v>290</v>
      </c>
      <c r="H1147" s="51" t="n">
        <v>0.0477</v>
      </c>
      <c r="I1147" s="51" t="n">
        <v>0.8922</v>
      </c>
      <c r="J1147" s="51" t="n">
        <v>0.0601</v>
      </c>
      <c r="K1147" s="49"/>
      <c r="L1147" s="49"/>
      <c r="M1147" s="49"/>
      <c r="N1147" s="49"/>
      <c r="O1147" s="49"/>
      <c r="P1147" s="49"/>
      <c r="Q1147" s="49"/>
      <c r="R1147" s="49"/>
      <c r="S1147" s="49" t="n">
        <v>0</v>
      </c>
      <c r="T1147" s="49" t="n">
        <v>0</v>
      </c>
      <c r="U1147" s="49" t="s">
        <v>2551</v>
      </c>
    </row>
    <row r="1148" customFormat="false" ht="15" hidden="false" customHeight="false" outlineLevel="0" collapsed="false">
      <c r="B1148" s="48" t="n">
        <v>45345.3141782407</v>
      </c>
      <c r="C1148" s="4" t="n">
        <f aca="false">YEAR(B1148)</f>
        <v>2024</v>
      </c>
      <c r="D1148" s="49" t="s">
        <v>283</v>
      </c>
      <c r="E1148" s="49" t="s">
        <v>2552</v>
      </c>
      <c r="F1148" s="50" t="n">
        <v>1</v>
      </c>
      <c r="G1148" s="49" t="s">
        <v>290</v>
      </c>
      <c r="H1148" s="51" t="n">
        <v>0.2402</v>
      </c>
      <c r="I1148" s="51" t="n">
        <v>0.4252</v>
      </c>
      <c r="J1148" s="51" t="n">
        <v>0.3347</v>
      </c>
      <c r="K1148" s="49"/>
      <c r="L1148" s="49"/>
      <c r="M1148" s="49"/>
      <c r="N1148" s="49"/>
      <c r="O1148" s="49"/>
      <c r="P1148" s="49"/>
      <c r="Q1148" s="49"/>
      <c r="R1148" s="49"/>
      <c r="S1148" s="49" t="n">
        <v>0</v>
      </c>
      <c r="T1148" s="49" t="n">
        <v>0</v>
      </c>
      <c r="U1148" s="49" t="s">
        <v>2553</v>
      </c>
    </row>
    <row r="1149" customFormat="false" ht="15" hidden="false" customHeight="false" outlineLevel="0" collapsed="false">
      <c r="B1149" s="48" t="n">
        <v>45345.5888078704</v>
      </c>
      <c r="C1149" s="4" t="n">
        <f aca="false">YEAR(B1149)</f>
        <v>2024</v>
      </c>
      <c r="D1149" s="49" t="s">
        <v>283</v>
      </c>
      <c r="E1149" s="49" t="s">
        <v>2554</v>
      </c>
      <c r="F1149" s="50" t="n">
        <v>1</v>
      </c>
      <c r="G1149" s="49" t="s">
        <v>280</v>
      </c>
      <c r="H1149" s="51" t="n">
        <v>0.6138</v>
      </c>
      <c r="I1149" s="51" t="n">
        <v>0.3572</v>
      </c>
      <c r="J1149" s="51" t="n">
        <v>0.0291</v>
      </c>
      <c r="K1149" s="49" t="s">
        <v>281</v>
      </c>
      <c r="L1149" s="49"/>
      <c r="M1149" s="49"/>
      <c r="N1149" s="49"/>
      <c r="O1149" s="49"/>
      <c r="P1149" s="49"/>
      <c r="Q1149" s="49"/>
      <c r="R1149" s="49"/>
      <c r="S1149" s="49" t="n">
        <v>0</v>
      </c>
      <c r="T1149" s="49" t="n">
        <v>0</v>
      </c>
      <c r="U1149" s="49" t="s">
        <v>2555</v>
      </c>
    </row>
    <row r="1150" customFormat="false" ht="15" hidden="false" customHeight="false" outlineLevel="0" collapsed="false">
      <c r="B1150" s="48" t="n">
        <v>45346.4679050926</v>
      </c>
      <c r="C1150" s="4" t="n">
        <f aca="false">YEAR(B1150)</f>
        <v>2024</v>
      </c>
      <c r="D1150" s="49" t="s">
        <v>283</v>
      </c>
      <c r="E1150" s="49" t="s">
        <v>2556</v>
      </c>
      <c r="F1150" s="50" t="n">
        <v>1</v>
      </c>
      <c r="G1150" s="49" t="s">
        <v>280</v>
      </c>
      <c r="H1150" s="51" t="n">
        <v>0.6755</v>
      </c>
      <c r="I1150" s="51" t="n">
        <v>0.3152</v>
      </c>
      <c r="J1150" s="51" t="n">
        <v>0.0093</v>
      </c>
      <c r="K1150" s="49"/>
      <c r="L1150" s="49"/>
      <c r="M1150" s="49"/>
      <c r="N1150" s="49"/>
      <c r="O1150" s="49"/>
      <c r="P1150" s="49"/>
      <c r="Q1150" s="49"/>
      <c r="R1150" s="49" t="s">
        <v>281</v>
      </c>
      <c r="S1150" s="49" t="n">
        <v>1</v>
      </c>
      <c r="T1150" s="49" t="n">
        <v>0</v>
      </c>
      <c r="U1150" s="49" t="s">
        <v>2557</v>
      </c>
    </row>
    <row r="1151" customFormat="false" ht="15" hidden="false" customHeight="false" outlineLevel="0" collapsed="false">
      <c r="B1151" s="48" t="n">
        <v>45346.6390972222</v>
      </c>
      <c r="C1151" s="4" t="n">
        <f aca="false">YEAR(B1151)</f>
        <v>2024</v>
      </c>
      <c r="D1151" s="49" t="s">
        <v>278</v>
      </c>
      <c r="E1151" s="49" t="s">
        <v>2558</v>
      </c>
      <c r="F1151" s="50" t="n">
        <v>1</v>
      </c>
      <c r="G1151" s="49" t="s">
        <v>280</v>
      </c>
      <c r="H1151" s="51" t="n">
        <v>0.9019</v>
      </c>
      <c r="I1151" s="51" t="n">
        <v>0.0907</v>
      </c>
      <c r="J1151" s="51" t="n">
        <v>0.0074</v>
      </c>
      <c r="K1151" s="49"/>
      <c r="L1151" s="49"/>
      <c r="M1151" s="49"/>
      <c r="N1151" s="49"/>
      <c r="O1151" s="49"/>
      <c r="P1151" s="49"/>
      <c r="Q1151" s="49"/>
      <c r="R1151" s="49" t="s">
        <v>281</v>
      </c>
      <c r="S1151" s="49" t="n">
        <v>1</v>
      </c>
      <c r="T1151" s="49" t="n">
        <v>0</v>
      </c>
      <c r="U1151" s="49" t="s">
        <v>2559</v>
      </c>
    </row>
    <row r="1152" customFormat="false" ht="15" hidden="false" customHeight="false" outlineLevel="0" collapsed="false">
      <c r="B1152" s="48" t="n">
        <v>45346.6402893519</v>
      </c>
      <c r="C1152" s="4" t="n">
        <f aca="false">YEAR(B1152)</f>
        <v>2024</v>
      </c>
      <c r="D1152" s="49" t="s">
        <v>283</v>
      </c>
      <c r="E1152" s="49" t="s">
        <v>2560</v>
      </c>
      <c r="F1152" s="50" t="n">
        <v>1</v>
      </c>
      <c r="G1152" s="49" t="s">
        <v>280</v>
      </c>
      <c r="H1152" s="51" t="n">
        <v>0.87</v>
      </c>
      <c r="I1152" s="51" t="n">
        <v>0.1214</v>
      </c>
      <c r="J1152" s="51" t="n">
        <v>0.0086</v>
      </c>
      <c r="K1152" s="49"/>
      <c r="L1152" s="49"/>
      <c r="M1152" s="49"/>
      <c r="N1152" s="49"/>
      <c r="O1152" s="49"/>
      <c r="P1152" s="49"/>
      <c r="Q1152" s="49"/>
      <c r="R1152" s="49" t="s">
        <v>281</v>
      </c>
      <c r="S1152" s="49" t="n">
        <v>0</v>
      </c>
      <c r="T1152" s="49" t="n">
        <v>0</v>
      </c>
      <c r="U1152" s="49" t="s">
        <v>2561</v>
      </c>
    </row>
    <row r="1153" customFormat="false" ht="15" hidden="false" customHeight="false" outlineLevel="0" collapsed="false">
      <c r="B1153" s="48" t="n">
        <v>45346.7086689815</v>
      </c>
      <c r="C1153" s="4" t="n">
        <f aca="false">YEAR(B1153)</f>
        <v>2024</v>
      </c>
      <c r="D1153" s="49" t="s">
        <v>283</v>
      </c>
      <c r="E1153" s="49" t="s">
        <v>2562</v>
      </c>
      <c r="F1153" s="50" t="n">
        <v>1</v>
      </c>
      <c r="G1153" s="49" t="s">
        <v>280</v>
      </c>
      <c r="H1153" s="51" t="n">
        <v>0.8063</v>
      </c>
      <c r="I1153" s="51" t="n">
        <v>0.1828</v>
      </c>
      <c r="J1153" s="51" t="n">
        <v>0.0109</v>
      </c>
      <c r="K1153" s="49"/>
      <c r="L1153" s="49"/>
      <c r="M1153" s="49"/>
      <c r="N1153" s="49"/>
      <c r="O1153" s="49"/>
      <c r="P1153" s="49"/>
      <c r="Q1153" s="49" t="s">
        <v>281</v>
      </c>
      <c r="R1153" s="49"/>
      <c r="S1153" s="49" t="n">
        <v>0</v>
      </c>
      <c r="T1153" s="49" t="n">
        <v>0</v>
      </c>
      <c r="U1153" s="49" t="s">
        <v>2563</v>
      </c>
    </row>
    <row r="1154" customFormat="false" ht="15" hidden="false" customHeight="false" outlineLevel="0" collapsed="false">
      <c r="B1154" s="48" t="n">
        <v>45347.0038425926</v>
      </c>
      <c r="C1154" s="4" t="n">
        <f aca="false">YEAR(B1154)</f>
        <v>2024</v>
      </c>
      <c r="D1154" s="49" t="s">
        <v>278</v>
      </c>
      <c r="E1154" s="49" t="s">
        <v>2564</v>
      </c>
      <c r="F1154" s="50" t="n">
        <v>9</v>
      </c>
      <c r="G1154" s="49" t="s">
        <v>280</v>
      </c>
      <c r="H1154" s="51" t="n">
        <v>0.7637</v>
      </c>
      <c r="I1154" s="51" t="n">
        <v>0.2262</v>
      </c>
      <c r="J1154" s="51" t="n">
        <v>0.01</v>
      </c>
      <c r="K1154" s="49"/>
      <c r="L1154" s="49"/>
      <c r="M1154" s="49"/>
      <c r="N1154" s="49"/>
      <c r="O1154" s="49"/>
      <c r="P1154" s="49"/>
      <c r="Q1154" s="49"/>
      <c r="R1154" s="49" t="s">
        <v>281</v>
      </c>
      <c r="S1154" s="49" t="n">
        <v>0</v>
      </c>
      <c r="T1154" s="49" t="n">
        <v>0</v>
      </c>
      <c r="U1154" s="49" t="s">
        <v>2565</v>
      </c>
    </row>
    <row r="1155" customFormat="false" ht="15" hidden="false" customHeight="false" outlineLevel="0" collapsed="false">
      <c r="B1155" s="48" t="n">
        <v>45347.2719328704</v>
      </c>
      <c r="C1155" s="4" t="n">
        <f aca="false">YEAR(B1155)</f>
        <v>2024</v>
      </c>
      <c r="D1155" s="49" t="s">
        <v>283</v>
      </c>
      <c r="E1155" s="49" t="s">
        <v>2566</v>
      </c>
      <c r="F1155" s="50" t="n">
        <v>1</v>
      </c>
      <c r="G1155" s="49" t="s">
        <v>280</v>
      </c>
      <c r="H1155" s="51" t="n">
        <v>0.8727</v>
      </c>
      <c r="I1155" s="51" t="n">
        <v>0.1195</v>
      </c>
      <c r="J1155" s="51" t="n">
        <v>0.0077</v>
      </c>
      <c r="K1155" s="49"/>
      <c r="L1155" s="49"/>
      <c r="M1155" s="49"/>
      <c r="N1155" s="49"/>
      <c r="O1155" s="49"/>
      <c r="P1155" s="49"/>
      <c r="Q1155" s="49"/>
      <c r="R1155" s="49" t="s">
        <v>281</v>
      </c>
      <c r="S1155" s="49" t="n">
        <v>0</v>
      </c>
      <c r="T1155" s="49" t="n">
        <v>0</v>
      </c>
      <c r="U1155" s="49" t="s">
        <v>2567</v>
      </c>
    </row>
    <row r="1156" customFormat="false" ht="15" hidden="false" customHeight="false" outlineLevel="0" collapsed="false">
      <c r="B1156" s="48" t="n">
        <v>45348.2756134259</v>
      </c>
      <c r="C1156" s="4" t="n">
        <f aca="false">YEAR(B1156)</f>
        <v>2024</v>
      </c>
      <c r="D1156" s="49" t="s">
        <v>283</v>
      </c>
      <c r="E1156" s="49" t="s">
        <v>2568</v>
      </c>
      <c r="F1156" s="50" t="n">
        <v>1</v>
      </c>
      <c r="G1156" s="49" t="s">
        <v>290</v>
      </c>
      <c r="H1156" s="51" t="n">
        <v>0.2202</v>
      </c>
      <c r="I1156" s="51" t="n">
        <v>0.7504</v>
      </c>
      <c r="J1156" s="51" t="n">
        <v>0.0294</v>
      </c>
      <c r="K1156" s="49"/>
      <c r="L1156" s="49"/>
      <c r="M1156" s="49"/>
      <c r="N1156" s="49"/>
      <c r="O1156" s="49"/>
      <c r="P1156" s="49"/>
      <c r="Q1156" s="49"/>
      <c r="R1156" s="49"/>
      <c r="S1156" s="49" t="n">
        <v>1</v>
      </c>
      <c r="T1156" s="49" t="n">
        <v>0</v>
      </c>
      <c r="U1156" s="49" t="s">
        <v>2569</v>
      </c>
    </row>
    <row r="1157" customFormat="false" ht="15" hidden="false" customHeight="false" outlineLevel="0" collapsed="false">
      <c r="B1157" s="48" t="n">
        <v>45348.4101736111</v>
      </c>
      <c r="C1157" s="4" t="n">
        <f aca="false">YEAR(B1157)</f>
        <v>2024</v>
      </c>
      <c r="D1157" s="49" t="s">
        <v>283</v>
      </c>
      <c r="E1157" s="49" t="s">
        <v>2570</v>
      </c>
      <c r="F1157" s="50" t="n">
        <v>1</v>
      </c>
      <c r="G1157" s="49" t="s">
        <v>280</v>
      </c>
      <c r="H1157" s="51" t="n">
        <v>0.675</v>
      </c>
      <c r="I1157" s="51" t="n">
        <v>0.2978</v>
      </c>
      <c r="J1157" s="51" t="n">
        <v>0.0272</v>
      </c>
      <c r="K1157" s="49"/>
      <c r="L1157" s="49"/>
      <c r="M1157" s="49"/>
      <c r="N1157" s="49"/>
      <c r="O1157" s="49"/>
      <c r="P1157" s="49"/>
      <c r="Q1157" s="49" t="s">
        <v>281</v>
      </c>
      <c r="R1157" s="49"/>
      <c r="S1157" s="49" t="n">
        <v>0</v>
      </c>
      <c r="T1157" s="49" t="n">
        <v>0</v>
      </c>
      <c r="U1157" s="49" t="s">
        <v>2571</v>
      </c>
    </row>
    <row r="1158" customFormat="false" ht="15" hidden="false" customHeight="false" outlineLevel="0" collapsed="false">
      <c r="B1158" s="48" t="n">
        <v>45348.8813310185</v>
      </c>
      <c r="C1158" s="4" t="n">
        <f aca="false">YEAR(B1158)</f>
        <v>2024</v>
      </c>
      <c r="D1158" s="49" t="s">
        <v>278</v>
      </c>
      <c r="E1158" s="49" t="s">
        <v>2572</v>
      </c>
      <c r="F1158" s="50" t="n">
        <v>10</v>
      </c>
      <c r="G1158" s="49" t="s">
        <v>290</v>
      </c>
      <c r="H1158" s="51" t="n">
        <v>0.3793</v>
      </c>
      <c r="I1158" s="51" t="n">
        <v>0.4583</v>
      </c>
      <c r="J1158" s="51" t="n">
        <v>0.1624</v>
      </c>
      <c r="K1158" s="49"/>
      <c r="L1158" s="49"/>
      <c r="M1158" s="49"/>
      <c r="N1158" s="49"/>
      <c r="O1158" s="49"/>
      <c r="P1158" s="49"/>
      <c r="Q1158" s="49"/>
      <c r="R1158" s="49"/>
      <c r="S1158" s="49" t="n">
        <v>0</v>
      </c>
      <c r="T1158" s="49" t="n">
        <v>0</v>
      </c>
      <c r="U1158" s="49" t="s">
        <v>2573</v>
      </c>
    </row>
    <row r="1159" customFormat="false" ht="15" hidden="false" customHeight="false" outlineLevel="0" collapsed="false">
      <c r="B1159" s="48" t="n">
        <v>45349.1926851852</v>
      </c>
      <c r="C1159" s="4" t="n">
        <f aca="false">YEAR(B1159)</f>
        <v>2024</v>
      </c>
      <c r="D1159" s="49" t="s">
        <v>283</v>
      </c>
      <c r="E1159" s="49" t="s">
        <v>2574</v>
      </c>
      <c r="F1159" s="50" t="n">
        <v>1</v>
      </c>
      <c r="G1159" s="49" t="s">
        <v>287</v>
      </c>
      <c r="H1159" s="51" t="n">
        <v>0.0051</v>
      </c>
      <c r="I1159" s="51" t="n">
        <v>0.0193</v>
      </c>
      <c r="J1159" s="51" t="n">
        <v>0.9756</v>
      </c>
      <c r="K1159" s="49"/>
      <c r="L1159" s="49"/>
      <c r="M1159" s="49"/>
      <c r="N1159" s="49"/>
      <c r="O1159" s="49"/>
      <c r="P1159" s="49"/>
      <c r="Q1159" s="49"/>
      <c r="R1159" s="49"/>
      <c r="S1159" s="49" t="n">
        <v>0</v>
      </c>
      <c r="T1159" s="49" t="n">
        <v>0</v>
      </c>
      <c r="U1159" s="49" t="s">
        <v>2575</v>
      </c>
    </row>
    <row r="1160" customFormat="false" ht="15" hidden="false" customHeight="false" outlineLevel="0" collapsed="false">
      <c r="B1160" s="48" t="n">
        <v>45349.5273263889</v>
      </c>
      <c r="C1160" s="4" t="n">
        <f aca="false">YEAR(B1160)</f>
        <v>2024</v>
      </c>
      <c r="D1160" s="49" t="s">
        <v>278</v>
      </c>
      <c r="E1160" s="49" t="s">
        <v>2576</v>
      </c>
      <c r="F1160" s="50" t="n">
        <v>1</v>
      </c>
      <c r="G1160" s="49" t="s">
        <v>290</v>
      </c>
      <c r="H1160" s="51" t="n">
        <v>0.3284</v>
      </c>
      <c r="I1160" s="51" t="n">
        <v>0.6412</v>
      </c>
      <c r="J1160" s="51" t="n">
        <v>0.0304</v>
      </c>
      <c r="K1160" s="49"/>
      <c r="L1160" s="49"/>
      <c r="M1160" s="49"/>
      <c r="N1160" s="49"/>
      <c r="O1160" s="49"/>
      <c r="P1160" s="49"/>
      <c r="Q1160" s="49" t="s">
        <v>281</v>
      </c>
      <c r="R1160" s="49"/>
      <c r="S1160" s="49" t="n">
        <v>0</v>
      </c>
      <c r="T1160" s="49" t="n">
        <v>0</v>
      </c>
      <c r="U1160" s="49" t="s">
        <v>2577</v>
      </c>
    </row>
    <row r="1161" customFormat="false" ht="15" hidden="false" customHeight="false" outlineLevel="0" collapsed="false">
      <c r="B1161" s="48" t="n">
        <v>45349.7212152778</v>
      </c>
      <c r="C1161" s="4" t="n">
        <f aca="false">YEAR(B1161)</f>
        <v>2024</v>
      </c>
      <c r="D1161" s="49" t="s">
        <v>283</v>
      </c>
      <c r="E1161" s="49" t="s">
        <v>2578</v>
      </c>
      <c r="F1161" s="50" t="n">
        <v>1</v>
      </c>
      <c r="G1161" s="49" t="s">
        <v>280</v>
      </c>
      <c r="H1161" s="51" t="n">
        <v>0.4943</v>
      </c>
      <c r="I1161" s="51" t="n">
        <v>0.3839</v>
      </c>
      <c r="J1161" s="51" t="n">
        <v>0.1218</v>
      </c>
      <c r="K1161" s="49"/>
      <c r="L1161" s="49"/>
      <c r="M1161" s="49"/>
      <c r="N1161" s="49"/>
      <c r="O1161" s="49"/>
      <c r="P1161" s="49"/>
      <c r="Q1161" s="49"/>
      <c r="R1161" s="49" t="s">
        <v>281</v>
      </c>
      <c r="S1161" s="49" t="n">
        <v>0</v>
      </c>
      <c r="T1161" s="49" t="n">
        <v>0</v>
      </c>
      <c r="U1161" s="49" t="s">
        <v>2579</v>
      </c>
    </row>
    <row r="1162" customFormat="false" ht="15" hidden="false" customHeight="false" outlineLevel="0" collapsed="false">
      <c r="B1162" s="48" t="n">
        <v>45349.8179513889</v>
      </c>
      <c r="C1162" s="4" t="n">
        <f aca="false">YEAR(B1162)</f>
        <v>2024</v>
      </c>
      <c r="D1162" s="49" t="s">
        <v>283</v>
      </c>
      <c r="E1162" s="49" t="s">
        <v>2580</v>
      </c>
      <c r="F1162" s="50" t="n">
        <v>1</v>
      </c>
      <c r="G1162" s="49" t="s">
        <v>290</v>
      </c>
      <c r="H1162" s="51" t="n">
        <v>0.0073</v>
      </c>
      <c r="I1162" s="51" t="n">
        <v>0.6003</v>
      </c>
      <c r="J1162" s="51" t="n">
        <v>0.3924</v>
      </c>
      <c r="K1162" s="49"/>
      <c r="L1162" s="49"/>
      <c r="M1162" s="49"/>
      <c r="N1162" s="49"/>
      <c r="O1162" s="49"/>
      <c r="P1162" s="49"/>
      <c r="Q1162" s="49"/>
      <c r="R1162" s="49"/>
      <c r="S1162" s="49" t="n">
        <v>0</v>
      </c>
      <c r="T1162" s="49" t="n">
        <v>0</v>
      </c>
      <c r="U1162" s="49" t="s">
        <v>2581</v>
      </c>
    </row>
    <row r="1163" customFormat="false" ht="15" hidden="false" customHeight="false" outlineLevel="0" collapsed="false">
      <c r="B1163" s="48" t="n">
        <v>45350.1232060185</v>
      </c>
      <c r="C1163" s="4" t="n">
        <f aca="false">YEAR(B1163)</f>
        <v>2024</v>
      </c>
      <c r="D1163" s="49" t="s">
        <v>283</v>
      </c>
      <c r="E1163" s="49" t="s">
        <v>2582</v>
      </c>
      <c r="F1163" s="50" t="n">
        <v>1</v>
      </c>
      <c r="G1163" s="49" t="s">
        <v>280</v>
      </c>
      <c r="H1163" s="51" t="n">
        <v>0.6984</v>
      </c>
      <c r="I1163" s="51" t="n">
        <v>0.2872</v>
      </c>
      <c r="J1163" s="51" t="n">
        <v>0.0144</v>
      </c>
      <c r="K1163" s="49"/>
      <c r="L1163" s="49"/>
      <c r="M1163" s="49"/>
      <c r="N1163" s="49"/>
      <c r="O1163" s="49"/>
      <c r="P1163" s="49"/>
      <c r="Q1163" s="49"/>
      <c r="R1163" s="49"/>
      <c r="S1163" s="49" t="n">
        <v>0</v>
      </c>
      <c r="T1163" s="49" t="n">
        <v>1</v>
      </c>
      <c r="U1163" s="49" t="s">
        <v>2583</v>
      </c>
    </row>
    <row r="1164" customFormat="false" ht="15" hidden="false" customHeight="false" outlineLevel="0" collapsed="false">
      <c r="B1164" s="48" t="n">
        <v>45350.8071643519</v>
      </c>
      <c r="C1164" s="4" t="n">
        <f aca="false">YEAR(B1164)</f>
        <v>2024</v>
      </c>
      <c r="D1164" s="49" t="s">
        <v>283</v>
      </c>
      <c r="E1164" s="49" t="s">
        <v>2584</v>
      </c>
      <c r="F1164" s="50" t="n">
        <v>1</v>
      </c>
      <c r="G1164" s="49" t="s">
        <v>280</v>
      </c>
      <c r="H1164" s="51" t="n">
        <v>0.5966</v>
      </c>
      <c r="I1164" s="51" t="n">
        <v>0.3723</v>
      </c>
      <c r="J1164" s="51" t="n">
        <v>0.0311</v>
      </c>
      <c r="K1164" s="49"/>
      <c r="L1164" s="49"/>
      <c r="M1164" s="49"/>
      <c r="N1164" s="49"/>
      <c r="O1164" s="49"/>
      <c r="P1164" s="49"/>
      <c r="Q1164" s="49"/>
      <c r="R1164" s="49" t="s">
        <v>281</v>
      </c>
      <c r="S1164" s="49" t="n">
        <v>0</v>
      </c>
      <c r="T1164" s="49" t="n">
        <v>0</v>
      </c>
      <c r="U1164" s="49" t="s">
        <v>2585</v>
      </c>
    </row>
    <row r="1165" customFormat="false" ht="15" hidden="false" customHeight="false" outlineLevel="0" collapsed="false">
      <c r="B1165" s="48" t="n">
        <v>45351.1410185185</v>
      </c>
      <c r="C1165" s="4" t="n">
        <f aca="false">YEAR(B1165)</f>
        <v>2024</v>
      </c>
      <c r="D1165" s="49" t="s">
        <v>278</v>
      </c>
      <c r="E1165" s="49" t="s">
        <v>2586</v>
      </c>
      <c r="F1165" s="50" t="n">
        <v>7</v>
      </c>
      <c r="G1165" s="49" t="s">
        <v>287</v>
      </c>
      <c r="H1165" s="51" t="n">
        <v>0.0048</v>
      </c>
      <c r="I1165" s="51" t="n">
        <v>0.481</v>
      </c>
      <c r="J1165" s="51" t="n">
        <v>0.5142</v>
      </c>
      <c r="K1165" s="49"/>
      <c r="L1165" s="49"/>
      <c r="M1165" s="49"/>
      <c r="N1165" s="49"/>
      <c r="O1165" s="49"/>
      <c r="P1165" s="49"/>
      <c r="Q1165" s="49"/>
      <c r="R1165" s="49"/>
      <c r="S1165" s="49" t="n">
        <v>0</v>
      </c>
      <c r="T1165" s="49" t="n">
        <v>0</v>
      </c>
      <c r="U1165" s="49" t="s">
        <v>2587</v>
      </c>
    </row>
    <row r="1166" customFormat="false" ht="15" hidden="false" customHeight="false" outlineLevel="0" collapsed="false">
      <c r="B1166" s="48" t="n">
        <v>45351.4654398148</v>
      </c>
      <c r="C1166" s="4" t="n">
        <f aca="false">YEAR(B1166)</f>
        <v>2024</v>
      </c>
      <c r="D1166" s="49" t="s">
        <v>283</v>
      </c>
      <c r="E1166" s="49" t="s">
        <v>2588</v>
      </c>
      <c r="F1166" s="50" t="n">
        <v>2</v>
      </c>
      <c r="G1166" s="49" t="s">
        <v>290</v>
      </c>
      <c r="H1166" s="51" t="n">
        <v>0.0058</v>
      </c>
      <c r="I1166" s="51" t="n">
        <v>0.5485</v>
      </c>
      <c r="J1166" s="51" t="n">
        <v>0.4457</v>
      </c>
      <c r="K1166" s="49"/>
      <c r="L1166" s="49"/>
      <c r="M1166" s="49"/>
      <c r="N1166" s="49"/>
      <c r="O1166" s="49"/>
      <c r="P1166" s="49"/>
      <c r="Q1166" s="49"/>
      <c r="R1166" s="49"/>
      <c r="S1166" s="49" t="n">
        <v>0</v>
      </c>
      <c r="T1166" s="49" t="n">
        <v>0</v>
      </c>
      <c r="U1166" s="49" t="s">
        <v>2589</v>
      </c>
    </row>
    <row r="1167" customFormat="false" ht="15" hidden="false" customHeight="false" outlineLevel="0" collapsed="false">
      <c r="B1167" s="48" t="n">
        <v>45351.9416898148</v>
      </c>
      <c r="C1167" s="4" t="n">
        <f aca="false">YEAR(B1167)</f>
        <v>2024</v>
      </c>
      <c r="D1167" s="49" t="s">
        <v>283</v>
      </c>
      <c r="E1167" s="49" t="s">
        <v>2590</v>
      </c>
      <c r="F1167" s="50" t="n">
        <v>5</v>
      </c>
      <c r="G1167" s="49" t="s">
        <v>287</v>
      </c>
      <c r="H1167" s="51" t="n">
        <v>0.0032</v>
      </c>
      <c r="I1167" s="51" t="n">
        <v>0.0287</v>
      </c>
      <c r="J1167" s="51" t="n">
        <v>0.968</v>
      </c>
      <c r="K1167" s="49"/>
      <c r="L1167" s="49"/>
      <c r="M1167" s="49"/>
      <c r="N1167" s="49"/>
      <c r="O1167" s="49"/>
      <c r="P1167" s="49"/>
      <c r="Q1167" s="49"/>
      <c r="R1167" s="49"/>
      <c r="S1167" s="49" t="n">
        <v>0</v>
      </c>
      <c r="T1167" s="49" t="n">
        <v>0</v>
      </c>
      <c r="U1167" s="49" t="s">
        <v>2591</v>
      </c>
    </row>
    <row r="1168" customFormat="false" ht="15" hidden="false" customHeight="false" outlineLevel="0" collapsed="false">
      <c r="B1168" s="48" t="n">
        <v>45351.9706597222</v>
      </c>
      <c r="C1168" s="4" t="n">
        <f aca="false">YEAR(B1168)</f>
        <v>2024</v>
      </c>
      <c r="D1168" s="49" t="s">
        <v>283</v>
      </c>
      <c r="E1168" s="49" t="s">
        <v>2592</v>
      </c>
      <c r="F1168" s="50" t="n">
        <v>1</v>
      </c>
      <c r="G1168" s="49" t="s">
        <v>290</v>
      </c>
      <c r="H1168" s="51" t="n">
        <v>0.0081</v>
      </c>
      <c r="I1168" s="51" t="n">
        <v>0.8782</v>
      </c>
      <c r="J1168" s="51" t="n">
        <v>0.1137</v>
      </c>
      <c r="K1168" s="49"/>
      <c r="L1168" s="49"/>
      <c r="M1168" s="49"/>
      <c r="N1168" s="49"/>
      <c r="O1168" s="49"/>
      <c r="P1168" s="49"/>
      <c r="Q1168" s="49"/>
      <c r="R1168" s="49"/>
      <c r="S1168" s="49" t="n">
        <v>0</v>
      </c>
      <c r="T1168" s="49" t="n">
        <v>0</v>
      </c>
      <c r="U1168" s="49" t="s">
        <v>2593</v>
      </c>
    </row>
    <row r="1169" customFormat="false" ht="15" hidden="false" customHeight="false" outlineLevel="0" collapsed="false">
      <c r="B1169" s="48" t="n">
        <v>45352.925462963</v>
      </c>
      <c r="C1169" s="4" t="n">
        <f aca="false">YEAR(B1169)</f>
        <v>2024</v>
      </c>
      <c r="D1169" s="49" t="s">
        <v>283</v>
      </c>
      <c r="E1169" s="49" t="s">
        <v>2594</v>
      </c>
      <c r="F1169" s="50" t="n">
        <v>1</v>
      </c>
      <c r="G1169" s="49" t="s">
        <v>290</v>
      </c>
      <c r="H1169" s="51" t="n">
        <v>0.1243</v>
      </c>
      <c r="I1169" s="51" t="n">
        <v>0.6939</v>
      </c>
      <c r="J1169" s="51" t="n">
        <v>0.1818</v>
      </c>
      <c r="K1169" s="49"/>
      <c r="L1169" s="49"/>
      <c r="M1169" s="49"/>
      <c r="N1169" s="49"/>
      <c r="O1169" s="49"/>
      <c r="P1169" s="49"/>
      <c r="Q1169" s="49"/>
      <c r="R1169" s="49"/>
      <c r="S1169" s="49" t="n">
        <v>0</v>
      </c>
      <c r="T1169" s="49" t="n">
        <v>0</v>
      </c>
      <c r="U1169" s="49" t="s">
        <v>2595</v>
      </c>
    </row>
    <row r="1170" customFormat="false" ht="15" hidden="false" customHeight="false" outlineLevel="0" collapsed="false">
      <c r="B1170" s="48" t="n">
        <v>45352.9275925926</v>
      </c>
      <c r="C1170" s="4" t="n">
        <f aca="false">YEAR(B1170)</f>
        <v>2024</v>
      </c>
      <c r="D1170" s="49" t="s">
        <v>283</v>
      </c>
      <c r="E1170" s="49" t="s">
        <v>2596</v>
      </c>
      <c r="F1170" s="50" t="n">
        <v>2</v>
      </c>
      <c r="G1170" s="49" t="s">
        <v>290</v>
      </c>
      <c r="H1170" s="51" t="n">
        <v>0.0993</v>
      </c>
      <c r="I1170" s="51" t="n">
        <v>0.7003</v>
      </c>
      <c r="J1170" s="51" t="n">
        <v>0.2004</v>
      </c>
      <c r="K1170" s="49"/>
      <c r="L1170" s="49"/>
      <c r="M1170" s="49"/>
      <c r="N1170" s="49"/>
      <c r="O1170" s="49"/>
      <c r="P1170" s="49"/>
      <c r="Q1170" s="49"/>
      <c r="R1170" s="49"/>
      <c r="S1170" s="49" t="n">
        <v>0</v>
      </c>
      <c r="T1170" s="49" t="n">
        <v>0</v>
      </c>
      <c r="U1170" s="49" t="s">
        <v>2597</v>
      </c>
    </row>
    <row r="1171" customFormat="false" ht="15" hidden="false" customHeight="false" outlineLevel="0" collapsed="false">
      <c r="B1171" s="48" t="n">
        <v>45353.6713657407</v>
      </c>
      <c r="C1171" s="4" t="n">
        <f aca="false">YEAR(B1171)</f>
        <v>2024</v>
      </c>
      <c r="D1171" s="49" t="s">
        <v>278</v>
      </c>
      <c r="E1171" s="49" t="s">
        <v>2598</v>
      </c>
      <c r="F1171" s="50" t="n">
        <v>12</v>
      </c>
      <c r="G1171" s="49" t="s">
        <v>280</v>
      </c>
      <c r="H1171" s="51" t="n">
        <v>0.8318</v>
      </c>
      <c r="I1171" s="51" t="n">
        <v>0.1592</v>
      </c>
      <c r="J1171" s="51" t="n">
        <v>0.009</v>
      </c>
      <c r="K1171" s="49"/>
      <c r="L1171" s="49"/>
      <c r="M1171" s="49"/>
      <c r="N1171" s="49"/>
      <c r="O1171" s="49"/>
      <c r="P1171" s="49"/>
      <c r="Q1171" s="49"/>
      <c r="R1171" s="49" t="s">
        <v>281</v>
      </c>
      <c r="S1171" s="49" t="n">
        <v>0</v>
      </c>
      <c r="T1171" s="49" t="n">
        <v>0</v>
      </c>
      <c r="U1171" s="49" t="s">
        <v>2599</v>
      </c>
    </row>
    <row r="1172" customFormat="false" ht="15" hidden="false" customHeight="false" outlineLevel="0" collapsed="false">
      <c r="B1172" s="48" t="n">
        <v>45356.7168865741</v>
      </c>
      <c r="C1172" s="4" t="n">
        <f aca="false">YEAR(B1172)</f>
        <v>2024</v>
      </c>
      <c r="D1172" s="49" t="s">
        <v>278</v>
      </c>
      <c r="E1172" s="49" t="s">
        <v>2600</v>
      </c>
      <c r="F1172" s="50" t="n">
        <v>5</v>
      </c>
      <c r="G1172" s="49" t="s">
        <v>280</v>
      </c>
      <c r="H1172" s="51" t="n">
        <v>0.6796</v>
      </c>
      <c r="I1172" s="51" t="n">
        <v>0.3007</v>
      </c>
      <c r="J1172" s="51" t="n">
        <v>0.0198</v>
      </c>
      <c r="K1172" s="49"/>
      <c r="L1172" s="49"/>
      <c r="M1172" s="49"/>
      <c r="N1172" s="49"/>
      <c r="O1172" s="49"/>
      <c r="P1172" s="49"/>
      <c r="Q1172" s="49"/>
      <c r="R1172" s="49"/>
      <c r="S1172" s="49" t="n">
        <v>0</v>
      </c>
      <c r="T1172" s="49" t="n">
        <v>0</v>
      </c>
      <c r="U1172" s="49" t="s">
        <v>2601</v>
      </c>
    </row>
    <row r="1173" customFormat="false" ht="15" hidden="false" customHeight="false" outlineLevel="0" collapsed="false">
      <c r="B1173" s="48" t="n">
        <v>45356.7812384259</v>
      </c>
      <c r="C1173" s="4" t="n">
        <f aca="false">YEAR(B1173)</f>
        <v>2024</v>
      </c>
      <c r="D1173" s="49" t="s">
        <v>283</v>
      </c>
      <c r="E1173" s="49" t="s">
        <v>2602</v>
      </c>
      <c r="F1173" s="50" t="n">
        <v>6</v>
      </c>
      <c r="G1173" s="49" t="s">
        <v>290</v>
      </c>
      <c r="H1173" s="51" t="n">
        <v>0.3506</v>
      </c>
      <c r="I1173" s="51" t="n">
        <v>0.6114</v>
      </c>
      <c r="J1173" s="51" t="n">
        <v>0.0379</v>
      </c>
      <c r="K1173" s="49"/>
      <c r="L1173" s="49"/>
      <c r="M1173" s="49"/>
      <c r="N1173" s="49"/>
      <c r="O1173" s="49"/>
      <c r="P1173" s="49"/>
      <c r="Q1173" s="49"/>
      <c r="R1173" s="49"/>
      <c r="S1173" s="49" t="n">
        <v>0</v>
      </c>
      <c r="T1173" s="49" t="n">
        <v>0</v>
      </c>
      <c r="U1173" s="49" t="s">
        <v>2603</v>
      </c>
    </row>
    <row r="1174" customFormat="false" ht="15" hidden="false" customHeight="false" outlineLevel="0" collapsed="false">
      <c r="B1174" s="48" t="n">
        <v>45356.9827083333</v>
      </c>
      <c r="C1174" s="4" t="n">
        <f aca="false">YEAR(B1174)</f>
        <v>2024</v>
      </c>
      <c r="D1174" s="49" t="s">
        <v>283</v>
      </c>
      <c r="E1174" s="49" t="s">
        <v>2604</v>
      </c>
      <c r="F1174" s="50" t="n">
        <v>2</v>
      </c>
      <c r="G1174" s="49" t="s">
        <v>280</v>
      </c>
      <c r="H1174" s="51" t="n">
        <v>0.7612</v>
      </c>
      <c r="I1174" s="51" t="n">
        <v>0.2237</v>
      </c>
      <c r="J1174" s="51" t="n">
        <v>0.0151</v>
      </c>
      <c r="K1174" s="49"/>
      <c r="L1174" s="49"/>
      <c r="M1174" s="49"/>
      <c r="N1174" s="49"/>
      <c r="O1174" s="49"/>
      <c r="P1174" s="49"/>
      <c r="Q1174" s="49"/>
      <c r="R1174" s="49"/>
      <c r="S1174" s="49" t="n">
        <v>0</v>
      </c>
      <c r="T1174" s="49" t="n">
        <v>0</v>
      </c>
      <c r="U1174" s="49" t="s">
        <v>2605</v>
      </c>
    </row>
    <row r="1175" customFormat="false" ht="15" hidden="false" customHeight="false" outlineLevel="0" collapsed="false">
      <c r="B1175" s="48" t="n">
        <v>45357.2291319444</v>
      </c>
      <c r="C1175" s="4" t="n">
        <f aca="false">YEAR(B1175)</f>
        <v>2024</v>
      </c>
      <c r="D1175" s="49" t="s">
        <v>278</v>
      </c>
      <c r="E1175" s="49" t="s">
        <v>2606</v>
      </c>
      <c r="F1175" s="50" t="n">
        <v>12</v>
      </c>
      <c r="G1175" s="49" t="s">
        <v>280</v>
      </c>
      <c r="H1175" s="51" t="n">
        <v>0.7089</v>
      </c>
      <c r="I1175" s="51" t="n">
        <v>0.2519</v>
      </c>
      <c r="J1175" s="51" t="n">
        <v>0.0392</v>
      </c>
      <c r="K1175" s="49" t="s">
        <v>281</v>
      </c>
      <c r="L1175" s="49"/>
      <c r="M1175" s="49"/>
      <c r="N1175" s="49"/>
      <c r="O1175" s="49"/>
      <c r="P1175" s="49"/>
      <c r="Q1175" s="49"/>
      <c r="R1175" s="49"/>
      <c r="S1175" s="49" t="n">
        <v>0</v>
      </c>
      <c r="T1175" s="49" t="n">
        <v>0</v>
      </c>
      <c r="U1175" s="49" t="s">
        <v>2607</v>
      </c>
    </row>
    <row r="1176" customFormat="false" ht="15" hidden="false" customHeight="false" outlineLevel="0" collapsed="false">
      <c r="B1176" s="48" t="n">
        <v>45357.6188078704</v>
      </c>
      <c r="C1176" s="4" t="n">
        <f aca="false">YEAR(B1176)</f>
        <v>2024</v>
      </c>
      <c r="D1176" s="49" t="s">
        <v>283</v>
      </c>
      <c r="E1176" s="49" t="s">
        <v>2608</v>
      </c>
      <c r="F1176" s="50" t="n">
        <v>34</v>
      </c>
      <c r="G1176" s="49" t="s">
        <v>287</v>
      </c>
      <c r="H1176" s="51" t="n">
        <v>0.003</v>
      </c>
      <c r="I1176" s="51" t="n">
        <v>0.0682</v>
      </c>
      <c r="J1176" s="51" t="n">
        <v>0.9288</v>
      </c>
      <c r="K1176" s="49"/>
      <c r="L1176" s="49"/>
      <c r="M1176" s="49"/>
      <c r="N1176" s="49"/>
      <c r="O1176" s="49"/>
      <c r="P1176" s="49"/>
      <c r="Q1176" s="49"/>
      <c r="R1176" s="49"/>
      <c r="S1176" s="49" t="n">
        <v>0</v>
      </c>
      <c r="T1176" s="49" t="n">
        <v>0</v>
      </c>
      <c r="U1176" s="49" t="s">
        <v>2609</v>
      </c>
    </row>
    <row r="1177" customFormat="false" ht="15" hidden="false" customHeight="false" outlineLevel="0" collapsed="false">
      <c r="B1177" s="48" t="n">
        <v>45357.9743055556</v>
      </c>
      <c r="C1177" s="4" t="n">
        <f aca="false">YEAR(B1177)</f>
        <v>2024</v>
      </c>
      <c r="D1177" s="49" t="s">
        <v>278</v>
      </c>
      <c r="E1177" s="49" t="s">
        <v>2610</v>
      </c>
      <c r="F1177" s="50" t="n">
        <v>277</v>
      </c>
      <c r="G1177" s="49" t="s">
        <v>280</v>
      </c>
      <c r="H1177" s="51" t="n">
        <v>0.8993</v>
      </c>
      <c r="I1177" s="51" t="n">
        <v>0.094</v>
      </c>
      <c r="J1177" s="51" t="n">
        <v>0.0067</v>
      </c>
      <c r="K1177" s="49"/>
      <c r="L1177" s="49"/>
      <c r="M1177" s="49"/>
      <c r="N1177" s="49"/>
      <c r="O1177" s="49"/>
      <c r="P1177" s="49"/>
      <c r="Q1177" s="49"/>
      <c r="R1177" s="49"/>
      <c r="S1177" s="49" t="n">
        <v>0</v>
      </c>
      <c r="T1177" s="49" t="n">
        <v>0</v>
      </c>
      <c r="U1177" s="49" t="s">
        <v>2611</v>
      </c>
    </row>
    <row r="1178" customFormat="false" ht="15" hidden="false" customHeight="false" outlineLevel="0" collapsed="false">
      <c r="B1178" s="48" t="n">
        <v>45358.3713310185</v>
      </c>
      <c r="C1178" s="4" t="n">
        <f aca="false">YEAR(B1178)</f>
        <v>2024</v>
      </c>
      <c r="D1178" s="49" t="s">
        <v>283</v>
      </c>
      <c r="E1178" s="49" t="s">
        <v>2612</v>
      </c>
      <c r="F1178" s="50" t="n">
        <v>1</v>
      </c>
      <c r="G1178" s="49" t="s">
        <v>290</v>
      </c>
      <c r="H1178" s="51" t="n">
        <v>0.318</v>
      </c>
      <c r="I1178" s="51" t="n">
        <v>0.6559</v>
      </c>
      <c r="J1178" s="51" t="n">
        <v>0.0261</v>
      </c>
      <c r="K1178" s="49" t="s">
        <v>281</v>
      </c>
      <c r="L1178" s="49"/>
      <c r="M1178" s="49"/>
      <c r="N1178" s="49"/>
      <c r="O1178" s="49"/>
      <c r="P1178" s="49"/>
      <c r="Q1178" s="49"/>
      <c r="R1178" s="49" t="s">
        <v>281</v>
      </c>
      <c r="S1178" s="49" t="n">
        <v>0</v>
      </c>
      <c r="T1178" s="49" t="n">
        <v>0</v>
      </c>
      <c r="U1178" s="49" t="s">
        <v>2613</v>
      </c>
    </row>
    <row r="1179" customFormat="false" ht="15" hidden="false" customHeight="false" outlineLevel="0" collapsed="false">
      <c r="B1179" s="48" t="n">
        <v>45358.6990509259</v>
      </c>
      <c r="C1179" s="4" t="n">
        <f aca="false">YEAR(B1179)</f>
        <v>2024</v>
      </c>
      <c r="D1179" s="49" t="s">
        <v>283</v>
      </c>
      <c r="E1179" s="49" t="s">
        <v>2614</v>
      </c>
      <c r="F1179" s="50" t="n">
        <v>1</v>
      </c>
      <c r="G1179" s="49" t="s">
        <v>287</v>
      </c>
      <c r="H1179" s="51" t="n">
        <v>0.0032</v>
      </c>
      <c r="I1179" s="51" t="n">
        <v>0.3436</v>
      </c>
      <c r="J1179" s="51" t="n">
        <v>0.6531</v>
      </c>
      <c r="K1179" s="49"/>
      <c r="L1179" s="49"/>
      <c r="M1179" s="49"/>
      <c r="N1179" s="49"/>
      <c r="O1179" s="49"/>
      <c r="P1179" s="49"/>
      <c r="Q1179" s="49"/>
      <c r="R1179" s="49"/>
      <c r="S1179" s="49" t="n">
        <v>0</v>
      </c>
      <c r="T1179" s="49" t="n">
        <v>0</v>
      </c>
      <c r="U1179" s="49" t="s">
        <v>2615</v>
      </c>
    </row>
    <row r="1180" customFormat="false" ht="15" hidden="false" customHeight="false" outlineLevel="0" collapsed="false">
      <c r="B1180" s="48" t="n">
        <v>45359.0365856482</v>
      </c>
      <c r="C1180" s="4" t="n">
        <f aca="false">YEAR(B1180)</f>
        <v>2024</v>
      </c>
      <c r="D1180" s="49" t="s">
        <v>283</v>
      </c>
      <c r="E1180" s="49" t="s">
        <v>2616</v>
      </c>
      <c r="F1180" s="50" t="n">
        <v>1</v>
      </c>
      <c r="G1180" s="49" t="s">
        <v>287</v>
      </c>
      <c r="H1180" s="51" t="n">
        <v>0.0013</v>
      </c>
      <c r="I1180" s="51" t="n">
        <v>0.0453</v>
      </c>
      <c r="J1180" s="51" t="n">
        <v>0.9533</v>
      </c>
      <c r="K1180" s="49"/>
      <c r="L1180" s="49"/>
      <c r="M1180" s="49"/>
      <c r="N1180" s="49"/>
      <c r="O1180" s="49"/>
      <c r="P1180" s="49"/>
      <c r="Q1180" s="49"/>
      <c r="R1180" s="49"/>
      <c r="S1180" s="49" t="n">
        <v>0</v>
      </c>
      <c r="T1180" s="49" t="n">
        <v>0</v>
      </c>
      <c r="U1180" s="49" t="s">
        <v>2617</v>
      </c>
    </row>
    <row r="1181" customFormat="false" ht="15" hidden="false" customHeight="false" outlineLevel="0" collapsed="false">
      <c r="B1181" s="48" t="n">
        <v>45361.0945717593</v>
      </c>
      <c r="C1181" s="4" t="n">
        <f aca="false">YEAR(B1181)</f>
        <v>2024</v>
      </c>
      <c r="D1181" s="49" t="s">
        <v>278</v>
      </c>
      <c r="E1181" s="49" t="s">
        <v>2618</v>
      </c>
      <c r="F1181" s="50" t="n">
        <v>27</v>
      </c>
      <c r="G1181" s="49" t="s">
        <v>280</v>
      </c>
      <c r="H1181" s="51" t="n">
        <v>0.857</v>
      </c>
      <c r="I1181" s="51" t="n">
        <v>0.1282</v>
      </c>
      <c r="J1181" s="51" t="n">
        <v>0.0148</v>
      </c>
      <c r="K1181" s="49"/>
      <c r="L1181" s="49"/>
      <c r="M1181" s="49"/>
      <c r="N1181" s="49"/>
      <c r="O1181" s="49" t="s">
        <v>281</v>
      </c>
      <c r="P1181" s="49"/>
      <c r="Q1181" s="49" t="s">
        <v>281</v>
      </c>
      <c r="R1181" s="49"/>
      <c r="S1181" s="49" t="n">
        <v>0</v>
      </c>
      <c r="T1181" s="49" t="n">
        <v>0</v>
      </c>
      <c r="U1181" s="49" t="s">
        <v>2619</v>
      </c>
    </row>
    <row r="1182" customFormat="false" ht="15" hidden="false" customHeight="false" outlineLevel="0" collapsed="false">
      <c r="B1182" s="48" t="n">
        <v>45362.0419675926</v>
      </c>
      <c r="C1182" s="4" t="n">
        <f aca="false">YEAR(B1182)</f>
        <v>2024</v>
      </c>
      <c r="D1182" s="49" t="s">
        <v>283</v>
      </c>
      <c r="E1182" s="49" t="s">
        <v>2620</v>
      </c>
      <c r="F1182" s="50" t="n">
        <v>1</v>
      </c>
      <c r="G1182" s="49" t="s">
        <v>290</v>
      </c>
      <c r="H1182" s="51" t="n">
        <v>0.0392</v>
      </c>
      <c r="I1182" s="51" t="n">
        <v>0.667</v>
      </c>
      <c r="J1182" s="51" t="n">
        <v>0.2938</v>
      </c>
      <c r="K1182" s="49"/>
      <c r="L1182" s="49"/>
      <c r="M1182" s="49"/>
      <c r="N1182" s="49"/>
      <c r="O1182" s="49"/>
      <c r="P1182" s="49"/>
      <c r="Q1182" s="49"/>
      <c r="R1182" s="49"/>
      <c r="S1182" s="49" t="n">
        <v>0</v>
      </c>
      <c r="T1182" s="49" t="n">
        <v>0</v>
      </c>
      <c r="U1182" s="49" t="s">
        <v>2621</v>
      </c>
    </row>
    <row r="1183" customFormat="false" ht="15" hidden="false" customHeight="false" outlineLevel="0" collapsed="false">
      <c r="B1183" s="48" t="n">
        <v>45362.7017592593</v>
      </c>
      <c r="C1183" s="4" t="n">
        <f aca="false">YEAR(B1183)</f>
        <v>2024</v>
      </c>
      <c r="D1183" s="49" t="s">
        <v>283</v>
      </c>
      <c r="E1183" s="49" t="s">
        <v>2622</v>
      </c>
      <c r="F1183" s="50" t="n">
        <v>1</v>
      </c>
      <c r="G1183" s="49" t="s">
        <v>290</v>
      </c>
      <c r="H1183" s="51" t="n">
        <v>0.0738</v>
      </c>
      <c r="I1183" s="51" t="n">
        <v>0.8287</v>
      </c>
      <c r="J1183" s="51" t="n">
        <v>0.0975</v>
      </c>
      <c r="K1183" s="49"/>
      <c r="L1183" s="49"/>
      <c r="M1183" s="49"/>
      <c r="N1183" s="49"/>
      <c r="O1183" s="49"/>
      <c r="P1183" s="49"/>
      <c r="Q1183" s="49"/>
      <c r="R1183" s="49" t="s">
        <v>281</v>
      </c>
      <c r="S1183" s="49" t="n">
        <v>0</v>
      </c>
      <c r="T1183" s="49" t="n">
        <v>0</v>
      </c>
      <c r="U1183" s="49" t="s">
        <v>2623</v>
      </c>
    </row>
    <row r="1184" customFormat="false" ht="15" hidden="false" customHeight="false" outlineLevel="0" collapsed="false">
      <c r="B1184" s="48" t="n">
        <v>45362.7364236111</v>
      </c>
      <c r="C1184" s="4" t="n">
        <f aca="false">YEAR(B1184)</f>
        <v>2024</v>
      </c>
      <c r="D1184" s="49" t="s">
        <v>283</v>
      </c>
      <c r="E1184" s="49" t="s">
        <v>2624</v>
      </c>
      <c r="F1184" s="50" t="n">
        <v>16</v>
      </c>
      <c r="G1184" s="49" t="s">
        <v>290</v>
      </c>
      <c r="H1184" s="51" t="n">
        <v>0.1333</v>
      </c>
      <c r="I1184" s="51" t="n">
        <v>0.7936</v>
      </c>
      <c r="J1184" s="51" t="n">
        <v>0.0731</v>
      </c>
      <c r="K1184" s="49"/>
      <c r="L1184" s="49"/>
      <c r="M1184" s="49"/>
      <c r="N1184" s="49"/>
      <c r="O1184" s="49"/>
      <c r="P1184" s="49"/>
      <c r="Q1184" s="49"/>
      <c r="R1184" s="49"/>
      <c r="S1184" s="49" t="n">
        <v>0</v>
      </c>
      <c r="T1184" s="49" t="n">
        <v>0</v>
      </c>
      <c r="U1184" s="49" t="s">
        <v>2625</v>
      </c>
    </row>
    <row r="1185" customFormat="false" ht="15" hidden="false" customHeight="false" outlineLevel="0" collapsed="false">
      <c r="B1185" s="48" t="n">
        <v>45363.0880902778</v>
      </c>
      <c r="C1185" s="4" t="n">
        <f aca="false">YEAR(B1185)</f>
        <v>2024</v>
      </c>
      <c r="D1185" s="49" t="s">
        <v>283</v>
      </c>
      <c r="E1185" s="49" t="s">
        <v>2626</v>
      </c>
      <c r="F1185" s="50" t="n">
        <v>2</v>
      </c>
      <c r="G1185" s="49" t="s">
        <v>290</v>
      </c>
      <c r="H1185" s="51" t="n">
        <v>0.2345</v>
      </c>
      <c r="I1185" s="51" t="n">
        <v>0.6056</v>
      </c>
      <c r="J1185" s="51" t="n">
        <v>0.1599</v>
      </c>
      <c r="K1185" s="49"/>
      <c r="L1185" s="49"/>
      <c r="M1185" s="49"/>
      <c r="N1185" s="49"/>
      <c r="O1185" s="49"/>
      <c r="P1185" s="49"/>
      <c r="Q1185" s="49"/>
      <c r="R1185" s="49"/>
      <c r="S1185" s="49" t="n">
        <v>0</v>
      </c>
      <c r="T1185" s="49" t="n">
        <v>0</v>
      </c>
      <c r="U1185" s="49" t="s">
        <v>2627</v>
      </c>
    </row>
    <row r="1186" customFormat="false" ht="15" hidden="false" customHeight="false" outlineLevel="0" collapsed="false">
      <c r="B1186" s="48" t="n">
        <v>45363.8427546296</v>
      </c>
      <c r="C1186" s="4" t="n">
        <f aca="false">YEAR(B1186)</f>
        <v>2024</v>
      </c>
      <c r="D1186" s="49" t="s">
        <v>283</v>
      </c>
      <c r="E1186" s="49" t="s">
        <v>2628</v>
      </c>
      <c r="F1186" s="50" t="n">
        <v>2</v>
      </c>
      <c r="G1186" s="49" t="s">
        <v>290</v>
      </c>
      <c r="H1186" s="51" t="n">
        <v>0.3079</v>
      </c>
      <c r="I1186" s="51" t="n">
        <v>0.6303</v>
      </c>
      <c r="J1186" s="51" t="n">
        <v>0.0618</v>
      </c>
      <c r="K1186" s="49"/>
      <c r="L1186" s="49"/>
      <c r="M1186" s="49"/>
      <c r="N1186" s="49"/>
      <c r="O1186" s="49"/>
      <c r="P1186" s="49"/>
      <c r="Q1186" s="49"/>
      <c r="R1186" s="49"/>
      <c r="S1186" s="49" t="n">
        <v>0</v>
      </c>
      <c r="T1186" s="49" t="n">
        <v>0</v>
      </c>
      <c r="U1186" s="49" t="s">
        <v>2629</v>
      </c>
    </row>
    <row r="1187" customFormat="false" ht="15" hidden="false" customHeight="false" outlineLevel="0" collapsed="false">
      <c r="B1187" s="48" t="n">
        <v>45363.9902662037</v>
      </c>
      <c r="C1187" s="4" t="n">
        <f aca="false">YEAR(B1187)</f>
        <v>2024</v>
      </c>
      <c r="D1187" s="49" t="s">
        <v>283</v>
      </c>
      <c r="E1187" s="49" t="s">
        <v>2630</v>
      </c>
      <c r="F1187" s="50" t="n">
        <v>1</v>
      </c>
      <c r="G1187" s="49" t="s">
        <v>290</v>
      </c>
      <c r="H1187" s="51" t="n">
        <v>0.2602</v>
      </c>
      <c r="I1187" s="51" t="n">
        <v>0.6786</v>
      </c>
      <c r="J1187" s="51" t="n">
        <v>0.0612</v>
      </c>
      <c r="K1187" s="49"/>
      <c r="L1187" s="49"/>
      <c r="M1187" s="49"/>
      <c r="N1187" s="49"/>
      <c r="O1187" s="49"/>
      <c r="P1187" s="49"/>
      <c r="Q1187" s="49"/>
      <c r="R1187" s="49"/>
      <c r="S1187" s="49" t="n">
        <v>0</v>
      </c>
      <c r="T1187" s="49" t="n">
        <v>0</v>
      </c>
      <c r="U1187" s="49" t="s">
        <v>2631</v>
      </c>
    </row>
    <row r="1188" customFormat="false" ht="15" hidden="false" customHeight="false" outlineLevel="0" collapsed="false">
      <c r="B1188" s="48" t="n">
        <v>45364.6062847222</v>
      </c>
      <c r="C1188" s="4" t="n">
        <f aca="false">YEAR(B1188)</f>
        <v>2024</v>
      </c>
      <c r="D1188" s="49" t="s">
        <v>283</v>
      </c>
      <c r="E1188" s="49" t="s">
        <v>2632</v>
      </c>
      <c r="F1188" s="50" t="n">
        <v>254</v>
      </c>
      <c r="G1188" s="49" t="s">
        <v>287</v>
      </c>
      <c r="H1188" s="51" t="n">
        <v>0.0134</v>
      </c>
      <c r="I1188" s="51" t="n">
        <v>0.3697</v>
      </c>
      <c r="J1188" s="51" t="n">
        <v>0.6169</v>
      </c>
      <c r="K1188" s="49"/>
      <c r="L1188" s="49"/>
      <c r="M1188" s="49"/>
      <c r="N1188" s="49"/>
      <c r="O1188" s="49"/>
      <c r="P1188" s="49"/>
      <c r="Q1188" s="49"/>
      <c r="R1188" s="49"/>
      <c r="S1188" s="49" t="n">
        <v>0</v>
      </c>
      <c r="T1188" s="49" t="n">
        <v>0</v>
      </c>
      <c r="U1188" s="49" t="s">
        <v>2633</v>
      </c>
    </row>
    <row r="1189" customFormat="false" ht="15" hidden="false" customHeight="false" outlineLevel="0" collapsed="false">
      <c r="B1189" s="48" t="n">
        <v>45364.7115509259</v>
      </c>
      <c r="C1189" s="4" t="n">
        <f aca="false">YEAR(B1189)</f>
        <v>2024</v>
      </c>
      <c r="D1189" s="49" t="s">
        <v>283</v>
      </c>
      <c r="E1189" s="49" t="s">
        <v>2634</v>
      </c>
      <c r="F1189" s="50" t="n">
        <v>2</v>
      </c>
      <c r="G1189" s="49" t="s">
        <v>280</v>
      </c>
      <c r="H1189" s="51" t="n">
        <v>0.8325</v>
      </c>
      <c r="I1189" s="51" t="n">
        <v>0.1554</v>
      </c>
      <c r="J1189" s="51" t="n">
        <v>0.0121</v>
      </c>
      <c r="K1189" s="49"/>
      <c r="L1189" s="49"/>
      <c r="M1189" s="49"/>
      <c r="N1189" s="49"/>
      <c r="O1189" s="49"/>
      <c r="P1189" s="49"/>
      <c r="Q1189" s="49"/>
      <c r="R1189" s="49"/>
      <c r="S1189" s="49" t="n">
        <v>0</v>
      </c>
      <c r="T1189" s="49" t="n">
        <v>0</v>
      </c>
      <c r="U1189" s="49" t="s">
        <v>2635</v>
      </c>
    </row>
    <row r="1190" customFormat="false" ht="15" hidden="false" customHeight="false" outlineLevel="0" collapsed="false">
      <c r="B1190" s="48" t="n">
        <v>45364.9636111111</v>
      </c>
      <c r="C1190" s="4" t="n">
        <f aca="false">YEAR(B1190)</f>
        <v>2024</v>
      </c>
      <c r="D1190" s="49" t="s">
        <v>278</v>
      </c>
      <c r="E1190" s="49" t="s">
        <v>2636</v>
      </c>
      <c r="F1190" s="50" t="n">
        <v>12</v>
      </c>
      <c r="G1190" s="49" t="s">
        <v>287</v>
      </c>
      <c r="H1190" s="51" t="n">
        <v>0.0089</v>
      </c>
      <c r="I1190" s="51" t="n">
        <v>0.2861</v>
      </c>
      <c r="J1190" s="51" t="n">
        <v>0.705</v>
      </c>
      <c r="K1190" s="49"/>
      <c r="L1190" s="49"/>
      <c r="M1190" s="49"/>
      <c r="N1190" s="49"/>
      <c r="O1190" s="49"/>
      <c r="P1190" s="49"/>
      <c r="Q1190" s="49"/>
      <c r="R1190" s="49"/>
      <c r="S1190" s="49" t="n">
        <v>0</v>
      </c>
      <c r="T1190" s="49" t="n">
        <v>0</v>
      </c>
      <c r="U1190" s="49" t="s">
        <v>2637</v>
      </c>
    </row>
    <row r="1191" customFormat="false" ht="15" hidden="false" customHeight="false" outlineLevel="0" collapsed="false">
      <c r="B1191" s="48" t="n">
        <v>45365.0827546296</v>
      </c>
      <c r="C1191" s="4" t="n">
        <f aca="false">YEAR(B1191)</f>
        <v>2024</v>
      </c>
      <c r="D1191" s="49" t="s">
        <v>283</v>
      </c>
      <c r="E1191" s="49" t="s">
        <v>2638</v>
      </c>
      <c r="F1191" s="50" t="n">
        <v>1</v>
      </c>
      <c r="G1191" s="49" t="s">
        <v>287</v>
      </c>
      <c r="H1191" s="51" t="n">
        <v>0.1123</v>
      </c>
      <c r="I1191" s="51" t="n">
        <v>0.2592</v>
      </c>
      <c r="J1191" s="51" t="n">
        <v>0.6285</v>
      </c>
      <c r="K1191" s="49"/>
      <c r="L1191" s="49"/>
      <c r="M1191" s="49"/>
      <c r="N1191" s="49"/>
      <c r="O1191" s="49"/>
      <c r="P1191" s="49"/>
      <c r="Q1191" s="49"/>
      <c r="R1191" s="49"/>
      <c r="S1191" s="49" t="n">
        <v>0</v>
      </c>
      <c r="T1191" s="49" t="n">
        <v>0</v>
      </c>
      <c r="U1191" s="49" t="s">
        <v>2639</v>
      </c>
    </row>
    <row r="1192" customFormat="false" ht="15" hidden="false" customHeight="false" outlineLevel="0" collapsed="false">
      <c r="B1192" s="48" t="n">
        <v>45365.7252430556</v>
      </c>
      <c r="C1192" s="4" t="n">
        <f aca="false">YEAR(B1192)</f>
        <v>2024</v>
      </c>
      <c r="D1192" s="49" t="s">
        <v>278</v>
      </c>
      <c r="E1192" s="49" t="s">
        <v>2640</v>
      </c>
      <c r="F1192" s="50" t="n">
        <v>1</v>
      </c>
      <c r="G1192" s="49" t="s">
        <v>280</v>
      </c>
      <c r="H1192" s="51" t="n">
        <v>0.733</v>
      </c>
      <c r="I1192" s="51" t="n">
        <v>0.2539</v>
      </c>
      <c r="J1192" s="51" t="n">
        <v>0.0131</v>
      </c>
      <c r="K1192" s="49"/>
      <c r="L1192" s="49"/>
      <c r="M1192" s="49"/>
      <c r="N1192" s="49"/>
      <c r="O1192" s="49"/>
      <c r="P1192" s="49"/>
      <c r="Q1192" s="49"/>
      <c r="R1192" s="49"/>
      <c r="S1192" s="49" t="n">
        <v>1</v>
      </c>
      <c r="T1192" s="49" t="n">
        <v>0</v>
      </c>
      <c r="U1192" s="49" t="s">
        <v>2641</v>
      </c>
    </row>
    <row r="1193" customFormat="false" ht="15" hidden="false" customHeight="false" outlineLevel="0" collapsed="false">
      <c r="B1193" s="48" t="n">
        <v>45365.898599537</v>
      </c>
      <c r="C1193" s="4" t="n">
        <f aca="false">YEAR(B1193)</f>
        <v>2024</v>
      </c>
      <c r="D1193" s="49" t="s">
        <v>283</v>
      </c>
      <c r="E1193" s="49" t="s">
        <v>2642</v>
      </c>
      <c r="F1193" s="50" t="n">
        <v>1</v>
      </c>
      <c r="G1193" s="49" t="s">
        <v>290</v>
      </c>
      <c r="H1193" s="51" t="n">
        <v>0.0061</v>
      </c>
      <c r="I1193" s="51" t="n">
        <v>0.9189</v>
      </c>
      <c r="J1193" s="51" t="n">
        <v>0.075</v>
      </c>
      <c r="K1193" s="49"/>
      <c r="L1193" s="49"/>
      <c r="M1193" s="49"/>
      <c r="N1193" s="49"/>
      <c r="O1193" s="49"/>
      <c r="P1193" s="49"/>
      <c r="Q1193" s="49"/>
      <c r="R1193" s="49" t="s">
        <v>281</v>
      </c>
      <c r="S1193" s="49" t="n">
        <v>1</v>
      </c>
      <c r="T1193" s="49" t="n">
        <v>0</v>
      </c>
      <c r="U1193" s="49" t="s">
        <v>2643</v>
      </c>
    </row>
    <row r="1194" customFormat="false" ht="15" hidden="false" customHeight="false" outlineLevel="0" collapsed="false">
      <c r="B1194" s="48" t="n">
        <v>45365.9015393519</v>
      </c>
      <c r="C1194" s="4" t="n">
        <f aca="false">YEAR(B1194)</f>
        <v>2024</v>
      </c>
      <c r="D1194" s="49" t="s">
        <v>283</v>
      </c>
      <c r="E1194" s="49" t="s">
        <v>2644</v>
      </c>
      <c r="F1194" s="50" t="n">
        <v>14</v>
      </c>
      <c r="G1194" s="49" t="s">
        <v>287</v>
      </c>
      <c r="H1194" s="51" t="n">
        <v>0.0101</v>
      </c>
      <c r="I1194" s="51" t="n">
        <v>0.2002</v>
      </c>
      <c r="J1194" s="51" t="n">
        <v>0.7896</v>
      </c>
      <c r="K1194" s="49"/>
      <c r="L1194" s="49"/>
      <c r="M1194" s="49"/>
      <c r="N1194" s="49"/>
      <c r="O1194" s="49"/>
      <c r="P1194" s="49"/>
      <c r="Q1194" s="49"/>
      <c r="R1194" s="49"/>
      <c r="S1194" s="49" t="n">
        <v>0</v>
      </c>
      <c r="T1194" s="49" t="n">
        <v>0</v>
      </c>
      <c r="U1194" s="49" t="s">
        <v>2645</v>
      </c>
    </row>
    <row r="1195" customFormat="false" ht="15" hidden="false" customHeight="false" outlineLevel="0" collapsed="false">
      <c r="B1195" s="48" t="n">
        <v>45366.0069675926</v>
      </c>
      <c r="C1195" s="4" t="n">
        <f aca="false">YEAR(B1195)</f>
        <v>2024</v>
      </c>
      <c r="D1195" s="49" t="s">
        <v>283</v>
      </c>
      <c r="E1195" s="49" t="s">
        <v>2646</v>
      </c>
      <c r="F1195" s="50" t="n">
        <v>6</v>
      </c>
      <c r="G1195" s="49" t="s">
        <v>287</v>
      </c>
      <c r="H1195" s="51" t="n">
        <v>0.0202</v>
      </c>
      <c r="I1195" s="51" t="n">
        <v>0.4658</v>
      </c>
      <c r="J1195" s="51" t="n">
        <v>0.514</v>
      </c>
      <c r="K1195" s="49"/>
      <c r="L1195" s="49"/>
      <c r="M1195" s="49"/>
      <c r="N1195" s="49"/>
      <c r="O1195" s="49"/>
      <c r="P1195" s="49"/>
      <c r="Q1195" s="49"/>
      <c r="R1195" s="49" t="s">
        <v>281</v>
      </c>
      <c r="S1195" s="49" t="n">
        <v>0</v>
      </c>
      <c r="T1195" s="49" t="n">
        <v>0</v>
      </c>
      <c r="U1195" s="49" t="s">
        <v>2647</v>
      </c>
    </row>
    <row r="1196" customFormat="false" ht="15" hidden="false" customHeight="false" outlineLevel="0" collapsed="false">
      <c r="B1196" s="48" t="n">
        <v>45366.1667592593</v>
      </c>
      <c r="C1196" s="4" t="n">
        <f aca="false">YEAR(B1196)</f>
        <v>2024</v>
      </c>
      <c r="D1196" s="49" t="s">
        <v>283</v>
      </c>
      <c r="E1196" s="49" t="s">
        <v>2648</v>
      </c>
      <c r="F1196" s="50" t="n">
        <v>1</v>
      </c>
      <c r="G1196" s="49" t="s">
        <v>290</v>
      </c>
      <c r="H1196" s="51" t="n">
        <v>0.0188</v>
      </c>
      <c r="I1196" s="51" t="n">
        <v>0.918</v>
      </c>
      <c r="J1196" s="51" t="n">
        <v>0.0632</v>
      </c>
      <c r="K1196" s="49"/>
      <c r="L1196" s="49"/>
      <c r="M1196" s="49"/>
      <c r="N1196" s="49"/>
      <c r="O1196" s="49"/>
      <c r="P1196" s="49"/>
      <c r="Q1196" s="49"/>
      <c r="R1196" s="49"/>
      <c r="S1196" s="49" t="n">
        <v>0</v>
      </c>
      <c r="T1196" s="49" t="n">
        <v>0</v>
      </c>
      <c r="U1196" s="49" t="s">
        <v>2649</v>
      </c>
    </row>
    <row r="1197" customFormat="false" ht="15" hidden="false" customHeight="false" outlineLevel="0" collapsed="false">
      <c r="B1197" s="48" t="n">
        <v>45366.5948958333</v>
      </c>
      <c r="C1197" s="4" t="n">
        <f aca="false">YEAR(B1197)</f>
        <v>2024</v>
      </c>
      <c r="D1197" s="49" t="s">
        <v>283</v>
      </c>
      <c r="E1197" s="49" t="s">
        <v>2650</v>
      </c>
      <c r="F1197" s="50" t="n">
        <v>1</v>
      </c>
      <c r="G1197" s="49" t="s">
        <v>290</v>
      </c>
      <c r="H1197" s="51" t="n">
        <v>0.0127</v>
      </c>
      <c r="I1197" s="51" t="n">
        <v>0.9088</v>
      </c>
      <c r="J1197" s="51" t="n">
        <v>0.0785</v>
      </c>
      <c r="K1197" s="49"/>
      <c r="L1197" s="49"/>
      <c r="M1197" s="49"/>
      <c r="N1197" s="49"/>
      <c r="O1197" s="49"/>
      <c r="P1197" s="49"/>
      <c r="Q1197" s="49"/>
      <c r="R1197" s="49"/>
      <c r="S1197" s="49" t="n">
        <v>1</v>
      </c>
      <c r="T1197" s="49" t="n">
        <v>0</v>
      </c>
      <c r="U1197" s="49" t="s">
        <v>2651</v>
      </c>
    </row>
    <row r="1198" customFormat="false" ht="15" hidden="false" customHeight="false" outlineLevel="0" collapsed="false">
      <c r="B1198" s="48" t="n">
        <v>45366.6266550926</v>
      </c>
      <c r="C1198" s="4" t="n">
        <f aca="false">YEAR(B1198)</f>
        <v>2024</v>
      </c>
      <c r="D1198" s="49" t="s">
        <v>283</v>
      </c>
      <c r="E1198" s="49" t="s">
        <v>2652</v>
      </c>
      <c r="F1198" s="50" t="n">
        <v>1</v>
      </c>
      <c r="G1198" s="49" t="s">
        <v>290</v>
      </c>
      <c r="H1198" s="51" t="n">
        <v>0.0287</v>
      </c>
      <c r="I1198" s="51" t="n">
        <v>0.7016</v>
      </c>
      <c r="J1198" s="51" t="n">
        <v>0.2697</v>
      </c>
      <c r="K1198" s="49"/>
      <c r="L1198" s="49"/>
      <c r="M1198" s="49"/>
      <c r="N1198" s="49"/>
      <c r="O1198" s="49"/>
      <c r="P1198" s="49"/>
      <c r="Q1198" s="49"/>
      <c r="R1198" s="49"/>
      <c r="S1198" s="49" t="n">
        <v>1</v>
      </c>
      <c r="T1198" s="49" t="n">
        <v>0</v>
      </c>
      <c r="U1198" s="49" t="s">
        <v>2653</v>
      </c>
    </row>
    <row r="1199" customFormat="false" ht="15" hidden="false" customHeight="false" outlineLevel="0" collapsed="false">
      <c r="B1199" s="48" t="n">
        <v>45366.6947106482</v>
      </c>
      <c r="C1199" s="4" t="n">
        <f aca="false">YEAR(B1199)</f>
        <v>2024</v>
      </c>
      <c r="D1199" s="49" t="s">
        <v>283</v>
      </c>
      <c r="E1199" s="49" t="s">
        <v>2654</v>
      </c>
      <c r="F1199" s="50" t="n">
        <v>2</v>
      </c>
      <c r="G1199" s="49" t="s">
        <v>287</v>
      </c>
      <c r="H1199" s="51" t="n">
        <v>0.002</v>
      </c>
      <c r="I1199" s="51" t="n">
        <v>0.0162</v>
      </c>
      <c r="J1199" s="51" t="n">
        <v>0.9818</v>
      </c>
      <c r="K1199" s="49"/>
      <c r="L1199" s="49"/>
      <c r="M1199" s="49"/>
      <c r="N1199" s="49"/>
      <c r="O1199" s="49"/>
      <c r="P1199" s="49"/>
      <c r="Q1199" s="49"/>
      <c r="R1199" s="49"/>
      <c r="S1199" s="49" t="n">
        <v>0</v>
      </c>
      <c r="T1199" s="49" t="n">
        <v>0</v>
      </c>
      <c r="U1199" s="49" t="s">
        <v>2655</v>
      </c>
    </row>
    <row r="1200" customFormat="false" ht="15" hidden="false" customHeight="false" outlineLevel="0" collapsed="false">
      <c r="B1200" s="48" t="n">
        <v>45366.7538888889</v>
      </c>
      <c r="C1200" s="4" t="n">
        <f aca="false">YEAR(B1200)</f>
        <v>2024</v>
      </c>
      <c r="D1200" s="49" t="s">
        <v>283</v>
      </c>
      <c r="E1200" s="49" t="s">
        <v>2656</v>
      </c>
      <c r="F1200" s="50" t="n">
        <v>52</v>
      </c>
      <c r="G1200" s="49" t="s">
        <v>287</v>
      </c>
      <c r="H1200" s="51" t="n">
        <v>0.0082</v>
      </c>
      <c r="I1200" s="51" t="n">
        <v>0.2436</v>
      </c>
      <c r="J1200" s="51" t="n">
        <v>0.7482</v>
      </c>
      <c r="K1200" s="49"/>
      <c r="L1200" s="49"/>
      <c r="M1200" s="49"/>
      <c r="N1200" s="49"/>
      <c r="O1200" s="49"/>
      <c r="P1200" s="49"/>
      <c r="Q1200" s="49"/>
      <c r="R1200" s="49"/>
      <c r="S1200" s="49" t="n">
        <v>0</v>
      </c>
      <c r="T1200" s="49" t="n">
        <v>0</v>
      </c>
      <c r="U1200" s="49" t="s">
        <v>2657</v>
      </c>
    </row>
    <row r="1201" customFormat="false" ht="15" hidden="false" customHeight="false" outlineLevel="0" collapsed="false">
      <c r="B1201" s="48" t="n">
        <v>45367.0507060185</v>
      </c>
      <c r="C1201" s="4" t="n">
        <f aca="false">YEAR(B1201)</f>
        <v>2024</v>
      </c>
      <c r="D1201" s="49" t="s">
        <v>283</v>
      </c>
      <c r="E1201" s="49" t="s">
        <v>2658</v>
      </c>
      <c r="F1201" s="50" t="n">
        <v>1</v>
      </c>
      <c r="G1201" s="49" t="s">
        <v>290</v>
      </c>
      <c r="H1201" s="51" t="n">
        <v>0.0164</v>
      </c>
      <c r="I1201" s="51" t="n">
        <v>0.9039</v>
      </c>
      <c r="J1201" s="51" t="n">
        <v>0.0797</v>
      </c>
      <c r="K1201" s="49"/>
      <c r="L1201" s="49"/>
      <c r="M1201" s="49"/>
      <c r="N1201" s="49"/>
      <c r="O1201" s="49"/>
      <c r="P1201" s="49"/>
      <c r="Q1201" s="49"/>
      <c r="R1201" s="49"/>
      <c r="S1201" s="49" t="n">
        <v>1</v>
      </c>
      <c r="T1201" s="49" t="n">
        <v>0</v>
      </c>
      <c r="U1201" s="49" t="s">
        <v>2659</v>
      </c>
    </row>
    <row r="1202" customFormat="false" ht="15" hidden="false" customHeight="false" outlineLevel="0" collapsed="false">
      <c r="B1202" s="48" t="n">
        <v>45367.7254398148</v>
      </c>
      <c r="C1202" s="4" t="n">
        <f aca="false">YEAR(B1202)</f>
        <v>2024</v>
      </c>
      <c r="D1202" s="49" t="s">
        <v>283</v>
      </c>
      <c r="E1202" s="49" t="s">
        <v>2660</v>
      </c>
      <c r="F1202" s="50" t="n">
        <v>1</v>
      </c>
      <c r="G1202" s="49" t="s">
        <v>287</v>
      </c>
      <c r="H1202" s="51" t="n">
        <v>0.0026</v>
      </c>
      <c r="I1202" s="51" t="n">
        <v>0.0199</v>
      </c>
      <c r="J1202" s="51" t="n">
        <v>0.9775</v>
      </c>
      <c r="K1202" s="49"/>
      <c r="L1202" s="49"/>
      <c r="M1202" s="49"/>
      <c r="N1202" s="49"/>
      <c r="O1202" s="49"/>
      <c r="P1202" s="49"/>
      <c r="Q1202" s="49"/>
      <c r="R1202" s="49"/>
      <c r="S1202" s="49" t="n">
        <v>0</v>
      </c>
      <c r="T1202" s="49" t="n">
        <v>0</v>
      </c>
      <c r="U1202" s="49" t="s">
        <v>2661</v>
      </c>
    </row>
    <row r="1203" customFormat="false" ht="15" hidden="false" customHeight="false" outlineLevel="0" collapsed="false">
      <c r="B1203" s="48" t="n">
        <v>45367.8349884259</v>
      </c>
      <c r="C1203" s="4" t="n">
        <f aca="false">YEAR(B1203)</f>
        <v>2024</v>
      </c>
      <c r="D1203" s="49" t="s">
        <v>283</v>
      </c>
      <c r="E1203" s="49" t="s">
        <v>2662</v>
      </c>
      <c r="F1203" s="50" t="n">
        <v>1</v>
      </c>
      <c r="G1203" s="49" t="s">
        <v>290</v>
      </c>
      <c r="H1203" s="51" t="n">
        <v>0.3678</v>
      </c>
      <c r="I1203" s="51" t="n">
        <v>0.6028</v>
      </c>
      <c r="J1203" s="51" t="n">
        <v>0.0295</v>
      </c>
      <c r="K1203" s="49" t="s">
        <v>281</v>
      </c>
      <c r="L1203" s="49"/>
      <c r="M1203" s="49"/>
      <c r="N1203" s="49"/>
      <c r="O1203" s="49"/>
      <c r="P1203" s="49"/>
      <c r="Q1203" s="49" t="s">
        <v>281</v>
      </c>
      <c r="R1203" s="49"/>
      <c r="S1203" s="49" t="n">
        <v>0</v>
      </c>
      <c r="T1203" s="49" t="n">
        <v>0</v>
      </c>
      <c r="U1203" s="49" t="s">
        <v>2663</v>
      </c>
    </row>
    <row r="1204" customFormat="false" ht="15" hidden="false" customHeight="false" outlineLevel="0" collapsed="false">
      <c r="B1204" s="48" t="n">
        <v>45368.6302662037</v>
      </c>
      <c r="C1204" s="4" t="n">
        <f aca="false">YEAR(B1204)</f>
        <v>2024</v>
      </c>
      <c r="D1204" s="49" t="s">
        <v>283</v>
      </c>
      <c r="E1204" s="49" t="s">
        <v>2664</v>
      </c>
      <c r="F1204" s="50" t="n">
        <v>1</v>
      </c>
      <c r="G1204" s="49" t="s">
        <v>280</v>
      </c>
      <c r="H1204" s="51" t="n">
        <v>0.8311</v>
      </c>
      <c r="I1204" s="51" t="n">
        <v>0.1333</v>
      </c>
      <c r="J1204" s="51" t="n">
        <v>0.0355</v>
      </c>
      <c r="K1204" s="49"/>
      <c r="L1204" s="49"/>
      <c r="M1204" s="49"/>
      <c r="N1204" s="49"/>
      <c r="O1204" s="49"/>
      <c r="P1204" s="49"/>
      <c r="Q1204" s="49"/>
      <c r="R1204" s="49"/>
      <c r="S1204" s="49" t="n">
        <v>0</v>
      </c>
      <c r="T1204" s="49" t="n">
        <v>0</v>
      </c>
      <c r="U1204" s="49" t="s">
        <v>2665</v>
      </c>
    </row>
    <row r="1205" customFormat="false" ht="15" hidden="false" customHeight="false" outlineLevel="0" collapsed="false">
      <c r="B1205" s="48" t="n">
        <v>45369.0234375</v>
      </c>
      <c r="C1205" s="4" t="n">
        <f aca="false">YEAR(B1205)</f>
        <v>2024</v>
      </c>
      <c r="D1205" s="49" t="s">
        <v>283</v>
      </c>
      <c r="E1205" s="49" t="s">
        <v>2666</v>
      </c>
      <c r="F1205" s="50" t="n">
        <v>2</v>
      </c>
      <c r="G1205" s="49" t="s">
        <v>287</v>
      </c>
      <c r="H1205" s="51" t="n">
        <v>0.0033</v>
      </c>
      <c r="I1205" s="51" t="n">
        <v>0.1343</v>
      </c>
      <c r="J1205" s="51" t="n">
        <v>0.8625</v>
      </c>
      <c r="K1205" s="49"/>
      <c r="L1205" s="49"/>
      <c r="M1205" s="49"/>
      <c r="N1205" s="49"/>
      <c r="O1205" s="49"/>
      <c r="P1205" s="49"/>
      <c r="Q1205" s="49"/>
      <c r="R1205" s="49"/>
      <c r="S1205" s="49" t="n">
        <v>0</v>
      </c>
      <c r="T1205" s="49" t="n">
        <v>0</v>
      </c>
      <c r="U1205" s="49" t="s">
        <v>2667</v>
      </c>
    </row>
    <row r="1206" customFormat="false" ht="15" hidden="false" customHeight="false" outlineLevel="0" collapsed="false">
      <c r="B1206" s="48" t="n">
        <v>45369.5619328704</v>
      </c>
      <c r="C1206" s="4" t="n">
        <f aca="false">YEAR(B1206)</f>
        <v>2024</v>
      </c>
      <c r="D1206" s="49" t="s">
        <v>283</v>
      </c>
      <c r="E1206" s="49" t="s">
        <v>2668</v>
      </c>
      <c r="F1206" s="50" t="n">
        <v>3</v>
      </c>
      <c r="G1206" s="49" t="s">
        <v>287</v>
      </c>
      <c r="H1206" s="51" t="n">
        <v>0.0021</v>
      </c>
      <c r="I1206" s="51" t="n">
        <v>0.1587</v>
      </c>
      <c r="J1206" s="51" t="n">
        <v>0.8392</v>
      </c>
      <c r="K1206" s="49"/>
      <c r="L1206" s="49"/>
      <c r="M1206" s="49"/>
      <c r="N1206" s="49"/>
      <c r="O1206" s="49"/>
      <c r="P1206" s="49"/>
      <c r="Q1206" s="49"/>
      <c r="R1206" s="49"/>
      <c r="S1206" s="49" t="n">
        <v>0</v>
      </c>
      <c r="T1206" s="49" t="n">
        <v>0</v>
      </c>
      <c r="U1206" s="49" t="s">
        <v>2669</v>
      </c>
    </row>
    <row r="1207" customFormat="false" ht="15" hidden="false" customHeight="false" outlineLevel="0" collapsed="false">
      <c r="B1207" s="48" t="n">
        <v>45369.6774537037</v>
      </c>
      <c r="C1207" s="4" t="n">
        <f aca="false">YEAR(B1207)</f>
        <v>2024</v>
      </c>
      <c r="D1207" s="49" t="s">
        <v>283</v>
      </c>
      <c r="E1207" s="49" t="s">
        <v>2670</v>
      </c>
      <c r="F1207" s="50" t="n">
        <v>6</v>
      </c>
      <c r="G1207" s="49" t="s">
        <v>280</v>
      </c>
      <c r="H1207" s="51" t="n">
        <v>0.7846</v>
      </c>
      <c r="I1207" s="51" t="n">
        <v>0.201</v>
      </c>
      <c r="J1207" s="51" t="n">
        <v>0.0144</v>
      </c>
      <c r="K1207" s="49" t="s">
        <v>281</v>
      </c>
      <c r="L1207" s="49"/>
      <c r="M1207" s="49"/>
      <c r="N1207" s="49"/>
      <c r="O1207" s="49"/>
      <c r="P1207" s="49"/>
      <c r="Q1207" s="49"/>
      <c r="R1207" s="49"/>
      <c r="S1207" s="49" t="n">
        <v>0</v>
      </c>
      <c r="T1207" s="49" t="n">
        <v>0</v>
      </c>
      <c r="U1207" s="49" t="s">
        <v>2671</v>
      </c>
    </row>
    <row r="1208" customFormat="false" ht="15" hidden="false" customHeight="false" outlineLevel="0" collapsed="false">
      <c r="B1208" s="48" t="n">
        <v>45369.6942708333</v>
      </c>
      <c r="C1208" s="4" t="n">
        <f aca="false">YEAR(B1208)</f>
        <v>2024</v>
      </c>
      <c r="D1208" s="49" t="s">
        <v>283</v>
      </c>
      <c r="E1208" s="49" t="s">
        <v>2672</v>
      </c>
      <c r="F1208" s="50" t="n">
        <v>1</v>
      </c>
      <c r="G1208" s="49" t="s">
        <v>287</v>
      </c>
      <c r="H1208" s="51" t="n">
        <v>0.0067</v>
      </c>
      <c r="I1208" s="51" t="n">
        <v>0.0391</v>
      </c>
      <c r="J1208" s="51" t="n">
        <v>0.9542</v>
      </c>
      <c r="K1208" s="49"/>
      <c r="L1208" s="49"/>
      <c r="M1208" s="49"/>
      <c r="N1208" s="49"/>
      <c r="O1208" s="49"/>
      <c r="P1208" s="49"/>
      <c r="Q1208" s="49"/>
      <c r="R1208" s="49"/>
      <c r="S1208" s="49" t="n">
        <v>0</v>
      </c>
      <c r="T1208" s="49" t="n">
        <v>0</v>
      </c>
      <c r="U1208" s="49" t="s">
        <v>2673</v>
      </c>
    </row>
    <row r="1209" customFormat="false" ht="15" hidden="false" customHeight="false" outlineLevel="0" collapsed="false">
      <c r="B1209" s="48" t="n">
        <v>45370.624849537</v>
      </c>
      <c r="C1209" s="4" t="n">
        <f aca="false">YEAR(B1209)</f>
        <v>2024</v>
      </c>
      <c r="D1209" s="49" t="s">
        <v>283</v>
      </c>
      <c r="E1209" s="49" t="s">
        <v>2674</v>
      </c>
      <c r="F1209" s="50" t="n">
        <v>1</v>
      </c>
      <c r="G1209" s="49" t="s">
        <v>280</v>
      </c>
      <c r="H1209" s="51" t="n">
        <v>0.7908</v>
      </c>
      <c r="I1209" s="51" t="n">
        <v>0.1957</v>
      </c>
      <c r="J1209" s="51" t="n">
        <v>0.0135</v>
      </c>
      <c r="K1209" s="49"/>
      <c r="L1209" s="49"/>
      <c r="M1209" s="49"/>
      <c r="N1209" s="49"/>
      <c r="O1209" s="49"/>
      <c r="P1209" s="49"/>
      <c r="Q1209" s="49" t="s">
        <v>281</v>
      </c>
      <c r="R1209" s="49"/>
      <c r="S1209" s="49" t="n">
        <v>0</v>
      </c>
      <c r="T1209" s="49" t="n">
        <v>0</v>
      </c>
      <c r="U1209" s="49" t="s">
        <v>2675</v>
      </c>
    </row>
    <row r="1210" customFormat="false" ht="15" hidden="false" customHeight="false" outlineLevel="0" collapsed="false">
      <c r="B1210" s="48" t="n">
        <v>45370.7849421296</v>
      </c>
      <c r="C1210" s="4" t="n">
        <f aca="false">YEAR(B1210)</f>
        <v>2024</v>
      </c>
      <c r="D1210" s="49" t="s">
        <v>283</v>
      </c>
      <c r="E1210" s="49" t="s">
        <v>2676</v>
      </c>
      <c r="F1210" s="50" t="n">
        <v>2</v>
      </c>
      <c r="G1210" s="49" t="s">
        <v>290</v>
      </c>
      <c r="H1210" s="51" t="n">
        <v>0.1121</v>
      </c>
      <c r="I1210" s="51" t="n">
        <v>0.5278</v>
      </c>
      <c r="J1210" s="51" t="n">
        <v>0.3601</v>
      </c>
      <c r="K1210" s="49"/>
      <c r="L1210" s="49"/>
      <c r="M1210" s="49"/>
      <c r="N1210" s="49"/>
      <c r="O1210" s="49"/>
      <c r="P1210" s="49"/>
      <c r="Q1210" s="49"/>
      <c r="R1210" s="49"/>
      <c r="S1210" s="49" t="n">
        <v>0</v>
      </c>
      <c r="T1210" s="49" t="n">
        <v>0</v>
      </c>
      <c r="U1210" s="49" t="s">
        <v>2677</v>
      </c>
    </row>
    <row r="1211" customFormat="false" ht="15" hidden="false" customHeight="false" outlineLevel="0" collapsed="false">
      <c r="B1211" s="48" t="n">
        <v>45370.8989467593</v>
      </c>
      <c r="C1211" s="4" t="n">
        <f aca="false">YEAR(B1211)</f>
        <v>2024</v>
      </c>
      <c r="D1211" s="49" t="s">
        <v>283</v>
      </c>
      <c r="E1211" s="49" t="s">
        <v>2678</v>
      </c>
      <c r="F1211" s="50" t="n">
        <v>1</v>
      </c>
      <c r="G1211" s="49" t="s">
        <v>290</v>
      </c>
      <c r="H1211" s="51" t="n">
        <v>0.01</v>
      </c>
      <c r="I1211" s="51" t="n">
        <v>0.9439</v>
      </c>
      <c r="J1211" s="51" t="n">
        <v>0.0462</v>
      </c>
      <c r="K1211" s="49"/>
      <c r="L1211" s="49"/>
      <c r="M1211" s="49"/>
      <c r="N1211" s="49"/>
      <c r="O1211" s="49"/>
      <c r="P1211" s="49"/>
      <c r="Q1211" s="49"/>
      <c r="R1211" s="49"/>
      <c r="S1211" s="49" t="n">
        <v>0</v>
      </c>
      <c r="T1211" s="49" t="n">
        <v>0</v>
      </c>
      <c r="U1211" s="49" t="s">
        <v>2679</v>
      </c>
    </row>
    <row r="1212" customFormat="false" ht="15" hidden="false" customHeight="false" outlineLevel="0" collapsed="false">
      <c r="B1212" s="48" t="n">
        <v>45370.9335069444</v>
      </c>
      <c r="C1212" s="4" t="n">
        <f aca="false">YEAR(B1212)</f>
        <v>2024</v>
      </c>
      <c r="D1212" s="49" t="s">
        <v>283</v>
      </c>
      <c r="E1212" s="49" t="s">
        <v>2680</v>
      </c>
      <c r="F1212" s="50" t="n">
        <v>1</v>
      </c>
      <c r="G1212" s="49" t="s">
        <v>280</v>
      </c>
      <c r="H1212" s="51" t="n">
        <v>0.7666</v>
      </c>
      <c r="I1212" s="51" t="n">
        <v>0.2051</v>
      </c>
      <c r="J1212" s="51" t="n">
        <v>0.0283</v>
      </c>
      <c r="K1212" s="49"/>
      <c r="L1212" s="49"/>
      <c r="M1212" s="49"/>
      <c r="N1212" s="49"/>
      <c r="O1212" s="49"/>
      <c r="P1212" s="49"/>
      <c r="Q1212" s="49" t="s">
        <v>281</v>
      </c>
      <c r="R1212" s="49"/>
      <c r="S1212" s="49" t="n">
        <v>0</v>
      </c>
      <c r="T1212" s="49" t="n">
        <v>0</v>
      </c>
      <c r="U1212" s="49" t="s">
        <v>2681</v>
      </c>
    </row>
    <row r="1213" customFormat="false" ht="15" hidden="false" customHeight="false" outlineLevel="0" collapsed="false">
      <c r="B1213" s="48" t="n">
        <v>45371.6736805556</v>
      </c>
      <c r="C1213" s="4" t="n">
        <f aca="false">YEAR(B1213)</f>
        <v>2024</v>
      </c>
      <c r="D1213" s="49" t="s">
        <v>283</v>
      </c>
      <c r="E1213" s="49" t="s">
        <v>2682</v>
      </c>
      <c r="F1213" s="50" t="n">
        <v>1</v>
      </c>
      <c r="G1213" s="49" t="s">
        <v>280</v>
      </c>
      <c r="H1213" s="51" t="n">
        <v>0.9282</v>
      </c>
      <c r="I1213" s="51" t="n">
        <v>0.0629</v>
      </c>
      <c r="J1213" s="51" t="n">
        <v>0.0089</v>
      </c>
      <c r="K1213" s="49"/>
      <c r="L1213" s="49"/>
      <c r="M1213" s="49"/>
      <c r="N1213" s="49"/>
      <c r="O1213" s="49"/>
      <c r="P1213" s="49"/>
      <c r="Q1213" s="49" t="s">
        <v>281</v>
      </c>
      <c r="R1213" s="49"/>
      <c r="S1213" s="49" t="n">
        <v>0</v>
      </c>
      <c r="T1213" s="49" t="n">
        <v>0</v>
      </c>
      <c r="U1213" s="49" t="s">
        <v>2683</v>
      </c>
    </row>
    <row r="1214" customFormat="false" ht="15" hidden="false" customHeight="false" outlineLevel="0" collapsed="false">
      <c r="B1214" s="48" t="n">
        <v>45372.7488541667</v>
      </c>
      <c r="C1214" s="4" t="n">
        <f aca="false">YEAR(B1214)</f>
        <v>2024</v>
      </c>
      <c r="D1214" s="49" t="s">
        <v>283</v>
      </c>
      <c r="E1214" s="49" t="s">
        <v>2684</v>
      </c>
      <c r="F1214" s="50" t="n">
        <v>1</v>
      </c>
      <c r="G1214" s="49" t="s">
        <v>290</v>
      </c>
      <c r="H1214" s="51" t="n">
        <v>0.0043</v>
      </c>
      <c r="I1214" s="51" t="n">
        <v>0.816</v>
      </c>
      <c r="J1214" s="51" t="n">
        <v>0.1796</v>
      </c>
      <c r="K1214" s="49"/>
      <c r="L1214" s="49"/>
      <c r="M1214" s="49"/>
      <c r="N1214" s="49"/>
      <c r="O1214" s="49"/>
      <c r="P1214" s="49"/>
      <c r="Q1214" s="49"/>
      <c r="R1214" s="49" t="s">
        <v>281</v>
      </c>
      <c r="S1214" s="49" t="n">
        <v>1</v>
      </c>
      <c r="T1214" s="49" t="n">
        <v>0</v>
      </c>
      <c r="U1214" s="49" t="s">
        <v>2685</v>
      </c>
    </row>
    <row r="1215" customFormat="false" ht="15" hidden="false" customHeight="false" outlineLevel="0" collapsed="false">
      <c r="B1215" s="48" t="n">
        <v>45372.811724537</v>
      </c>
      <c r="C1215" s="4" t="n">
        <f aca="false">YEAR(B1215)</f>
        <v>2024</v>
      </c>
      <c r="D1215" s="49" t="s">
        <v>283</v>
      </c>
      <c r="E1215" s="49" t="s">
        <v>2686</v>
      </c>
      <c r="F1215" s="50" t="n">
        <v>1</v>
      </c>
      <c r="G1215" s="49" t="s">
        <v>290</v>
      </c>
      <c r="H1215" s="51" t="n">
        <v>0.3694</v>
      </c>
      <c r="I1215" s="51" t="n">
        <v>0.5648</v>
      </c>
      <c r="J1215" s="51" t="n">
        <v>0.0658</v>
      </c>
      <c r="K1215" s="49"/>
      <c r="L1215" s="49"/>
      <c r="M1215" s="49"/>
      <c r="N1215" s="49"/>
      <c r="O1215" s="49"/>
      <c r="P1215" s="49"/>
      <c r="Q1215" s="49"/>
      <c r="R1215" s="49" t="s">
        <v>281</v>
      </c>
      <c r="S1215" s="49" t="n">
        <v>0</v>
      </c>
      <c r="T1215" s="49" t="n">
        <v>0</v>
      </c>
      <c r="U1215" s="49" t="s">
        <v>2687</v>
      </c>
    </row>
    <row r="1216" customFormat="false" ht="15" hidden="false" customHeight="false" outlineLevel="0" collapsed="false">
      <c r="B1216" s="48" t="n">
        <v>45373.3734606481</v>
      </c>
      <c r="C1216" s="4" t="n">
        <f aca="false">YEAR(B1216)</f>
        <v>2024</v>
      </c>
      <c r="D1216" s="49" t="s">
        <v>283</v>
      </c>
      <c r="E1216" s="49" t="s">
        <v>2688</v>
      </c>
      <c r="F1216" s="50" t="n">
        <v>4</v>
      </c>
      <c r="G1216" s="49" t="s">
        <v>280</v>
      </c>
      <c r="H1216" s="51" t="n">
        <v>0.84</v>
      </c>
      <c r="I1216" s="51" t="n">
        <v>0.1489</v>
      </c>
      <c r="J1216" s="51" t="n">
        <v>0.0111</v>
      </c>
      <c r="K1216" s="49"/>
      <c r="L1216" s="49"/>
      <c r="M1216" s="49"/>
      <c r="N1216" s="49"/>
      <c r="O1216" s="49"/>
      <c r="P1216" s="49"/>
      <c r="Q1216" s="49"/>
      <c r="R1216" s="49" t="s">
        <v>281</v>
      </c>
      <c r="S1216" s="49" t="n">
        <v>0</v>
      </c>
      <c r="T1216" s="49" t="n">
        <v>0</v>
      </c>
      <c r="U1216" s="49" t="s">
        <v>2689</v>
      </c>
    </row>
    <row r="1217" customFormat="false" ht="15" hidden="false" customHeight="false" outlineLevel="0" collapsed="false">
      <c r="B1217" s="48" t="n">
        <v>45373.5359259259</v>
      </c>
      <c r="C1217" s="4" t="n">
        <f aca="false">YEAR(B1217)</f>
        <v>2024</v>
      </c>
      <c r="D1217" s="49" t="s">
        <v>283</v>
      </c>
      <c r="E1217" s="49" t="s">
        <v>2690</v>
      </c>
      <c r="F1217" s="50" t="n">
        <v>1</v>
      </c>
      <c r="G1217" s="49" t="s">
        <v>280</v>
      </c>
      <c r="H1217" s="51" t="n">
        <v>0.7041</v>
      </c>
      <c r="I1217" s="51" t="n">
        <v>0.2754</v>
      </c>
      <c r="J1217" s="51" t="n">
        <v>0.0205</v>
      </c>
      <c r="K1217" s="49"/>
      <c r="L1217" s="49"/>
      <c r="M1217" s="49"/>
      <c r="N1217" s="49"/>
      <c r="O1217" s="49"/>
      <c r="P1217" s="49"/>
      <c r="Q1217" s="49"/>
      <c r="R1217" s="49"/>
      <c r="S1217" s="49" t="n">
        <v>0</v>
      </c>
      <c r="T1217" s="49" t="n">
        <v>1</v>
      </c>
      <c r="U1217" s="49" t="s">
        <v>2691</v>
      </c>
    </row>
    <row r="1218" customFormat="false" ht="15" hidden="false" customHeight="false" outlineLevel="0" collapsed="false">
      <c r="B1218" s="48" t="n">
        <v>45373.7685185185</v>
      </c>
      <c r="C1218" s="4" t="n">
        <f aca="false">YEAR(B1218)</f>
        <v>2024</v>
      </c>
      <c r="D1218" s="49" t="s">
        <v>283</v>
      </c>
      <c r="E1218" s="49" t="s">
        <v>2692</v>
      </c>
      <c r="F1218" s="50" t="n">
        <v>1</v>
      </c>
      <c r="G1218" s="49" t="s">
        <v>287</v>
      </c>
      <c r="H1218" s="51" t="n">
        <v>0.0668</v>
      </c>
      <c r="I1218" s="51" t="n">
        <v>0.2195</v>
      </c>
      <c r="J1218" s="51" t="n">
        <v>0.7137</v>
      </c>
      <c r="K1218" s="49"/>
      <c r="L1218" s="49"/>
      <c r="M1218" s="49"/>
      <c r="N1218" s="49"/>
      <c r="O1218" s="49"/>
      <c r="P1218" s="49"/>
      <c r="Q1218" s="49"/>
      <c r="R1218" s="49" t="s">
        <v>281</v>
      </c>
      <c r="S1218" s="49" t="n">
        <v>0</v>
      </c>
      <c r="T1218" s="49" t="n">
        <v>0</v>
      </c>
      <c r="U1218" s="49" t="s">
        <v>2693</v>
      </c>
    </row>
    <row r="1219" customFormat="false" ht="15" hidden="false" customHeight="false" outlineLevel="0" collapsed="false">
      <c r="B1219" s="48" t="n">
        <v>45374.6623032407</v>
      </c>
      <c r="C1219" s="4" t="n">
        <f aca="false">YEAR(B1219)</f>
        <v>2024</v>
      </c>
      <c r="D1219" s="49" t="s">
        <v>283</v>
      </c>
      <c r="E1219" s="49" t="s">
        <v>2694</v>
      </c>
      <c r="F1219" s="50" t="n">
        <v>1</v>
      </c>
      <c r="G1219" s="49" t="s">
        <v>287</v>
      </c>
      <c r="H1219" s="51" t="n">
        <v>0.0017</v>
      </c>
      <c r="I1219" s="51" t="n">
        <v>0.0125</v>
      </c>
      <c r="J1219" s="51" t="n">
        <v>0.9858</v>
      </c>
      <c r="K1219" s="49"/>
      <c r="L1219" s="49"/>
      <c r="M1219" s="49"/>
      <c r="N1219" s="49"/>
      <c r="O1219" s="49"/>
      <c r="P1219" s="49"/>
      <c r="Q1219" s="49"/>
      <c r="R1219" s="49"/>
      <c r="S1219" s="49" t="n">
        <v>1</v>
      </c>
      <c r="T1219" s="49" t="n">
        <v>0</v>
      </c>
      <c r="U1219" s="49" t="s">
        <v>2695</v>
      </c>
    </row>
    <row r="1220" customFormat="false" ht="15" hidden="false" customHeight="false" outlineLevel="0" collapsed="false">
      <c r="B1220" s="48" t="n">
        <v>45376.4774421296</v>
      </c>
      <c r="C1220" s="4" t="n">
        <f aca="false">YEAR(B1220)</f>
        <v>2024</v>
      </c>
      <c r="D1220" s="49" t="s">
        <v>283</v>
      </c>
      <c r="E1220" s="49" t="s">
        <v>2696</v>
      </c>
      <c r="F1220" s="50" t="n">
        <v>1</v>
      </c>
      <c r="G1220" s="49" t="s">
        <v>287</v>
      </c>
      <c r="H1220" s="51" t="n">
        <v>0.0056</v>
      </c>
      <c r="I1220" s="51" t="n">
        <v>0.2053</v>
      </c>
      <c r="J1220" s="51" t="n">
        <v>0.7892</v>
      </c>
      <c r="K1220" s="49"/>
      <c r="L1220" s="49"/>
      <c r="M1220" s="49"/>
      <c r="N1220" s="49"/>
      <c r="O1220" s="49"/>
      <c r="P1220" s="49"/>
      <c r="Q1220" s="49"/>
      <c r="R1220" s="49"/>
      <c r="S1220" s="49" t="n">
        <v>0</v>
      </c>
      <c r="T1220" s="49" t="n">
        <v>0</v>
      </c>
      <c r="U1220" s="49" t="s">
        <v>2697</v>
      </c>
    </row>
    <row r="1221" customFormat="false" ht="15" hidden="false" customHeight="false" outlineLevel="0" collapsed="false">
      <c r="B1221" s="48" t="n">
        <v>45376.6492939815</v>
      </c>
      <c r="C1221" s="4" t="n">
        <f aca="false">YEAR(B1221)</f>
        <v>2024</v>
      </c>
      <c r="D1221" s="49" t="s">
        <v>283</v>
      </c>
      <c r="E1221" s="49" t="s">
        <v>2698</v>
      </c>
      <c r="F1221" s="50" t="n">
        <v>1</v>
      </c>
      <c r="G1221" s="49" t="s">
        <v>290</v>
      </c>
      <c r="H1221" s="51" t="n">
        <v>0.0108</v>
      </c>
      <c r="I1221" s="51" t="n">
        <v>0.807</v>
      </c>
      <c r="J1221" s="51" t="n">
        <v>0.1821</v>
      </c>
      <c r="K1221" s="49"/>
      <c r="L1221" s="49"/>
      <c r="M1221" s="49"/>
      <c r="N1221" s="49"/>
      <c r="O1221" s="49"/>
      <c r="P1221" s="49"/>
      <c r="Q1221" s="49"/>
      <c r="R1221" s="49"/>
      <c r="S1221" s="49" t="n">
        <v>0</v>
      </c>
      <c r="T1221" s="49" t="n">
        <v>0</v>
      </c>
      <c r="U1221" s="49" t="s">
        <v>2699</v>
      </c>
    </row>
    <row r="1222" customFormat="false" ht="15" hidden="false" customHeight="false" outlineLevel="0" collapsed="false">
      <c r="B1222" s="48" t="n">
        <v>45376.8205208333</v>
      </c>
      <c r="C1222" s="4" t="n">
        <f aca="false">YEAR(B1222)</f>
        <v>2024</v>
      </c>
      <c r="D1222" s="49" t="s">
        <v>283</v>
      </c>
      <c r="E1222" s="49" t="s">
        <v>2700</v>
      </c>
      <c r="F1222" s="50" t="n">
        <v>1</v>
      </c>
      <c r="G1222" s="49" t="s">
        <v>290</v>
      </c>
      <c r="H1222" s="51" t="n">
        <v>0.0617</v>
      </c>
      <c r="I1222" s="51" t="n">
        <v>0.6616</v>
      </c>
      <c r="J1222" s="51" t="n">
        <v>0.2767</v>
      </c>
      <c r="K1222" s="49"/>
      <c r="L1222" s="49"/>
      <c r="M1222" s="49"/>
      <c r="N1222" s="49"/>
      <c r="O1222" s="49"/>
      <c r="P1222" s="49"/>
      <c r="Q1222" s="49" t="s">
        <v>281</v>
      </c>
      <c r="R1222" s="49"/>
      <c r="S1222" s="49" t="n">
        <v>0</v>
      </c>
      <c r="T1222" s="49" t="n">
        <v>0</v>
      </c>
      <c r="U1222" s="49" t="s">
        <v>2701</v>
      </c>
    </row>
    <row r="1223" customFormat="false" ht="15" hidden="false" customHeight="false" outlineLevel="0" collapsed="false">
      <c r="B1223" s="48" t="n">
        <v>45376.8228009259</v>
      </c>
      <c r="C1223" s="4" t="n">
        <f aca="false">YEAR(B1223)</f>
        <v>2024</v>
      </c>
      <c r="D1223" s="49" t="s">
        <v>278</v>
      </c>
      <c r="E1223" s="49" t="s">
        <v>2700</v>
      </c>
      <c r="F1223" s="50" t="n">
        <v>182</v>
      </c>
      <c r="G1223" s="49" t="s">
        <v>290</v>
      </c>
      <c r="H1223" s="51" t="n">
        <v>0.0617</v>
      </c>
      <c r="I1223" s="51" t="n">
        <v>0.6616</v>
      </c>
      <c r="J1223" s="51" t="n">
        <v>0.2767</v>
      </c>
      <c r="K1223" s="49"/>
      <c r="L1223" s="49"/>
      <c r="M1223" s="49"/>
      <c r="N1223" s="49"/>
      <c r="O1223" s="49"/>
      <c r="P1223" s="49"/>
      <c r="Q1223" s="49" t="s">
        <v>281</v>
      </c>
      <c r="R1223" s="49"/>
      <c r="S1223" s="49" t="n">
        <v>0</v>
      </c>
      <c r="T1223" s="49" t="n">
        <v>0</v>
      </c>
      <c r="U1223" s="49" t="s">
        <v>2702</v>
      </c>
    </row>
    <row r="1224" customFormat="false" ht="15" hidden="false" customHeight="false" outlineLevel="0" collapsed="false">
      <c r="B1224" s="48" t="n">
        <v>45377.0195138889</v>
      </c>
      <c r="C1224" s="4" t="n">
        <f aca="false">YEAR(B1224)</f>
        <v>2024</v>
      </c>
      <c r="D1224" s="49" t="s">
        <v>283</v>
      </c>
      <c r="E1224" s="49" t="s">
        <v>2703</v>
      </c>
      <c r="F1224" s="50" t="n">
        <v>2</v>
      </c>
      <c r="G1224" s="49" t="s">
        <v>287</v>
      </c>
      <c r="H1224" s="51" t="n">
        <v>0.156</v>
      </c>
      <c r="I1224" s="51" t="n">
        <v>0.3639</v>
      </c>
      <c r="J1224" s="51" t="n">
        <v>0.4802</v>
      </c>
      <c r="K1224" s="49"/>
      <c r="L1224" s="49"/>
      <c r="M1224" s="49"/>
      <c r="N1224" s="49"/>
      <c r="O1224" s="49"/>
      <c r="P1224" s="49"/>
      <c r="Q1224" s="49"/>
      <c r="R1224" s="49" t="s">
        <v>281</v>
      </c>
      <c r="S1224" s="49" t="n">
        <v>0</v>
      </c>
      <c r="T1224" s="49" t="n">
        <v>0</v>
      </c>
      <c r="U1224" s="49" t="s">
        <v>2704</v>
      </c>
    </row>
    <row r="1225" customFormat="false" ht="15" hidden="false" customHeight="false" outlineLevel="0" collapsed="false">
      <c r="B1225" s="48" t="n">
        <v>45377.3340625</v>
      </c>
      <c r="C1225" s="4" t="n">
        <f aca="false">YEAR(B1225)</f>
        <v>2024</v>
      </c>
      <c r="D1225" s="49" t="s">
        <v>283</v>
      </c>
      <c r="E1225" s="49" t="s">
        <v>2703</v>
      </c>
      <c r="F1225" s="50" t="n">
        <v>1</v>
      </c>
      <c r="G1225" s="49" t="s">
        <v>287</v>
      </c>
      <c r="H1225" s="51" t="n">
        <v>0.156</v>
      </c>
      <c r="I1225" s="51" t="n">
        <v>0.3639</v>
      </c>
      <c r="J1225" s="51" t="n">
        <v>0.4802</v>
      </c>
      <c r="K1225" s="49"/>
      <c r="L1225" s="49"/>
      <c r="M1225" s="49"/>
      <c r="N1225" s="49"/>
      <c r="O1225" s="49"/>
      <c r="P1225" s="49"/>
      <c r="Q1225" s="49"/>
      <c r="R1225" s="49" t="s">
        <v>281</v>
      </c>
      <c r="S1225" s="49" t="n">
        <v>0</v>
      </c>
      <c r="T1225" s="49" t="n">
        <v>0</v>
      </c>
      <c r="U1225" s="49" t="s">
        <v>2705</v>
      </c>
    </row>
    <row r="1226" customFormat="false" ht="15" hidden="false" customHeight="false" outlineLevel="0" collapsed="false">
      <c r="B1226" s="48" t="n">
        <v>45377.3411574074</v>
      </c>
      <c r="C1226" s="4" t="n">
        <f aca="false">YEAR(B1226)</f>
        <v>2024</v>
      </c>
      <c r="D1226" s="49" t="s">
        <v>283</v>
      </c>
      <c r="E1226" s="49" t="s">
        <v>2706</v>
      </c>
      <c r="F1226" s="50" t="n">
        <v>5</v>
      </c>
      <c r="G1226" s="49" t="s">
        <v>287</v>
      </c>
      <c r="H1226" s="51" t="n">
        <v>0.0106</v>
      </c>
      <c r="I1226" s="51" t="n">
        <v>0.2447</v>
      </c>
      <c r="J1226" s="51" t="n">
        <v>0.7447</v>
      </c>
      <c r="K1226" s="49"/>
      <c r="L1226" s="49"/>
      <c r="M1226" s="49"/>
      <c r="N1226" s="49"/>
      <c r="O1226" s="49"/>
      <c r="P1226" s="49"/>
      <c r="Q1226" s="49"/>
      <c r="R1226" s="49"/>
      <c r="S1226" s="49" t="n">
        <v>0</v>
      </c>
      <c r="T1226" s="49" t="n">
        <v>0</v>
      </c>
      <c r="U1226" s="49" t="s">
        <v>2707</v>
      </c>
    </row>
    <row r="1227" customFormat="false" ht="15" hidden="false" customHeight="false" outlineLevel="0" collapsed="false">
      <c r="B1227" s="48" t="n">
        <v>45377.7230671296</v>
      </c>
      <c r="C1227" s="4" t="n">
        <f aca="false">YEAR(B1227)</f>
        <v>2024</v>
      </c>
      <c r="D1227" s="49" t="s">
        <v>283</v>
      </c>
      <c r="E1227" s="49" t="s">
        <v>2708</v>
      </c>
      <c r="F1227" s="50" t="n">
        <v>1</v>
      </c>
      <c r="G1227" s="49" t="s">
        <v>280</v>
      </c>
      <c r="H1227" s="51" t="n">
        <v>0.5173</v>
      </c>
      <c r="I1227" s="51" t="n">
        <v>0.3974</v>
      </c>
      <c r="J1227" s="51" t="n">
        <v>0.0853</v>
      </c>
      <c r="K1227" s="49"/>
      <c r="L1227" s="49"/>
      <c r="M1227" s="49"/>
      <c r="N1227" s="49"/>
      <c r="O1227" s="49"/>
      <c r="P1227" s="49"/>
      <c r="Q1227" s="49"/>
      <c r="R1227" s="49"/>
      <c r="S1227" s="49" t="n">
        <v>1</v>
      </c>
      <c r="T1227" s="49" t="n">
        <v>0</v>
      </c>
      <c r="U1227" s="49" t="s">
        <v>2709</v>
      </c>
    </row>
    <row r="1228" customFormat="false" ht="15" hidden="false" customHeight="false" outlineLevel="0" collapsed="false">
      <c r="B1228" s="48" t="n">
        <v>45377.9640972222</v>
      </c>
      <c r="C1228" s="4" t="n">
        <f aca="false">YEAR(B1228)</f>
        <v>2024</v>
      </c>
      <c r="D1228" s="49" t="s">
        <v>283</v>
      </c>
      <c r="E1228" s="49" t="s">
        <v>2710</v>
      </c>
      <c r="F1228" s="50" t="n">
        <v>13</v>
      </c>
      <c r="G1228" s="49" t="s">
        <v>287</v>
      </c>
      <c r="H1228" s="51" t="n">
        <v>0.0027</v>
      </c>
      <c r="I1228" s="51" t="n">
        <v>0.0472</v>
      </c>
      <c r="J1228" s="51" t="n">
        <v>0.9501</v>
      </c>
      <c r="K1228" s="49"/>
      <c r="L1228" s="49"/>
      <c r="M1228" s="49"/>
      <c r="N1228" s="49"/>
      <c r="O1228" s="49"/>
      <c r="P1228" s="49"/>
      <c r="Q1228" s="49"/>
      <c r="R1228" s="49"/>
      <c r="S1228" s="49" t="n">
        <v>0</v>
      </c>
      <c r="T1228" s="49" t="n">
        <v>0</v>
      </c>
      <c r="U1228" s="49" t="s">
        <v>2711</v>
      </c>
    </row>
    <row r="1229" customFormat="false" ht="15" hidden="false" customHeight="false" outlineLevel="0" collapsed="false">
      <c r="B1229" s="48" t="n">
        <v>45377.9805092593</v>
      </c>
      <c r="C1229" s="4" t="n">
        <f aca="false">YEAR(B1229)</f>
        <v>2024</v>
      </c>
      <c r="D1229" s="49" t="s">
        <v>283</v>
      </c>
      <c r="E1229" s="49" t="s">
        <v>2712</v>
      </c>
      <c r="F1229" s="50" t="n">
        <v>11</v>
      </c>
      <c r="G1229" s="49" t="s">
        <v>287</v>
      </c>
      <c r="H1229" s="51" t="n">
        <v>0.0228</v>
      </c>
      <c r="I1229" s="51" t="n">
        <v>0.3657</v>
      </c>
      <c r="J1229" s="51" t="n">
        <v>0.6114</v>
      </c>
      <c r="K1229" s="49"/>
      <c r="L1229" s="49"/>
      <c r="M1229" s="49"/>
      <c r="N1229" s="49"/>
      <c r="O1229" s="49"/>
      <c r="P1229" s="49"/>
      <c r="Q1229" s="49"/>
      <c r="R1229" s="49"/>
      <c r="S1229" s="49" t="n">
        <v>0</v>
      </c>
      <c r="T1229" s="49" t="n">
        <v>0</v>
      </c>
      <c r="U1229" s="49" t="s">
        <v>2713</v>
      </c>
    </row>
    <row r="1230" customFormat="false" ht="15" hidden="false" customHeight="false" outlineLevel="0" collapsed="false">
      <c r="B1230" s="48" t="n">
        <v>45378.3512037037</v>
      </c>
      <c r="C1230" s="4" t="n">
        <f aca="false">YEAR(B1230)</f>
        <v>2024</v>
      </c>
      <c r="D1230" s="49" t="s">
        <v>283</v>
      </c>
      <c r="E1230" s="49" t="s">
        <v>2714</v>
      </c>
      <c r="F1230" s="50" t="n">
        <v>4</v>
      </c>
      <c r="G1230" s="49" t="s">
        <v>280</v>
      </c>
      <c r="H1230" s="51" t="n">
        <v>0.9233</v>
      </c>
      <c r="I1230" s="51" t="n">
        <v>0.0695</v>
      </c>
      <c r="J1230" s="51" t="n">
        <v>0.0071</v>
      </c>
      <c r="K1230" s="49"/>
      <c r="L1230" s="49"/>
      <c r="M1230" s="49"/>
      <c r="N1230" s="49"/>
      <c r="O1230" s="49"/>
      <c r="P1230" s="49"/>
      <c r="Q1230" s="49"/>
      <c r="R1230" s="49"/>
      <c r="S1230" s="49" t="n">
        <v>0</v>
      </c>
      <c r="T1230" s="49" t="n">
        <v>0</v>
      </c>
      <c r="U1230" s="49" t="s">
        <v>2715</v>
      </c>
    </row>
    <row r="1231" customFormat="false" ht="15" hidden="false" customHeight="false" outlineLevel="0" collapsed="false">
      <c r="B1231" s="48" t="n">
        <v>45378.3877083333</v>
      </c>
      <c r="C1231" s="4" t="n">
        <f aca="false">YEAR(B1231)</f>
        <v>2024</v>
      </c>
      <c r="D1231" s="49" t="s">
        <v>283</v>
      </c>
      <c r="E1231" s="49" t="s">
        <v>2716</v>
      </c>
      <c r="F1231" s="50" t="n">
        <v>1</v>
      </c>
      <c r="G1231" s="49" t="s">
        <v>287</v>
      </c>
      <c r="H1231" s="51" t="n">
        <v>0.0085</v>
      </c>
      <c r="I1231" s="51" t="n">
        <v>0.1636</v>
      </c>
      <c r="J1231" s="51" t="n">
        <v>0.8279</v>
      </c>
      <c r="K1231" s="49"/>
      <c r="L1231" s="49"/>
      <c r="M1231" s="49"/>
      <c r="N1231" s="49"/>
      <c r="O1231" s="49"/>
      <c r="P1231" s="49"/>
      <c r="Q1231" s="49"/>
      <c r="R1231" s="49"/>
      <c r="S1231" s="49" t="n">
        <v>0</v>
      </c>
      <c r="T1231" s="49" t="n">
        <v>0</v>
      </c>
      <c r="U1231" s="49" t="s">
        <v>2717</v>
      </c>
    </row>
    <row r="1232" customFormat="false" ht="15" hidden="false" customHeight="false" outlineLevel="0" collapsed="false">
      <c r="B1232" s="48" t="n">
        <v>45378.7415046296</v>
      </c>
      <c r="C1232" s="4" t="n">
        <f aca="false">YEAR(B1232)</f>
        <v>2024</v>
      </c>
      <c r="D1232" s="49" t="s">
        <v>278</v>
      </c>
      <c r="E1232" s="49" t="s">
        <v>2718</v>
      </c>
      <c r="F1232" s="50" t="n">
        <v>2</v>
      </c>
      <c r="G1232" s="49" t="s">
        <v>290</v>
      </c>
      <c r="H1232" s="51" t="n">
        <v>0.0802</v>
      </c>
      <c r="I1232" s="51" t="n">
        <v>0.8804</v>
      </c>
      <c r="J1232" s="51" t="n">
        <v>0.0394</v>
      </c>
      <c r="K1232" s="49"/>
      <c r="L1232" s="49"/>
      <c r="M1232" s="49"/>
      <c r="N1232" s="49"/>
      <c r="O1232" s="49"/>
      <c r="P1232" s="49"/>
      <c r="Q1232" s="49"/>
      <c r="R1232" s="49"/>
      <c r="S1232" s="49" t="n">
        <v>0</v>
      </c>
      <c r="T1232" s="49" t="n">
        <v>0</v>
      </c>
      <c r="U1232" s="49" t="s">
        <v>2719</v>
      </c>
    </row>
    <row r="1233" customFormat="false" ht="15" hidden="false" customHeight="false" outlineLevel="0" collapsed="false">
      <c r="B1233" s="48" t="n">
        <v>45378.8560185185</v>
      </c>
      <c r="C1233" s="4" t="n">
        <f aca="false">YEAR(B1233)</f>
        <v>2024</v>
      </c>
      <c r="D1233" s="49" t="s">
        <v>283</v>
      </c>
      <c r="E1233" s="49" t="s">
        <v>2720</v>
      </c>
      <c r="F1233" s="50" t="n">
        <v>8</v>
      </c>
      <c r="G1233" s="49" t="s">
        <v>290</v>
      </c>
      <c r="H1233" s="51" t="n">
        <v>0.1257</v>
      </c>
      <c r="I1233" s="51" t="n">
        <v>0.645</v>
      </c>
      <c r="J1233" s="51" t="n">
        <v>0.2294</v>
      </c>
      <c r="K1233" s="49"/>
      <c r="L1233" s="49"/>
      <c r="M1233" s="49"/>
      <c r="N1233" s="49"/>
      <c r="O1233" s="49"/>
      <c r="P1233" s="49"/>
      <c r="Q1233" s="49"/>
      <c r="R1233" s="49"/>
      <c r="S1233" s="49" t="n">
        <v>0</v>
      </c>
      <c r="T1233" s="49" t="n">
        <v>0</v>
      </c>
      <c r="U1233" s="49" t="s">
        <v>2721</v>
      </c>
    </row>
    <row r="1234" customFormat="false" ht="15" hidden="false" customHeight="false" outlineLevel="0" collapsed="false">
      <c r="B1234" s="48" t="n">
        <v>45379.1629166667</v>
      </c>
      <c r="C1234" s="4" t="n">
        <f aca="false">YEAR(B1234)</f>
        <v>2024</v>
      </c>
      <c r="D1234" s="49" t="s">
        <v>283</v>
      </c>
      <c r="E1234" s="49" t="s">
        <v>2722</v>
      </c>
      <c r="F1234" s="50" t="n">
        <v>1</v>
      </c>
      <c r="G1234" s="49" t="s">
        <v>280</v>
      </c>
      <c r="H1234" s="51" t="n">
        <v>0.892</v>
      </c>
      <c r="I1234" s="51" t="n">
        <v>0.094</v>
      </c>
      <c r="J1234" s="51" t="n">
        <v>0.014</v>
      </c>
      <c r="K1234" s="49" t="s">
        <v>281</v>
      </c>
      <c r="L1234" s="49"/>
      <c r="M1234" s="49"/>
      <c r="N1234" s="49"/>
      <c r="O1234" s="49" t="s">
        <v>281</v>
      </c>
      <c r="P1234" s="49"/>
      <c r="Q1234" s="49"/>
      <c r="R1234" s="49"/>
      <c r="S1234" s="49" t="n">
        <v>0</v>
      </c>
      <c r="T1234" s="49" t="n">
        <v>0</v>
      </c>
      <c r="U1234" s="49" t="s">
        <v>2723</v>
      </c>
    </row>
    <row r="1235" customFormat="false" ht="15" hidden="false" customHeight="false" outlineLevel="0" collapsed="false">
      <c r="B1235" s="48" t="n">
        <v>45379.7933333333</v>
      </c>
      <c r="C1235" s="4" t="n">
        <f aca="false">YEAR(B1235)</f>
        <v>2024</v>
      </c>
      <c r="D1235" s="49" t="s">
        <v>283</v>
      </c>
      <c r="E1235" s="49" t="s">
        <v>2724</v>
      </c>
      <c r="F1235" s="50" t="n">
        <v>1</v>
      </c>
      <c r="G1235" s="49" t="s">
        <v>280</v>
      </c>
      <c r="H1235" s="51" t="n">
        <v>0.7858</v>
      </c>
      <c r="I1235" s="51" t="n">
        <v>0.2036</v>
      </c>
      <c r="J1235" s="51" t="n">
        <v>0.0107</v>
      </c>
      <c r="K1235" s="49"/>
      <c r="L1235" s="49"/>
      <c r="M1235" s="49"/>
      <c r="N1235" s="49"/>
      <c r="O1235" s="49"/>
      <c r="P1235" s="49"/>
      <c r="Q1235" s="49"/>
      <c r="R1235" s="49" t="s">
        <v>281</v>
      </c>
      <c r="S1235" s="49" t="n">
        <v>0</v>
      </c>
      <c r="T1235" s="49" t="n">
        <v>0</v>
      </c>
      <c r="U1235" s="49" t="s">
        <v>2725</v>
      </c>
    </row>
    <row r="1236" customFormat="false" ht="15" hidden="false" customHeight="false" outlineLevel="0" collapsed="false">
      <c r="B1236" s="48" t="n">
        <v>45380.7427662037</v>
      </c>
      <c r="C1236" s="4" t="n">
        <f aca="false">YEAR(B1236)</f>
        <v>2024</v>
      </c>
      <c r="D1236" s="49" t="s">
        <v>283</v>
      </c>
      <c r="E1236" s="49" t="s">
        <v>2726</v>
      </c>
      <c r="F1236" s="50" t="n">
        <v>2</v>
      </c>
      <c r="G1236" s="49" t="s">
        <v>290</v>
      </c>
      <c r="H1236" s="51" t="n">
        <v>0.3593</v>
      </c>
      <c r="I1236" s="51" t="n">
        <v>0.4821</v>
      </c>
      <c r="J1236" s="51" t="n">
        <v>0.1586</v>
      </c>
      <c r="K1236" s="49"/>
      <c r="L1236" s="49"/>
      <c r="M1236" s="49"/>
      <c r="N1236" s="49"/>
      <c r="O1236" s="49"/>
      <c r="P1236" s="49"/>
      <c r="Q1236" s="49"/>
      <c r="R1236" s="49"/>
      <c r="S1236" s="49" t="n">
        <v>0</v>
      </c>
      <c r="T1236" s="49" t="n">
        <v>0</v>
      </c>
      <c r="U1236" s="49" t="s">
        <v>2727</v>
      </c>
    </row>
    <row r="1237" customFormat="false" ht="15" hidden="false" customHeight="false" outlineLevel="0" collapsed="false">
      <c r="B1237" s="48" t="n">
        <v>45381.112650463</v>
      </c>
      <c r="C1237" s="4" t="n">
        <f aca="false">YEAR(B1237)</f>
        <v>2024</v>
      </c>
      <c r="D1237" s="49" t="s">
        <v>283</v>
      </c>
      <c r="E1237" s="49" t="s">
        <v>2728</v>
      </c>
      <c r="F1237" s="50" t="n">
        <v>1</v>
      </c>
      <c r="G1237" s="49" t="s">
        <v>290</v>
      </c>
      <c r="H1237" s="51" t="n">
        <v>0.0054</v>
      </c>
      <c r="I1237" s="51" t="n">
        <v>0.7884</v>
      </c>
      <c r="J1237" s="51" t="n">
        <v>0.2062</v>
      </c>
      <c r="K1237" s="49"/>
      <c r="L1237" s="49"/>
      <c r="M1237" s="49"/>
      <c r="N1237" s="49"/>
      <c r="O1237" s="49"/>
      <c r="P1237" s="49"/>
      <c r="Q1237" s="49"/>
      <c r="R1237" s="49" t="s">
        <v>281</v>
      </c>
      <c r="S1237" s="49" t="n">
        <v>1</v>
      </c>
      <c r="T1237" s="49" t="n">
        <v>0</v>
      </c>
      <c r="U1237" s="49" t="s">
        <v>2729</v>
      </c>
    </row>
    <row r="1238" customFormat="false" ht="15" hidden="false" customHeight="false" outlineLevel="0" collapsed="false">
      <c r="B1238" s="48" t="n">
        <v>45381.1786921296</v>
      </c>
      <c r="C1238" s="4" t="n">
        <f aca="false">YEAR(B1238)</f>
        <v>2024</v>
      </c>
      <c r="D1238" s="49" t="s">
        <v>283</v>
      </c>
      <c r="E1238" s="49" t="s">
        <v>2730</v>
      </c>
      <c r="F1238" s="50" t="n">
        <v>9</v>
      </c>
      <c r="G1238" s="49" t="s">
        <v>280</v>
      </c>
      <c r="H1238" s="51" t="n">
        <v>0.6163</v>
      </c>
      <c r="I1238" s="51" t="n">
        <v>0.2868</v>
      </c>
      <c r="J1238" s="51" t="n">
        <v>0.097</v>
      </c>
      <c r="K1238" s="49"/>
      <c r="L1238" s="49"/>
      <c r="M1238" s="49"/>
      <c r="N1238" s="49"/>
      <c r="O1238" s="49"/>
      <c r="P1238" s="49"/>
      <c r="Q1238" s="49"/>
      <c r="R1238" s="49"/>
      <c r="S1238" s="49" t="n">
        <v>0</v>
      </c>
      <c r="T1238" s="49" t="n">
        <v>0</v>
      </c>
      <c r="U1238" s="49" t="s">
        <v>2731</v>
      </c>
    </row>
    <row r="1239" customFormat="false" ht="15" hidden="false" customHeight="false" outlineLevel="0" collapsed="false">
      <c r="B1239" s="48" t="n">
        <v>45382.769837963</v>
      </c>
      <c r="C1239" s="4" t="n">
        <f aca="false">YEAR(B1239)</f>
        <v>2024</v>
      </c>
      <c r="D1239" s="49" t="s">
        <v>278</v>
      </c>
      <c r="E1239" s="49" t="s">
        <v>2732</v>
      </c>
      <c r="F1239" s="50" t="n">
        <v>3</v>
      </c>
      <c r="G1239" s="49" t="s">
        <v>290</v>
      </c>
      <c r="H1239" s="51" t="n">
        <v>0.0389</v>
      </c>
      <c r="I1239" s="51" t="n">
        <v>0.9351</v>
      </c>
      <c r="J1239" s="51" t="n">
        <v>0.0261</v>
      </c>
      <c r="K1239" s="49"/>
      <c r="L1239" s="49"/>
      <c r="M1239" s="49"/>
      <c r="N1239" s="49"/>
      <c r="O1239" s="49"/>
      <c r="P1239" s="49"/>
      <c r="Q1239" s="49"/>
      <c r="R1239" s="49"/>
      <c r="S1239" s="49" t="n">
        <v>0</v>
      </c>
      <c r="T1239" s="49" t="n">
        <v>0</v>
      </c>
      <c r="U1239" s="49" t="s">
        <v>2733</v>
      </c>
    </row>
    <row r="1240" customFormat="false" ht="15" hidden="false" customHeight="false" outlineLevel="0" collapsed="false">
      <c r="B1240" s="48" t="n">
        <v>45382.8099652778</v>
      </c>
      <c r="C1240" s="4" t="n">
        <f aca="false">YEAR(B1240)</f>
        <v>2024</v>
      </c>
      <c r="D1240" s="49" t="s">
        <v>278</v>
      </c>
      <c r="E1240" s="49" t="s">
        <v>2734</v>
      </c>
      <c r="F1240" s="50" t="n">
        <v>72</v>
      </c>
      <c r="G1240" s="49" t="s">
        <v>290</v>
      </c>
      <c r="H1240" s="51" t="n">
        <v>0.4098</v>
      </c>
      <c r="I1240" s="51" t="n">
        <v>0.5593</v>
      </c>
      <c r="J1240" s="51" t="n">
        <v>0.0309</v>
      </c>
      <c r="K1240" s="49"/>
      <c r="L1240" s="49"/>
      <c r="M1240" s="49"/>
      <c r="N1240" s="49"/>
      <c r="O1240" s="49"/>
      <c r="P1240" s="49"/>
      <c r="Q1240" s="49"/>
      <c r="R1240" s="49"/>
      <c r="S1240" s="49" t="n">
        <v>0</v>
      </c>
      <c r="T1240" s="49" t="n">
        <v>0</v>
      </c>
      <c r="U1240" s="49" t="s">
        <v>2735</v>
      </c>
    </row>
    <row r="1241" customFormat="false" ht="15" hidden="false" customHeight="false" outlineLevel="0" collapsed="false">
      <c r="B1241" s="48" t="n">
        <v>45382.8136111111</v>
      </c>
      <c r="C1241" s="4" t="n">
        <f aca="false">YEAR(B1241)</f>
        <v>2024</v>
      </c>
      <c r="D1241" s="49" t="s">
        <v>283</v>
      </c>
      <c r="E1241" s="49" t="s">
        <v>2736</v>
      </c>
      <c r="F1241" s="50" t="n">
        <v>1</v>
      </c>
      <c r="G1241" s="49" t="s">
        <v>280</v>
      </c>
      <c r="H1241" s="51" t="n">
        <v>0.5207</v>
      </c>
      <c r="I1241" s="51" t="n">
        <v>0.3604</v>
      </c>
      <c r="J1241" s="51" t="n">
        <v>0.1188</v>
      </c>
      <c r="K1241" s="49"/>
      <c r="L1241" s="49"/>
      <c r="M1241" s="49"/>
      <c r="N1241" s="49"/>
      <c r="O1241" s="49"/>
      <c r="P1241" s="49"/>
      <c r="Q1241" s="49"/>
      <c r="R1241" s="49" t="s">
        <v>281</v>
      </c>
      <c r="S1241" s="49" t="n">
        <v>0</v>
      </c>
      <c r="T1241" s="49" t="n">
        <v>0</v>
      </c>
      <c r="U1241" s="49" t="s">
        <v>2737</v>
      </c>
    </row>
    <row r="1242" customFormat="false" ht="15" hidden="false" customHeight="false" outlineLevel="0" collapsed="false">
      <c r="B1242" s="48" t="n">
        <v>45382.864375</v>
      </c>
      <c r="C1242" s="4" t="n">
        <f aca="false">YEAR(B1242)</f>
        <v>2024</v>
      </c>
      <c r="D1242" s="49" t="s">
        <v>283</v>
      </c>
      <c r="E1242" s="49" t="s">
        <v>2738</v>
      </c>
      <c r="F1242" s="50" t="n">
        <v>1</v>
      </c>
      <c r="G1242" s="49" t="s">
        <v>287</v>
      </c>
      <c r="H1242" s="51" t="n">
        <v>0.0041</v>
      </c>
      <c r="I1242" s="51" t="n">
        <v>0.0229</v>
      </c>
      <c r="J1242" s="51" t="n">
        <v>0.973</v>
      </c>
      <c r="K1242" s="49"/>
      <c r="L1242" s="49"/>
      <c r="M1242" s="49"/>
      <c r="N1242" s="49"/>
      <c r="O1242" s="49"/>
      <c r="P1242" s="49"/>
      <c r="Q1242" s="49"/>
      <c r="R1242" s="49"/>
      <c r="S1242" s="49" t="n">
        <v>0</v>
      </c>
      <c r="T1242" s="49" t="n">
        <v>0</v>
      </c>
      <c r="U1242" s="49" t="s">
        <v>2739</v>
      </c>
    </row>
    <row r="1243" customFormat="false" ht="15" hidden="false" customHeight="false" outlineLevel="0" collapsed="false">
      <c r="B1243" s="48" t="n">
        <v>45382.8723148148</v>
      </c>
      <c r="C1243" s="4" t="n">
        <f aca="false">YEAR(B1243)</f>
        <v>2024</v>
      </c>
      <c r="D1243" s="49" t="s">
        <v>278</v>
      </c>
      <c r="E1243" s="49" t="s">
        <v>2740</v>
      </c>
      <c r="F1243" s="50" t="n">
        <v>17</v>
      </c>
      <c r="G1243" s="49" t="s">
        <v>287</v>
      </c>
      <c r="H1243" s="51" t="n">
        <v>0.0042</v>
      </c>
      <c r="I1243" s="51" t="n">
        <v>0.0404</v>
      </c>
      <c r="J1243" s="51" t="n">
        <v>0.9554</v>
      </c>
      <c r="K1243" s="49"/>
      <c r="L1243" s="49"/>
      <c r="M1243" s="49"/>
      <c r="N1243" s="49"/>
      <c r="O1243" s="49"/>
      <c r="P1243" s="49"/>
      <c r="Q1243" s="49"/>
      <c r="R1243" s="49"/>
      <c r="S1243" s="49" t="n">
        <v>0</v>
      </c>
      <c r="T1243" s="49" t="n">
        <v>0</v>
      </c>
      <c r="U1243" s="49" t="s">
        <v>2741</v>
      </c>
    </row>
    <row r="1244" customFormat="false" ht="15" hidden="false" customHeight="false" outlineLevel="0" collapsed="false">
      <c r="B1244" s="48" t="n">
        <v>45383.0011342593</v>
      </c>
      <c r="C1244" s="4" t="n">
        <f aca="false">YEAR(B1244)</f>
        <v>2024</v>
      </c>
      <c r="D1244" s="49" t="s">
        <v>283</v>
      </c>
      <c r="E1244" s="49" t="s">
        <v>2742</v>
      </c>
      <c r="F1244" s="50" t="n">
        <v>1</v>
      </c>
      <c r="G1244" s="49" t="s">
        <v>287</v>
      </c>
      <c r="H1244" s="51" t="n">
        <v>0.0429</v>
      </c>
      <c r="I1244" s="51" t="n">
        <v>0.3011</v>
      </c>
      <c r="J1244" s="51" t="n">
        <v>0.656</v>
      </c>
      <c r="K1244" s="49"/>
      <c r="L1244" s="49"/>
      <c r="M1244" s="49"/>
      <c r="N1244" s="49"/>
      <c r="O1244" s="49"/>
      <c r="P1244" s="49"/>
      <c r="Q1244" s="49"/>
      <c r="R1244" s="49"/>
      <c r="S1244" s="49" t="n">
        <v>0</v>
      </c>
      <c r="T1244" s="49" t="n">
        <v>0</v>
      </c>
      <c r="U1244" s="49" t="s">
        <v>2743</v>
      </c>
    </row>
    <row r="1245" customFormat="false" ht="15" hidden="false" customHeight="false" outlineLevel="0" collapsed="false">
      <c r="B1245" s="48" t="n">
        <v>45383.0157407407</v>
      </c>
      <c r="C1245" s="4" t="n">
        <f aca="false">YEAR(B1245)</f>
        <v>2024</v>
      </c>
      <c r="D1245" s="49" t="s">
        <v>283</v>
      </c>
      <c r="E1245" s="49" t="s">
        <v>2744</v>
      </c>
      <c r="F1245" s="50" t="n">
        <v>2</v>
      </c>
      <c r="G1245" s="49" t="s">
        <v>290</v>
      </c>
      <c r="H1245" s="51" t="n">
        <v>0.0058</v>
      </c>
      <c r="I1245" s="51" t="n">
        <v>0.9395</v>
      </c>
      <c r="J1245" s="51" t="n">
        <v>0.0546</v>
      </c>
      <c r="K1245" s="49"/>
      <c r="L1245" s="49"/>
      <c r="M1245" s="49"/>
      <c r="N1245" s="49"/>
      <c r="O1245" s="49"/>
      <c r="P1245" s="49"/>
      <c r="Q1245" s="49"/>
      <c r="R1245" s="49"/>
      <c r="S1245" s="49" t="n">
        <v>0</v>
      </c>
      <c r="T1245" s="49" t="n">
        <v>0</v>
      </c>
      <c r="U1245" s="49" t="s">
        <v>2745</v>
      </c>
    </row>
    <row r="1246" customFormat="false" ht="15" hidden="false" customHeight="false" outlineLevel="0" collapsed="false">
      <c r="B1246" s="48" t="n">
        <v>45383.5025925926</v>
      </c>
      <c r="C1246" s="4" t="n">
        <f aca="false">YEAR(B1246)</f>
        <v>2024</v>
      </c>
      <c r="D1246" s="49" t="s">
        <v>283</v>
      </c>
      <c r="E1246" s="49" t="s">
        <v>2746</v>
      </c>
      <c r="F1246" s="50" t="n">
        <v>1</v>
      </c>
      <c r="G1246" s="49" t="s">
        <v>290</v>
      </c>
      <c r="H1246" s="51" t="n">
        <v>0.381</v>
      </c>
      <c r="I1246" s="51" t="n">
        <v>0.5901</v>
      </c>
      <c r="J1246" s="51" t="n">
        <v>0.0289</v>
      </c>
      <c r="K1246" s="49"/>
      <c r="L1246" s="49"/>
      <c r="M1246" s="49"/>
      <c r="N1246" s="49"/>
      <c r="O1246" s="49"/>
      <c r="P1246" s="49"/>
      <c r="Q1246" s="49"/>
      <c r="R1246" s="49" t="s">
        <v>281</v>
      </c>
      <c r="S1246" s="49" t="n">
        <v>0</v>
      </c>
      <c r="T1246" s="49" t="n">
        <v>0</v>
      </c>
      <c r="U1246" s="49" t="s">
        <v>2747</v>
      </c>
    </row>
    <row r="1247" customFormat="false" ht="15" hidden="false" customHeight="false" outlineLevel="0" collapsed="false">
      <c r="B1247" s="48" t="n">
        <v>45383.6775925926</v>
      </c>
      <c r="C1247" s="4" t="n">
        <f aca="false">YEAR(B1247)</f>
        <v>2024</v>
      </c>
      <c r="D1247" s="49" t="s">
        <v>283</v>
      </c>
      <c r="E1247" s="49" t="s">
        <v>2748</v>
      </c>
      <c r="F1247" s="50" t="n">
        <v>5</v>
      </c>
      <c r="G1247" s="49" t="s">
        <v>290</v>
      </c>
      <c r="H1247" s="51" t="n">
        <v>0.1767</v>
      </c>
      <c r="I1247" s="51" t="n">
        <v>0.4366</v>
      </c>
      <c r="J1247" s="51" t="n">
        <v>0.3867</v>
      </c>
      <c r="K1247" s="49"/>
      <c r="L1247" s="49"/>
      <c r="M1247" s="49"/>
      <c r="N1247" s="49"/>
      <c r="O1247" s="49"/>
      <c r="P1247" s="49"/>
      <c r="Q1247" s="49"/>
      <c r="R1247" s="49" t="s">
        <v>281</v>
      </c>
      <c r="S1247" s="49" t="n">
        <v>0</v>
      </c>
      <c r="T1247" s="49" t="n">
        <v>0</v>
      </c>
      <c r="U1247" s="49" t="s">
        <v>2749</v>
      </c>
    </row>
    <row r="1248" customFormat="false" ht="15" hidden="false" customHeight="false" outlineLevel="0" collapsed="false">
      <c r="B1248" s="48" t="n">
        <v>45383.9359722222</v>
      </c>
      <c r="C1248" s="4" t="n">
        <f aca="false">YEAR(B1248)</f>
        <v>2024</v>
      </c>
      <c r="D1248" s="49" t="s">
        <v>283</v>
      </c>
      <c r="E1248" s="49" t="s">
        <v>2750</v>
      </c>
      <c r="F1248" s="50" t="n">
        <v>1</v>
      </c>
      <c r="G1248" s="49" t="s">
        <v>280</v>
      </c>
      <c r="H1248" s="51" t="n">
        <v>0.5176</v>
      </c>
      <c r="I1248" s="51" t="n">
        <v>0.4575</v>
      </c>
      <c r="J1248" s="51" t="n">
        <v>0.0249</v>
      </c>
      <c r="K1248" s="49"/>
      <c r="L1248" s="49"/>
      <c r="M1248" s="49"/>
      <c r="N1248" s="49"/>
      <c r="O1248" s="49"/>
      <c r="P1248" s="49"/>
      <c r="Q1248" s="49"/>
      <c r="R1248" s="49"/>
      <c r="S1248" s="49" t="n">
        <v>0</v>
      </c>
      <c r="T1248" s="49" t="n">
        <v>0</v>
      </c>
      <c r="U1248" s="49" t="s">
        <v>2751</v>
      </c>
    </row>
    <row r="1249" customFormat="false" ht="15" hidden="false" customHeight="false" outlineLevel="0" collapsed="false">
      <c r="B1249" s="48" t="n">
        <v>45384.6700578704</v>
      </c>
      <c r="C1249" s="4" t="n">
        <f aca="false">YEAR(B1249)</f>
        <v>2024</v>
      </c>
      <c r="D1249" s="49" t="s">
        <v>283</v>
      </c>
      <c r="E1249" s="49" t="s">
        <v>2752</v>
      </c>
      <c r="F1249" s="50" t="n">
        <v>1</v>
      </c>
      <c r="G1249" s="49" t="s">
        <v>280</v>
      </c>
      <c r="H1249" s="51" t="n">
        <v>0.7865</v>
      </c>
      <c r="I1249" s="51" t="n">
        <v>0.1937</v>
      </c>
      <c r="J1249" s="51" t="n">
        <v>0.0198</v>
      </c>
      <c r="K1249" s="49"/>
      <c r="L1249" s="49"/>
      <c r="M1249" s="49"/>
      <c r="N1249" s="49"/>
      <c r="O1249" s="49"/>
      <c r="P1249" s="49"/>
      <c r="Q1249" s="49"/>
      <c r="R1249" s="49"/>
      <c r="S1249" s="49" t="n">
        <v>0</v>
      </c>
      <c r="T1249" s="49" t="n">
        <v>0</v>
      </c>
      <c r="U1249" s="49" t="s">
        <v>2753</v>
      </c>
    </row>
    <row r="1250" customFormat="false" ht="15" hidden="false" customHeight="false" outlineLevel="0" collapsed="false">
      <c r="B1250" s="48" t="n">
        <v>45385.9830439815</v>
      </c>
      <c r="C1250" s="4" t="n">
        <f aca="false">YEAR(B1250)</f>
        <v>2024</v>
      </c>
      <c r="D1250" s="49" t="s">
        <v>283</v>
      </c>
      <c r="E1250" s="49" t="s">
        <v>2754</v>
      </c>
      <c r="F1250" s="50" t="n">
        <v>4</v>
      </c>
      <c r="G1250" s="49" t="s">
        <v>280</v>
      </c>
      <c r="H1250" s="51" t="n">
        <v>0.8161</v>
      </c>
      <c r="I1250" s="51" t="n">
        <v>0.1696</v>
      </c>
      <c r="J1250" s="51" t="n">
        <v>0.0143</v>
      </c>
      <c r="K1250" s="49"/>
      <c r="L1250" s="49"/>
      <c r="M1250" s="49"/>
      <c r="N1250" s="49"/>
      <c r="O1250" s="49"/>
      <c r="P1250" s="49"/>
      <c r="Q1250" s="49"/>
      <c r="R1250" s="49"/>
      <c r="S1250" s="49" t="n">
        <v>0</v>
      </c>
      <c r="T1250" s="49" t="n">
        <v>0</v>
      </c>
      <c r="U1250" s="49" t="s">
        <v>2755</v>
      </c>
    </row>
    <row r="1251" customFormat="false" ht="15" hidden="false" customHeight="false" outlineLevel="0" collapsed="false">
      <c r="B1251" s="48" t="n">
        <v>45388.2747569445</v>
      </c>
      <c r="C1251" s="4" t="n">
        <f aca="false">YEAR(B1251)</f>
        <v>2024</v>
      </c>
      <c r="D1251" s="49" t="s">
        <v>283</v>
      </c>
      <c r="E1251" s="49" t="s">
        <v>2756</v>
      </c>
      <c r="F1251" s="50" t="n">
        <v>2</v>
      </c>
      <c r="G1251" s="49" t="s">
        <v>290</v>
      </c>
      <c r="H1251" s="51" t="n">
        <v>0.0118</v>
      </c>
      <c r="I1251" s="51" t="n">
        <v>0.7952</v>
      </c>
      <c r="J1251" s="51" t="n">
        <v>0.1929</v>
      </c>
      <c r="K1251" s="49"/>
      <c r="L1251" s="49"/>
      <c r="M1251" s="49"/>
      <c r="N1251" s="49"/>
      <c r="O1251" s="49"/>
      <c r="P1251" s="49"/>
      <c r="Q1251" s="49"/>
      <c r="R1251" s="49"/>
      <c r="S1251" s="49" t="n">
        <v>1</v>
      </c>
      <c r="T1251" s="49" t="n">
        <v>0</v>
      </c>
      <c r="U1251" s="49" t="s">
        <v>2757</v>
      </c>
    </row>
    <row r="1252" customFormat="false" ht="15" hidden="false" customHeight="false" outlineLevel="0" collapsed="false">
      <c r="B1252" s="48" t="n">
        <v>45388.5417361111</v>
      </c>
      <c r="C1252" s="4" t="n">
        <f aca="false">YEAR(B1252)</f>
        <v>2024</v>
      </c>
      <c r="D1252" s="49" t="s">
        <v>278</v>
      </c>
      <c r="E1252" s="49" t="s">
        <v>2758</v>
      </c>
      <c r="F1252" s="50" t="n">
        <v>71</v>
      </c>
      <c r="G1252" s="49" t="s">
        <v>290</v>
      </c>
      <c r="H1252" s="51" t="n">
        <v>0.227</v>
      </c>
      <c r="I1252" s="51" t="n">
        <v>0.4157</v>
      </c>
      <c r="J1252" s="51" t="n">
        <v>0.3573</v>
      </c>
      <c r="K1252" s="49"/>
      <c r="L1252" s="49"/>
      <c r="M1252" s="49"/>
      <c r="N1252" s="49"/>
      <c r="O1252" s="49"/>
      <c r="P1252" s="49"/>
      <c r="Q1252" s="49"/>
      <c r="R1252" s="49" t="s">
        <v>281</v>
      </c>
      <c r="S1252" s="49" t="n">
        <v>0</v>
      </c>
      <c r="T1252" s="49" t="n">
        <v>0</v>
      </c>
      <c r="U1252" s="49" t="s">
        <v>2759</v>
      </c>
    </row>
    <row r="1253" customFormat="false" ht="15" hidden="false" customHeight="false" outlineLevel="0" collapsed="false">
      <c r="B1253" s="48" t="n">
        <v>45388.6928472222</v>
      </c>
      <c r="C1253" s="4" t="n">
        <f aca="false">YEAR(B1253)</f>
        <v>2024</v>
      </c>
      <c r="D1253" s="49" t="s">
        <v>283</v>
      </c>
      <c r="E1253" s="49" t="s">
        <v>2760</v>
      </c>
      <c r="F1253" s="50" t="n">
        <v>2</v>
      </c>
      <c r="G1253" s="49" t="s">
        <v>280</v>
      </c>
      <c r="H1253" s="51" t="n">
        <v>0.8948</v>
      </c>
      <c r="I1253" s="51" t="n">
        <v>0.0983</v>
      </c>
      <c r="J1253" s="51" t="n">
        <v>0.0069</v>
      </c>
      <c r="K1253" s="49"/>
      <c r="L1253" s="49"/>
      <c r="M1253" s="49"/>
      <c r="N1253" s="49"/>
      <c r="O1253" s="49"/>
      <c r="P1253" s="49"/>
      <c r="Q1253" s="49"/>
      <c r="R1253" s="49"/>
      <c r="S1253" s="49" t="n">
        <v>0</v>
      </c>
      <c r="T1253" s="49" t="n">
        <v>0</v>
      </c>
      <c r="U1253" s="49" t="s">
        <v>2761</v>
      </c>
    </row>
    <row r="1254" customFormat="false" ht="15" hidden="false" customHeight="false" outlineLevel="0" collapsed="false">
      <c r="B1254" s="48" t="n">
        <v>45388.7096064815</v>
      </c>
      <c r="C1254" s="4" t="n">
        <f aca="false">YEAR(B1254)</f>
        <v>2024</v>
      </c>
      <c r="D1254" s="49" t="s">
        <v>283</v>
      </c>
      <c r="E1254" s="49" t="s">
        <v>2762</v>
      </c>
      <c r="F1254" s="50" t="n">
        <v>3</v>
      </c>
      <c r="G1254" s="49" t="s">
        <v>287</v>
      </c>
      <c r="H1254" s="51" t="n">
        <v>0.0054</v>
      </c>
      <c r="I1254" s="51" t="n">
        <v>0.2045</v>
      </c>
      <c r="J1254" s="51" t="n">
        <v>0.7901</v>
      </c>
      <c r="K1254" s="49"/>
      <c r="L1254" s="49"/>
      <c r="M1254" s="49"/>
      <c r="N1254" s="49"/>
      <c r="O1254" s="49"/>
      <c r="P1254" s="49"/>
      <c r="Q1254" s="49"/>
      <c r="R1254" s="49"/>
      <c r="S1254" s="49" t="n">
        <v>0</v>
      </c>
      <c r="T1254" s="49" t="n">
        <v>0</v>
      </c>
      <c r="U1254" s="49" t="s">
        <v>2763</v>
      </c>
    </row>
    <row r="1255" customFormat="false" ht="15" hidden="false" customHeight="false" outlineLevel="0" collapsed="false">
      <c r="B1255" s="48" t="n">
        <v>45388.9256018519</v>
      </c>
      <c r="C1255" s="4" t="n">
        <f aca="false">YEAR(B1255)</f>
        <v>2024</v>
      </c>
      <c r="D1255" s="49" t="s">
        <v>283</v>
      </c>
      <c r="E1255" s="49" t="s">
        <v>2764</v>
      </c>
      <c r="F1255" s="50" t="n">
        <v>1</v>
      </c>
      <c r="G1255" s="49" t="s">
        <v>280</v>
      </c>
      <c r="H1255" s="51" t="n">
        <v>0.7885</v>
      </c>
      <c r="I1255" s="51" t="n">
        <v>0.2009</v>
      </c>
      <c r="J1255" s="51" t="n">
        <v>0.0106</v>
      </c>
      <c r="K1255" s="49"/>
      <c r="L1255" s="49"/>
      <c r="M1255" s="49"/>
      <c r="N1255" s="49"/>
      <c r="O1255" s="49"/>
      <c r="P1255" s="49"/>
      <c r="Q1255" s="49"/>
      <c r="R1255" s="49"/>
      <c r="S1255" s="49" t="n">
        <v>0</v>
      </c>
      <c r="T1255" s="49" t="n">
        <v>0</v>
      </c>
      <c r="U1255" s="49" t="s">
        <v>2765</v>
      </c>
    </row>
    <row r="1256" customFormat="false" ht="15" hidden="false" customHeight="false" outlineLevel="0" collapsed="false">
      <c r="B1256" s="48" t="n">
        <v>45389.1789467593</v>
      </c>
      <c r="C1256" s="4" t="n">
        <f aca="false">YEAR(B1256)</f>
        <v>2024</v>
      </c>
      <c r="D1256" s="49" t="s">
        <v>283</v>
      </c>
      <c r="E1256" s="49" t="s">
        <v>2766</v>
      </c>
      <c r="F1256" s="50" t="n">
        <v>3</v>
      </c>
      <c r="G1256" s="49" t="s">
        <v>280</v>
      </c>
      <c r="H1256" s="51" t="n">
        <v>0.7645</v>
      </c>
      <c r="I1256" s="51" t="n">
        <v>0.2266</v>
      </c>
      <c r="J1256" s="51" t="n">
        <v>0.009</v>
      </c>
      <c r="K1256" s="49"/>
      <c r="L1256" s="49"/>
      <c r="M1256" s="49"/>
      <c r="N1256" s="49"/>
      <c r="O1256" s="49"/>
      <c r="P1256" s="49"/>
      <c r="Q1256" s="49"/>
      <c r="R1256" s="49"/>
      <c r="S1256" s="49" t="n">
        <v>0</v>
      </c>
      <c r="T1256" s="49" t="n">
        <v>0</v>
      </c>
      <c r="U1256" s="49" t="s">
        <v>2767</v>
      </c>
    </row>
    <row r="1257" customFormat="false" ht="15" hidden="false" customHeight="false" outlineLevel="0" collapsed="false">
      <c r="B1257" s="48" t="n">
        <v>45389.5416550926</v>
      </c>
      <c r="C1257" s="4" t="n">
        <f aca="false">YEAR(B1257)</f>
        <v>2024</v>
      </c>
      <c r="D1257" s="49" t="s">
        <v>283</v>
      </c>
      <c r="E1257" s="49" t="s">
        <v>2768</v>
      </c>
      <c r="F1257" s="50" t="n">
        <v>1</v>
      </c>
      <c r="G1257" s="49" t="s">
        <v>280</v>
      </c>
      <c r="H1257" s="51" t="n">
        <v>0.6869</v>
      </c>
      <c r="I1257" s="51" t="n">
        <v>0.2933</v>
      </c>
      <c r="J1257" s="51" t="n">
        <v>0.0198</v>
      </c>
      <c r="K1257" s="49"/>
      <c r="L1257" s="49"/>
      <c r="M1257" s="49"/>
      <c r="N1257" s="49"/>
      <c r="O1257" s="49"/>
      <c r="P1257" s="49"/>
      <c r="Q1257" s="49"/>
      <c r="R1257" s="49"/>
      <c r="S1257" s="49" t="n">
        <v>0</v>
      </c>
      <c r="T1257" s="49" t="n">
        <v>0</v>
      </c>
      <c r="U1257" s="49" t="s">
        <v>2769</v>
      </c>
    </row>
    <row r="1258" customFormat="false" ht="15" hidden="false" customHeight="false" outlineLevel="0" collapsed="false">
      <c r="B1258" s="48" t="n">
        <v>45389.7031597222</v>
      </c>
      <c r="C1258" s="4" t="n">
        <f aca="false">YEAR(B1258)</f>
        <v>2024</v>
      </c>
      <c r="D1258" s="49" t="s">
        <v>283</v>
      </c>
      <c r="E1258" s="49" t="s">
        <v>2770</v>
      </c>
      <c r="F1258" s="50" t="n">
        <v>3</v>
      </c>
      <c r="G1258" s="49" t="s">
        <v>287</v>
      </c>
      <c r="H1258" s="51" t="n">
        <v>0.0044</v>
      </c>
      <c r="I1258" s="51" t="n">
        <v>0.3022</v>
      </c>
      <c r="J1258" s="51" t="n">
        <v>0.6934</v>
      </c>
      <c r="K1258" s="49"/>
      <c r="L1258" s="49"/>
      <c r="M1258" s="49"/>
      <c r="N1258" s="49"/>
      <c r="O1258" s="49"/>
      <c r="P1258" s="49"/>
      <c r="Q1258" s="49"/>
      <c r="R1258" s="49"/>
      <c r="S1258" s="49" t="n">
        <v>0</v>
      </c>
      <c r="T1258" s="49" t="n">
        <v>0</v>
      </c>
      <c r="U1258" s="49" t="s">
        <v>2771</v>
      </c>
    </row>
    <row r="1259" customFormat="false" ht="15" hidden="false" customHeight="false" outlineLevel="0" collapsed="false">
      <c r="B1259" s="48" t="n">
        <v>45389.7896527778</v>
      </c>
      <c r="C1259" s="4" t="n">
        <f aca="false">YEAR(B1259)</f>
        <v>2024</v>
      </c>
      <c r="D1259" s="49" t="s">
        <v>283</v>
      </c>
      <c r="E1259" s="49" t="s">
        <v>2772</v>
      </c>
      <c r="F1259" s="50" t="n">
        <v>5</v>
      </c>
      <c r="G1259" s="49" t="s">
        <v>287</v>
      </c>
      <c r="H1259" s="51" t="n">
        <v>0.0022</v>
      </c>
      <c r="I1259" s="51" t="n">
        <v>0.0772</v>
      </c>
      <c r="J1259" s="51" t="n">
        <v>0.9206</v>
      </c>
      <c r="K1259" s="49"/>
      <c r="L1259" s="49"/>
      <c r="M1259" s="49"/>
      <c r="N1259" s="49"/>
      <c r="O1259" s="49"/>
      <c r="P1259" s="49"/>
      <c r="Q1259" s="49"/>
      <c r="R1259" s="49"/>
      <c r="S1259" s="49" t="n">
        <v>0</v>
      </c>
      <c r="T1259" s="49" t="n">
        <v>0</v>
      </c>
      <c r="U1259" s="49" t="s">
        <v>2773</v>
      </c>
    </row>
    <row r="1260" customFormat="false" ht="15" hidden="false" customHeight="false" outlineLevel="0" collapsed="false">
      <c r="B1260" s="48" t="n">
        <v>45389.7905902778</v>
      </c>
      <c r="C1260" s="4" t="n">
        <f aca="false">YEAR(B1260)</f>
        <v>2024</v>
      </c>
      <c r="D1260" s="49" t="s">
        <v>278</v>
      </c>
      <c r="E1260" s="49" t="s">
        <v>2774</v>
      </c>
      <c r="F1260" s="50" t="n">
        <v>0</v>
      </c>
      <c r="G1260" s="49" t="s">
        <v>280</v>
      </c>
      <c r="H1260" s="51" t="n">
        <v>0.6371</v>
      </c>
      <c r="I1260" s="51" t="n">
        <v>0.3518</v>
      </c>
      <c r="J1260" s="51" t="n">
        <v>0.0111</v>
      </c>
      <c r="K1260" s="49"/>
      <c r="L1260" s="49"/>
      <c r="M1260" s="49"/>
      <c r="N1260" s="49"/>
      <c r="O1260" s="49"/>
      <c r="P1260" s="49"/>
      <c r="Q1260" s="49"/>
      <c r="R1260" s="49"/>
      <c r="S1260" s="49" t="n">
        <v>0</v>
      </c>
      <c r="T1260" s="49" t="n">
        <v>0</v>
      </c>
      <c r="U1260" s="49" t="s">
        <v>2775</v>
      </c>
    </row>
    <row r="1261" customFormat="false" ht="15" hidden="false" customHeight="false" outlineLevel="0" collapsed="false">
      <c r="B1261" s="48" t="n">
        <v>45389.8275347222</v>
      </c>
      <c r="C1261" s="4" t="n">
        <f aca="false">YEAR(B1261)</f>
        <v>2024</v>
      </c>
      <c r="D1261" s="49" t="s">
        <v>283</v>
      </c>
      <c r="E1261" s="49" t="s">
        <v>2776</v>
      </c>
      <c r="F1261" s="50" t="n">
        <v>1</v>
      </c>
      <c r="G1261" s="49" t="s">
        <v>287</v>
      </c>
      <c r="H1261" s="51" t="n">
        <v>0.004</v>
      </c>
      <c r="I1261" s="51" t="n">
        <v>0.0254</v>
      </c>
      <c r="J1261" s="51" t="n">
        <v>0.9706</v>
      </c>
      <c r="K1261" s="49"/>
      <c r="L1261" s="49"/>
      <c r="M1261" s="49"/>
      <c r="N1261" s="49"/>
      <c r="O1261" s="49"/>
      <c r="P1261" s="49"/>
      <c r="Q1261" s="49" t="s">
        <v>281</v>
      </c>
      <c r="R1261" s="49"/>
      <c r="S1261" s="49" t="n">
        <v>0</v>
      </c>
      <c r="T1261" s="49" t="n">
        <v>0</v>
      </c>
      <c r="U1261" s="49" t="s">
        <v>2777</v>
      </c>
    </row>
    <row r="1262" customFormat="false" ht="15" hidden="false" customHeight="false" outlineLevel="0" collapsed="false">
      <c r="B1262" s="48" t="n">
        <v>45389.9543981482</v>
      </c>
      <c r="C1262" s="4" t="n">
        <f aca="false">YEAR(B1262)</f>
        <v>2024</v>
      </c>
      <c r="D1262" s="49" t="s">
        <v>278</v>
      </c>
      <c r="E1262" s="49" t="s">
        <v>2778</v>
      </c>
      <c r="F1262" s="50" t="n">
        <v>62</v>
      </c>
      <c r="G1262" s="49" t="s">
        <v>280</v>
      </c>
      <c r="H1262" s="51" t="n">
        <v>0.8844</v>
      </c>
      <c r="I1262" s="51" t="n">
        <v>0.1061</v>
      </c>
      <c r="J1262" s="51" t="n">
        <v>0.0095</v>
      </c>
      <c r="K1262" s="49"/>
      <c r="L1262" s="49"/>
      <c r="M1262" s="49"/>
      <c r="N1262" s="49"/>
      <c r="O1262" s="49"/>
      <c r="P1262" s="49"/>
      <c r="Q1262" s="49" t="s">
        <v>281</v>
      </c>
      <c r="R1262" s="49"/>
      <c r="S1262" s="49" t="n">
        <v>0</v>
      </c>
      <c r="T1262" s="49" t="n">
        <v>0</v>
      </c>
      <c r="U1262" s="49" t="s">
        <v>2779</v>
      </c>
    </row>
    <row r="1263" customFormat="false" ht="15" hidden="false" customHeight="false" outlineLevel="0" collapsed="false">
      <c r="B1263" s="48" t="n">
        <v>45390.5537268519</v>
      </c>
      <c r="C1263" s="4" t="n">
        <f aca="false">YEAR(B1263)</f>
        <v>2024</v>
      </c>
      <c r="D1263" s="49" t="s">
        <v>278</v>
      </c>
      <c r="E1263" s="49" t="s">
        <v>2780</v>
      </c>
      <c r="F1263" s="50" t="n">
        <v>1</v>
      </c>
      <c r="G1263" s="49" t="s">
        <v>280</v>
      </c>
      <c r="H1263" s="51" t="n">
        <v>0.9482</v>
      </c>
      <c r="I1263" s="51" t="n">
        <v>0.0471</v>
      </c>
      <c r="J1263" s="51" t="n">
        <v>0.0047</v>
      </c>
      <c r="K1263" s="49"/>
      <c r="L1263" s="49"/>
      <c r="M1263" s="49"/>
      <c r="N1263" s="49"/>
      <c r="O1263" s="49" t="s">
        <v>281</v>
      </c>
      <c r="P1263" s="49"/>
      <c r="Q1263" s="49"/>
      <c r="R1263" s="49"/>
      <c r="S1263" s="49" t="n">
        <v>1</v>
      </c>
      <c r="T1263" s="49" t="n">
        <v>0</v>
      </c>
      <c r="U1263" s="49" t="s">
        <v>2781</v>
      </c>
    </row>
    <row r="1264" customFormat="false" ht="15" hidden="false" customHeight="false" outlineLevel="0" collapsed="false">
      <c r="B1264" s="48" t="n">
        <v>45390.671875</v>
      </c>
      <c r="C1264" s="4" t="n">
        <f aca="false">YEAR(B1264)</f>
        <v>2024</v>
      </c>
      <c r="D1264" s="49" t="s">
        <v>283</v>
      </c>
      <c r="E1264" s="49" t="s">
        <v>2782</v>
      </c>
      <c r="F1264" s="50" t="n">
        <v>1</v>
      </c>
      <c r="G1264" s="49" t="s">
        <v>290</v>
      </c>
      <c r="H1264" s="51" t="n">
        <v>0.0112</v>
      </c>
      <c r="I1264" s="51" t="n">
        <v>0.9122</v>
      </c>
      <c r="J1264" s="51" t="n">
        <v>0.0765</v>
      </c>
      <c r="K1264" s="49"/>
      <c r="L1264" s="49"/>
      <c r="M1264" s="49"/>
      <c r="N1264" s="49"/>
      <c r="O1264" s="49"/>
      <c r="P1264" s="49"/>
      <c r="Q1264" s="49"/>
      <c r="R1264" s="49" t="s">
        <v>281</v>
      </c>
      <c r="S1264" s="49" t="n">
        <v>0</v>
      </c>
      <c r="T1264" s="49" t="n">
        <v>0</v>
      </c>
      <c r="U1264" s="49" t="s">
        <v>2783</v>
      </c>
    </row>
    <row r="1265" customFormat="false" ht="15" hidden="false" customHeight="false" outlineLevel="0" collapsed="false">
      <c r="B1265" s="48" t="n">
        <v>45390.708912037</v>
      </c>
      <c r="C1265" s="4" t="n">
        <f aca="false">YEAR(B1265)</f>
        <v>2024</v>
      </c>
      <c r="D1265" s="49" t="s">
        <v>283</v>
      </c>
      <c r="E1265" s="49" t="s">
        <v>2784</v>
      </c>
      <c r="F1265" s="50" t="n">
        <v>3</v>
      </c>
      <c r="G1265" s="49" t="s">
        <v>290</v>
      </c>
      <c r="H1265" s="51" t="n">
        <v>0.0071</v>
      </c>
      <c r="I1265" s="51" t="n">
        <v>0.6627</v>
      </c>
      <c r="J1265" s="51" t="n">
        <v>0.3302</v>
      </c>
      <c r="K1265" s="49"/>
      <c r="L1265" s="49"/>
      <c r="M1265" s="49"/>
      <c r="N1265" s="49"/>
      <c r="O1265" s="49"/>
      <c r="P1265" s="49"/>
      <c r="Q1265" s="49"/>
      <c r="R1265" s="49"/>
      <c r="S1265" s="49" t="n">
        <v>0</v>
      </c>
      <c r="T1265" s="49" t="n">
        <v>0</v>
      </c>
      <c r="U1265" s="49" t="s">
        <v>2785</v>
      </c>
    </row>
    <row r="1266" customFormat="false" ht="15" hidden="false" customHeight="false" outlineLevel="0" collapsed="false">
      <c r="B1266" s="48" t="n">
        <v>45390.7187962963</v>
      </c>
      <c r="C1266" s="4" t="n">
        <f aca="false">YEAR(B1266)</f>
        <v>2024</v>
      </c>
      <c r="D1266" s="49" t="s">
        <v>283</v>
      </c>
      <c r="E1266" s="49" t="s">
        <v>2786</v>
      </c>
      <c r="F1266" s="50" t="n">
        <v>1</v>
      </c>
      <c r="G1266" s="49" t="s">
        <v>280</v>
      </c>
      <c r="H1266" s="51" t="n">
        <v>0.7862</v>
      </c>
      <c r="I1266" s="51" t="n">
        <v>0.2017</v>
      </c>
      <c r="J1266" s="51" t="n">
        <v>0.0121</v>
      </c>
      <c r="K1266" s="49" t="s">
        <v>281</v>
      </c>
      <c r="L1266" s="49"/>
      <c r="M1266" s="49"/>
      <c r="N1266" s="49"/>
      <c r="O1266" s="49"/>
      <c r="P1266" s="49"/>
      <c r="Q1266" s="49"/>
      <c r="R1266" s="49"/>
      <c r="S1266" s="49" t="n">
        <v>0</v>
      </c>
      <c r="T1266" s="49" t="n">
        <v>0</v>
      </c>
      <c r="U1266" s="49" t="s">
        <v>2787</v>
      </c>
    </row>
    <row r="1267" customFormat="false" ht="15" hidden="false" customHeight="false" outlineLevel="0" collapsed="false">
      <c r="B1267" s="48" t="n">
        <v>45390.7673148148</v>
      </c>
      <c r="C1267" s="4" t="n">
        <f aca="false">YEAR(B1267)</f>
        <v>2024</v>
      </c>
      <c r="D1267" s="49" t="s">
        <v>283</v>
      </c>
      <c r="E1267" s="49" t="s">
        <v>2788</v>
      </c>
      <c r="F1267" s="50" t="n">
        <v>1</v>
      </c>
      <c r="G1267" s="49" t="s">
        <v>280</v>
      </c>
      <c r="H1267" s="51" t="n">
        <v>0.8403</v>
      </c>
      <c r="I1267" s="51" t="n">
        <v>0.1512</v>
      </c>
      <c r="J1267" s="51" t="n">
        <v>0.0085</v>
      </c>
      <c r="K1267" s="49"/>
      <c r="L1267" s="49"/>
      <c r="M1267" s="49"/>
      <c r="N1267" s="49"/>
      <c r="O1267" s="49"/>
      <c r="P1267" s="49"/>
      <c r="Q1267" s="49"/>
      <c r="R1267" s="49"/>
      <c r="S1267" s="49" t="n">
        <v>0</v>
      </c>
      <c r="T1267" s="49" t="n">
        <v>0</v>
      </c>
      <c r="U1267" s="49" t="s">
        <v>2789</v>
      </c>
    </row>
    <row r="1268" customFormat="false" ht="15" hidden="false" customHeight="false" outlineLevel="0" collapsed="false">
      <c r="B1268" s="48" t="n">
        <v>45391.108275463</v>
      </c>
      <c r="C1268" s="4" t="n">
        <f aca="false">YEAR(B1268)</f>
        <v>2024</v>
      </c>
      <c r="D1268" s="49" t="s">
        <v>283</v>
      </c>
      <c r="E1268" s="49" t="s">
        <v>2790</v>
      </c>
      <c r="F1268" s="50" t="n">
        <v>1</v>
      </c>
      <c r="G1268" s="49" t="s">
        <v>280</v>
      </c>
      <c r="H1268" s="51" t="n">
        <v>0.5595</v>
      </c>
      <c r="I1268" s="51" t="n">
        <v>0.4011</v>
      </c>
      <c r="J1268" s="51" t="n">
        <v>0.0394</v>
      </c>
      <c r="K1268" s="49"/>
      <c r="L1268" s="49"/>
      <c r="M1268" s="49"/>
      <c r="N1268" s="49"/>
      <c r="O1268" s="49"/>
      <c r="P1268" s="49"/>
      <c r="Q1268" s="49"/>
      <c r="R1268" s="49"/>
      <c r="S1268" s="49" t="n">
        <v>0</v>
      </c>
      <c r="T1268" s="49" t="n">
        <v>0</v>
      </c>
      <c r="U1268" s="49" t="s">
        <v>2791</v>
      </c>
    </row>
    <row r="1269" customFormat="false" ht="15" hidden="false" customHeight="false" outlineLevel="0" collapsed="false">
      <c r="B1269" s="48" t="n">
        <v>45391.6334837963</v>
      </c>
      <c r="C1269" s="4" t="n">
        <f aca="false">YEAR(B1269)</f>
        <v>2024</v>
      </c>
      <c r="D1269" s="49" t="s">
        <v>283</v>
      </c>
      <c r="E1269" s="49" t="s">
        <v>2792</v>
      </c>
      <c r="F1269" s="50" t="n">
        <v>2</v>
      </c>
      <c r="G1269" s="49" t="s">
        <v>280</v>
      </c>
      <c r="H1269" s="51" t="n">
        <v>0.5108</v>
      </c>
      <c r="I1269" s="51" t="n">
        <v>0.4721</v>
      </c>
      <c r="J1269" s="51" t="n">
        <v>0.0171</v>
      </c>
      <c r="K1269" s="49"/>
      <c r="L1269" s="49"/>
      <c r="M1269" s="49"/>
      <c r="N1269" s="49"/>
      <c r="O1269" s="49"/>
      <c r="P1269" s="49"/>
      <c r="Q1269" s="49"/>
      <c r="R1269" s="49"/>
      <c r="S1269" s="49" t="n">
        <v>0</v>
      </c>
      <c r="T1269" s="49" t="n">
        <v>0</v>
      </c>
      <c r="U1269" s="49" t="s">
        <v>2793</v>
      </c>
    </row>
    <row r="1270" customFormat="false" ht="15" hidden="false" customHeight="false" outlineLevel="0" collapsed="false">
      <c r="B1270" s="48" t="n">
        <v>45391.7714699074</v>
      </c>
      <c r="C1270" s="4" t="n">
        <f aca="false">YEAR(B1270)</f>
        <v>2024</v>
      </c>
      <c r="D1270" s="49" t="s">
        <v>278</v>
      </c>
      <c r="E1270" s="49" t="s">
        <v>2794</v>
      </c>
      <c r="F1270" s="50" t="n">
        <v>22</v>
      </c>
      <c r="G1270" s="49" t="s">
        <v>280</v>
      </c>
      <c r="H1270" s="51" t="n">
        <v>0.8363</v>
      </c>
      <c r="I1270" s="51" t="n">
        <v>0.1517</v>
      </c>
      <c r="J1270" s="51" t="n">
        <v>0.012</v>
      </c>
      <c r="K1270" s="49" t="s">
        <v>281</v>
      </c>
      <c r="L1270" s="49"/>
      <c r="M1270" s="49"/>
      <c r="N1270" s="49"/>
      <c r="O1270" s="49"/>
      <c r="P1270" s="49"/>
      <c r="Q1270" s="49"/>
      <c r="R1270" s="49" t="s">
        <v>281</v>
      </c>
      <c r="S1270" s="49" t="n">
        <v>0</v>
      </c>
      <c r="T1270" s="49" t="n">
        <v>0</v>
      </c>
      <c r="U1270" s="49" t="s">
        <v>2795</v>
      </c>
    </row>
    <row r="1271" customFormat="false" ht="15" hidden="false" customHeight="false" outlineLevel="0" collapsed="false">
      <c r="B1271" s="48" t="n">
        <v>45391.7837152778</v>
      </c>
      <c r="C1271" s="4" t="n">
        <f aca="false">YEAR(B1271)</f>
        <v>2024</v>
      </c>
      <c r="D1271" s="49" t="s">
        <v>283</v>
      </c>
      <c r="E1271" s="49" t="s">
        <v>2796</v>
      </c>
      <c r="F1271" s="50" t="n">
        <v>1</v>
      </c>
      <c r="G1271" s="49" t="s">
        <v>290</v>
      </c>
      <c r="H1271" s="51" t="n">
        <v>0.0223</v>
      </c>
      <c r="I1271" s="51" t="n">
        <v>0.8448</v>
      </c>
      <c r="J1271" s="51" t="n">
        <v>0.1329</v>
      </c>
      <c r="K1271" s="49"/>
      <c r="L1271" s="49"/>
      <c r="M1271" s="49"/>
      <c r="N1271" s="49"/>
      <c r="O1271" s="49"/>
      <c r="P1271" s="49"/>
      <c r="Q1271" s="49"/>
      <c r="R1271" s="49"/>
      <c r="S1271" s="49" t="n">
        <v>0</v>
      </c>
      <c r="T1271" s="49" t="n">
        <v>0</v>
      </c>
      <c r="U1271" s="49" t="s">
        <v>2797</v>
      </c>
    </row>
    <row r="1272" customFormat="false" ht="15" hidden="false" customHeight="false" outlineLevel="0" collapsed="false">
      <c r="B1272" s="48" t="n">
        <v>45391.8304976852</v>
      </c>
      <c r="C1272" s="4" t="n">
        <f aca="false">YEAR(B1272)</f>
        <v>2024</v>
      </c>
      <c r="D1272" s="49" t="s">
        <v>283</v>
      </c>
      <c r="E1272" s="49" t="s">
        <v>2798</v>
      </c>
      <c r="F1272" s="50" t="n">
        <v>1</v>
      </c>
      <c r="G1272" s="49" t="s">
        <v>287</v>
      </c>
      <c r="H1272" s="51" t="n">
        <v>0.0019</v>
      </c>
      <c r="I1272" s="51" t="n">
        <v>0.0751</v>
      </c>
      <c r="J1272" s="51" t="n">
        <v>0.923</v>
      </c>
      <c r="K1272" s="49"/>
      <c r="L1272" s="49"/>
      <c r="M1272" s="49"/>
      <c r="N1272" s="49"/>
      <c r="O1272" s="49"/>
      <c r="P1272" s="49"/>
      <c r="Q1272" s="49"/>
      <c r="R1272" s="49"/>
      <c r="S1272" s="49" t="n">
        <v>0</v>
      </c>
      <c r="T1272" s="49" t="n">
        <v>0</v>
      </c>
      <c r="U1272" s="49" t="s">
        <v>2799</v>
      </c>
    </row>
    <row r="1273" customFormat="false" ht="15" hidden="false" customHeight="false" outlineLevel="0" collapsed="false">
      <c r="B1273" s="48" t="n">
        <v>45391.8321296296</v>
      </c>
      <c r="C1273" s="4" t="n">
        <f aca="false">YEAR(B1273)</f>
        <v>2024</v>
      </c>
      <c r="D1273" s="49" t="s">
        <v>283</v>
      </c>
      <c r="E1273" s="49" t="s">
        <v>2800</v>
      </c>
      <c r="F1273" s="50" t="n">
        <v>1</v>
      </c>
      <c r="G1273" s="49" t="s">
        <v>287</v>
      </c>
      <c r="H1273" s="51" t="n">
        <v>0.0023</v>
      </c>
      <c r="I1273" s="51" t="n">
        <v>0.0985</v>
      </c>
      <c r="J1273" s="51" t="n">
        <v>0.8992</v>
      </c>
      <c r="K1273" s="49"/>
      <c r="L1273" s="49"/>
      <c r="M1273" s="49"/>
      <c r="N1273" s="49"/>
      <c r="O1273" s="49"/>
      <c r="P1273" s="49"/>
      <c r="Q1273" s="49"/>
      <c r="R1273" s="49"/>
      <c r="S1273" s="49" t="n">
        <v>0</v>
      </c>
      <c r="T1273" s="49" t="n">
        <v>0</v>
      </c>
      <c r="U1273" s="49" t="s">
        <v>2801</v>
      </c>
    </row>
    <row r="1274" customFormat="false" ht="15" hidden="false" customHeight="false" outlineLevel="0" collapsed="false">
      <c r="B1274" s="48" t="n">
        <v>45392.3158101852</v>
      </c>
      <c r="C1274" s="4" t="n">
        <f aca="false">YEAR(B1274)</f>
        <v>2024</v>
      </c>
      <c r="D1274" s="49" t="s">
        <v>283</v>
      </c>
      <c r="E1274" s="49" t="s">
        <v>2802</v>
      </c>
      <c r="F1274" s="50" t="n">
        <v>1</v>
      </c>
      <c r="G1274" s="49" t="s">
        <v>290</v>
      </c>
      <c r="H1274" s="51" t="n">
        <v>0.1955</v>
      </c>
      <c r="I1274" s="51" t="n">
        <v>0.6349</v>
      </c>
      <c r="J1274" s="51" t="n">
        <v>0.1696</v>
      </c>
      <c r="K1274" s="49"/>
      <c r="L1274" s="49"/>
      <c r="M1274" s="49"/>
      <c r="N1274" s="49"/>
      <c r="O1274" s="49"/>
      <c r="P1274" s="49"/>
      <c r="Q1274" s="49"/>
      <c r="R1274" s="49"/>
      <c r="S1274" s="49" t="n">
        <v>1</v>
      </c>
      <c r="T1274" s="49" t="n">
        <v>0</v>
      </c>
      <c r="U1274" s="49" t="s">
        <v>2803</v>
      </c>
    </row>
    <row r="1275" customFormat="false" ht="15" hidden="false" customHeight="false" outlineLevel="0" collapsed="false">
      <c r="B1275" s="48" t="n">
        <v>45392.5736111111</v>
      </c>
      <c r="C1275" s="4" t="n">
        <f aca="false">YEAR(B1275)</f>
        <v>2024</v>
      </c>
      <c r="D1275" s="49" t="s">
        <v>283</v>
      </c>
      <c r="E1275" s="49" t="s">
        <v>2804</v>
      </c>
      <c r="F1275" s="50" t="n">
        <v>1</v>
      </c>
      <c r="G1275" s="49" t="s">
        <v>290</v>
      </c>
      <c r="H1275" s="51" t="n">
        <v>0.152</v>
      </c>
      <c r="I1275" s="51" t="n">
        <v>0.8126</v>
      </c>
      <c r="J1275" s="51" t="n">
        <v>0.0354</v>
      </c>
      <c r="K1275" s="49"/>
      <c r="L1275" s="49"/>
      <c r="M1275" s="49"/>
      <c r="N1275" s="49"/>
      <c r="O1275" s="49"/>
      <c r="P1275" s="49"/>
      <c r="Q1275" s="49"/>
      <c r="R1275" s="49" t="s">
        <v>281</v>
      </c>
      <c r="S1275" s="49" t="n">
        <v>1</v>
      </c>
      <c r="T1275" s="49" t="n">
        <v>0</v>
      </c>
      <c r="U1275" s="49" t="s">
        <v>2805</v>
      </c>
    </row>
    <row r="1276" customFormat="false" ht="15" hidden="false" customHeight="false" outlineLevel="0" collapsed="false">
      <c r="B1276" s="48" t="n">
        <v>45392.6744791667</v>
      </c>
      <c r="C1276" s="4" t="n">
        <f aca="false">YEAR(B1276)</f>
        <v>2024</v>
      </c>
      <c r="D1276" s="49" t="s">
        <v>278</v>
      </c>
      <c r="E1276" s="49" t="s">
        <v>2806</v>
      </c>
      <c r="F1276" s="50" t="n">
        <v>281</v>
      </c>
      <c r="G1276" s="49" t="s">
        <v>287</v>
      </c>
      <c r="H1276" s="51" t="n">
        <v>0.0215</v>
      </c>
      <c r="I1276" s="51" t="n">
        <v>0.4736</v>
      </c>
      <c r="J1276" s="51" t="n">
        <v>0.505</v>
      </c>
      <c r="K1276" s="49"/>
      <c r="L1276" s="49"/>
      <c r="M1276" s="49"/>
      <c r="N1276" s="49"/>
      <c r="O1276" s="49"/>
      <c r="P1276" s="49"/>
      <c r="Q1276" s="49"/>
      <c r="R1276" s="49"/>
      <c r="S1276" s="49" t="n">
        <v>0</v>
      </c>
      <c r="T1276" s="49" t="n">
        <v>0</v>
      </c>
      <c r="U1276" s="49" t="s">
        <v>2807</v>
      </c>
    </row>
    <row r="1277" customFormat="false" ht="15" hidden="false" customHeight="false" outlineLevel="0" collapsed="false">
      <c r="B1277" s="48" t="n">
        <v>45392.6890740741</v>
      </c>
      <c r="C1277" s="4" t="n">
        <f aca="false">YEAR(B1277)</f>
        <v>2024</v>
      </c>
      <c r="D1277" s="49" t="s">
        <v>283</v>
      </c>
      <c r="E1277" s="49" t="s">
        <v>2808</v>
      </c>
      <c r="F1277" s="50" t="n">
        <v>1</v>
      </c>
      <c r="G1277" s="49" t="s">
        <v>280</v>
      </c>
      <c r="H1277" s="51" t="n">
        <v>0.7617</v>
      </c>
      <c r="I1277" s="51" t="n">
        <v>0.2267</v>
      </c>
      <c r="J1277" s="51" t="n">
        <v>0.0116</v>
      </c>
      <c r="K1277" s="49"/>
      <c r="L1277" s="49"/>
      <c r="M1277" s="49"/>
      <c r="N1277" s="49"/>
      <c r="O1277" s="49"/>
      <c r="P1277" s="49"/>
      <c r="Q1277" s="49"/>
      <c r="R1277" s="49"/>
      <c r="S1277" s="49" t="n">
        <v>0</v>
      </c>
      <c r="T1277" s="49" t="n">
        <v>0</v>
      </c>
      <c r="U1277" s="49" t="s">
        <v>2809</v>
      </c>
    </row>
    <row r="1278" customFormat="false" ht="15" hidden="false" customHeight="false" outlineLevel="0" collapsed="false">
      <c r="B1278" s="48" t="n">
        <v>45392.7116319445</v>
      </c>
      <c r="C1278" s="4" t="n">
        <f aca="false">YEAR(B1278)</f>
        <v>2024</v>
      </c>
      <c r="D1278" s="49" t="s">
        <v>283</v>
      </c>
      <c r="E1278" s="49" t="s">
        <v>2810</v>
      </c>
      <c r="F1278" s="50" t="n">
        <v>3</v>
      </c>
      <c r="G1278" s="49" t="s">
        <v>290</v>
      </c>
      <c r="H1278" s="51" t="n">
        <v>0.0436</v>
      </c>
      <c r="I1278" s="51" t="n">
        <v>0.8624</v>
      </c>
      <c r="J1278" s="51" t="n">
        <v>0.094</v>
      </c>
      <c r="K1278" s="49"/>
      <c r="L1278" s="49"/>
      <c r="M1278" s="49"/>
      <c r="N1278" s="49"/>
      <c r="O1278" s="49"/>
      <c r="P1278" s="49"/>
      <c r="Q1278" s="49"/>
      <c r="R1278" s="49"/>
      <c r="S1278" s="49" t="n">
        <v>0</v>
      </c>
      <c r="T1278" s="49" t="n">
        <v>0</v>
      </c>
      <c r="U1278" s="49" t="s">
        <v>2811</v>
      </c>
    </row>
    <row r="1279" customFormat="false" ht="15" hidden="false" customHeight="false" outlineLevel="0" collapsed="false">
      <c r="B1279" s="48" t="n">
        <v>45392.8768634259</v>
      </c>
      <c r="C1279" s="4" t="n">
        <f aca="false">YEAR(B1279)</f>
        <v>2024</v>
      </c>
      <c r="D1279" s="49" t="s">
        <v>283</v>
      </c>
      <c r="E1279" s="49" t="s">
        <v>2812</v>
      </c>
      <c r="F1279" s="50" t="n">
        <v>1</v>
      </c>
      <c r="G1279" s="49" t="s">
        <v>287</v>
      </c>
      <c r="H1279" s="51" t="n">
        <v>0.0064</v>
      </c>
      <c r="I1279" s="51" t="n">
        <v>0.3265</v>
      </c>
      <c r="J1279" s="51" t="n">
        <v>0.6672</v>
      </c>
      <c r="K1279" s="49"/>
      <c r="L1279" s="49"/>
      <c r="M1279" s="49"/>
      <c r="N1279" s="49"/>
      <c r="O1279" s="49"/>
      <c r="P1279" s="49"/>
      <c r="Q1279" s="49"/>
      <c r="R1279" s="49"/>
      <c r="S1279" s="49" t="n">
        <v>0</v>
      </c>
      <c r="T1279" s="49" t="n">
        <v>0</v>
      </c>
      <c r="U1279" s="49" t="s">
        <v>2813</v>
      </c>
    </row>
    <row r="1280" customFormat="false" ht="15" hidden="false" customHeight="false" outlineLevel="0" collapsed="false">
      <c r="B1280" s="48" t="n">
        <v>45392.8879166667</v>
      </c>
      <c r="C1280" s="4" t="n">
        <f aca="false">YEAR(B1280)</f>
        <v>2024</v>
      </c>
      <c r="D1280" s="49" t="s">
        <v>283</v>
      </c>
      <c r="E1280" s="49" t="s">
        <v>2814</v>
      </c>
      <c r="F1280" s="50" t="n">
        <v>22</v>
      </c>
      <c r="G1280" s="49" t="s">
        <v>287</v>
      </c>
      <c r="H1280" s="51" t="n">
        <v>0.0072</v>
      </c>
      <c r="I1280" s="51" t="n">
        <v>0.2569</v>
      </c>
      <c r="J1280" s="51" t="n">
        <v>0.7359</v>
      </c>
      <c r="K1280" s="49"/>
      <c r="L1280" s="49"/>
      <c r="M1280" s="49"/>
      <c r="N1280" s="49"/>
      <c r="O1280" s="49"/>
      <c r="P1280" s="49"/>
      <c r="Q1280" s="49"/>
      <c r="R1280" s="49"/>
      <c r="S1280" s="49" t="n">
        <v>0</v>
      </c>
      <c r="T1280" s="49" t="n">
        <v>0</v>
      </c>
      <c r="U1280" s="49" t="s">
        <v>2815</v>
      </c>
    </row>
    <row r="1281" customFormat="false" ht="15" hidden="false" customHeight="false" outlineLevel="0" collapsed="false">
      <c r="B1281" s="48" t="n">
        <v>45393.0087847222</v>
      </c>
      <c r="C1281" s="4" t="n">
        <f aca="false">YEAR(B1281)</f>
        <v>2024</v>
      </c>
      <c r="D1281" s="49" t="s">
        <v>278</v>
      </c>
      <c r="E1281" s="49" t="s">
        <v>2816</v>
      </c>
      <c r="F1281" s="50" t="n">
        <v>4</v>
      </c>
      <c r="G1281" s="49" t="s">
        <v>280</v>
      </c>
      <c r="H1281" s="51" t="n">
        <v>0.5719</v>
      </c>
      <c r="I1281" s="51" t="n">
        <v>0.4112</v>
      </c>
      <c r="J1281" s="51" t="n">
        <v>0.0169</v>
      </c>
      <c r="K1281" s="49"/>
      <c r="L1281" s="49"/>
      <c r="M1281" s="49"/>
      <c r="N1281" s="49"/>
      <c r="O1281" s="49"/>
      <c r="P1281" s="49"/>
      <c r="Q1281" s="49"/>
      <c r="R1281" s="49"/>
      <c r="S1281" s="49" t="n">
        <v>0</v>
      </c>
      <c r="T1281" s="49" t="n">
        <v>0</v>
      </c>
      <c r="U1281" s="49" t="s">
        <v>2817</v>
      </c>
    </row>
    <row r="1282" customFormat="false" ht="15" hidden="false" customHeight="false" outlineLevel="0" collapsed="false">
      <c r="B1282" s="48" t="n">
        <v>45393.4420138889</v>
      </c>
      <c r="C1282" s="4" t="n">
        <f aca="false">YEAR(B1282)</f>
        <v>2024</v>
      </c>
      <c r="D1282" s="49" t="s">
        <v>278</v>
      </c>
      <c r="E1282" s="49" t="s">
        <v>2818</v>
      </c>
      <c r="F1282" s="50" t="n">
        <v>124</v>
      </c>
      <c r="G1282" s="49" t="s">
        <v>287</v>
      </c>
      <c r="H1282" s="51" t="n">
        <v>0.0243</v>
      </c>
      <c r="I1282" s="51" t="n">
        <v>0.2014</v>
      </c>
      <c r="J1282" s="51" t="n">
        <v>0.7744</v>
      </c>
      <c r="K1282" s="49"/>
      <c r="L1282" s="49"/>
      <c r="M1282" s="49"/>
      <c r="N1282" s="49"/>
      <c r="O1282" s="49"/>
      <c r="P1282" s="49"/>
      <c r="Q1282" s="49"/>
      <c r="R1282" s="49" t="s">
        <v>281</v>
      </c>
      <c r="S1282" s="49" t="n">
        <v>0</v>
      </c>
      <c r="T1282" s="49" t="n">
        <v>0</v>
      </c>
      <c r="U1282" s="49" t="s">
        <v>2819</v>
      </c>
    </row>
    <row r="1283" customFormat="false" ht="15" hidden="false" customHeight="false" outlineLevel="0" collapsed="false">
      <c r="B1283" s="48" t="n">
        <v>45393.629537037</v>
      </c>
      <c r="C1283" s="4" t="n">
        <f aca="false">YEAR(B1283)</f>
        <v>2024</v>
      </c>
      <c r="D1283" s="49" t="s">
        <v>283</v>
      </c>
      <c r="E1283" s="49" t="s">
        <v>2820</v>
      </c>
      <c r="F1283" s="50" t="n">
        <v>1</v>
      </c>
      <c r="G1283" s="49" t="s">
        <v>290</v>
      </c>
      <c r="H1283" s="51" t="n">
        <v>0.2526</v>
      </c>
      <c r="I1283" s="51" t="n">
        <v>0.5745</v>
      </c>
      <c r="J1283" s="51" t="n">
        <v>0.1729</v>
      </c>
      <c r="K1283" s="49"/>
      <c r="L1283" s="49"/>
      <c r="M1283" s="49"/>
      <c r="N1283" s="49"/>
      <c r="O1283" s="49"/>
      <c r="P1283" s="49"/>
      <c r="Q1283" s="49"/>
      <c r="R1283" s="49"/>
      <c r="S1283" s="49" t="n">
        <v>0</v>
      </c>
      <c r="T1283" s="49" t="n">
        <v>0</v>
      </c>
      <c r="U1283" s="49" t="s">
        <v>2821</v>
      </c>
    </row>
    <row r="1284" customFormat="false" ht="15" hidden="false" customHeight="false" outlineLevel="0" collapsed="false">
      <c r="B1284" s="48" t="n">
        <v>45393.6443287037</v>
      </c>
      <c r="C1284" s="4" t="n">
        <f aca="false">YEAR(B1284)</f>
        <v>2024</v>
      </c>
      <c r="D1284" s="49" t="s">
        <v>283</v>
      </c>
      <c r="E1284" s="49" t="s">
        <v>2822</v>
      </c>
      <c r="F1284" s="50" t="n">
        <v>0</v>
      </c>
      <c r="G1284" s="49" t="s">
        <v>290</v>
      </c>
      <c r="H1284" s="51" t="n">
        <v>0.2542</v>
      </c>
      <c r="I1284" s="51" t="n">
        <v>0.6402</v>
      </c>
      <c r="J1284" s="51" t="n">
        <v>0.1056</v>
      </c>
      <c r="K1284" s="49"/>
      <c r="L1284" s="49"/>
      <c r="M1284" s="49"/>
      <c r="N1284" s="49"/>
      <c r="O1284" s="49"/>
      <c r="P1284" s="49"/>
      <c r="Q1284" s="49"/>
      <c r="R1284" s="49"/>
      <c r="S1284" s="49" t="n">
        <v>0</v>
      </c>
      <c r="T1284" s="49" t="n">
        <v>0</v>
      </c>
      <c r="U1284" s="49" t="s">
        <v>2823</v>
      </c>
    </row>
    <row r="1285" customFormat="false" ht="15" hidden="false" customHeight="false" outlineLevel="0" collapsed="false">
      <c r="B1285" s="48" t="n">
        <v>45393.7551273148</v>
      </c>
      <c r="C1285" s="4" t="n">
        <f aca="false">YEAR(B1285)</f>
        <v>2024</v>
      </c>
      <c r="D1285" s="49" t="s">
        <v>278</v>
      </c>
      <c r="E1285" s="49" t="s">
        <v>2824</v>
      </c>
      <c r="F1285" s="50" t="n">
        <v>6</v>
      </c>
      <c r="G1285" s="49" t="s">
        <v>290</v>
      </c>
      <c r="H1285" s="51" t="n">
        <v>0.3901</v>
      </c>
      <c r="I1285" s="51" t="n">
        <v>0.4744</v>
      </c>
      <c r="J1285" s="51" t="n">
        <v>0.1355</v>
      </c>
      <c r="K1285" s="49"/>
      <c r="L1285" s="49"/>
      <c r="M1285" s="49"/>
      <c r="N1285" s="49"/>
      <c r="O1285" s="49"/>
      <c r="P1285" s="49"/>
      <c r="Q1285" s="49"/>
      <c r="R1285" s="49"/>
      <c r="S1285" s="49" t="n">
        <v>0</v>
      </c>
      <c r="T1285" s="49" t="n">
        <v>0</v>
      </c>
      <c r="U1285" s="49" t="s">
        <v>2825</v>
      </c>
    </row>
    <row r="1286" customFormat="false" ht="15" hidden="false" customHeight="false" outlineLevel="0" collapsed="false">
      <c r="B1286" s="48" t="n">
        <v>45393.8747222222</v>
      </c>
      <c r="C1286" s="4" t="n">
        <f aca="false">YEAR(B1286)</f>
        <v>2024</v>
      </c>
      <c r="D1286" s="49" t="s">
        <v>283</v>
      </c>
      <c r="E1286" s="49" t="s">
        <v>2826</v>
      </c>
      <c r="F1286" s="50" t="n">
        <v>2</v>
      </c>
      <c r="G1286" s="49" t="s">
        <v>287</v>
      </c>
      <c r="H1286" s="51" t="n">
        <v>0.007</v>
      </c>
      <c r="I1286" s="51" t="n">
        <v>0.3978</v>
      </c>
      <c r="J1286" s="51" t="n">
        <v>0.5952</v>
      </c>
      <c r="K1286" s="49"/>
      <c r="L1286" s="49"/>
      <c r="M1286" s="49"/>
      <c r="N1286" s="49"/>
      <c r="O1286" s="49"/>
      <c r="P1286" s="49"/>
      <c r="Q1286" s="49"/>
      <c r="R1286" s="49"/>
      <c r="S1286" s="49" t="n">
        <v>0</v>
      </c>
      <c r="T1286" s="49" t="n">
        <v>0</v>
      </c>
      <c r="U1286" s="49" t="s">
        <v>2827</v>
      </c>
    </row>
    <row r="1287" customFormat="false" ht="15" hidden="false" customHeight="false" outlineLevel="0" collapsed="false">
      <c r="B1287" s="48" t="n">
        <v>45393.8912268519</v>
      </c>
      <c r="C1287" s="4" t="n">
        <f aca="false">YEAR(B1287)</f>
        <v>2024</v>
      </c>
      <c r="D1287" s="49" t="s">
        <v>278</v>
      </c>
      <c r="E1287" s="49" t="s">
        <v>2828</v>
      </c>
      <c r="F1287" s="50" t="n">
        <v>0</v>
      </c>
      <c r="G1287" s="49" t="s">
        <v>280</v>
      </c>
      <c r="H1287" s="51" t="n">
        <v>0.5818</v>
      </c>
      <c r="I1287" s="51" t="n">
        <v>0.4067</v>
      </c>
      <c r="J1287" s="51" t="n">
        <v>0.0116</v>
      </c>
      <c r="K1287" s="49"/>
      <c r="L1287" s="49"/>
      <c r="M1287" s="49"/>
      <c r="N1287" s="49"/>
      <c r="O1287" s="49"/>
      <c r="P1287" s="49"/>
      <c r="Q1287" s="49"/>
      <c r="R1287" s="49"/>
      <c r="S1287" s="49" t="n">
        <v>0</v>
      </c>
      <c r="T1287" s="49" t="n">
        <v>0</v>
      </c>
      <c r="U1287" s="49" t="s">
        <v>2829</v>
      </c>
    </row>
    <row r="1288" customFormat="false" ht="15" hidden="false" customHeight="false" outlineLevel="0" collapsed="false">
      <c r="B1288" s="48" t="n">
        <v>45394.9213194445</v>
      </c>
      <c r="C1288" s="4" t="n">
        <f aca="false">YEAR(B1288)</f>
        <v>2024</v>
      </c>
      <c r="D1288" s="49" t="s">
        <v>283</v>
      </c>
      <c r="E1288" s="49" t="s">
        <v>2830</v>
      </c>
      <c r="F1288" s="50" t="n">
        <v>45</v>
      </c>
      <c r="G1288" s="49" t="s">
        <v>287</v>
      </c>
      <c r="H1288" s="51" t="n">
        <v>0.0045</v>
      </c>
      <c r="I1288" s="51" t="n">
        <v>0.0672</v>
      </c>
      <c r="J1288" s="51" t="n">
        <v>0.9283</v>
      </c>
      <c r="K1288" s="49"/>
      <c r="L1288" s="49"/>
      <c r="M1288" s="49"/>
      <c r="N1288" s="49"/>
      <c r="O1288" s="49"/>
      <c r="P1288" s="49"/>
      <c r="Q1288" s="49"/>
      <c r="R1288" s="49"/>
      <c r="S1288" s="49" t="n">
        <v>0</v>
      </c>
      <c r="T1288" s="49" t="n">
        <v>0</v>
      </c>
      <c r="U1288" s="49" t="s">
        <v>2831</v>
      </c>
    </row>
    <row r="1289" customFormat="false" ht="15" hidden="false" customHeight="false" outlineLevel="0" collapsed="false">
      <c r="B1289" s="48" t="n">
        <v>45395.3590046296</v>
      </c>
      <c r="C1289" s="4" t="n">
        <f aca="false">YEAR(B1289)</f>
        <v>2024</v>
      </c>
      <c r="D1289" s="49" t="s">
        <v>283</v>
      </c>
      <c r="E1289" s="49" t="s">
        <v>2832</v>
      </c>
      <c r="F1289" s="50" t="n">
        <v>1</v>
      </c>
      <c r="G1289" s="49" t="s">
        <v>290</v>
      </c>
      <c r="H1289" s="51" t="n">
        <v>0.0139</v>
      </c>
      <c r="I1289" s="51" t="n">
        <v>0.8284</v>
      </c>
      <c r="J1289" s="51" t="n">
        <v>0.1577</v>
      </c>
      <c r="K1289" s="49"/>
      <c r="L1289" s="49"/>
      <c r="M1289" s="49"/>
      <c r="N1289" s="49"/>
      <c r="O1289" s="49"/>
      <c r="P1289" s="49"/>
      <c r="Q1289" s="49"/>
      <c r="R1289" s="49"/>
      <c r="S1289" s="49" t="n">
        <v>1</v>
      </c>
      <c r="T1289" s="49" t="n">
        <v>0</v>
      </c>
      <c r="U1289" s="49" t="s">
        <v>2833</v>
      </c>
    </row>
    <row r="1290" customFormat="false" ht="15" hidden="false" customHeight="false" outlineLevel="0" collapsed="false">
      <c r="B1290" s="48" t="n">
        <v>45395.8279166667</v>
      </c>
      <c r="C1290" s="4" t="n">
        <f aca="false">YEAR(B1290)</f>
        <v>2024</v>
      </c>
      <c r="D1290" s="49" t="s">
        <v>278</v>
      </c>
      <c r="E1290" s="49" t="s">
        <v>2834</v>
      </c>
      <c r="F1290" s="50" t="n">
        <v>0</v>
      </c>
      <c r="G1290" s="49" t="s">
        <v>280</v>
      </c>
      <c r="H1290" s="51" t="n">
        <v>0.6262</v>
      </c>
      <c r="I1290" s="51" t="n">
        <v>0.354</v>
      </c>
      <c r="J1290" s="51" t="n">
        <v>0.0198</v>
      </c>
      <c r="K1290" s="49"/>
      <c r="L1290" s="49"/>
      <c r="M1290" s="49"/>
      <c r="N1290" s="49" t="s">
        <v>281</v>
      </c>
      <c r="O1290" s="49"/>
      <c r="P1290" s="49"/>
      <c r="Q1290" s="49"/>
      <c r="R1290" s="49"/>
      <c r="S1290" s="49" t="n">
        <v>0</v>
      </c>
      <c r="T1290" s="49" t="n">
        <v>0</v>
      </c>
      <c r="U1290" s="49" t="s">
        <v>2835</v>
      </c>
    </row>
    <row r="1291" customFormat="false" ht="15" hidden="false" customHeight="false" outlineLevel="0" collapsed="false">
      <c r="B1291" s="48" t="n">
        <v>45395.9361458333</v>
      </c>
      <c r="C1291" s="4" t="n">
        <f aca="false">YEAR(B1291)</f>
        <v>2024</v>
      </c>
      <c r="D1291" s="49" t="s">
        <v>278</v>
      </c>
      <c r="E1291" s="49" t="s">
        <v>2836</v>
      </c>
      <c r="F1291" s="50" t="n">
        <v>169</v>
      </c>
      <c r="G1291" s="49" t="s">
        <v>280</v>
      </c>
      <c r="H1291" s="51" t="n">
        <v>0.7598</v>
      </c>
      <c r="I1291" s="51" t="n">
        <v>0.2207</v>
      </c>
      <c r="J1291" s="51" t="n">
        <v>0.0195</v>
      </c>
      <c r="K1291" s="49"/>
      <c r="L1291" s="49" t="s">
        <v>281</v>
      </c>
      <c r="M1291" s="49"/>
      <c r="N1291" s="49"/>
      <c r="O1291" s="49"/>
      <c r="P1291" s="49"/>
      <c r="Q1291" s="49"/>
      <c r="R1291" s="49"/>
      <c r="S1291" s="49" t="n">
        <v>0</v>
      </c>
      <c r="T1291" s="49" t="n">
        <v>0</v>
      </c>
      <c r="U1291" s="49" t="s">
        <v>2837</v>
      </c>
    </row>
    <row r="1292" customFormat="false" ht="15" hidden="false" customHeight="false" outlineLevel="0" collapsed="false">
      <c r="B1292" s="48" t="n">
        <v>45396.8456134259</v>
      </c>
      <c r="C1292" s="4" t="n">
        <f aca="false">YEAR(B1292)</f>
        <v>2024</v>
      </c>
      <c r="D1292" s="49" t="s">
        <v>278</v>
      </c>
      <c r="E1292" s="49" t="s">
        <v>2838</v>
      </c>
      <c r="F1292" s="50" t="n">
        <v>36</v>
      </c>
      <c r="G1292" s="49" t="s">
        <v>280</v>
      </c>
      <c r="H1292" s="51" t="n">
        <v>0.707</v>
      </c>
      <c r="I1292" s="51" t="n">
        <v>0.2755</v>
      </c>
      <c r="J1292" s="51" t="n">
        <v>0.0175</v>
      </c>
      <c r="K1292" s="49"/>
      <c r="L1292" s="49"/>
      <c r="M1292" s="49"/>
      <c r="N1292" s="49"/>
      <c r="O1292" s="49"/>
      <c r="P1292" s="49"/>
      <c r="Q1292" s="49"/>
      <c r="R1292" s="49" t="s">
        <v>281</v>
      </c>
      <c r="S1292" s="49" t="n">
        <v>0</v>
      </c>
      <c r="T1292" s="49" t="n">
        <v>0</v>
      </c>
      <c r="U1292" s="49" t="s">
        <v>2839</v>
      </c>
    </row>
    <row r="1293" customFormat="false" ht="15" hidden="false" customHeight="false" outlineLevel="0" collapsed="false">
      <c r="B1293" s="48" t="n">
        <v>45397.2386574074</v>
      </c>
      <c r="C1293" s="4" t="n">
        <f aca="false">YEAR(B1293)</f>
        <v>2024</v>
      </c>
      <c r="D1293" s="49" t="s">
        <v>278</v>
      </c>
      <c r="E1293" s="49" t="s">
        <v>2840</v>
      </c>
      <c r="F1293" s="50" t="n">
        <v>1</v>
      </c>
      <c r="G1293" s="49" t="s">
        <v>280</v>
      </c>
      <c r="H1293" s="51" t="n">
        <v>0.6933</v>
      </c>
      <c r="I1293" s="51" t="n">
        <v>0.2918</v>
      </c>
      <c r="J1293" s="51" t="n">
        <v>0.0149</v>
      </c>
      <c r="K1293" s="49"/>
      <c r="L1293" s="49"/>
      <c r="M1293" s="49" t="s">
        <v>281</v>
      </c>
      <c r="N1293" s="49"/>
      <c r="O1293" s="49"/>
      <c r="P1293" s="49"/>
      <c r="Q1293" s="49" t="s">
        <v>281</v>
      </c>
      <c r="R1293" s="49"/>
      <c r="S1293" s="49" t="n">
        <v>0</v>
      </c>
      <c r="T1293" s="49" t="n">
        <v>0</v>
      </c>
      <c r="U1293" s="49" t="s">
        <v>2841</v>
      </c>
    </row>
    <row r="1294" customFormat="false" ht="15" hidden="false" customHeight="false" outlineLevel="0" collapsed="false">
      <c r="B1294" s="48" t="n">
        <v>45397.5287384259</v>
      </c>
      <c r="C1294" s="4" t="n">
        <f aca="false">YEAR(B1294)</f>
        <v>2024</v>
      </c>
      <c r="D1294" s="49" t="s">
        <v>278</v>
      </c>
      <c r="E1294" s="49" t="s">
        <v>2842</v>
      </c>
      <c r="F1294" s="50" t="n">
        <v>6</v>
      </c>
      <c r="G1294" s="49" t="s">
        <v>290</v>
      </c>
      <c r="H1294" s="51" t="n">
        <v>0.0767</v>
      </c>
      <c r="I1294" s="51" t="n">
        <v>0.7439</v>
      </c>
      <c r="J1294" s="51" t="n">
        <v>0.1793</v>
      </c>
      <c r="K1294" s="49"/>
      <c r="L1294" s="49"/>
      <c r="M1294" s="49"/>
      <c r="N1294" s="49"/>
      <c r="O1294" s="49"/>
      <c r="P1294" s="49"/>
      <c r="Q1294" s="49"/>
      <c r="R1294" s="49" t="s">
        <v>281</v>
      </c>
      <c r="S1294" s="49" t="n">
        <v>0</v>
      </c>
      <c r="T1294" s="49" t="n">
        <v>0</v>
      </c>
      <c r="U1294" s="49" t="s">
        <v>2843</v>
      </c>
    </row>
    <row r="1295" customFormat="false" ht="15" hidden="false" customHeight="false" outlineLevel="0" collapsed="false">
      <c r="B1295" s="48" t="n">
        <v>45397.6073726852</v>
      </c>
      <c r="C1295" s="4" t="n">
        <f aca="false">YEAR(B1295)</f>
        <v>2024</v>
      </c>
      <c r="D1295" s="49" t="s">
        <v>283</v>
      </c>
      <c r="E1295" s="49" t="s">
        <v>2844</v>
      </c>
      <c r="F1295" s="50" t="n">
        <v>0</v>
      </c>
      <c r="G1295" s="49" t="s">
        <v>287</v>
      </c>
      <c r="H1295" s="51" t="n">
        <v>0.006</v>
      </c>
      <c r="I1295" s="51" t="n">
        <v>0.0905</v>
      </c>
      <c r="J1295" s="51" t="n">
        <v>0.9036</v>
      </c>
      <c r="K1295" s="49"/>
      <c r="L1295" s="49"/>
      <c r="M1295" s="49"/>
      <c r="N1295" s="49"/>
      <c r="O1295" s="49"/>
      <c r="P1295" s="49"/>
      <c r="Q1295" s="49"/>
      <c r="R1295" s="49"/>
      <c r="S1295" s="49" t="n">
        <v>0</v>
      </c>
      <c r="T1295" s="49" t="n">
        <v>0</v>
      </c>
      <c r="U1295" s="49" t="s">
        <v>2845</v>
      </c>
    </row>
    <row r="1296" customFormat="false" ht="15" hidden="false" customHeight="false" outlineLevel="0" collapsed="false">
      <c r="B1296" s="48" t="n">
        <v>45397.8541319444</v>
      </c>
      <c r="C1296" s="4" t="n">
        <f aca="false">YEAR(B1296)</f>
        <v>2024</v>
      </c>
      <c r="D1296" s="49" t="s">
        <v>283</v>
      </c>
      <c r="E1296" s="49" t="s">
        <v>2846</v>
      </c>
      <c r="F1296" s="50" t="n">
        <v>0</v>
      </c>
      <c r="G1296" s="49" t="s">
        <v>280</v>
      </c>
      <c r="H1296" s="51" t="n">
        <v>0.8803</v>
      </c>
      <c r="I1296" s="51" t="n">
        <v>0.1118</v>
      </c>
      <c r="J1296" s="51" t="n">
        <v>0.0079</v>
      </c>
      <c r="K1296" s="49"/>
      <c r="L1296" s="49"/>
      <c r="M1296" s="49"/>
      <c r="N1296" s="49"/>
      <c r="O1296" s="49"/>
      <c r="P1296" s="49"/>
      <c r="Q1296" s="49"/>
      <c r="R1296" s="49"/>
      <c r="S1296" s="49" t="n">
        <v>0</v>
      </c>
      <c r="T1296" s="49" t="n">
        <v>0</v>
      </c>
      <c r="U1296" s="49" t="s">
        <v>2847</v>
      </c>
    </row>
    <row r="1297" customFormat="false" ht="15" hidden="false" customHeight="false" outlineLevel="0" collapsed="false">
      <c r="B1297" s="48" t="n">
        <v>45397.9544328704</v>
      </c>
      <c r="C1297" s="4" t="n">
        <f aca="false">YEAR(B1297)</f>
        <v>2024</v>
      </c>
      <c r="D1297" s="49" t="s">
        <v>283</v>
      </c>
      <c r="E1297" s="49" t="s">
        <v>2848</v>
      </c>
      <c r="F1297" s="50" t="n">
        <v>1</v>
      </c>
      <c r="G1297" s="49" t="s">
        <v>290</v>
      </c>
      <c r="H1297" s="51" t="n">
        <v>0.0107</v>
      </c>
      <c r="I1297" s="51" t="n">
        <v>0.9138</v>
      </c>
      <c r="J1297" s="51" t="n">
        <v>0.0755</v>
      </c>
      <c r="K1297" s="49"/>
      <c r="L1297" s="49"/>
      <c r="M1297" s="49"/>
      <c r="N1297" s="49"/>
      <c r="O1297" s="49"/>
      <c r="P1297" s="49"/>
      <c r="Q1297" s="49"/>
      <c r="R1297" s="49"/>
      <c r="S1297" s="49" t="n">
        <v>1</v>
      </c>
      <c r="T1297" s="49" t="n">
        <v>0</v>
      </c>
      <c r="U1297" s="49" t="s">
        <v>2849</v>
      </c>
    </row>
    <row r="1298" customFormat="false" ht="15" hidden="false" customHeight="false" outlineLevel="0" collapsed="false">
      <c r="B1298" s="48" t="n">
        <v>45398.0662152778</v>
      </c>
      <c r="C1298" s="4" t="n">
        <f aca="false">YEAR(B1298)</f>
        <v>2024</v>
      </c>
      <c r="D1298" s="49" t="s">
        <v>278</v>
      </c>
      <c r="E1298" s="49" t="s">
        <v>2850</v>
      </c>
      <c r="F1298" s="50" t="n">
        <v>3</v>
      </c>
      <c r="G1298" s="49" t="s">
        <v>280</v>
      </c>
      <c r="H1298" s="51" t="n">
        <v>0.7768</v>
      </c>
      <c r="I1298" s="51" t="n">
        <v>0.2128</v>
      </c>
      <c r="J1298" s="51" t="n">
        <v>0.0104</v>
      </c>
      <c r="K1298" s="49"/>
      <c r="L1298" s="49"/>
      <c r="M1298" s="49"/>
      <c r="N1298" s="49"/>
      <c r="O1298" s="49"/>
      <c r="P1298" s="49"/>
      <c r="Q1298" s="49"/>
      <c r="R1298" s="49"/>
      <c r="S1298" s="49" t="n">
        <v>0</v>
      </c>
      <c r="T1298" s="49" t="n">
        <v>0</v>
      </c>
      <c r="U1298" s="49" t="s">
        <v>2851</v>
      </c>
    </row>
    <row r="1299" customFormat="false" ht="15" hidden="false" customHeight="false" outlineLevel="0" collapsed="false">
      <c r="B1299" s="48" t="n">
        <v>45400.5309375</v>
      </c>
      <c r="C1299" s="4" t="n">
        <f aca="false">YEAR(B1299)</f>
        <v>2024</v>
      </c>
      <c r="D1299" s="49" t="s">
        <v>283</v>
      </c>
      <c r="E1299" s="49" t="s">
        <v>2852</v>
      </c>
      <c r="F1299" s="50" t="n">
        <v>1</v>
      </c>
      <c r="G1299" s="49" t="s">
        <v>280</v>
      </c>
      <c r="H1299" s="51" t="n">
        <v>0.7963</v>
      </c>
      <c r="I1299" s="51" t="n">
        <v>0.1825</v>
      </c>
      <c r="J1299" s="51" t="n">
        <v>0.0212</v>
      </c>
      <c r="K1299" s="49"/>
      <c r="L1299" s="49"/>
      <c r="M1299" s="49"/>
      <c r="N1299" s="49"/>
      <c r="O1299" s="49"/>
      <c r="P1299" s="49"/>
      <c r="Q1299" s="49"/>
      <c r="R1299" s="49"/>
      <c r="S1299" s="49" t="n">
        <v>0</v>
      </c>
      <c r="T1299" s="49" t="n">
        <v>0</v>
      </c>
      <c r="U1299" s="49" t="s">
        <v>2853</v>
      </c>
    </row>
    <row r="1300" customFormat="false" ht="15" hidden="false" customHeight="false" outlineLevel="0" collapsed="false">
      <c r="B1300" s="48" t="n">
        <v>45400.5323263889</v>
      </c>
      <c r="C1300" s="4" t="n">
        <f aca="false">YEAR(B1300)</f>
        <v>2024</v>
      </c>
      <c r="D1300" s="49" t="s">
        <v>283</v>
      </c>
      <c r="E1300" s="49" t="s">
        <v>2854</v>
      </c>
      <c r="F1300" s="50" t="n">
        <v>63</v>
      </c>
      <c r="G1300" s="49" t="s">
        <v>280</v>
      </c>
      <c r="H1300" s="51" t="n">
        <v>0.8375</v>
      </c>
      <c r="I1300" s="51" t="n">
        <v>0.1427</v>
      </c>
      <c r="J1300" s="51" t="n">
        <v>0.0199</v>
      </c>
      <c r="K1300" s="49"/>
      <c r="L1300" s="49"/>
      <c r="M1300" s="49"/>
      <c r="N1300" s="49"/>
      <c r="O1300" s="49"/>
      <c r="P1300" s="49"/>
      <c r="Q1300" s="49"/>
      <c r="R1300" s="49"/>
      <c r="S1300" s="49" t="n">
        <v>0</v>
      </c>
      <c r="T1300" s="49" t="n">
        <v>0</v>
      </c>
      <c r="U1300" s="49" t="s">
        <v>2855</v>
      </c>
    </row>
    <row r="1301" customFormat="false" ht="15" hidden="false" customHeight="false" outlineLevel="0" collapsed="false">
      <c r="B1301" s="48" t="n">
        <v>45400.5553356482</v>
      </c>
      <c r="C1301" s="4" t="n">
        <f aca="false">YEAR(B1301)</f>
        <v>2024</v>
      </c>
      <c r="D1301" s="49" t="s">
        <v>283</v>
      </c>
      <c r="E1301" s="49" t="s">
        <v>2856</v>
      </c>
      <c r="F1301" s="50" t="n">
        <v>2</v>
      </c>
      <c r="G1301" s="49" t="s">
        <v>287</v>
      </c>
      <c r="H1301" s="51" t="n">
        <v>0.0044</v>
      </c>
      <c r="I1301" s="51" t="n">
        <v>0.0324</v>
      </c>
      <c r="J1301" s="51" t="n">
        <v>0.9633</v>
      </c>
      <c r="K1301" s="49"/>
      <c r="L1301" s="49"/>
      <c r="M1301" s="49"/>
      <c r="N1301" s="49"/>
      <c r="O1301" s="49"/>
      <c r="P1301" s="49"/>
      <c r="Q1301" s="49"/>
      <c r="R1301" s="49"/>
      <c r="S1301" s="49" t="n">
        <v>0</v>
      </c>
      <c r="T1301" s="49" t="n">
        <v>0</v>
      </c>
      <c r="U1301" s="49" t="s">
        <v>2857</v>
      </c>
    </row>
    <row r="1302" customFormat="false" ht="15" hidden="false" customHeight="false" outlineLevel="0" collapsed="false">
      <c r="B1302" s="48" t="n">
        <v>45400.858900463</v>
      </c>
      <c r="C1302" s="4" t="n">
        <f aca="false">YEAR(B1302)</f>
        <v>2024</v>
      </c>
      <c r="D1302" s="49" t="s">
        <v>283</v>
      </c>
      <c r="E1302" s="49" t="s">
        <v>2858</v>
      </c>
      <c r="F1302" s="50" t="n">
        <v>1</v>
      </c>
      <c r="G1302" s="49" t="s">
        <v>287</v>
      </c>
      <c r="H1302" s="51" t="n">
        <v>0.0124</v>
      </c>
      <c r="I1302" s="51" t="n">
        <v>0.1667</v>
      </c>
      <c r="J1302" s="51" t="n">
        <v>0.8209</v>
      </c>
      <c r="K1302" s="49"/>
      <c r="L1302" s="49"/>
      <c r="M1302" s="49"/>
      <c r="N1302" s="49"/>
      <c r="O1302" s="49"/>
      <c r="P1302" s="49"/>
      <c r="Q1302" s="49"/>
      <c r="R1302" s="49"/>
      <c r="S1302" s="49" t="n">
        <v>0</v>
      </c>
      <c r="T1302" s="49" t="n">
        <v>0</v>
      </c>
      <c r="U1302" s="49" t="s">
        <v>2859</v>
      </c>
    </row>
    <row r="1303" customFormat="false" ht="15" hidden="false" customHeight="false" outlineLevel="0" collapsed="false">
      <c r="B1303" s="48" t="n">
        <v>45401.4406134259</v>
      </c>
      <c r="C1303" s="4" t="n">
        <f aca="false">YEAR(B1303)</f>
        <v>2024</v>
      </c>
      <c r="D1303" s="49" t="s">
        <v>283</v>
      </c>
      <c r="E1303" s="49" t="s">
        <v>2860</v>
      </c>
      <c r="F1303" s="50" t="n">
        <v>1</v>
      </c>
      <c r="G1303" s="49" t="s">
        <v>287</v>
      </c>
      <c r="H1303" s="51" t="n">
        <v>0.0019</v>
      </c>
      <c r="I1303" s="51" t="n">
        <v>0.1073</v>
      </c>
      <c r="J1303" s="51" t="n">
        <v>0.8908</v>
      </c>
      <c r="K1303" s="49"/>
      <c r="L1303" s="49"/>
      <c r="M1303" s="49"/>
      <c r="N1303" s="49"/>
      <c r="O1303" s="49"/>
      <c r="P1303" s="49"/>
      <c r="Q1303" s="49"/>
      <c r="R1303" s="49"/>
      <c r="S1303" s="49" t="n">
        <v>0</v>
      </c>
      <c r="T1303" s="49" t="n">
        <v>0</v>
      </c>
      <c r="U1303" s="49" t="s">
        <v>2861</v>
      </c>
    </row>
    <row r="1304" customFormat="false" ht="15" hidden="false" customHeight="false" outlineLevel="0" collapsed="false">
      <c r="B1304" s="48" t="n">
        <v>45401.7777430556</v>
      </c>
      <c r="C1304" s="4" t="n">
        <f aca="false">YEAR(B1304)</f>
        <v>2024</v>
      </c>
      <c r="D1304" s="49" t="s">
        <v>283</v>
      </c>
      <c r="E1304" s="49" t="s">
        <v>2862</v>
      </c>
      <c r="F1304" s="50" t="n">
        <v>1</v>
      </c>
      <c r="G1304" s="49" t="s">
        <v>290</v>
      </c>
      <c r="H1304" s="51" t="n">
        <v>0.0125</v>
      </c>
      <c r="I1304" s="51" t="n">
        <v>0.8118</v>
      </c>
      <c r="J1304" s="51" t="n">
        <v>0.1758</v>
      </c>
      <c r="K1304" s="49"/>
      <c r="L1304" s="49"/>
      <c r="M1304" s="49"/>
      <c r="N1304" s="49"/>
      <c r="O1304" s="49"/>
      <c r="P1304" s="49"/>
      <c r="Q1304" s="49"/>
      <c r="R1304" s="49"/>
      <c r="S1304" s="49" t="n">
        <v>0</v>
      </c>
      <c r="T1304" s="49" t="n">
        <v>0</v>
      </c>
      <c r="U1304" s="49" t="s">
        <v>2863</v>
      </c>
    </row>
    <row r="1305" customFormat="false" ht="15" hidden="false" customHeight="false" outlineLevel="0" collapsed="false">
      <c r="B1305" s="48" t="n">
        <v>45402.229537037</v>
      </c>
      <c r="C1305" s="4" t="n">
        <f aca="false">YEAR(B1305)</f>
        <v>2024</v>
      </c>
      <c r="D1305" s="49" t="s">
        <v>283</v>
      </c>
      <c r="E1305" s="49" t="s">
        <v>2864</v>
      </c>
      <c r="F1305" s="50" t="n">
        <v>1</v>
      </c>
      <c r="G1305" s="49" t="s">
        <v>280</v>
      </c>
      <c r="H1305" s="51" t="n">
        <v>0.4912</v>
      </c>
      <c r="I1305" s="51" t="n">
        <v>0.47</v>
      </c>
      <c r="J1305" s="51" t="n">
        <v>0.0388</v>
      </c>
      <c r="K1305" s="49"/>
      <c r="L1305" s="49"/>
      <c r="M1305" s="49"/>
      <c r="N1305" s="49"/>
      <c r="O1305" s="49"/>
      <c r="P1305" s="49"/>
      <c r="Q1305" s="49"/>
      <c r="R1305" s="49"/>
      <c r="S1305" s="49" t="n">
        <v>0</v>
      </c>
      <c r="T1305" s="49" t="n">
        <v>0</v>
      </c>
      <c r="U1305" s="49" t="s">
        <v>2865</v>
      </c>
    </row>
    <row r="1306" customFormat="false" ht="15" hidden="false" customHeight="false" outlineLevel="0" collapsed="false">
      <c r="B1306" s="48" t="n">
        <v>45402.6706597222</v>
      </c>
      <c r="C1306" s="4" t="n">
        <f aca="false">YEAR(B1306)</f>
        <v>2024</v>
      </c>
      <c r="D1306" s="49" t="s">
        <v>283</v>
      </c>
      <c r="E1306" s="49" t="s">
        <v>2866</v>
      </c>
      <c r="F1306" s="50" t="n">
        <v>1</v>
      </c>
      <c r="G1306" s="49" t="s">
        <v>290</v>
      </c>
      <c r="H1306" s="51" t="n">
        <v>0.0212</v>
      </c>
      <c r="I1306" s="51" t="n">
        <v>0.7144</v>
      </c>
      <c r="J1306" s="51" t="n">
        <v>0.2643</v>
      </c>
      <c r="K1306" s="49"/>
      <c r="L1306" s="49"/>
      <c r="M1306" s="49"/>
      <c r="N1306" s="49"/>
      <c r="O1306" s="49"/>
      <c r="P1306" s="49"/>
      <c r="Q1306" s="49"/>
      <c r="R1306" s="49"/>
      <c r="S1306" s="49" t="n">
        <v>0</v>
      </c>
      <c r="T1306" s="49" t="n">
        <v>0</v>
      </c>
      <c r="U1306" s="49" t="s">
        <v>2867</v>
      </c>
    </row>
    <row r="1307" customFormat="false" ht="15" hidden="false" customHeight="false" outlineLevel="0" collapsed="false">
      <c r="B1307" s="48" t="n">
        <v>45402.7426851852</v>
      </c>
      <c r="C1307" s="4" t="n">
        <f aca="false">YEAR(B1307)</f>
        <v>2024</v>
      </c>
      <c r="D1307" s="49" t="s">
        <v>278</v>
      </c>
      <c r="E1307" s="49" t="s">
        <v>2868</v>
      </c>
      <c r="F1307" s="50" t="n">
        <v>2</v>
      </c>
      <c r="G1307" s="49" t="s">
        <v>280</v>
      </c>
      <c r="H1307" s="51" t="n">
        <v>0.587</v>
      </c>
      <c r="I1307" s="51" t="n">
        <v>0.3884</v>
      </c>
      <c r="J1307" s="51" t="n">
        <v>0.0246</v>
      </c>
      <c r="K1307" s="49" t="s">
        <v>281</v>
      </c>
      <c r="L1307" s="49"/>
      <c r="M1307" s="49"/>
      <c r="N1307" s="49"/>
      <c r="O1307" s="49"/>
      <c r="P1307" s="49"/>
      <c r="Q1307" s="49"/>
      <c r="R1307" s="49"/>
      <c r="S1307" s="49" t="n">
        <v>0</v>
      </c>
      <c r="T1307" s="49" t="n">
        <v>0</v>
      </c>
      <c r="U1307" s="49" t="s">
        <v>2869</v>
      </c>
    </row>
    <row r="1308" customFormat="false" ht="15" hidden="false" customHeight="false" outlineLevel="0" collapsed="false">
      <c r="B1308" s="48" t="n">
        <v>45403.055150463</v>
      </c>
      <c r="C1308" s="4" t="n">
        <f aca="false">YEAR(B1308)</f>
        <v>2024</v>
      </c>
      <c r="D1308" s="49" t="s">
        <v>283</v>
      </c>
      <c r="E1308" s="49" t="s">
        <v>2870</v>
      </c>
      <c r="F1308" s="50" t="n">
        <v>1</v>
      </c>
      <c r="G1308" s="49" t="s">
        <v>290</v>
      </c>
      <c r="H1308" s="51" t="n">
        <v>0.0078</v>
      </c>
      <c r="I1308" s="51" t="n">
        <v>0.9466</v>
      </c>
      <c r="J1308" s="51" t="n">
        <v>0.0456</v>
      </c>
      <c r="K1308" s="49"/>
      <c r="L1308" s="49"/>
      <c r="M1308" s="49"/>
      <c r="N1308" s="49"/>
      <c r="O1308" s="49"/>
      <c r="P1308" s="49"/>
      <c r="Q1308" s="49"/>
      <c r="R1308" s="49" t="s">
        <v>281</v>
      </c>
      <c r="S1308" s="49" t="n">
        <v>1</v>
      </c>
      <c r="T1308" s="49" t="n">
        <v>0</v>
      </c>
      <c r="U1308" s="49" t="s">
        <v>2871</v>
      </c>
    </row>
    <row r="1309" customFormat="false" ht="15" hidden="false" customHeight="false" outlineLevel="0" collapsed="false">
      <c r="B1309" s="48" t="n">
        <v>45403.6058217593</v>
      </c>
      <c r="C1309" s="4" t="n">
        <f aca="false">YEAR(B1309)</f>
        <v>2024</v>
      </c>
      <c r="D1309" s="49" t="s">
        <v>283</v>
      </c>
      <c r="E1309" s="49" t="s">
        <v>2872</v>
      </c>
      <c r="F1309" s="50" t="n">
        <v>20</v>
      </c>
      <c r="G1309" s="49" t="s">
        <v>287</v>
      </c>
      <c r="H1309" s="51" t="n">
        <v>0.0021</v>
      </c>
      <c r="I1309" s="51" t="n">
        <v>0.1321</v>
      </c>
      <c r="J1309" s="51" t="n">
        <v>0.8657</v>
      </c>
      <c r="K1309" s="49"/>
      <c r="L1309" s="49"/>
      <c r="M1309" s="49"/>
      <c r="N1309" s="49"/>
      <c r="O1309" s="49"/>
      <c r="P1309" s="49"/>
      <c r="Q1309" s="49"/>
      <c r="R1309" s="49"/>
      <c r="S1309" s="49" t="n">
        <v>0</v>
      </c>
      <c r="T1309" s="49" t="n">
        <v>0</v>
      </c>
      <c r="U1309" s="49" t="s">
        <v>2873</v>
      </c>
    </row>
    <row r="1310" customFormat="false" ht="15" hidden="false" customHeight="false" outlineLevel="0" collapsed="false">
      <c r="B1310" s="48" t="n">
        <v>45403.7676967593</v>
      </c>
      <c r="C1310" s="4" t="n">
        <f aca="false">YEAR(B1310)</f>
        <v>2024</v>
      </c>
      <c r="D1310" s="49" t="s">
        <v>283</v>
      </c>
      <c r="E1310" s="49" t="s">
        <v>2874</v>
      </c>
      <c r="F1310" s="50" t="n">
        <v>4</v>
      </c>
      <c r="G1310" s="49" t="s">
        <v>280</v>
      </c>
      <c r="H1310" s="51" t="n">
        <v>0.554</v>
      </c>
      <c r="I1310" s="51" t="n">
        <v>0.4232</v>
      </c>
      <c r="J1310" s="51" t="n">
        <v>0.0228</v>
      </c>
      <c r="K1310" s="49"/>
      <c r="L1310" s="49"/>
      <c r="M1310" s="49"/>
      <c r="N1310" s="49"/>
      <c r="O1310" s="49"/>
      <c r="P1310" s="49"/>
      <c r="Q1310" s="49"/>
      <c r="R1310" s="49"/>
      <c r="S1310" s="49" t="n">
        <v>0</v>
      </c>
      <c r="T1310" s="49" t="n">
        <v>0</v>
      </c>
      <c r="U1310" s="49" t="s">
        <v>2875</v>
      </c>
    </row>
    <row r="1311" customFormat="false" ht="15" hidden="false" customHeight="false" outlineLevel="0" collapsed="false">
      <c r="B1311" s="48" t="n">
        <v>45403.7996875</v>
      </c>
      <c r="C1311" s="4" t="n">
        <f aca="false">YEAR(B1311)</f>
        <v>2024</v>
      </c>
      <c r="D1311" s="49" t="s">
        <v>283</v>
      </c>
      <c r="E1311" s="49" t="s">
        <v>2876</v>
      </c>
      <c r="F1311" s="50" t="n">
        <v>1</v>
      </c>
      <c r="G1311" s="49" t="s">
        <v>287</v>
      </c>
      <c r="H1311" s="51" t="n">
        <v>0.0068</v>
      </c>
      <c r="I1311" s="51" t="n">
        <v>0.382</v>
      </c>
      <c r="J1311" s="51" t="n">
        <v>0.6112</v>
      </c>
      <c r="K1311" s="49"/>
      <c r="L1311" s="49"/>
      <c r="M1311" s="49"/>
      <c r="N1311" s="49"/>
      <c r="O1311" s="49"/>
      <c r="P1311" s="49"/>
      <c r="Q1311" s="49"/>
      <c r="R1311" s="49"/>
      <c r="S1311" s="49" t="n">
        <v>0</v>
      </c>
      <c r="T1311" s="49" t="n">
        <v>0</v>
      </c>
      <c r="U1311" s="49" t="s">
        <v>2877</v>
      </c>
    </row>
    <row r="1312" customFormat="false" ht="15" hidden="false" customHeight="false" outlineLevel="0" collapsed="false">
      <c r="B1312" s="48" t="n">
        <v>45403.8795138889</v>
      </c>
      <c r="C1312" s="4" t="n">
        <f aca="false">YEAR(B1312)</f>
        <v>2024</v>
      </c>
      <c r="D1312" s="49" t="s">
        <v>283</v>
      </c>
      <c r="E1312" s="49" t="s">
        <v>2878</v>
      </c>
      <c r="F1312" s="50" t="n">
        <v>5</v>
      </c>
      <c r="G1312" s="49" t="s">
        <v>290</v>
      </c>
      <c r="H1312" s="51" t="n">
        <v>0.1109</v>
      </c>
      <c r="I1312" s="51" t="n">
        <v>0.7349</v>
      </c>
      <c r="J1312" s="51" t="n">
        <v>0.1542</v>
      </c>
      <c r="K1312" s="49"/>
      <c r="L1312" s="49"/>
      <c r="M1312" s="49"/>
      <c r="N1312" s="49"/>
      <c r="O1312" s="49"/>
      <c r="P1312" s="49"/>
      <c r="Q1312" s="49"/>
      <c r="R1312" s="49"/>
      <c r="S1312" s="49" t="n">
        <v>0</v>
      </c>
      <c r="T1312" s="49" t="n">
        <v>0</v>
      </c>
      <c r="U1312" s="49" t="s">
        <v>2879</v>
      </c>
    </row>
    <row r="1313" customFormat="false" ht="15" hidden="false" customHeight="false" outlineLevel="0" collapsed="false">
      <c r="B1313" s="48" t="n">
        <v>45404.1083912037</v>
      </c>
      <c r="C1313" s="4" t="n">
        <f aca="false">YEAR(B1313)</f>
        <v>2024</v>
      </c>
      <c r="D1313" s="49" t="s">
        <v>278</v>
      </c>
      <c r="E1313" s="49" t="s">
        <v>2880</v>
      </c>
      <c r="F1313" s="50" t="n">
        <v>4</v>
      </c>
      <c r="G1313" s="49" t="s">
        <v>290</v>
      </c>
      <c r="H1313" s="51" t="n">
        <v>0.2327</v>
      </c>
      <c r="I1313" s="51" t="n">
        <v>0.7166</v>
      </c>
      <c r="J1313" s="51" t="n">
        <v>0.0508</v>
      </c>
      <c r="K1313" s="49" t="s">
        <v>281</v>
      </c>
      <c r="L1313" s="49"/>
      <c r="M1313" s="49"/>
      <c r="N1313" s="49"/>
      <c r="O1313" s="49"/>
      <c r="P1313" s="49"/>
      <c r="Q1313" s="49"/>
      <c r="R1313" s="49" t="s">
        <v>281</v>
      </c>
      <c r="S1313" s="49" t="n">
        <v>0</v>
      </c>
      <c r="T1313" s="49" t="n">
        <v>0</v>
      </c>
      <c r="U1313" s="49" t="s">
        <v>2881</v>
      </c>
    </row>
    <row r="1314" customFormat="false" ht="15" hidden="false" customHeight="false" outlineLevel="0" collapsed="false">
      <c r="B1314" s="48" t="n">
        <v>45404.1852083333</v>
      </c>
      <c r="C1314" s="4" t="n">
        <f aca="false">YEAR(B1314)</f>
        <v>2024</v>
      </c>
      <c r="D1314" s="49" t="s">
        <v>283</v>
      </c>
      <c r="E1314" s="49" t="s">
        <v>2882</v>
      </c>
      <c r="F1314" s="50" t="n">
        <v>1</v>
      </c>
      <c r="G1314" s="49" t="s">
        <v>287</v>
      </c>
      <c r="H1314" s="51" t="n">
        <v>0.0043</v>
      </c>
      <c r="I1314" s="51" t="n">
        <v>0.4502</v>
      </c>
      <c r="J1314" s="51" t="n">
        <v>0.5455</v>
      </c>
      <c r="K1314" s="49"/>
      <c r="L1314" s="49"/>
      <c r="M1314" s="49"/>
      <c r="N1314" s="49"/>
      <c r="O1314" s="49"/>
      <c r="P1314" s="49"/>
      <c r="Q1314" s="49"/>
      <c r="R1314" s="49"/>
      <c r="S1314" s="49" t="n">
        <v>1</v>
      </c>
      <c r="T1314" s="49" t="n">
        <v>0</v>
      </c>
      <c r="U1314" s="49" t="s">
        <v>2883</v>
      </c>
    </row>
    <row r="1315" customFormat="false" ht="15" hidden="false" customHeight="false" outlineLevel="0" collapsed="false">
      <c r="B1315" s="48" t="n">
        <v>45404.2510185185</v>
      </c>
      <c r="C1315" s="4" t="n">
        <f aca="false">YEAR(B1315)</f>
        <v>2024</v>
      </c>
      <c r="D1315" s="49" t="s">
        <v>283</v>
      </c>
      <c r="E1315" s="49" t="s">
        <v>2884</v>
      </c>
      <c r="F1315" s="50" t="n">
        <v>50</v>
      </c>
      <c r="G1315" s="49" t="s">
        <v>280</v>
      </c>
      <c r="H1315" s="51" t="n">
        <v>0.5183</v>
      </c>
      <c r="I1315" s="51" t="n">
        <v>0.4432</v>
      </c>
      <c r="J1315" s="51" t="n">
        <v>0.0385</v>
      </c>
      <c r="K1315" s="49"/>
      <c r="L1315" s="49"/>
      <c r="M1315" s="49"/>
      <c r="N1315" s="49"/>
      <c r="O1315" s="49"/>
      <c r="P1315" s="49"/>
      <c r="Q1315" s="49" t="s">
        <v>281</v>
      </c>
      <c r="R1315" s="49"/>
      <c r="S1315" s="49" t="n">
        <v>0</v>
      </c>
      <c r="T1315" s="49" t="n">
        <v>0</v>
      </c>
      <c r="U1315" s="49" t="s">
        <v>2885</v>
      </c>
    </row>
    <row r="1316" customFormat="false" ht="15" hidden="false" customHeight="false" outlineLevel="0" collapsed="false">
      <c r="B1316" s="48" t="n">
        <v>45404.3803703704</v>
      </c>
      <c r="C1316" s="4" t="n">
        <f aca="false">YEAR(B1316)</f>
        <v>2024</v>
      </c>
      <c r="D1316" s="49" t="s">
        <v>283</v>
      </c>
      <c r="E1316" s="49" t="s">
        <v>2886</v>
      </c>
      <c r="F1316" s="50" t="n">
        <v>1</v>
      </c>
      <c r="G1316" s="49" t="s">
        <v>290</v>
      </c>
      <c r="H1316" s="51" t="n">
        <v>0.0198</v>
      </c>
      <c r="I1316" s="51" t="n">
        <v>0.8858</v>
      </c>
      <c r="J1316" s="51" t="n">
        <v>0.0943</v>
      </c>
      <c r="K1316" s="49"/>
      <c r="L1316" s="49"/>
      <c r="M1316" s="49"/>
      <c r="N1316" s="49"/>
      <c r="O1316" s="49"/>
      <c r="P1316" s="49"/>
      <c r="Q1316" s="49"/>
      <c r="R1316" s="49"/>
      <c r="S1316" s="49" t="n">
        <v>1</v>
      </c>
      <c r="T1316" s="49" t="n">
        <v>0</v>
      </c>
      <c r="U1316" s="49" t="s">
        <v>2887</v>
      </c>
    </row>
    <row r="1317" customFormat="false" ht="15" hidden="false" customHeight="false" outlineLevel="0" collapsed="false">
      <c r="B1317" s="48" t="n">
        <v>45404.5678703704</v>
      </c>
      <c r="C1317" s="4" t="n">
        <f aca="false">YEAR(B1317)</f>
        <v>2024</v>
      </c>
      <c r="D1317" s="49" t="s">
        <v>283</v>
      </c>
      <c r="E1317" s="49" t="s">
        <v>2888</v>
      </c>
      <c r="F1317" s="50" t="n">
        <v>5</v>
      </c>
      <c r="G1317" s="49" t="s">
        <v>280</v>
      </c>
      <c r="H1317" s="51" t="n">
        <v>0.8625</v>
      </c>
      <c r="I1317" s="51" t="n">
        <v>0.1211</v>
      </c>
      <c r="J1317" s="51" t="n">
        <v>0.0165</v>
      </c>
      <c r="K1317" s="49" t="s">
        <v>281</v>
      </c>
      <c r="L1317" s="49"/>
      <c r="M1317" s="49"/>
      <c r="N1317" s="49"/>
      <c r="O1317" s="49"/>
      <c r="P1317" s="49" t="s">
        <v>281</v>
      </c>
      <c r="Q1317" s="49"/>
      <c r="R1317" s="49"/>
      <c r="S1317" s="49" t="n">
        <v>0</v>
      </c>
      <c r="T1317" s="49" t="n">
        <v>0</v>
      </c>
      <c r="U1317" s="49" t="s">
        <v>2889</v>
      </c>
    </row>
    <row r="1318" customFormat="false" ht="15" hidden="false" customHeight="false" outlineLevel="0" collapsed="false">
      <c r="B1318" s="48" t="n">
        <v>45404.7381597222</v>
      </c>
      <c r="C1318" s="4" t="n">
        <f aca="false">YEAR(B1318)</f>
        <v>2024</v>
      </c>
      <c r="D1318" s="49" t="s">
        <v>283</v>
      </c>
      <c r="E1318" s="49" t="s">
        <v>2890</v>
      </c>
      <c r="F1318" s="50" t="n">
        <v>1</v>
      </c>
      <c r="G1318" s="49" t="s">
        <v>280</v>
      </c>
      <c r="H1318" s="51" t="n">
        <v>0.7705</v>
      </c>
      <c r="I1318" s="51" t="n">
        <v>0.2118</v>
      </c>
      <c r="J1318" s="51" t="n">
        <v>0.0177</v>
      </c>
      <c r="K1318" s="49" t="s">
        <v>281</v>
      </c>
      <c r="L1318" s="49"/>
      <c r="M1318" s="49"/>
      <c r="N1318" s="49"/>
      <c r="O1318" s="49"/>
      <c r="P1318" s="49"/>
      <c r="Q1318" s="49"/>
      <c r="R1318" s="49"/>
      <c r="S1318" s="49" t="n">
        <v>0</v>
      </c>
      <c r="T1318" s="49" t="n">
        <v>0</v>
      </c>
      <c r="U1318" s="49" t="s">
        <v>2891</v>
      </c>
    </row>
    <row r="1319" customFormat="false" ht="15" hidden="false" customHeight="false" outlineLevel="0" collapsed="false">
      <c r="B1319" s="48" t="n">
        <v>45405.0279513889</v>
      </c>
      <c r="C1319" s="4" t="n">
        <f aca="false">YEAR(B1319)</f>
        <v>2024</v>
      </c>
      <c r="D1319" s="49" t="s">
        <v>278</v>
      </c>
      <c r="E1319" s="49" t="s">
        <v>2892</v>
      </c>
      <c r="F1319" s="50" t="n">
        <v>2</v>
      </c>
      <c r="G1319" s="49" t="s">
        <v>280</v>
      </c>
      <c r="H1319" s="51" t="n">
        <v>0.8566</v>
      </c>
      <c r="I1319" s="51" t="n">
        <v>0.1341</v>
      </c>
      <c r="J1319" s="51" t="n">
        <v>0.0093</v>
      </c>
      <c r="K1319" s="49"/>
      <c r="L1319" s="49"/>
      <c r="M1319" s="49"/>
      <c r="N1319" s="49"/>
      <c r="O1319" s="49"/>
      <c r="P1319" s="49"/>
      <c r="Q1319" s="49" t="s">
        <v>281</v>
      </c>
      <c r="R1319" s="49"/>
      <c r="S1319" s="49" t="n">
        <v>0</v>
      </c>
      <c r="T1319" s="49" t="n">
        <v>0</v>
      </c>
      <c r="U1319" s="49" t="s">
        <v>2893</v>
      </c>
    </row>
    <row r="1320" customFormat="false" ht="15" hidden="false" customHeight="false" outlineLevel="0" collapsed="false">
      <c r="B1320" s="48" t="n">
        <v>45405.0370138889</v>
      </c>
      <c r="C1320" s="4" t="n">
        <f aca="false">YEAR(B1320)</f>
        <v>2024</v>
      </c>
      <c r="D1320" s="49" t="s">
        <v>283</v>
      </c>
      <c r="E1320" s="49" t="s">
        <v>2894</v>
      </c>
      <c r="F1320" s="50" t="n">
        <v>1</v>
      </c>
      <c r="G1320" s="49" t="s">
        <v>280</v>
      </c>
      <c r="H1320" s="51" t="n">
        <v>0.8863</v>
      </c>
      <c r="I1320" s="51" t="n">
        <v>0.1029</v>
      </c>
      <c r="J1320" s="51" t="n">
        <v>0.0107</v>
      </c>
      <c r="K1320" s="49"/>
      <c r="L1320" s="49"/>
      <c r="M1320" s="49"/>
      <c r="N1320" s="49"/>
      <c r="O1320" s="49"/>
      <c r="P1320" s="49"/>
      <c r="Q1320" s="49" t="s">
        <v>281</v>
      </c>
      <c r="R1320" s="49"/>
      <c r="S1320" s="49" t="n">
        <v>0</v>
      </c>
      <c r="T1320" s="49" t="n">
        <v>0</v>
      </c>
      <c r="U1320" s="49" t="s">
        <v>2895</v>
      </c>
    </row>
    <row r="1321" customFormat="false" ht="15" hidden="false" customHeight="false" outlineLevel="0" collapsed="false">
      <c r="B1321" s="48" t="n">
        <v>45405.6117361111</v>
      </c>
      <c r="C1321" s="4" t="n">
        <f aca="false">YEAR(B1321)</f>
        <v>2024</v>
      </c>
      <c r="D1321" s="49" t="s">
        <v>283</v>
      </c>
      <c r="E1321" s="49" t="s">
        <v>2896</v>
      </c>
      <c r="F1321" s="50" t="n">
        <v>0</v>
      </c>
      <c r="G1321" s="49" t="s">
        <v>290</v>
      </c>
      <c r="H1321" s="51" t="n">
        <v>0.3807</v>
      </c>
      <c r="I1321" s="51" t="n">
        <v>0.6003</v>
      </c>
      <c r="J1321" s="51" t="n">
        <v>0.0189</v>
      </c>
      <c r="K1321" s="49"/>
      <c r="L1321" s="49"/>
      <c r="M1321" s="49"/>
      <c r="N1321" s="49"/>
      <c r="O1321" s="49"/>
      <c r="P1321" s="49"/>
      <c r="Q1321" s="49"/>
      <c r="R1321" s="49" t="s">
        <v>281</v>
      </c>
      <c r="S1321" s="49" t="n">
        <v>0</v>
      </c>
      <c r="T1321" s="49" t="n">
        <v>0</v>
      </c>
      <c r="U1321" s="49" t="s">
        <v>2897</v>
      </c>
    </row>
    <row r="1322" customFormat="false" ht="15" hidden="false" customHeight="false" outlineLevel="0" collapsed="false">
      <c r="B1322" s="48" t="n">
        <v>45406.13625</v>
      </c>
      <c r="C1322" s="4" t="n">
        <f aca="false">YEAR(B1322)</f>
        <v>2024</v>
      </c>
      <c r="D1322" s="49" t="s">
        <v>278</v>
      </c>
      <c r="E1322" s="49" t="s">
        <v>2898</v>
      </c>
      <c r="F1322" s="50" t="n">
        <v>1</v>
      </c>
      <c r="G1322" s="49" t="s">
        <v>280</v>
      </c>
      <c r="H1322" s="51" t="n">
        <v>0.6754</v>
      </c>
      <c r="I1322" s="51" t="n">
        <v>0.3083</v>
      </c>
      <c r="J1322" s="51" t="n">
        <v>0.0163</v>
      </c>
      <c r="K1322" s="49"/>
      <c r="L1322" s="49"/>
      <c r="M1322" s="49"/>
      <c r="N1322" s="49"/>
      <c r="O1322" s="49"/>
      <c r="P1322" s="49"/>
      <c r="Q1322" s="49"/>
      <c r="R1322" s="49"/>
      <c r="S1322" s="49" t="n">
        <v>0</v>
      </c>
      <c r="T1322" s="49" t="n">
        <v>0</v>
      </c>
      <c r="U1322" s="49" t="s">
        <v>2899</v>
      </c>
    </row>
    <row r="1323" customFormat="false" ht="15" hidden="false" customHeight="false" outlineLevel="0" collapsed="false">
      <c r="B1323" s="48" t="n">
        <v>45406.6272106482</v>
      </c>
      <c r="C1323" s="4" t="n">
        <f aca="false">YEAR(B1323)</f>
        <v>2024</v>
      </c>
      <c r="D1323" s="49" t="s">
        <v>283</v>
      </c>
      <c r="E1323" s="49" t="s">
        <v>2900</v>
      </c>
      <c r="F1323" s="50" t="n">
        <v>1</v>
      </c>
      <c r="G1323" s="49" t="s">
        <v>287</v>
      </c>
      <c r="H1323" s="51" t="n">
        <v>0.0049</v>
      </c>
      <c r="I1323" s="51" t="n">
        <v>0.3661</v>
      </c>
      <c r="J1323" s="51" t="n">
        <v>0.629</v>
      </c>
      <c r="K1323" s="49"/>
      <c r="L1323" s="49"/>
      <c r="M1323" s="49"/>
      <c r="N1323" s="49"/>
      <c r="O1323" s="49"/>
      <c r="P1323" s="49"/>
      <c r="Q1323" s="49"/>
      <c r="R1323" s="49"/>
      <c r="S1323" s="49" t="n">
        <v>0</v>
      </c>
      <c r="T1323" s="49" t="n">
        <v>0</v>
      </c>
      <c r="U1323" s="49" t="s">
        <v>2901</v>
      </c>
    </row>
    <row r="1324" customFormat="false" ht="15" hidden="false" customHeight="false" outlineLevel="0" collapsed="false">
      <c r="B1324" s="48" t="n">
        <v>45406.8441435185</v>
      </c>
      <c r="C1324" s="4" t="n">
        <f aca="false">YEAR(B1324)</f>
        <v>2024</v>
      </c>
      <c r="D1324" s="49" t="s">
        <v>283</v>
      </c>
      <c r="E1324" s="49" t="s">
        <v>2902</v>
      </c>
      <c r="F1324" s="50" t="n">
        <v>5</v>
      </c>
      <c r="G1324" s="49" t="s">
        <v>280</v>
      </c>
      <c r="H1324" s="51" t="n">
        <v>0.6266</v>
      </c>
      <c r="I1324" s="51" t="n">
        <v>0.3505</v>
      </c>
      <c r="J1324" s="51" t="n">
        <v>0.0228</v>
      </c>
      <c r="K1324" s="49"/>
      <c r="L1324" s="49"/>
      <c r="M1324" s="49"/>
      <c r="N1324" s="49"/>
      <c r="O1324" s="49"/>
      <c r="P1324" s="49"/>
      <c r="Q1324" s="49"/>
      <c r="R1324" s="49"/>
      <c r="S1324" s="49" t="n">
        <v>0</v>
      </c>
      <c r="T1324" s="49" t="n">
        <v>0</v>
      </c>
      <c r="U1324" s="49" t="s">
        <v>2903</v>
      </c>
    </row>
    <row r="1325" customFormat="false" ht="15" hidden="false" customHeight="false" outlineLevel="0" collapsed="false">
      <c r="B1325" s="48" t="n">
        <v>45408.5515277778</v>
      </c>
      <c r="C1325" s="4" t="n">
        <f aca="false">YEAR(B1325)</f>
        <v>2024</v>
      </c>
      <c r="D1325" s="49" t="s">
        <v>283</v>
      </c>
      <c r="E1325" s="49" t="s">
        <v>2904</v>
      </c>
      <c r="F1325" s="50" t="n">
        <v>1</v>
      </c>
      <c r="G1325" s="49" t="s">
        <v>290</v>
      </c>
      <c r="H1325" s="51" t="n">
        <v>0.0296</v>
      </c>
      <c r="I1325" s="51" t="n">
        <v>0.53</v>
      </c>
      <c r="J1325" s="51" t="n">
        <v>0.4404</v>
      </c>
      <c r="K1325" s="49"/>
      <c r="L1325" s="49"/>
      <c r="M1325" s="49"/>
      <c r="N1325" s="49"/>
      <c r="O1325" s="49"/>
      <c r="P1325" s="49"/>
      <c r="Q1325" s="49"/>
      <c r="R1325" s="49"/>
      <c r="S1325" s="49" t="n">
        <v>0</v>
      </c>
      <c r="T1325" s="49" t="n">
        <v>0</v>
      </c>
      <c r="U1325" s="49" t="s">
        <v>2905</v>
      </c>
    </row>
    <row r="1326" customFormat="false" ht="15" hidden="false" customHeight="false" outlineLevel="0" collapsed="false">
      <c r="B1326" s="48" t="n">
        <v>45408.6787615741</v>
      </c>
      <c r="C1326" s="4" t="n">
        <f aca="false">YEAR(B1326)</f>
        <v>2024</v>
      </c>
      <c r="D1326" s="49" t="s">
        <v>283</v>
      </c>
      <c r="E1326" s="49" t="s">
        <v>2906</v>
      </c>
      <c r="F1326" s="50" t="n">
        <v>1</v>
      </c>
      <c r="G1326" s="49" t="s">
        <v>290</v>
      </c>
      <c r="H1326" s="51" t="n">
        <v>0.1642</v>
      </c>
      <c r="I1326" s="51" t="n">
        <v>0.8021</v>
      </c>
      <c r="J1326" s="51" t="n">
        <v>0.0337</v>
      </c>
      <c r="K1326" s="49"/>
      <c r="L1326" s="49"/>
      <c r="M1326" s="49"/>
      <c r="N1326" s="49"/>
      <c r="O1326" s="49"/>
      <c r="P1326" s="49"/>
      <c r="Q1326" s="49"/>
      <c r="R1326" s="49" t="s">
        <v>281</v>
      </c>
      <c r="S1326" s="49" t="n">
        <v>0</v>
      </c>
      <c r="T1326" s="49" t="n">
        <v>0</v>
      </c>
      <c r="U1326" s="49" t="s">
        <v>2907</v>
      </c>
    </row>
    <row r="1327" customFormat="false" ht="15" hidden="false" customHeight="false" outlineLevel="0" collapsed="false">
      <c r="B1327" s="48" t="n">
        <v>45408.787337963</v>
      </c>
      <c r="C1327" s="4" t="n">
        <f aca="false">YEAR(B1327)</f>
        <v>2024</v>
      </c>
      <c r="D1327" s="49" t="s">
        <v>283</v>
      </c>
      <c r="E1327" s="49" t="s">
        <v>2908</v>
      </c>
      <c r="F1327" s="50" t="n">
        <v>1</v>
      </c>
      <c r="G1327" s="49" t="s">
        <v>280</v>
      </c>
      <c r="H1327" s="51" t="n">
        <v>0.7878</v>
      </c>
      <c r="I1327" s="51" t="n">
        <v>0.198</v>
      </c>
      <c r="J1327" s="51" t="n">
        <v>0.0142</v>
      </c>
      <c r="K1327" s="49"/>
      <c r="L1327" s="49"/>
      <c r="M1327" s="49"/>
      <c r="N1327" s="49"/>
      <c r="O1327" s="49"/>
      <c r="P1327" s="49"/>
      <c r="Q1327" s="49"/>
      <c r="R1327" s="49" t="s">
        <v>281</v>
      </c>
      <c r="S1327" s="49" t="n">
        <v>0</v>
      </c>
      <c r="T1327" s="49" t="n">
        <v>0</v>
      </c>
      <c r="U1327" s="49" t="s">
        <v>2909</v>
      </c>
    </row>
    <row r="1328" customFormat="false" ht="15" hidden="false" customHeight="false" outlineLevel="0" collapsed="false">
      <c r="B1328" s="48" t="n">
        <v>45408.8430902778</v>
      </c>
      <c r="C1328" s="4" t="n">
        <f aca="false">YEAR(B1328)</f>
        <v>2024</v>
      </c>
      <c r="D1328" s="49" t="s">
        <v>283</v>
      </c>
      <c r="E1328" s="49" t="s">
        <v>2910</v>
      </c>
      <c r="F1328" s="50" t="n">
        <v>1</v>
      </c>
      <c r="G1328" s="49" t="s">
        <v>280</v>
      </c>
      <c r="H1328" s="51" t="n">
        <v>0.5734</v>
      </c>
      <c r="I1328" s="51" t="n">
        <v>0.3648</v>
      </c>
      <c r="J1328" s="51" t="n">
        <v>0.0617</v>
      </c>
      <c r="K1328" s="49"/>
      <c r="L1328" s="49"/>
      <c r="M1328" s="49"/>
      <c r="N1328" s="49"/>
      <c r="O1328" s="49"/>
      <c r="P1328" s="49"/>
      <c r="Q1328" s="49"/>
      <c r="R1328" s="49"/>
      <c r="S1328" s="49" t="n">
        <v>0</v>
      </c>
      <c r="T1328" s="49" t="n">
        <v>0</v>
      </c>
      <c r="U1328" s="49" t="s">
        <v>2911</v>
      </c>
    </row>
    <row r="1329" customFormat="false" ht="15" hidden="false" customHeight="false" outlineLevel="0" collapsed="false">
      <c r="B1329" s="48" t="n">
        <v>45409.0143865741</v>
      </c>
      <c r="C1329" s="4" t="n">
        <f aca="false">YEAR(B1329)</f>
        <v>2024</v>
      </c>
      <c r="D1329" s="49" t="s">
        <v>283</v>
      </c>
      <c r="E1329" s="49" t="s">
        <v>2912</v>
      </c>
      <c r="F1329" s="50" t="n">
        <v>1</v>
      </c>
      <c r="G1329" s="49" t="s">
        <v>290</v>
      </c>
      <c r="H1329" s="51" t="n">
        <v>0.0359</v>
      </c>
      <c r="I1329" s="51" t="n">
        <v>0.9088</v>
      </c>
      <c r="J1329" s="51" t="n">
        <v>0.0554</v>
      </c>
      <c r="K1329" s="49"/>
      <c r="L1329" s="49"/>
      <c r="M1329" s="49" t="s">
        <v>281</v>
      </c>
      <c r="N1329" s="49"/>
      <c r="O1329" s="49"/>
      <c r="P1329" s="49"/>
      <c r="Q1329" s="49" t="s">
        <v>281</v>
      </c>
      <c r="R1329" s="49"/>
      <c r="S1329" s="49" t="n">
        <v>1</v>
      </c>
      <c r="T1329" s="49" t="n">
        <v>0</v>
      </c>
      <c r="U1329" s="49" t="s">
        <v>2913</v>
      </c>
    </row>
    <row r="1330" customFormat="false" ht="15" hidden="false" customHeight="false" outlineLevel="0" collapsed="false">
      <c r="B1330" s="48" t="n">
        <v>45409.0457060185</v>
      </c>
      <c r="C1330" s="4" t="n">
        <f aca="false">YEAR(B1330)</f>
        <v>2024</v>
      </c>
      <c r="D1330" s="49" t="s">
        <v>283</v>
      </c>
      <c r="E1330" s="49" t="s">
        <v>2914</v>
      </c>
      <c r="F1330" s="50" t="n">
        <v>13</v>
      </c>
      <c r="G1330" s="49" t="s">
        <v>287</v>
      </c>
      <c r="H1330" s="51" t="n">
        <v>0.007</v>
      </c>
      <c r="I1330" s="51" t="n">
        <v>0.2943</v>
      </c>
      <c r="J1330" s="51" t="n">
        <v>0.6987</v>
      </c>
      <c r="K1330" s="49"/>
      <c r="L1330" s="49"/>
      <c r="M1330" s="49"/>
      <c r="N1330" s="49"/>
      <c r="O1330" s="49"/>
      <c r="P1330" s="49"/>
      <c r="Q1330" s="49"/>
      <c r="R1330" s="49"/>
      <c r="S1330" s="49" t="n">
        <v>0</v>
      </c>
      <c r="T1330" s="49" t="n">
        <v>0</v>
      </c>
      <c r="U1330" s="49" t="s">
        <v>2915</v>
      </c>
    </row>
    <row r="1331" customFormat="false" ht="15" hidden="false" customHeight="false" outlineLevel="0" collapsed="false">
      <c r="B1331" s="48" t="n">
        <v>45409.0500231482</v>
      </c>
      <c r="C1331" s="4" t="n">
        <f aca="false">YEAR(B1331)</f>
        <v>2024</v>
      </c>
      <c r="D1331" s="49" t="s">
        <v>283</v>
      </c>
      <c r="E1331" s="49" t="s">
        <v>2916</v>
      </c>
      <c r="F1331" s="50" t="n">
        <v>60</v>
      </c>
      <c r="G1331" s="49" t="s">
        <v>280</v>
      </c>
      <c r="H1331" s="51" t="n">
        <v>0.8637</v>
      </c>
      <c r="I1331" s="51" t="n">
        <v>0.123</v>
      </c>
      <c r="J1331" s="51" t="n">
        <v>0.0133</v>
      </c>
      <c r="K1331" s="49" t="s">
        <v>281</v>
      </c>
      <c r="L1331" s="49"/>
      <c r="M1331" s="49"/>
      <c r="N1331" s="49"/>
      <c r="O1331" s="49"/>
      <c r="P1331" s="49"/>
      <c r="Q1331" s="49"/>
      <c r="R1331" s="49" t="s">
        <v>281</v>
      </c>
      <c r="S1331" s="49" t="n">
        <v>0</v>
      </c>
      <c r="T1331" s="49" t="n">
        <v>0</v>
      </c>
      <c r="U1331" s="49" t="s">
        <v>2917</v>
      </c>
    </row>
    <row r="1332" customFormat="false" ht="15" hidden="false" customHeight="false" outlineLevel="0" collapsed="false">
      <c r="B1332" s="48" t="n">
        <v>45409.5884143519</v>
      </c>
      <c r="C1332" s="4" t="n">
        <f aca="false">YEAR(B1332)</f>
        <v>2024</v>
      </c>
      <c r="D1332" s="49" t="s">
        <v>283</v>
      </c>
      <c r="E1332" s="49" t="s">
        <v>2918</v>
      </c>
      <c r="F1332" s="50" t="n">
        <v>1</v>
      </c>
      <c r="G1332" s="49" t="s">
        <v>290</v>
      </c>
      <c r="H1332" s="51" t="n">
        <v>0.0096</v>
      </c>
      <c r="I1332" s="51" t="n">
        <v>0.941</v>
      </c>
      <c r="J1332" s="51" t="n">
        <v>0.0494</v>
      </c>
      <c r="K1332" s="49"/>
      <c r="L1332" s="49"/>
      <c r="M1332" s="49"/>
      <c r="N1332" s="49"/>
      <c r="O1332" s="49"/>
      <c r="P1332" s="49"/>
      <c r="Q1332" s="49"/>
      <c r="R1332" s="49"/>
      <c r="S1332" s="49" t="n">
        <v>0</v>
      </c>
      <c r="T1332" s="49" t="n">
        <v>0</v>
      </c>
      <c r="U1332" s="49" t="s">
        <v>2919</v>
      </c>
    </row>
    <row r="1333" customFormat="false" ht="15" hidden="false" customHeight="false" outlineLevel="0" collapsed="false">
      <c r="B1333" s="48" t="n">
        <v>45410.162037037</v>
      </c>
      <c r="C1333" s="4" t="n">
        <f aca="false">YEAR(B1333)</f>
        <v>2024</v>
      </c>
      <c r="D1333" s="49" t="s">
        <v>278</v>
      </c>
      <c r="E1333" s="49" t="s">
        <v>2920</v>
      </c>
      <c r="F1333" s="50" t="n">
        <v>0</v>
      </c>
      <c r="G1333" s="49" t="s">
        <v>280</v>
      </c>
      <c r="H1333" s="51" t="n">
        <v>0.8802</v>
      </c>
      <c r="I1333" s="51" t="n">
        <v>0.1122</v>
      </c>
      <c r="J1333" s="51" t="n">
        <v>0.0076</v>
      </c>
      <c r="K1333" s="49"/>
      <c r="L1333" s="49"/>
      <c r="M1333" s="49"/>
      <c r="N1333" s="49"/>
      <c r="O1333" s="49"/>
      <c r="P1333" s="49"/>
      <c r="Q1333" s="49"/>
      <c r="R1333" s="49" t="s">
        <v>281</v>
      </c>
      <c r="S1333" s="49" t="n">
        <v>0</v>
      </c>
      <c r="T1333" s="49" t="n">
        <v>0</v>
      </c>
      <c r="U1333" s="49" t="s">
        <v>2921</v>
      </c>
    </row>
    <row r="1334" customFormat="false" ht="15" hidden="false" customHeight="false" outlineLevel="0" collapsed="false">
      <c r="B1334" s="48" t="n">
        <v>45410.6137037037</v>
      </c>
      <c r="C1334" s="4" t="n">
        <f aca="false">YEAR(B1334)</f>
        <v>2024</v>
      </c>
      <c r="D1334" s="49" t="s">
        <v>278</v>
      </c>
      <c r="E1334" s="49" t="s">
        <v>2922</v>
      </c>
      <c r="F1334" s="50" t="n">
        <v>0</v>
      </c>
      <c r="G1334" s="49" t="s">
        <v>280</v>
      </c>
      <c r="H1334" s="51" t="n">
        <v>0.5414</v>
      </c>
      <c r="I1334" s="51" t="n">
        <v>0.2447</v>
      </c>
      <c r="J1334" s="51" t="n">
        <v>0.2139</v>
      </c>
      <c r="K1334" s="49" t="s">
        <v>281</v>
      </c>
      <c r="L1334" s="49"/>
      <c r="M1334" s="49"/>
      <c r="N1334" s="49"/>
      <c r="O1334" s="49"/>
      <c r="P1334" s="49"/>
      <c r="Q1334" s="49"/>
      <c r="R1334" s="49" t="s">
        <v>281</v>
      </c>
      <c r="S1334" s="49" t="n">
        <v>0</v>
      </c>
      <c r="T1334" s="49" t="n">
        <v>0</v>
      </c>
      <c r="U1334" s="49" t="s">
        <v>2923</v>
      </c>
    </row>
    <row r="1335" customFormat="false" ht="15" hidden="false" customHeight="false" outlineLevel="0" collapsed="false">
      <c r="B1335" s="48" t="n">
        <v>45410.8908449074</v>
      </c>
      <c r="C1335" s="4" t="n">
        <f aca="false">YEAR(B1335)</f>
        <v>2024</v>
      </c>
      <c r="D1335" s="49" t="s">
        <v>283</v>
      </c>
      <c r="E1335" s="49" t="s">
        <v>2924</v>
      </c>
      <c r="F1335" s="50" t="n">
        <v>1</v>
      </c>
      <c r="G1335" s="49" t="s">
        <v>290</v>
      </c>
      <c r="H1335" s="51" t="n">
        <v>0.4869</v>
      </c>
      <c r="I1335" s="51" t="n">
        <v>0.4944</v>
      </c>
      <c r="J1335" s="51" t="n">
        <v>0.0187</v>
      </c>
      <c r="K1335" s="49"/>
      <c r="L1335" s="49"/>
      <c r="M1335" s="49"/>
      <c r="N1335" s="49"/>
      <c r="O1335" s="49"/>
      <c r="P1335" s="49"/>
      <c r="Q1335" s="49"/>
      <c r="R1335" s="49"/>
      <c r="S1335" s="49" t="n">
        <v>0</v>
      </c>
      <c r="T1335" s="49" t="n">
        <v>0</v>
      </c>
      <c r="U1335" s="49" t="s">
        <v>2925</v>
      </c>
    </row>
    <row r="1336" customFormat="false" ht="15" hidden="false" customHeight="false" outlineLevel="0" collapsed="false">
      <c r="B1336" s="48" t="n">
        <v>45410.9908912037</v>
      </c>
      <c r="C1336" s="4" t="n">
        <f aca="false">YEAR(B1336)</f>
        <v>2024</v>
      </c>
      <c r="D1336" s="49" t="s">
        <v>283</v>
      </c>
      <c r="E1336" s="49" t="s">
        <v>2926</v>
      </c>
      <c r="F1336" s="50" t="n">
        <v>1</v>
      </c>
      <c r="G1336" s="49" t="s">
        <v>290</v>
      </c>
      <c r="H1336" s="51" t="n">
        <v>0.0457</v>
      </c>
      <c r="I1336" s="51" t="n">
        <v>0.928</v>
      </c>
      <c r="J1336" s="51" t="n">
        <v>0.0263</v>
      </c>
      <c r="K1336" s="49"/>
      <c r="L1336" s="49"/>
      <c r="M1336" s="49"/>
      <c r="N1336" s="49"/>
      <c r="O1336" s="49"/>
      <c r="P1336" s="49"/>
      <c r="Q1336" s="49"/>
      <c r="R1336" s="49"/>
      <c r="S1336" s="49" t="n">
        <v>1</v>
      </c>
      <c r="T1336" s="49" t="n">
        <v>0</v>
      </c>
      <c r="U1336" s="49" t="s">
        <v>2927</v>
      </c>
    </row>
    <row r="1337" customFormat="false" ht="15" hidden="false" customHeight="false" outlineLevel="0" collapsed="false">
      <c r="B1337" s="48" t="n">
        <v>45411.1539467593</v>
      </c>
      <c r="C1337" s="4" t="n">
        <f aca="false">YEAR(B1337)</f>
        <v>2024</v>
      </c>
      <c r="D1337" s="49" t="s">
        <v>283</v>
      </c>
      <c r="E1337" s="49" t="s">
        <v>2928</v>
      </c>
      <c r="F1337" s="50" t="n">
        <v>1</v>
      </c>
      <c r="G1337" s="49" t="s">
        <v>290</v>
      </c>
      <c r="H1337" s="51" t="n">
        <v>0.0058</v>
      </c>
      <c r="I1337" s="51" t="n">
        <v>0.8572</v>
      </c>
      <c r="J1337" s="51" t="n">
        <v>0.137</v>
      </c>
      <c r="K1337" s="49"/>
      <c r="L1337" s="49"/>
      <c r="M1337" s="49"/>
      <c r="N1337" s="49"/>
      <c r="O1337" s="49"/>
      <c r="P1337" s="49"/>
      <c r="Q1337" s="49"/>
      <c r="R1337" s="49"/>
      <c r="S1337" s="49" t="n">
        <v>1</v>
      </c>
      <c r="T1337" s="49" t="n">
        <v>0</v>
      </c>
      <c r="U1337" s="49" t="s">
        <v>2929</v>
      </c>
    </row>
    <row r="1338" customFormat="false" ht="15" hidden="false" customHeight="false" outlineLevel="0" collapsed="false">
      <c r="B1338" s="48" t="n">
        <v>45411.2672222222</v>
      </c>
      <c r="C1338" s="4" t="n">
        <f aca="false">YEAR(B1338)</f>
        <v>2024</v>
      </c>
      <c r="D1338" s="49" t="s">
        <v>278</v>
      </c>
      <c r="E1338" s="49" t="s">
        <v>2930</v>
      </c>
      <c r="F1338" s="50" t="n">
        <v>17</v>
      </c>
      <c r="G1338" s="49" t="s">
        <v>280</v>
      </c>
      <c r="H1338" s="51" t="n">
        <v>0.7078</v>
      </c>
      <c r="I1338" s="51" t="n">
        <v>0.2774</v>
      </c>
      <c r="J1338" s="51" t="n">
        <v>0.0147</v>
      </c>
      <c r="K1338" s="49"/>
      <c r="L1338" s="49"/>
      <c r="M1338" s="49" t="s">
        <v>281</v>
      </c>
      <c r="N1338" s="49"/>
      <c r="O1338" s="49"/>
      <c r="P1338" s="49"/>
      <c r="Q1338" s="49" t="s">
        <v>281</v>
      </c>
      <c r="R1338" s="49"/>
      <c r="S1338" s="49" t="n">
        <v>0</v>
      </c>
      <c r="T1338" s="49" t="n">
        <v>0</v>
      </c>
      <c r="U1338" s="49" t="s">
        <v>2931</v>
      </c>
    </row>
    <row r="1339" customFormat="false" ht="15" hidden="false" customHeight="false" outlineLevel="0" collapsed="false">
      <c r="B1339" s="48" t="n">
        <v>45411.7504398148</v>
      </c>
      <c r="C1339" s="4" t="n">
        <f aca="false">YEAR(B1339)</f>
        <v>2024</v>
      </c>
      <c r="D1339" s="49" t="s">
        <v>283</v>
      </c>
      <c r="E1339" s="49" t="s">
        <v>2932</v>
      </c>
      <c r="F1339" s="50" t="n">
        <v>1</v>
      </c>
      <c r="G1339" s="49" t="s">
        <v>287</v>
      </c>
      <c r="H1339" s="51" t="n">
        <v>0.0094</v>
      </c>
      <c r="I1339" s="51" t="n">
        <v>0.4594</v>
      </c>
      <c r="J1339" s="51" t="n">
        <v>0.5312</v>
      </c>
      <c r="K1339" s="49"/>
      <c r="L1339" s="49"/>
      <c r="M1339" s="49"/>
      <c r="N1339" s="49"/>
      <c r="O1339" s="49"/>
      <c r="P1339" s="49"/>
      <c r="Q1339" s="49"/>
      <c r="R1339" s="49"/>
      <c r="S1339" s="49" t="n">
        <v>0</v>
      </c>
      <c r="T1339" s="49" t="n">
        <v>0</v>
      </c>
      <c r="U1339" s="49" t="s">
        <v>2933</v>
      </c>
    </row>
    <row r="1340" customFormat="false" ht="15" hidden="false" customHeight="false" outlineLevel="0" collapsed="false">
      <c r="B1340" s="48" t="n">
        <v>45411.7920023148</v>
      </c>
      <c r="C1340" s="4" t="n">
        <f aca="false">YEAR(B1340)</f>
        <v>2024</v>
      </c>
      <c r="D1340" s="49" t="s">
        <v>283</v>
      </c>
      <c r="E1340" s="49" t="s">
        <v>2934</v>
      </c>
      <c r="F1340" s="50" t="n">
        <v>6</v>
      </c>
      <c r="G1340" s="49" t="s">
        <v>287</v>
      </c>
      <c r="H1340" s="51" t="n">
        <v>0.0078</v>
      </c>
      <c r="I1340" s="51" t="n">
        <v>0.1663</v>
      </c>
      <c r="J1340" s="51" t="n">
        <v>0.8259</v>
      </c>
      <c r="K1340" s="49"/>
      <c r="L1340" s="49"/>
      <c r="M1340" s="49"/>
      <c r="N1340" s="49"/>
      <c r="O1340" s="49"/>
      <c r="P1340" s="49"/>
      <c r="Q1340" s="49"/>
      <c r="R1340" s="49"/>
      <c r="S1340" s="49" t="n">
        <v>0</v>
      </c>
      <c r="T1340" s="49" t="n">
        <v>0</v>
      </c>
      <c r="U1340" s="49" t="s">
        <v>2935</v>
      </c>
    </row>
    <row r="1341" customFormat="false" ht="15" hidden="false" customHeight="false" outlineLevel="0" collapsed="false">
      <c r="B1341" s="48" t="n">
        <v>45411.9445486111</v>
      </c>
      <c r="C1341" s="4" t="n">
        <f aca="false">YEAR(B1341)</f>
        <v>2024</v>
      </c>
      <c r="D1341" s="49" t="s">
        <v>283</v>
      </c>
      <c r="E1341" s="49" t="s">
        <v>2936</v>
      </c>
      <c r="F1341" s="50" t="n">
        <v>6</v>
      </c>
      <c r="G1341" s="49" t="s">
        <v>290</v>
      </c>
      <c r="H1341" s="51" t="n">
        <v>0.2711</v>
      </c>
      <c r="I1341" s="51" t="n">
        <v>0.4023</v>
      </c>
      <c r="J1341" s="51" t="n">
        <v>0.3266</v>
      </c>
      <c r="K1341" s="49"/>
      <c r="L1341" s="49"/>
      <c r="M1341" s="49"/>
      <c r="N1341" s="49"/>
      <c r="O1341" s="49"/>
      <c r="P1341" s="49" t="s">
        <v>281</v>
      </c>
      <c r="Q1341" s="49"/>
      <c r="R1341" s="49"/>
      <c r="S1341" s="49" t="n">
        <v>0</v>
      </c>
      <c r="T1341" s="49" t="n">
        <v>0</v>
      </c>
      <c r="U1341" s="49" t="s">
        <v>2937</v>
      </c>
    </row>
    <row r="1342" customFormat="false" ht="15" hidden="false" customHeight="false" outlineLevel="0" collapsed="false">
      <c r="B1342" s="48" t="n">
        <v>45412.0824768519</v>
      </c>
      <c r="C1342" s="4" t="n">
        <f aca="false">YEAR(B1342)</f>
        <v>2024</v>
      </c>
      <c r="D1342" s="49" t="s">
        <v>283</v>
      </c>
      <c r="E1342" s="49" t="s">
        <v>2938</v>
      </c>
      <c r="F1342" s="50" t="n">
        <v>1</v>
      </c>
      <c r="G1342" s="49" t="s">
        <v>290</v>
      </c>
      <c r="H1342" s="51" t="n">
        <v>0.034</v>
      </c>
      <c r="I1342" s="51" t="n">
        <v>0.6026</v>
      </c>
      <c r="J1342" s="51" t="n">
        <v>0.3634</v>
      </c>
      <c r="K1342" s="49"/>
      <c r="L1342" s="49"/>
      <c r="M1342" s="49"/>
      <c r="N1342" s="49"/>
      <c r="O1342" s="49"/>
      <c r="P1342" s="49"/>
      <c r="Q1342" s="49"/>
      <c r="R1342" s="49"/>
      <c r="S1342" s="49" t="n">
        <v>0</v>
      </c>
      <c r="T1342" s="49" t="n">
        <v>0</v>
      </c>
      <c r="U1342" s="49" t="s">
        <v>2939</v>
      </c>
    </row>
    <row r="1343" customFormat="false" ht="15" hidden="false" customHeight="false" outlineLevel="0" collapsed="false">
      <c r="B1343" s="48" t="n">
        <v>45412.7545949074</v>
      </c>
      <c r="C1343" s="4" t="n">
        <f aca="false">YEAR(B1343)</f>
        <v>2024</v>
      </c>
      <c r="D1343" s="49" t="s">
        <v>283</v>
      </c>
      <c r="E1343" s="49" t="s">
        <v>2940</v>
      </c>
      <c r="F1343" s="50" t="n">
        <v>0</v>
      </c>
      <c r="G1343" s="49" t="s">
        <v>280</v>
      </c>
      <c r="H1343" s="51" t="n">
        <v>0.9091</v>
      </c>
      <c r="I1343" s="51" t="n">
        <v>0.0842</v>
      </c>
      <c r="J1343" s="51" t="n">
        <v>0.0068</v>
      </c>
      <c r="K1343" s="49"/>
      <c r="L1343" s="49"/>
      <c r="M1343" s="49"/>
      <c r="N1343" s="49"/>
      <c r="O1343" s="49"/>
      <c r="P1343" s="49"/>
      <c r="Q1343" s="49"/>
      <c r="R1343" s="49" t="s">
        <v>281</v>
      </c>
      <c r="S1343" s="49" t="n">
        <v>0</v>
      </c>
      <c r="T1343" s="49" t="n">
        <v>0</v>
      </c>
      <c r="U1343" s="49" t="s">
        <v>2941</v>
      </c>
    </row>
    <row r="1344" customFormat="false" ht="15" hidden="false" customHeight="false" outlineLevel="0" collapsed="false">
      <c r="B1344" s="48" t="n">
        <v>45413.5592939815</v>
      </c>
      <c r="C1344" s="4" t="n">
        <f aca="false">YEAR(B1344)</f>
        <v>2024</v>
      </c>
      <c r="D1344" s="49" t="s">
        <v>283</v>
      </c>
      <c r="E1344" s="49" t="s">
        <v>2942</v>
      </c>
      <c r="F1344" s="50" t="n">
        <v>1</v>
      </c>
      <c r="G1344" s="49" t="s">
        <v>280</v>
      </c>
      <c r="H1344" s="51" t="n">
        <v>0.9105</v>
      </c>
      <c r="I1344" s="51" t="n">
        <v>0.0838</v>
      </c>
      <c r="J1344" s="51" t="n">
        <v>0.0057</v>
      </c>
      <c r="K1344" s="49"/>
      <c r="L1344" s="49"/>
      <c r="M1344" s="49"/>
      <c r="N1344" s="49"/>
      <c r="O1344" s="49"/>
      <c r="P1344" s="49"/>
      <c r="Q1344" s="49"/>
      <c r="R1344" s="49" t="s">
        <v>281</v>
      </c>
      <c r="S1344" s="49" t="n">
        <v>0</v>
      </c>
      <c r="T1344" s="49" t="n">
        <v>0</v>
      </c>
      <c r="U1344" s="49" t="s">
        <v>2943</v>
      </c>
    </row>
    <row r="1345" customFormat="false" ht="15" hidden="false" customHeight="false" outlineLevel="0" collapsed="false">
      <c r="B1345" s="48" t="n">
        <v>45413.8827662037</v>
      </c>
      <c r="C1345" s="4" t="n">
        <f aca="false">YEAR(B1345)</f>
        <v>2024</v>
      </c>
      <c r="D1345" s="49" t="s">
        <v>283</v>
      </c>
      <c r="E1345" s="49" t="s">
        <v>2944</v>
      </c>
      <c r="F1345" s="50" t="n">
        <v>1</v>
      </c>
      <c r="G1345" s="49" t="s">
        <v>280</v>
      </c>
      <c r="H1345" s="51" t="n">
        <v>0.5505</v>
      </c>
      <c r="I1345" s="51" t="n">
        <v>0.4164</v>
      </c>
      <c r="J1345" s="51" t="n">
        <v>0.0331</v>
      </c>
      <c r="K1345" s="49"/>
      <c r="L1345" s="49"/>
      <c r="M1345" s="49"/>
      <c r="N1345" s="49"/>
      <c r="O1345" s="49"/>
      <c r="P1345" s="49"/>
      <c r="Q1345" s="49"/>
      <c r="R1345" s="49"/>
      <c r="S1345" s="49" t="n">
        <v>0</v>
      </c>
      <c r="T1345" s="49" t="n">
        <v>0</v>
      </c>
      <c r="U1345" s="49" t="s">
        <v>2945</v>
      </c>
    </row>
    <row r="1346" customFormat="false" ht="15" hidden="false" customHeight="false" outlineLevel="0" collapsed="false">
      <c r="B1346" s="48" t="n">
        <v>45414.7386342593</v>
      </c>
      <c r="C1346" s="4" t="n">
        <f aca="false">YEAR(B1346)</f>
        <v>2024</v>
      </c>
      <c r="D1346" s="49" t="s">
        <v>283</v>
      </c>
      <c r="E1346" s="49" t="s">
        <v>2946</v>
      </c>
      <c r="F1346" s="50" t="n">
        <v>13</v>
      </c>
      <c r="G1346" s="49" t="s">
        <v>287</v>
      </c>
      <c r="H1346" s="51" t="n">
        <v>0.0018</v>
      </c>
      <c r="I1346" s="51" t="n">
        <v>0.0075</v>
      </c>
      <c r="J1346" s="51" t="n">
        <v>0.9907</v>
      </c>
      <c r="K1346" s="49"/>
      <c r="L1346" s="49"/>
      <c r="M1346" s="49"/>
      <c r="N1346" s="49"/>
      <c r="O1346" s="49"/>
      <c r="P1346" s="49"/>
      <c r="Q1346" s="49"/>
      <c r="R1346" s="49"/>
      <c r="S1346" s="49" t="n">
        <v>0</v>
      </c>
      <c r="T1346" s="49" t="n">
        <v>0</v>
      </c>
      <c r="U1346" s="49" t="s">
        <v>2947</v>
      </c>
    </row>
    <row r="1347" customFormat="false" ht="15" hidden="false" customHeight="false" outlineLevel="0" collapsed="false">
      <c r="B1347" s="48" t="n">
        <v>45414.8730555556</v>
      </c>
      <c r="C1347" s="4" t="n">
        <f aca="false">YEAR(B1347)</f>
        <v>2024</v>
      </c>
      <c r="D1347" s="49" t="s">
        <v>283</v>
      </c>
      <c r="E1347" s="49" t="s">
        <v>2948</v>
      </c>
      <c r="F1347" s="50" t="n">
        <v>1</v>
      </c>
      <c r="G1347" s="49" t="s">
        <v>280</v>
      </c>
      <c r="H1347" s="51" t="n">
        <v>0.6462</v>
      </c>
      <c r="I1347" s="51" t="n">
        <v>0.3422</v>
      </c>
      <c r="J1347" s="51" t="n">
        <v>0.0116</v>
      </c>
      <c r="K1347" s="49" t="s">
        <v>281</v>
      </c>
      <c r="L1347" s="49"/>
      <c r="M1347" s="49"/>
      <c r="N1347" s="49"/>
      <c r="O1347" s="49"/>
      <c r="P1347" s="49"/>
      <c r="Q1347" s="49"/>
      <c r="R1347" s="49" t="s">
        <v>281</v>
      </c>
      <c r="S1347" s="49" t="n">
        <v>0</v>
      </c>
      <c r="T1347" s="49" t="n">
        <v>0</v>
      </c>
      <c r="U1347" s="49" t="s">
        <v>2949</v>
      </c>
    </row>
    <row r="1348" customFormat="false" ht="15" hidden="false" customHeight="false" outlineLevel="0" collapsed="false">
      <c r="B1348" s="48" t="n">
        <v>45415.6000347222</v>
      </c>
      <c r="C1348" s="4" t="n">
        <f aca="false">YEAR(B1348)</f>
        <v>2024</v>
      </c>
      <c r="D1348" s="49" t="s">
        <v>283</v>
      </c>
      <c r="E1348" s="49" t="s">
        <v>2950</v>
      </c>
      <c r="F1348" s="50" t="n">
        <v>39</v>
      </c>
      <c r="G1348" s="49" t="s">
        <v>287</v>
      </c>
      <c r="H1348" s="51" t="n">
        <v>0.0054</v>
      </c>
      <c r="I1348" s="51" t="n">
        <v>0.1384</v>
      </c>
      <c r="J1348" s="51" t="n">
        <v>0.8562</v>
      </c>
      <c r="K1348" s="49"/>
      <c r="L1348" s="49"/>
      <c r="M1348" s="49"/>
      <c r="N1348" s="49"/>
      <c r="O1348" s="49"/>
      <c r="P1348" s="49"/>
      <c r="Q1348" s="49"/>
      <c r="R1348" s="49"/>
      <c r="S1348" s="49" t="n">
        <v>0</v>
      </c>
      <c r="T1348" s="49" t="n">
        <v>0</v>
      </c>
      <c r="U1348" s="49" t="s">
        <v>2951</v>
      </c>
    </row>
    <row r="1349" customFormat="false" ht="15" hidden="false" customHeight="false" outlineLevel="0" collapsed="false">
      <c r="B1349" s="48" t="n">
        <v>45415.9807407407</v>
      </c>
      <c r="C1349" s="4" t="n">
        <f aca="false">YEAR(B1349)</f>
        <v>2024</v>
      </c>
      <c r="D1349" s="49" t="s">
        <v>283</v>
      </c>
      <c r="E1349" s="49" t="s">
        <v>2952</v>
      </c>
      <c r="F1349" s="50" t="n">
        <v>1</v>
      </c>
      <c r="G1349" s="49" t="s">
        <v>290</v>
      </c>
      <c r="H1349" s="51" t="n">
        <v>0.0153</v>
      </c>
      <c r="I1349" s="51" t="n">
        <v>0.8942</v>
      </c>
      <c r="J1349" s="51" t="n">
        <v>0.0905</v>
      </c>
      <c r="K1349" s="49"/>
      <c r="L1349" s="49"/>
      <c r="M1349" s="49"/>
      <c r="N1349" s="49"/>
      <c r="O1349" s="49"/>
      <c r="P1349" s="49"/>
      <c r="Q1349" s="49"/>
      <c r="R1349" s="49"/>
      <c r="S1349" s="49" t="n">
        <v>0</v>
      </c>
      <c r="T1349" s="49" t="n">
        <v>0</v>
      </c>
      <c r="U1349" s="49" t="s">
        <v>2953</v>
      </c>
    </row>
    <row r="1350" customFormat="false" ht="15" hidden="false" customHeight="false" outlineLevel="0" collapsed="false">
      <c r="B1350" s="48" t="n">
        <v>45416.2777083333</v>
      </c>
      <c r="C1350" s="4" t="n">
        <f aca="false">YEAR(B1350)</f>
        <v>2024</v>
      </c>
      <c r="D1350" s="49" t="s">
        <v>283</v>
      </c>
      <c r="E1350" s="49" t="s">
        <v>2954</v>
      </c>
      <c r="F1350" s="50" t="n">
        <v>37</v>
      </c>
      <c r="G1350" s="49" t="s">
        <v>287</v>
      </c>
      <c r="H1350" s="51" t="n">
        <v>0.0039</v>
      </c>
      <c r="I1350" s="51" t="n">
        <v>0.3011</v>
      </c>
      <c r="J1350" s="51" t="n">
        <v>0.695</v>
      </c>
      <c r="K1350" s="49"/>
      <c r="L1350" s="49"/>
      <c r="M1350" s="49"/>
      <c r="N1350" s="49"/>
      <c r="O1350" s="49"/>
      <c r="P1350" s="49"/>
      <c r="Q1350" s="49"/>
      <c r="R1350" s="49"/>
      <c r="S1350" s="49" t="n">
        <v>0</v>
      </c>
      <c r="T1350" s="49" t="n">
        <v>0</v>
      </c>
      <c r="U1350" s="49" t="s">
        <v>2955</v>
      </c>
    </row>
    <row r="1351" customFormat="false" ht="15" hidden="false" customHeight="false" outlineLevel="0" collapsed="false">
      <c r="B1351" s="48" t="n">
        <v>45416.769212963</v>
      </c>
      <c r="C1351" s="4" t="n">
        <f aca="false">YEAR(B1351)</f>
        <v>2024</v>
      </c>
      <c r="D1351" s="49" t="s">
        <v>283</v>
      </c>
      <c r="E1351" s="49" t="s">
        <v>2956</v>
      </c>
      <c r="F1351" s="50" t="n">
        <v>1</v>
      </c>
      <c r="G1351" s="49" t="s">
        <v>280</v>
      </c>
      <c r="H1351" s="51" t="n">
        <v>0.7204</v>
      </c>
      <c r="I1351" s="51" t="n">
        <v>0.2701</v>
      </c>
      <c r="J1351" s="51" t="n">
        <v>0.0094</v>
      </c>
      <c r="K1351" s="49"/>
      <c r="L1351" s="49"/>
      <c r="M1351" s="49"/>
      <c r="N1351" s="49"/>
      <c r="O1351" s="49"/>
      <c r="P1351" s="49"/>
      <c r="Q1351" s="49"/>
      <c r="R1351" s="49" t="s">
        <v>281</v>
      </c>
      <c r="S1351" s="49" t="n">
        <v>1</v>
      </c>
      <c r="T1351" s="49" t="n">
        <v>0</v>
      </c>
      <c r="U1351" s="49" t="s">
        <v>2957</v>
      </c>
    </row>
    <row r="1352" customFormat="false" ht="15" hidden="false" customHeight="false" outlineLevel="0" collapsed="false">
      <c r="B1352" s="48" t="n">
        <v>45417.0310300926</v>
      </c>
      <c r="C1352" s="4" t="n">
        <f aca="false">YEAR(B1352)</f>
        <v>2024</v>
      </c>
      <c r="D1352" s="49" t="s">
        <v>283</v>
      </c>
      <c r="E1352" s="49" t="s">
        <v>2958</v>
      </c>
      <c r="F1352" s="50" t="n">
        <v>1</v>
      </c>
      <c r="G1352" s="49" t="s">
        <v>290</v>
      </c>
      <c r="H1352" s="51" t="n">
        <v>0.0075</v>
      </c>
      <c r="I1352" s="51" t="n">
        <v>0.9241</v>
      </c>
      <c r="J1352" s="51" t="n">
        <v>0.0684</v>
      </c>
      <c r="K1352" s="49"/>
      <c r="L1352" s="49"/>
      <c r="M1352" s="49"/>
      <c r="N1352" s="49"/>
      <c r="O1352" s="49"/>
      <c r="P1352" s="49"/>
      <c r="Q1352" s="49" t="s">
        <v>281</v>
      </c>
      <c r="R1352" s="49"/>
      <c r="S1352" s="49" t="n">
        <v>0</v>
      </c>
      <c r="T1352" s="49" t="n">
        <v>0</v>
      </c>
      <c r="U1352" s="49" t="s">
        <v>2959</v>
      </c>
    </row>
    <row r="1353" customFormat="false" ht="15" hidden="false" customHeight="false" outlineLevel="0" collapsed="false">
      <c r="B1353" s="48" t="n">
        <v>45417.6399768519</v>
      </c>
      <c r="C1353" s="4" t="n">
        <f aca="false">YEAR(B1353)</f>
        <v>2024</v>
      </c>
      <c r="D1353" s="49" t="s">
        <v>283</v>
      </c>
      <c r="E1353" s="49" t="s">
        <v>2960</v>
      </c>
      <c r="F1353" s="50" t="n">
        <v>1</v>
      </c>
      <c r="G1353" s="49" t="s">
        <v>290</v>
      </c>
      <c r="H1353" s="51" t="n">
        <v>0.1229</v>
      </c>
      <c r="I1353" s="51" t="n">
        <v>0.7977</v>
      </c>
      <c r="J1353" s="51" t="n">
        <v>0.0794</v>
      </c>
      <c r="K1353" s="49"/>
      <c r="L1353" s="49"/>
      <c r="M1353" s="49"/>
      <c r="N1353" s="49"/>
      <c r="O1353" s="49"/>
      <c r="P1353" s="49"/>
      <c r="Q1353" s="49"/>
      <c r="R1353" s="49"/>
      <c r="S1353" s="49" t="n">
        <v>0</v>
      </c>
      <c r="T1353" s="49" t="n">
        <v>0</v>
      </c>
      <c r="U1353" s="49" t="s">
        <v>2961</v>
      </c>
    </row>
    <row r="1354" customFormat="false" ht="15" hidden="false" customHeight="false" outlineLevel="0" collapsed="false">
      <c r="B1354" s="48" t="n">
        <v>45417.759375</v>
      </c>
      <c r="C1354" s="4" t="n">
        <f aca="false">YEAR(B1354)</f>
        <v>2024</v>
      </c>
      <c r="D1354" s="49" t="s">
        <v>283</v>
      </c>
      <c r="E1354" s="49" t="s">
        <v>2962</v>
      </c>
      <c r="F1354" s="50" t="n">
        <v>1</v>
      </c>
      <c r="G1354" s="49" t="s">
        <v>290</v>
      </c>
      <c r="H1354" s="51" t="n">
        <v>0.0843</v>
      </c>
      <c r="I1354" s="51" t="n">
        <v>0.8634</v>
      </c>
      <c r="J1354" s="51" t="n">
        <v>0.0523</v>
      </c>
      <c r="K1354" s="49"/>
      <c r="L1354" s="49"/>
      <c r="M1354" s="49"/>
      <c r="N1354" s="49"/>
      <c r="O1354" s="49"/>
      <c r="P1354" s="49"/>
      <c r="Q1354" s="49"/>
      <c r="R1354" s="49"/>
      <c r="S1354" s="49" t="n">
        <v>0</v>
      </c>
      <c r="T1354" s="49" t="n">
        <v>0</v>
      </c>
      <c r="U1354" s="49" t="s">
        <v>2963</v>
      </c>
    </row>
    <row r="1355" customFormat="false" ht="15" hidden="false" customHeight="false" outlineLevel="0" collapsed="false">
      <c r="B1355" s="48" t="n">
        <v>45418.2437615741</v>
      </c>
      <c r="C1355" s="4" t="n">
        <f aca="false">YEAR(B1355)</f>
        <v>2024</v>
      </c>
      <c r="D1355" s="49" t="s">
        <v>283</v>
      </c>
      <c r="E1355" s="49" t="s">
        <v>2964</v>
      </c>
      <c r="F1355" s="50" t="n">
        <v>42</v>
      </c>
      <c r="G1355" s="49" t="s">
        <v>290</v>
      </c>
      <c r="H1355" s="51" t="n">
        <v>0.0436</v>
      </c>
      <c r="I1355" s="51" t="n">
        <v>0.761</v>
      </c>
      <c r="J1355" s="51" t="n">
        <v>0.1953</v>
      </c>
      <c r="K1355" s="49"/>
      <c r="L1355" s="49"/>
      <c r="M1355" s="49"/>
      <c r="N1355" s="49"/>
      <c r="O1355" s="49"/>
      <c r="P1355" s="49"/>
      <c r="Q1355" s="49"/>
      <c r="R1355" s="49"/>
      <c r="S1355" s="49" t="n">
        <v>0</v>
      </c>
      <c r="T1355" s="49" t="n">
        <v>0</v>
      </c>
      <c r="U1355" s="49" t="s">
        <v>2965</v>
      </c>
    </row>
    <row r="1356" customFormat="false" ht="15" hidden="false" customHeight="false" outlineLevel="0" collapsed="false">
      <c r="B1356" s="48" t="n">
        <v>45418.5680902778</v>
      </c>
      <c r="C1356" s="4" t="n">
        <f aca="false">YEAR(B1356)</f>
        <v>2024</v>
      </c>
      <c r="D1356" s="49" t="s">
        <v>283</v>
      </c>
      <c r="E1356" s="49" t="s">
        <v>2966</v>
      </c>
      <c r="F1356" s="50" t="n">
        <v>1</v>
      </c>
      <c r="G1356" s="49" t="s">
        <v>290</v>
      </c>
      <c r="H1356" s="51" t="n">
        <v>0.0066</v>
      </c>
      <c r="I1356" s="51" t="n">
        <v>0.8533</v>
      </c>
      <c r="J1356" s="51" t="n">
        <v>0.1401</v>
      </c>
      <c r="K1356" s="49"/>
      <c r="L1356" s="49"/>
      <c r="M1356" s="49"/>
      <c r="N1356" s="49"/>
      <c r="O1356" s="49"/>
      <c r="P1356" s="49"/>
      <c r="Q1356" s="49"/>
      <c r="R1356" s="49"/>
      <c r="S1356" s="49" t="n">
        <v>1</v>
      </c>
      <c r="T1356" s="49" t="n">
        <v>0</v>
      </c>
      <c r="U1356" s="49" t="s">
        <v>2967</v>
      </c>
    </row>
    <row r="1357" customFormat="false" ht="15" hidden="false" customHeight="false" outlineLevel="0" collapsed="false">
      <c r="B1357" s="48" t="n">
        <v>45418.5836226852</v>
      </c>
      <c r="C1357" s="4" t="n">
        <f aca="false">YEAR(B1357)</f>
        <v>2024</v>
      </c>
      <c r="D1357" s="49" t="s">
        <v>283</v>
      </c>
      <c r="E1357" s="49" t="s">
        <v>2968</v>
      </c>
      <c r="F1357" s="50" t="n">
        <v>6</v>
      </c>
      <c r="G1357" s="49" t="s">
        <v>280</v>
      </c>
      <c r="H1357" s="51" t="n">
        <v>0.8536</v>
      </c>
      <c r="I1357" s="51" t="n">
        <v>0.1379</v>
      </c>
      <c r="J1357" s="51" t="n">
        <v>0.0084</v>
      </c>
      <c r="K1357" s="49" t="s">
        <v>281</v>
      </c>
      <c r="L1357" s="49"/>
      <c r="M1357" s="49"/>
      <c r="N1357" s="49"/>
      <c r="O1357" s="49"/>
      <c r="P1357" s="49"/>
      <c r="Q1357" s="49"/>
      <c r="R1357" s="49" t="s">
        <v>281</v>
      </c>
      <c r="S1357" s="49" t="n">
        <v>0</v>
      </c>
      <c r="T1357" s="49" t="n">
        <v>0</v>
      </c>
      <c r="U1357" s="49" t="s">
        <v>2969</v>
      </c>
    </row>
    <row r="1358" customFormat="false" ht="15" hidden="false" customHeight="false" outlineLevel="0" collapsed="false">
      <c r="B1358" s="48" t="n">
        <v>45419.6860185185</v>
      </c>
      <c r="C1358" s="4" t="n">
        <f aca="false">YEAR(B1358)</f>
        <v>2024</v>
      </c>
      <c r="D1358" s="49" t="s">
        <v>283</v>
      </c>
      <c r="E1358" s="49" t="s">
        <v>2970</v>
      </c>
      <c r="F1358" s="50" t="n">
        <v>1</v>
      </c>
      <c r="G1358" s="49" t="s">
        <v>290</v>
      </c>
      <c r="H1358" s="51" t="n">
        <v>0.2297</v>
      </c>
      <c r="I1358" s="51" t="n">
        <v>0.7172</v>
      </c>
      <c r="J1358" s="51" t="n">
        <v>0.0531</v>
      </c>
      <c r="K1358" s="49"/>
      <c r="L1358" s="49"/>
      <c r="M1358" s="49"/>
      <c r="N1358" s="49"/>
      <c r="O1358" s="49"/>
      <c r="P1358" s="49"/>
      <c r="Q1358" s="49"/>
      <c r="R1358" s="49"/>
      <c r="S1358" s="49" t="n">
        <v>0</v>
      </c>
      <c r="T1358" s="49" t="n">
        <v>0</v>
      </c>
      <c r="U1358" s="49" t="s">
        <v>2971</v>
      </c>
    </row>
    <row r="1359" customFormat="false" ht="15" hidden="false" customHeight="false" outlineLevel="0" collapsed="false">
      <c r="B1359" s="48" t="n">
        <v>45421.2561921296</v>
      </c>
      <c r="C1359" s="4" t="n">
        <f aca="false">YEAR(B1359)</f>
        <v>2024</v>
      </c>
      <c r="D1359" s="49" t="s">
        <v>283</v>
      </c>
      <c r="E1359" s="49" t="s">
        <v>2972</v>
      </c>
      <c r="F1359" s="50" t="n">
        <v>3</v>
      </c>
      <c r="G1359" s="49" t="s">
        <v>287</v>
      </c>
      <c r="H1359" s="51" t="n">
        <v>0.0075</v>
      </c>
      <c r="I1359" s="51" t="n">
        <v>0.0651</v>
      </c>
      <c r="J1359" s="51" t="n">
        <v>0.9274</v>
      </c>
      <c r="K1359" s="49"/>
      <c r="L1359" s="49"/>
      <c r="M1359" s="49"/>
      <c r="N1359" s="49"/>
      <c r="O1359" s="49"/>
      <c r="P1359" s="49"/>
      <c r="Q1359" s="49"/>
      <c r="R1359" s="49"/>
      <c r="S1359" s="49" t="n">
        <v>0</v>
      </c>
      <c r="T1359" s="49" t="n">
        <v>0</v>
      </c>
      <c r="U1359" s="49" t="s">
        <v>2973</v>
      </c>
    </row>
    <row r="1360" customFormat="false" ht="15" hidden="false" customHeight="false" outlineLevel="0" collapsed="false">
      <c r="B1360" s="48" t="n">
        <v>45421.5537615741</v>
      </c>
      <c r="C1360" s="4" t="n">
        <f aca="false">YEAR(B1360)</f>
        <v>2024</v>
      </c>
      <c r="D1360" s="49" t="s">
        <v>283</v>
      </c>
      <c r="E1360" s="49" t="s">
        <v>2974</v>
      </c>
      <c r="F1360" s="50" t="n">
        <v>93</v>
      </c>
      <c r="G1360" s="49" t="s">
        <v>290</v>
      </c>
      <c r="H1360" s="51" t="n">
        <v>0.1516</v>
      </c>
      <c r="I1360" s="51" t="n">
        <v>0.4621</v>
      </c>
      <c r="J1360" s="51" t="n">
        <v>0.3862</v>
      </c>
      <c r="K1360" s="49"/>
      <c r="L1360" s="49"/>
      <c r="M1360" s="49"/>
      <c r="N1360" s="49"/>
      <c r="O1360" s="49"/>
      <c r="P1360" s="49"/>
      <c r="Q1360" s="49"/>
      <c r="R1360" s="49"/>
      <c r="S1360" s="49" t="n">
        <v>0</v>
      </c>
      <c r="T1360" s="49" t="n">
        <v>0</v>
      </c>
      <c r="U1360" s="49" t="s">
        <v>2975</v>
      </c>
    </row>
    <row r="1361" customFormat="false" ht="15" hidden="false" customHeight="false" outlineLevel="0" collapsed="false">
      <c r="B1361" s="48" t="n">
        <v>45421.6754050926</v>
      </c>
      <c r="C1361" s="4" t="n">
        <f aca="false">YEAR(B1361)</f>
        <v>2024</v>
      </c>
      <c r="D1361" s="49" t="s">
        <v>283</v>
      </c>
      <c r="E1361" s="49" t="s">
        <v>2976</v>
      </c>
      <c r="F1361" s="50" t="n">
        <v>1</v>
      </c>
      <c r="G1361" s="49" t="s">
        <v>290</v>
      </c>
      <c r="H1361" s="51" t="n">
        <v>0.0084</v>
      </c>
      <c r="I1361" s="51" t="n">
        <v>0.9366</v>
      </c>
      <c r="J1361" s="51" t="n">
        <v>0.055</v>
      </c>
      <c r="K1361" s="49"/>
      <c r="L1361" s="49"/>
      <c r="M1361" s="49"/>
      <c r="N1361" s="49"/>
      <c r="O1361" s="49"/>
      <c r="P1361" s="49"/>
      <c r="Q1361" s="49"/>
      <c r="R1361" s="49"/>
      <c r="S1361" s="49" t="n">
        <v>1</v>
      </c>
      <c r="T1361" s="49" t="n">
        <v>0</v>
      </c>
      <c r="U1361" s="49" t="s">
        <v>2977</v>
      </c>
    </row>
    <row r="1362" customFormat="false" ht="15" hidden="false" customHeight="false" outlineLevel="0" collapsed="false">
      <c r="B1362" s="48" t="n">
        <v>45421.885787037</v>
      </c>
      <c r="C1362" s="4" t="n">
        <f aca="false">YEAR(B1362)</f>
        <v>2024</v>
      </c>
      <c r="D1362" s="49" t="s">
        <v>283</v>
      </c>
      <c r="E1362" s="49" t="s">
        <v>2978</v>
      </c>
      <c r="F1362" s="50" t="n">
        <v>1</v>
      </c>
      <c r="G1362" s="49" t="s">
        <v>290</v>
      </c>
      <c r="H1362" s="51" t="n">
        <v>0.0092</v>
      </c>
      <c r="I1362" s="51" t="n">
        <v>0.5311</v>
      </c>
      <c r="J1362" s="51" t="n">
        <v>0.4597</v>
      </c>
      <c r="K1362" s="49"/>
      <c r="L1362" s="49"/>
      <c r="M1362" s="49"/>
      <c r="N1362" s="49"/>
      <c r="O1362" s="49"/>
      <c r="P1362" s="49"/>
      <c r="Q1362" s="49"/>
      <c r="R1362" s="49"/>
      <c r="S1362" s="49" t="n">
        <v>0</v>
      </c>
      <c r="T1362" s="49" t="n">
        <v>0</v>
      </c>
      <c r="U1362" s="49" t="s">
        <v>2979</v>
      </c>
    </row>
    <row r="1363" customFormat="false" ht="15" hidden="false" customHeight="false" outlineLevel="0" collapsed="false">
      <c r="B1363" s="48" t="n">
        <v>45421.9151041667</v>
      </c>
      <c r="C1363" s="4" t="n">
        <f aca="false">YEAR(B1363)</f>
        <v>2024</v>
      </c>
      <c r="D1363" s="49" t="s">
        <v>283</v>
      </c>
      <c r="E1363" s="49" t="s">
        <v>2980</v>
      </c>
      <c r="F1363" s="50" t="n">
        <v>180</v>
      </c>
      <c r="G1363" s="49" t="s">
        <v>287</v>
      </c>
      <c r="H1363" s="51" t="n">
        <v>0.0032</v>
      </c>
      <c r="I1363" s="51" t="n">
        <v>0.0373</v>
      </c>
      <c r="J1363" s="51" t="n">
        <v>0.9596</v>
      </c>
      <c r="K1363" s="49"/>
      <c r="L1363" s="49"/>
      <c r="M1363" s="49"/>
      <c r="N1363" s="49"/>
      <c r="O1363" s="49"/>
      <c r="P1363" s="49"/>
      <c r="Q1363" s="49"/>
      <c r="R1363" s="49"/>
      <c r="S1363" s="49" t="n">
        <v>0</v>
      </c>
      <c r="T1363" s="49" t="n">
        <v>0</v>
      </c>
      <c r="U1363" s="49" t="s">
        <v>2981</v>
      </c>
    </row>
    <row r="1364" customFormat="false" ht="15" hidden="false" customHeight="false" outlineLevel="0" collapsed="false">
      <c r="B1364" s="48" t="n">
        <v>45422.4057638889</v>
      </c>
      <c r="C1364" s="4" t="n">
        <f aca="false">YEAR(B1364)</f>
        <v>2024</v>
      </c>
      <c r="D1364" s="49" t="s">
        <v>283</v>
      </c>
      <c r="E1364" s="49" t="s">
        <v>2982</v>
      </c>
      <c r="F1364" s="50" t="n">
        <v>2</v>
      </c>
      <c r="G1364" s="49" t="s">
        <v>280</v>
      </c>
      <c r="H1364" s="51" t="n">
        <v>0.5942</v>
      </c>
      <c r="I1364" s="51" t="n">
        <v>0.3229</v>
      </c>
      <c r="J1364" s="51" t="n">
        <v>0.0828</v>
      </c>
      <c r="K1364" s="49"/>
      <c r="L1364" s="49"/>
      <c r="M1364" s="49"/>
      <c r="N1364" s="49"/>
      <c r="O1364" s="49"/>
      <c r="P1364" s="49"/>
      <c r="Q1364" s="49"/>
      <c r="R1364" s="49"/>
      <c r="S1364" s="49" t="n">
        <v>0</v>
      </c>
      <c r="T1364" s="49" t="n">
        <v>0</v>
      </c>
      <c r="U1364" s="49" t="s">
        <v>2983</v>
      </c>
    </row>
    <row r="1365" customFormat="false" ht="15" hidden="false" customHeight="false" outlineLevel="0" collapsed="false">
      <c r="B1365" s="48" t="n">
        <v>45422.4230902778</v>
      </c>
      <c r="C1365" s="4" t="n">
        <f aca="false">YEAR(B1365)</f>
        <v>2024</v>
      </c>
      <c r="D1365" s="49" t="s">
        <v>283</v>
      </c>
      <c r="E1365" s="49" t="s">
        <v>2984</v>
      </c>
      <c r="F1365" s="50" t="n">
        <v>1</v>
      </c>
      <c r="G1365" s="49" t="s">
        <v>290</v>
      </c>
      <c r="H1365" s="51" t="n">
        <v>0.0061</v>
      </c>
      <c r="I1365" s="51" t="n">
        <v>0.5695</v>
      </c>
      <c r="J1365" s="51" t="n">
        <v>0.4244</v>
      </c>
      <c r="K1365" s="49"/>
      <c r="L1365" s="49"/>
      <c r="M1365" s="49"/>
      <c r="N1365" s="49"/>
      <c r="O1365" s="49"/>
      <c r="P1365" s="49"/>
      <c r="Q1365" s="49"/>
      <c r="R1365" s="49"/>
      <c r="S1365" s="49" t="n">
        <v>0</v>
      </c>
      <c r="T1365" s="49" t="n">
        <v>0</v>
      </c>
      <c r="U1365" s="49" t="s">
        <v>2985</v>
      </c>
    </row>
    <row r="1366" customFormat="false" ht="15" hidden="false" customHeight="false" outlineLevel="0" collapsed="false">
      <c r="B1366" s="48" t="n">
        <v>45422.5289583333</v>
      </c>
      <c r="C1366" s="4" t="n">
        <f aca="false">YEAR(B1366)</f>
        <v>2024</v>
      </c>
      <c r="D1366" s="49" t="s">
        <v>283</v>
      </c>
      <c r="E1366" s="49" t="s">
        <v>2986</v>
      </c>
      <c r="F1366" s="50" t="n">
        <v>1</v>
      </c>
      <c r="G1366" s="49" t="s">
        <v>290</v>
      </c>
      <c r="H1366" s="51" t="n">
        <v>0.0207</v>
      </c>
      <c r="I1366" s="51" t="n">
        <v>0.83</v>
      </c>
      <c r="J1366" s="51" t="n">
        <v>0.1493</v>
      </c>
      <c r="K1366" s="49"/>
      <c r="L1366" s="49"/>
      <c r="M1366" s="49"/>
      <c r="N1366" s="49"/>
      <c r="O1366" s="49"/>
      <c r="P1366" s="49"/>
      <c r="Q1366" s="49"/>
      <c r="R1366" s="49"/>
      <c r="S1366" s="49" t="n">
        <v>1</v>
      </c>
      <c r="T1366" s="49" t="n">
        <v>0</v>
      </c>
      <c r="U1366" s="49" t="s">
        <v>2987</v>
      </c>
    </row>
    <row r="1367" customFormat="false" ht="15" hidden="false" customHeight="false" outlineLevel="0" collapsed="false">
      <c r="B1367" s="48" t="n">
        <v>45423.2153009259</v>
      </c>
      <c r="C1367" s="4" t="n">
        <f aca="false">YEAR(B1367)</f>
        <v>2024</v>
      </c>
      <c r="D1367" s="49" t="s">
        <v>283</v>
      </c>
      <c r="E1367" s="49" t="s">
        <v>2988</v>
      </c>
      <c r="F1367" s="50" t="n">
        <v>2</v>
      </c>
      <c r="G1367" s="49" t="s">
        <v>280</v>
      </c>
      <c r="H1367" s="51" t="n">
        <v>0.6086</v>
      </c>
      <c r="I1367" s="51" t="n">
        <v>0.3641</v>
      </c>
      <c r="J1367" s="51" t="n">
        <v>0.0273</v>
      </c>
      <c r="K1367" s="49"/>
      <c r="L1367" s="49"/>
      <c r="M1367" s="49"/>
      <c r="N1367" s="49"/>
      <c r="O1367" s="49"/>
      <c r="P1367" s="49"/>
      <c r="Q1367" s="49"/>
      <c r="R1367" s="49" t="s">
        <v>281</v>
      </c>
      <c r="S1367" s="49" t="n">
        <v>0</v>
      </c>
      <c r="T1367" s="49" t="n">
        <v>0</v>
      </c>
      <c r="U1367" s="49" t="s">
        <v>2989</v>
      </c>
    </row>
    <row r="1368" customFormat="false" ht="15" hidden="false" customHeight="false" outlineLevel="0" collapsed="false">
      <c r="B1368" s="48" t="n">
        <v>45423.5375694444</v>
      </c>
      <c r="C1368" s="4" t="n">
        <f aca="false">YEAR(B1368)</f>
        <v>2024</v>
      </c>
      <c r="D1368" s="49" t="s">
        <v>278</v>
      </c>
      <c r="E1368" s="49" t="s">
        <v>2990</v>
      </c>
      <c r="F1368" s="50" t="n">
        <v>1</v>
      </c>
      <c r="G1368" s="49" t="s">
        <v>290</v>
      </c>
      <c r="H1368" s="51" t="n">
        <v>0.008</v>
      </c>
      <c r="I1368" s="51" t="n">
        <v>0.8406</v>
      </c>
      <c r="J1368" s="51" t="n">
        <v>0.1515</v>
      </c>
      <c r="K1368" s="49"/>
      <c r="L1368" s="49"/>
      <c r="M1368" s="49"/>
      <c r="N1368" s="49"/>
      <c r="O1368" s="49"/>
      <c r="P1368" s="49"/>
      <c r="Q1368" s="49"/>
      <c r="R1368" s="49"/>
      <c r="S1368" s="49" t="n">
        <v>0</v>
      </c>
      <c r="T1368" s="49" t="n">
        <v>0</v>
      </c>
      <c r="U1368" s="49" t="s">
        <v>2991</v>
      </c>
    </row>
    <row r="1369" customFormat="false" ht="15" hidden="false" customHeight="false" outlineLevel="0" collapsed="false">
      <c r="B1369" s="48" t="n">
        <v>45423.559212963</v>
      </c>
      <c r="C1369" s="4" t="n">
        <f aca="false">YEAR(B1369)</f>
        <v>2024</v>
      </c>
      <c r="D1369" s="49" t="s">
        <v>283</v>
      </c>
      <c r="E1369" s="49" t="s">
        <v>2992</v>
      </c>
      <c r="F1369" s="50" t="n">
        <v>9</v>
      </c>
      <c r="G1369" s="49" t="s">
        <v>287</v>
      </c>
      <c r="H1369" s="51" t="n">
        <v>0.0016</v>
      </c>
      <c r="I1369" s="51" t="n">
        <v>0.0371</v>
      </c>
      <c r="J1369" s="51" t="n">
        <v>0.9613</v>
      </c>
      <c r="K1369" s="49"/>
      <c r="L1369" s="49"/>
      <c r="M1369" s="49"/>
      <c r="N1369" s="49"/>
      <c r="O1369" s="49"/>
      <c r="P1369" s="49"/>
      <c r="Q1369" s="49"/>
      <c r="R1369" s="49"/>
      <c r="S1369" s="49" t="n">
        <v>0</v>
      </c>
      <c r="T1369" s="49" t="n">
        <v>0</v>
      </c>
      <c r="U1369" s="49" t="s">
        <v>2993</v>
      </c>
    </row>
    <row r="1370" customFormat="false" ht="15" hidden="false" customHeight="false" outlineLevel="0" collapsed="false">
      <c r="B1370" s="48" t="n">
        <v>45423.6083449074</v>
      </c>
      <c r="C1370" s="4" t="n">
        <f aca="false">YEAR(B1370)</f>
        <v>2024</v>
      </c>
      <c r="D1370" s="49" t="s">
        <v>283</v>
      </c>
      <c r="E1370" s="49" t="s">
        <v>2994</v>
      </c>
      <c r="F1370" s="50" t="n">
        <v>1</v>
      </c>
      <c r="G1370" s="49" t="s">
        <v>290</v>
      </c>
      <c r="H1370" s="51" t="n">
        <v>0.0093</v>
      </c>
      <c r="I1370" s="51" t="n">
        <v>0.9317</v>
      </c>
      <c r="J1370" s="51" t="n">
        <v>0.059</v>
      </c>
      <c r="K1370" s="49"/>
      <c r="L1370" s="49"/>
      <c r="M1370" s="49"/>
      <c r="N1370" s="49"/>
      <c r="O1370" s="49"/>
      <c r="P1370" s="49"/>
      <c r="Q1370" s="49"/>
      <c r="R1370" s="49"/>
      <c r="S1370" s="49" t="n">
        <v>1</v>
      </c>
      <c r="T1370" s="49" t="n">
        <v>0</v>
      </c>
      <c r="U1370" s="49" t="s">
        <v>2995</v>
      </c>
    </row>
    <row r="1371" customFormat="false" ht="15" hidden="false" customHeight="false" outlineLevel="0" collapsed="false">
      <c r="B1371" s="48" t="n">
        <v>45423.6947800926</v>
      </c>
      <c r="C1371" s="4" t="n">
        <f aca="false">YEAR(B1371)</f>
        <v>2024</v>
      </c>
      <c r="D1371" s="49" t="s">
        <v>278</v>
      </c>
      <c r="E1371" s="49" t="s">
        <v>2996</v>
      </c>
      <c r="F1371" s="50" t="n">
        <v>7</v>
      </c>
      <c r="G1371" s="49" t="s">
        <v>280</v>
      </c>
      <c r="H1371" s="51" t="n">
        <v>0.8005</v>
      </c>
      <c r="I1371" s="51" t="n">
        <v>0.188</v>
      </c>
      <c r="J1371" s="51" t="n">
        <v>0.0115</v>
      </c>
      <c r="K1371" s="49"/>
      <c r="L1371" s="49"/>
      <c r="M1371" s="49"/>
      <c r="N1371" s="49"/>
      <c r="O1371" s="49"/>
      <c r="P1371" s="49"/>
      <c r="Q1371" s="49"/>
      <c r="R1371" s="49"/>
      <c r="S1371" s="49" t="n">
        <v>0</v>
      </c>
      <c r="T1371" s="49" t="n">
        <v>0</v>
      </c>
      <c r="U1371" s="49" t="s">
        <v>2997</v>
      </c>
    </row>
    <row r="1372" customFormat="false" ht="15" hidden="false" customHeight="false" outlineLevel="0" collapsed="false">
      <c r="B1372" s="48" t="n">
        <v>45424.6867361111</v>
      </c>
      <c r="C1372" s="4" t="n">
        <f aca="false">YEAR(B1372)</f>
        <v>2024</v>
      </c>
      <c r="D1372" s="49" t="s">
        <v>283</v>
      </c>
      <c r="E1372" s="49" t="s">
        <v>2998</v>
      </c>
      <c r="F1372" s="50" t="n">
        <v>0</v>
      </c>
      <c r="G1372" s="49" t="s">
        <v>287</v>
      </c>
      <c r="H1372" s="51" t="n">
        <v>0.0062</v>
      </c>
      <c r="I1372" s="51" t="n">
        <v>0.4702</v>
      </c>
      <c r="J1372" s="51" t="n">
        <v>0.5235</v>
      </c>
      <c r="K1372" s="49"/>
      <c r="L1372" s="49"/>
      <c r="M1372" s="49"/>
      <c r="N1372" s="49"/>
      <c r="O1372" s="49"/>
      <c r="P1372" s="49"/>
      <c r="Q1372" s="49"/>
      <c r="R1372" s="49"/>
      <c r="S1372" s="49" t="n">
        <v>0</v>
      </c>
      <c r="T1372" s="49" t="n">
        <v>0</v>
      </c>
      <c r="U1372" s="49" t="s">
        <v>2999</v>
      </c>
    </row>
    <row r="1373" customFormat="false" ht="15" hidden="false" customHeight="false" outlineLevel="0" collapsed="false">
      <c r="B1373" s="48" t="n">
        <v>45424.9206134259</v>
      </c>
      <c r="C1373" s="4" t="n">
        <f aca="false">YEAR(B1373)</f>
        <v>2024</v>
      </c>
      <c r="D1373" s="49" t="s">
        <v>278</v>
      </c>
      <c r="E1373" s="49" t="s">
        <v>3000</v>
      </c>
      <c r="F1373" s="50" t="n">
        <v>0</v>
      </c>
      <c r="G1373" s="49" t="s">
        <v>280</v>
      </c>
      <c r="H1373" s="51" t="n">
        <v>0.9435</v>
      </c>
      <c r="I1373" s="51" t="n">
        <v>0.0522</v>
      </c>
      <c r="J1373" s="51" t="n">
        <v>0.0043</v>
      </c>
      <c r="K1373" s="49"/>
      <c r="L1373" s="49"/>
      <c r="M1373" s="49"/>
      <c r="N1373" s="49"/>
      <c r="O1373" s="49"/>
      <c r="P1373" s="49"/>
      <c r="Q1373" s="49"/>
      <c r="R1373" s="49"/>
      <c r="S1373" s="49" t="n">
        <v>0</v>
      </c>
      <c r="T1373" s="49" t="n">
        <v>0</v>
      </c>
      <c r="U1373" s="49" t="s">
        <v>3001</v>
      </c>
    </row>
    <row r="1374" customFormat="false" ht="15" hidden="false" customHeight="false" outlineLevel="0" collapsed="false">
      <c r="B1374" s="48" t="n">
        <v>45425.8598726852</v>
      </c>
      <c r="C1374" s="4" t="n">
        <f aca="false">YEAR(B1374)</f>
        <v>2024</v>
      </c>
      <c r="D1374" s="49" t="s">
        <v>283</v>
      </c>
      <c r="E1374" s="49" t="s">
        <v>3002</v>
      </c>
      <c r="F1374" s="50" t="n">
        <v>1</v>
      </c>
      <c r="G1374" s="49" t="s">
        <v>290</v>
      </c>
      <c r="H1374" s="51" t="n">
        <v>0.0461</v>
      </c>
      <c r="I1374" s="51" t="n">
        <v>0.9264</v>
      </c>
      <c r="J1374" s="51" t="n">
        <v>0.0274</v>
      </c>
      <c r="K1374" s="49"/>
      <c r="L1374" s="49"/>
      <c r="M1374" s="49"/>
      <c r="N1374" s="49"/>
      <c r="O1374" s="49"/>
      <c r="P1374" s="49"/>
      <c r="Q1374" s="49"/>
      <c r="R1374" s="49"/>
      <c r="S1374" s="49" t="n">
        <v>0</v>
      </c>
      <c r="T1374" s="49" t="n">
        <v>0</v>
      </c>
      <c r="U1374" s="49" t="s">
        <v>3003</v>
      </c>
    </row>
    <row r="1375" customFormat="false" ht="15" hidden="false" customHeight="false" outlineLevel="0" collapsed="false">
      <c r="B1375" s="48" t="n">
        <v>45425.8910763889</v>
      </c>
      <c r="C1375" s="4" t="n">
        <f aca="false">YEAR(B1375)</f>
        <v>2024</v>
      </c>
      <c r="D1375" s="49" t="s">
        <v>283</v>
      </c>
      <c r="E1375" s="49" t="s">
        <v>3004</v>
      </c>
      <c r="F1375" s="50" t="n">
        <v>1</v>
      </c>
      <c r="G1375" s="49" t="s">
        <v>287</v>
      </c>
      <c r="H1375" s="51" t="n">
        <v>0.0147</v>
      </c>
      <c r="I1375" s="51" t="n">
        <v>0.1772</v>
      </c>
      <c r="J1375" s="51" t="n">
        <v>0.8081</v>
      </c>
      <c r="K1375" s="49"/>
      <c r="L1375" s="49"/>
      <c r="M1375" s="49"/>
      <c r="N1375" s="49"/>
      <c r="O1375" s="49"/>
      <c r="P1375" s="49"/>
      <c r="Q1375" s="49" t="s">
        <v>281</v>
      </c>
      <c r="R1375" s="49"/>
      <c r="S1375" s="49" t="n">
        <v>0</v>
      </c>
      <c r="T1375" s="49" t="n">
        <v>0</v>
      </c>
      <c r="U1375" s="49" t="s">
        <v>3005</v>
      </c>
    </row>
    <row r="1376" customFormat="false" ht="15" hidden="false" customHeight="false" outlineLevel="0" collapsed="false">
      <c r="B1376" s="48" t="n">
        <v>45426.0383680556</v>
      </c>
      <c r="C1376" s="4" t="n">
        <f aca="false">YEAR(B1376)</f>
        <v>2024</v>
      </c>
      <c r="D1376" s="49" t="s">
        <v>283</v>
      </c>
      <c r="E1376" s="49" t="s">
        <v>3006</v>
      </c>
      <c r="F1376" s="50" t="n">
        <v>1</v>
      </c>
      <c r="G1376" s="49" t="s">
        <v>290</v>
      </c>
      <c r="H1376" s="51" t="n">
        <v>0.0097</v>
      </c>
      <c r="I1376" s="51" t="n">
        <v>0.8949</v>
      </c>
      <c r="J1376" s="51" t="n">
        <v>0.0954</v>
      </c>
      <c r="K1376" s="49"/>
      <c r="L1376" s="49"/>
      <c r="M1376" s="49"/>
      <c r="N1376" s="49"/>
      <c r="O1376" s="49"/>
      <c r="P1376" s="49"/>
      <c r="Q1376" s="49"/>
      <c r="R1376" s="49"/>
      <c r="S1376" s="49" t="n">
        <v>1</v>
      </c>
      <c r="T1376" s="49" t="n">
        <v>0</v>
      </c>
      <c r="U1376" s="49" t="s">
        <v>3007</v>
      </c>
    </row>
    <row r="1377" customFormat="false" ht="15" hidden="false" customHeight="false" outlineLevel="0" collapsed="false">
      <c r="B1377" s="48" t="n">
        <v>45426.154224537</v>
      </c>
      <c r="C1377" s="4" t="n">
        <f aca="false">YEAR(B1377)</f>
        <v>2024</v>
      </c>
      <c r="D1377" s="49" t="s">
        <v>278</v>
      </c>
      <c r="E1377" s="49" t="s">
        <v>3008</v>
      </c>
      <c r="F1377" s="50" t="n">
        <v>8</v>
      </c>
      <c r="G1377" s="49" t="s">
        <v>287</v>
      </c>
      <c r="H1377" s="51" t="n">
        <v>0.0874</v>
      </c>
      <c r="I1377" s="51" t="n">
        <v>0.1159</v>
      </c>
      <c r="J1377" s="51" t="n">
        <v>0.7967</v>
      </c>
      <c r="K1377" s="49"/>
      <c r="L1377" s="49"/>
      <c r="M1377" s="49"/>
      <c r="N1377" s="49"/>
      <c r="O1377" s="49"/>
      <c r="P1377" s="49"/>
      <c r="Q1377" s="49"/>
      <c r="R1377" s="49"/>
      <c r="S1377" s="49" t="n">
        <v>0</v>
      </c>
      <c r="T1377" s="49" t="n">
        <v>0</v>
      </c>
      <c r="U1377" s="49" t="s">
        <v>3009</v>
      </c>
    </row>
    <row r="1378" customFormat="false" ht="15" hidden="false" customHeight="false" outlineLevel="0" collapsed="false">
      <c r="B1378" s="48" t="n">
        <v>45426.8110416667</v>
      </c>
      <c r="C1378" s="4" t="n">
        <f aca="false">YEAR(B1378)</f>
        <v>2024</v>
      </c>
      <c r="D1378" s="49" t="s">
        <v>283</v>
      </c>
      <c r="E1378" s="49" t="s">
        <v>3010</v>
      </c>
      <c r="F1378" s="50" t="n">
        <v>142</v>
      </c>
      <c r="G1378" s="49" t="s">
        <v>290</v>
      </c>
      <c r="H1378" s="51" t="n">
        <v>0.2987</v>
      </c>
      <c r="I1378" s="51" t="n">
        <v>0.6089</v>
      </c>
      <c r="J1378" s="51" t="n">
        <v>0.0924</v>
      </c>
      <c r="K1378" s="49"/>
      <c r="L1378" s="49"/>
      <c r="M1378" s="49"/>
      <c r="N1378" s="49"/>
      <c r="O1378" s="49"/>
      <c r="P1378" s="49"/>
      <c r="Q1378" s="49"/>
      <c r="R1378" s="49"/>
      <c r="S1378" s="49" t="n">
        <v>0</v>
      </c>
      <c r="T1378" s="49" t="n">
        <v>0</v>
      </c>
      <c r="U1378" s="49" t="s">
        <v>3011</v>
      </c>
    </row>
    <row r="1379" customFormat="false" ht="15" hidden="false" customHeight="false" outlineLevel="0" collapsed="false">
      <c r="B1379" s="48" t="n">
        <v>45427.0576273148</v>
      </c>
      <c r="C1379" s="4" t="n">
        <f aca="false">YEAR(B1379)</f>
        <v>2024</v>
      </c>
      <c r="D1379" s="49" t="s">
        <v>283</v>
      </c>
      <c r="E1379" s="49" t="s">
        <v>3012</v>
      </c>
      <c r="F1379" s="50" t="n">
        <v>1</v>
      </c>
      <c r="G1379" s="49" t="s">
        <v>290</v>
      </c>
      <c r="H1379" s="51" t="n">
        <v>0.0104</v>
      </c>
      <c r="I1379" s="51" t="n">
        <v>0.8249</v>
      </c>
      <c r="J1379" s="51" t="n">
        <v>0.1648</v>
      </c>
      <c r="K1379" s="49"/>
      <c r="L1379" s="49"/>
      <c r="M1379" s="49"/>
      <c r="N1379" s="49"/>
      <c r="O1379" s="49"/>
      <c r="P1379" s="49"/>
      <c r="Q1379" s="49"/>
      <c r="R1379" s="49"/>
      <c r="S1379" s="49" t="n">
        <v>1</v>
      </c>
      <c r="T1379" s="49" t="n">
        <v>0</v>
      </c>
      <c r="U1379" s="49" t="s">
        <v>3013</v>
      </c>
    </row>
    <row r="1380" customFormat="false" ht="15" hidden="false" customHeight="false" outlineLevel="0" collapsed="false">
      <c r="B1380" s="48" t="n">
        <v>45427.8806712963</v>
      </c>
      <c r="C1380" s="4" t="n">
        <f aca="false">YEAR(B1380)</f>
        <v>2024</v>
      </c>
      <c r="D1380" s="49" t="s">
        <v>283</v>
      </c>
      <c r="E1380" s="49" t="s">
        <v>3014</v>
      </c>
      <c r="F1380" s="50" t="n">
        <v>1</v>
      </c>
      <c r="G1380" s="49" t="s">
        <v>280</v>
      </c>
      <c r="H1380" s="51" t="n">
        <v>0.8732</v>
      </c>
      <c r="I1380" s="51" t="n">
        <v>0.1195</v>
      </c>
      <c r="J1380" s="51" t="n">
        <v>0.0073</v>
      </c>
      <c r="K1380" s="49"/>
      <c r="L1380" s="49"/>
      <c r="M1380" s="49"/>
      <c r="N1380" s="49"/>
      <c r="O1380" s="49"/>
      <c r="P1380" s="49"/>
      <c r="Q1380" s="49"/>
      <c r="R1380" s="49"/>
      <c r="S1380" s="49" t="n">
        <v>1</v>
      </c>
      <c r="T1380" s="49" t="n">
        <v>0</v>
      </c>
      <c r="U1380" s="49" t="s">
        <v>3015</v>
      </c>
    </row>
    <row r="1381" customFormat="false" ht="15" hidden="false" customHeight="false" outlineLevel="0" collapsed="false">
      <c r="B1381" s="48" t="n">
        <v>45428.2716782407</v>
      </c>
      <c r="C1381" s="4" t="n">
        <f aca="false">YEAR(B1381)</f>
        <v>2024</v>
      </c>
      <c r="D1381" s="49" t="s">
        <v>283</v>
      </c>
      <c r="E1381" s="49" t="s">
        <v>3016</v>
      </c>
      <c r="F1381" s="50" t="n">
        <v>2</v>
      </c>
      <c r="G1381" s="49" t="s">
        <v>280</v>
      </c>
      <c r="H1381" s="51" t="n">
        <v>0.8311</v>
      </c>
      <c r="I1381" s="51" t="n">
        <v>0.1533</v>
      </c>
      <c r="J1381" s="51" t="n">
        <v>0.0156</v>
      </c>
      <c r="K1381" s="49"/>
      <c r="L1381" s="49"/>
      <c r="M1381" s="49"/>
      <c r="N1381" s="49"/>
      <c r="O1381" s="49"/>
      <c r="P1381" s="49"/>
      <c r="Q1381" s="49"/>
      <c r="R1381" s="49" t="s">
        <v>281</v>
      </c>
      <c r="S1381" s="49" t="n">
        <v>0</v>
      </c>
      <c r="T1381" s="49" t="n">
        <v>0</v>
      </c>
      <c r="U1381" s="49" t="s">
        <v>3017</v>
      </c>
    </row>
    <row r="1382" customFormat="false" ht="15" hidden="false" customHeight="false" outlineLevel="0" collapsed="false">
      <c r="B1382" s="48" t="n">
        <v>45428.7216666667</v>
      </c>
      <c r="C1382" s="4" t="n">
        <f aca="false">YEAR(B1382)</f>
        <v>2024</v>
      </c>
      <c r="D1382" s="49" t="s">
        <v>283</v>
      </c>
      <c r="E1382" s="49" t="s">
        <v>3018</v>
      </c>
      <c r="F1382" s="50" t="n">
        <v>1</v>
      </c>
      <c r="G1382" s="49" t="s">
        <v>290</v>
      </c>
      <c r="H1382" s="51" t="n">
        <v>0.3233</v>
      </c>
      <c r="I1382" s="51" t="n">
        <v>0.6079</v>
      </c>
      <c r="J1382" s="51" t="n">
        <v>0.0688</v>
      </c>
      <c r="K1382" s="49"/>
      <c r="L1382" s="49"/>
      <c r="M1382" s="49"/>
      <c r="N1382" s="49"/>
      <c r="O1382" s="49"/>
      <c r="P1382" s="49"/>
      <c r="Q1382" s="49"/>
      <c r="R1382" s="49"/>
      <c r="S1382" s="49" t="n">
        <v>0</v>
      </c>
      <c r="T1382" s="49" t="n">
        <v>0</v>
      </c>
      <c r="U1382" s="49" t="s">
        <v>3019</v>
      </c>
    </row>
    <row r="1383" customFormat="false" ht="15" hidden="false" customHeight="false" outlineLevel="0" collapsed="false">
      <c r="B1383" s="48" t="n">
        <v>45428.7801041667</v>
      </c>
      <c r="C1383" s="4" t="n">
        <f aca="false">YEAR(B1383)</f>
        <v>2024</v>
      </c>
      <c r="D1383" s="49" t="s">
        <v>283</v>
      </c>
      <c r="E1383" s="49" t="s">
        <v>3020</v>
      </c>
      <c r="F1383" s="50" t="n">
        <v>1</v>
      </c>
      <c r="G1383" s="49" t="s">
        <v>280</v>
      </c>
      <c r="H1383" s="51" t="n">
        <v>0.5707</v>
      </c>
      <c r="I1383" s="51" t="n">
        <v>0.4155</v>
      </c>
      <c r="J1383" s="51" t="n">
        <v>0.0139</v>
      </c>
      <c r="K1383" s="49" t="s">
        <v>281</v>
      </c>
      <c r="L1383" s="49"/>
      <c r="M1383" s="49"/>
      <c r="N1383" s="49"/>
      <c r="O1383" s="49"/>
      <c r="P1383" s="49"/>
      <c r="Q1383" s="49"/>
      <c r="R1383" s="49"/>
      <c r="S1383" s="49" t="n">
        <v>0</v>
      </c>
      <c r="T1383" s="49" t="n">
        <v>0</v>
      </c>
      <c r="U1383" s="49" t="s">
        <v>3021</v>
      </c>
    </row>
    <row r="1384" customFormat="false" ht="15" hidden="false" customHeight="false" outlineLevel="0" collapsed="false">
      <c r="B1384" s="48" t="n">
        <v>45429.0194444444</v>
      </c>
      <c r="C1384" s="4" t="n">
        <f aca="false">YEAR(B1384)</f>
        <v>2024</v>
      </c>
      <c r="D1384" s="49" t="s">
        <v>283</v>
      </c>
      <c r="E1384" s="49" t="s">
        <v>3022</v>
      </c>
      <c r="F1384" s="50" t="n">
        <v>14</v>
      </c>
      <c r="G1384" s="49" t="s">
        <v>290</v>
      </c>
      <c r="H1384" s="51" t="n">
        <v>0.0131</v>
      </c>
      <c r="I1384" s="51" t="n">
        <v>0.785</v>
      </c>
      <c r="J1384" s="51" t="n">
        <v>0.2019</v>
      </c>
      <c r="K1384" s="49"/>
      <c r="L1384" s="49"/>
      <c r="M1384" s="49"/>
      <c r="N1384" s="49"/>
      <c r="O1384" s="49"/>
      <c r="P1384" s="49"/>
      <c r="Q1384" s="49"/>
      <c r="R1384" s="49"/>
      <c r="S1384" s="49" t="n">
        <v>0</v>
      </c>
      <c r="T1384" s="49" t="n">
        <v>0</v>
      </c>
      <c r="U1384" s="49" t="s">
        <v>3023</v>
      </c>
    </row>
    <row r="1385" customFormat="false" ht="15" hidden="false" customHeight="false" outlineLevel="0" collapsed="false">
      <c r="B1385" s="48" t="n">
        <v>45429.8780324074</v>
      </c>
      <c r="C1385" s="4" t="n">
        <f aca="false">YEAR(B1385)</f>
        <v>2024</v>
      </c>
      <c r="D1385" s="49" t="s">
        <v>283</v>
      </c>
      <c r="E1385" s="49" t="s">
        <v>3024</v>
      </c>
      <c r="F1385" s="50" t="n">
        <v>27</v>
      </c>
      <c r="G1385" s="49" t="s">
        <v>280</v>
      </c>
      <c r="H1385" s="51" t="n">
        <v>0.9317</v>
      </c>
      <c r="I1385" s="51" t="n">
        <v>0.0627</v>
      </c>
      <c r="J1385" s="51" t="n">
        <v>0.0057</v>
      </c>
      <c r="K1385" s="49" t="s">
        <v>281</v>
      </c>
      <c r="L1385" s="49"/>
      <c r="M1385" s="49"/>
      <c r="N1385" s="49"/>
      <c r="O1385" s="49"/>
      <c r="P1385" s="49"/>
      <c r="Q1385" s="49"/>
      <c r="R1385" s="49" t="s">
        <v>281</v>
      </c>
      <c r="S1385" s="49" t="n">
        <v>0</v>
      </c>
      <c r="T1385" s="49" t="n">
        <v>1</v>
      </c>
      <c r="U1385" s="49" t="s">
        <v>3025</v>
      </c>
    </row>
    <row r="1386" customFormat="false" ht="15" hidden="false" customHeight="false" outlineLevel="0" collapsed="false">
      <c r="B1386" s="48" t="n">
        <v>45430.641412037</v>
      </c>
      <c r="C1386" s="4" t="n">
        <f aca="false">YEAR(B1386)</f>
        <v>2024</v>
      </c>
      <c r="D1386" s="49" t="s">
        <v>283</v>
      </c>
      <c r="E1386" s="49" t="s">
        <v>3026</v>
      </c>
      <c r="F1386" s="50" t="n">
        <v>1</v>
      </c>
      <c r="G1386" s="49" t="s">
        <v>280</v>
      </c>
      <c r="H1386" s="51" t="n">
        <v>0.6113</v>
      </c>
      <c r="I1386" s="51" t="n">
        <v>0.3706</v>
      </c>
      <c r="J1386" s="51" t="n">
        <v>0.0181</v>
      </c>
      <c r="K1386" s="49" t="s">
        <v>281</v>
      </c>
      <c r="L1386" s="49"/>
      <c r="M1386" s="49"/>
      <c r="N1386" s="49"/>
      <c r="O1386" s="49"/>
      <c r="P1386" s="49"/>
      <c r="Q1386" s="49"/>
      <c r="R1386" s="49"/>
      <c r="S1386" s="49" t="n">
        <v>0</v>
      </c>
      <c r="T1386" s="49" t="n">
        <v>0</v>
      </c>
      <c r="U1386" s="49" t="s">
        <v>3027</v>
      </c>
    </row>
    <row r="1387" customFormat="false" ht="15" hidden="false" customHeight="false" outlineLevel="0" collapsed="false">
      <c r="B1387" s="48" t="n">
        <v>45431.5144560185</v>
      </c>
      <c r="C1387" s="4" t="n">
        <f aca="false">YEAR(B1387)</f>
        <v>2024</v>
      </c>
      <c r="D1387" s="49" t="s">
        <v>283</v>
      </c>
      <c r="E1387" s="49" t="s">
        <v>3028</v>
      </c>
      <c r="F1387" s="50" t="n">
        <v>1</v>
      </c>
      <c r="G1387" s="49" t="s">
        <v>290</v>
      </c>
      <c r="H1387" s="51" t="n">
        <v>0.0136</v>
      </c>
      <c r="I1387" s="51" t="n">
        <v>0.8921</v>
      </c>
      <c r="J1387" s="51" t="n">
        <v>0.0943</v>
      </c>
      <c r="K1387" s="49"/>
      <c r="L1387" s="49"/>
      <c r="M1387" s="49"/>
      <c r="N1387" s="49"/>
      <c r="O1387" s="49"/>
      <c r="P1387" s="49"/>
      <c r="Q1387" s="49"/>
      <c r="R1387" s="49"/>
      <c r="S1387" s="49" t="n">
        <v>1</v>
      </c>
      <c r="T1387" s="49" t="n">
        <v>0</v>
      </c>
      <c r="U1387" s="49" t="s">
        <v>3029</v>
      </c>
    </row>
    <row r="1388" customFormat="false" ht="15" hidden="false" customHeight="false" outlineLevel="0" collapsed="false">
      <c r="B1388" s="48" t="n">
        <v>45431.5237847222</v>
      </c>
      <c r="C1388" s="4" t="n">
        <f aca="false">YEAR(B1388)</f>
        <v>2024</v>
      </c>
      <c r="D1388" s="49" t="s">
        <v>283</v>
      </c>
      <c r="E1388" s="49" t="s">
        <v>3030</v>
      </c>
      <c r="F1388" s="50" t="n">
        <v>1</v>
      </c>
      <c r="G1388" s="49" t="s">
        <v>280</v>
      </c>
      <c r="H1388" s="51" t="n">
        <v>0.8244</v>
      </c>
      <c r="I1388" s="51" t="n">
        <v>0.1685</v>
      </c>
      <c r="J1388" s="51" t="n">
        <v>0.0071</v>
      </c>
      <c r="K1388" s="49"/>
      <c r="L1388" s="49"/>
      <c r="M1388" s="49"/>
      <c r="N1388" s="49"/>
      <c r="O1388" s="49"/>
      <c r="P1388" s="49"/>
      <c r="Q1388" s="49"/>
      <c r="R1388" s="49"/>
      <c r="S1388" s="49" t="n">
        <v>1</v>
      </c>
      <c r="T1388" s="49" t="n">
        <v>0</v>
      </c>
      <c r="U1388" s="49" t="s">
        <v>3031</v>
      </c>
    </row>
    <row r="1389" customFormat="false" ht="15" hidden="false" customHeight="false" outlineLevel="0" collapsed="false">
      <c r="B1389" s="48" t="n">
        <v>45431.8615740741</v>
      </c>
      <c r="C1389" s="4" t="n">
        <f aca="false">YEAR(B1389)</f>
        <v>2024</v>
      </c>
      <c r="D1389" s="49" t="s">
        <v>283</v>
      </c>
      <c r="E1389" s="49" t="s">
        <v>3032</v>
      </c>
      <c r="F1389" s="50" t="n">
        <v>1</v>
      </c>
      <c r="G1389" s="49" t="s">
        <v>290</v>
      </c>
      <c r="H1389" s="51" t="n">
        <v>0.0065</v>
      </c>
      <c r="I1389" s="51" t="n">
        <v>0.8332</v>
      </c>
      <c r="J1389" s="51" t="n">
        <v>0.1603</v>
      </c>
      <c r="K1389" s="49"/>
      <c r="L1389" s="49"/>
      <c r="M1389" s="49"/>
      <c r="N1389" s="49"/>
      <c r="O1389" s="49"/>
      <c r="P1389" s="49"/>
      <c r="Q1389" s="49" t="s">
        <v>281</v>
      </c>
      <c r="R1389" s="49"/>
      <c r="S1389" s="49" t="n">
        <v>1</v>
      </c>
      <c r="T1389" s="49" t="n">
        <v>0</v>
      </c>
      <c r="U1389" s="49" t="s">
        <v>3033</v>
      </c>
    </row>
    <row r="1390" customFormat="false" ht="15" hidden="false" customHeight="false" outlineLevel="0" collapsed="false">
      <c r="B1390" s="48" t="n">
        <v>45431.9412731482</v>
      </c>
      <c r="C1390" s="4" t="n">
        <f aca="false">YEAR(B1390)</f>
        <v>2024</v>
      </c>
      <c r="D1390" s="49" t="s">
        <v>283</v>
      </c>
      <c r="E1390" s="49" t="s">
        <v>3034</v>
      </c>
      <c r="F1390" s="50" t="n">
        <v>2</v>
      </c>
      <c r="G1390" s="49" t="s">
        <v>290</v>
      </c>
      <c r="H1390" s="51" t="n">
        <v>0.4823</v>
      </c>
      <c r="I1390" s="51" t="n">
        <v>0.4996</v>
      </c>
      <c r="J1390" s="51" t="n">
        <v>0.0182</v>
      </c>
      <c r="K1390" s="49"/>
      <c r="L1390" s="49"/>
      <c r="M1390" s="49"/>
      <c r="N1390" s="49"/>
      <c r="O1390" s="49"/>
      <c r="P1390" s="49"/>
      <c r="Q1390" s="49"/>
      <c r="R1390" s="49"/>
      <c r="S1390" s="49" t="n">
        <v>0</v>
      </c>
      <c r="T1390" s="49" t="n">
        <v>0</v>
      </c>
      <c r="U1390" s="49" t="s">
        <v>3035</v>
      </c>
    </row>
    <row r="1391" customFormat="false" ht="15" hidden="false" customHeight="false" outlineLevel="0" collapsed="false">
      <c r="B1391" s="48" t="n">
        <v>45432.4034606482</v>
      </c>
      <c r="C1391" s="4" t="n">
        <f aca="false">YEAR(B1391)</f>
        <v>2024</v>
      </c>
      <c r="D1391" s="49" t="s">
        <v>283</v>
      </c>
      <c r="E1391" s="49" t="s">
        <v>3036</v>
      </c>
      <c r="F1391" s="50" t="n">
        <v>1</v>
      </c>
      <c r="G1391" s="49" t="s">
        <v>290</v>
      </c>
      <c r="H1391" s="51" t="n">
        <v>0.0212</v>
      </c>
      <c r="I1391" s="51" t="n">
        <v>0.9087</v>
      </c>
      <c r="J1391" s="51" t="n">
        <v>0.07</v>
      </c>
      <c r="K1391" s="49"/>
      <c r="L1391" s="49"/>
      <c r="M1391" s="49"/>
      <c r="N1391" s="49"/>
      <c r="O1391" s="49"/>
      <c r="P1391" s="49"/>
      <c r="Q1391" s="49"/>
      <c r="R1391" s="49"/>
      <c r="S1391" s="49" t="n">
        <v>1</v>
      </c>
      <c r="T1391" s="49" t="n">
        <v>0</v>
      </c>
      <c r="U1391" s="49" t="s">
        <v>3037</v>
      </c>
    </row>
    <row r="1392" customFormat="false" ht="15" hidden="false" customHeight="false" outlineLevel="0" collapsed="false">
      <c r="B1392" s="48" t="n">
        <v>45432.7114814815</v>
      </c>
      <c r="C1392" s="4" t="n">
        <f aca="false">YEAR(B1392)</f>
        <v>2024</v>
      </c>
      <c r="D1392" s="49" t="s">
        <v>283</v>
      </c>
      <c r="E1392" s="49" t="s">
        <v>3038</v>
      </c>
      <c r="F1392" s="50" t="n">
        <v>2</v>
      </c>
      <c r="G1392" s="49" t="s">
        <v>280</v>
      </c>
      <c r="H1392" s="51" t="n">
        <v>0.6789</v>
      </c>
      <c r="I1392" s="51" t="n">
        <v>0.3108</v>
      </c>
      <c r="J1392" s="51" t="n">
        <v>0.0103</v>
      </c>
      <c r="K1392" s="49"/>
      <c r="L1392" s="49"/>
      <c r="M1392" s="49"/>
      <c r="N1392" s="49" t="s">
        <v>281</v>
      </c>
      <c r="O1392" s="49"/>
      <c r="P1392" s="49"/>
      <c r="Q1392" s="49" t="s">
        <v>281</v>
      </c>
      <c r="R1392" s="49"/>
      <c r="S1392" s="49" t="n">
        <v>0</v>
      </c>
      <c r="T1392" s="49" t="n">
        <v>0</v>
      </c>
      <c r="U1392" s="49" t="s">
        <v>3039</v>
      </c>
    </row>
    <row r="1393" customFormat="false" ht="15" hidden="false" customHeight="false" outlineLevel="0" collapsed="false">
      <c r="B1393" s="48" t="n">
        <v>45433.0369560185</v>
      </c>
      <c r="C1393" s="4" t="n">
        <f aca="false">YEAR(B1393)</f>
        <v>2024</v>
      </c>
      <c r="D1393" s="49" t="s">
        <v>283</v>
      </c>
      <c r="E1393" s="49" t="s">
        <v>3040</v>
      </c>
      <c r="F1393" s="50" t="n">
        <v>1</v>
      </c>
      <c r="G1393" s="49" t="s">
        <v>287</v>
      </c>
      <c r="H1393" s="51" t="n">
        <v>0.0065</v>
      </c>
      <c r="I1393" s="51" t="n">
        <v>0.1541</v>
      </c>
      <c r="J1393" s="51" t="n">
        <v>0.8394</v>
      </c>
      <c r="K1393" s="49"/>
      <c r="L1393" s="49"/>
      <c r="M1393" s="49"/>
      <c r="N1393" s="49"/>
      <c r="O1393" s="49"/>
      <c r="P1393" s="49"/>
      <c r="Q1393" s="49"/>
      <c r="R1393" s="49"/>
      <c r="S1393" s="49" t="n">
        <v>0</v>
      </c>
      <c r="T1393" s="49" t="n">
        <v>0</v>
      </c>
      <c r="U1393" s="49" t="s">
        <v>3041</v>
      </c>
    </row>
    <row r="1394" customFormat="false" ht="15" hidden="false" customHeight="false" outlineLevel="0" collapsed="false">
      <c r="B1394" s="48" t="n">
        <v>45433.3321412037</v>
      </c>
      <c r="C1394" s="4" t="n">
        <f aca="false">YEAR(B1394)</f>
        <v>2024</v>
      </c>
      <c r="D1394" s="49" t="s">
        <v>283</v>
      </c>
      <c r="E1394" s="49" t="s">
        <v>3042</v>
      </c>
      <c r="F1394" s="50" t="n">
        <v>1</v>
      </c>
      <c r="G1394" s="49" t="s">
        <v>280</v>
      </c>
      <c r="H1394" s="51" t="n">
        <v>0.7084</v>
      </c>
      <c r="I1394" s="51" t="n">
        <v>0.2785</v>
      </c>
      <c r="J1394" s="51" t="n">
        <v>0.0131</v>
      </c>
      <c r="K1394" s="49"/>
      <c r="L1394" s="49"/>
      <c r="M1394" s="49"/>
      <c r="N1394" s="49"/>
      <c r="O1394" s="49"/>
      <c r="P1394" s="49"/>
      <c r="Q1394" s="49"/>
      <c r="R1394" s="49"/>
      <c r="S1394" s="49" t="n">
        <v>0</v>
      </c>
      <c r="T1394" s="49" t="n">
        <v>0</v>
      </c>
      <c r="U1394" s="49" t="s">
        <v>3043</v>
      </c>
    </row>
    <row r="1395" customFormat="false" ht="15" hidden="false" customHeight="false" outlineLevel="0" collapsed="false">
      <c r="B1395" s="48" t="n">
        <v>45434.2438425926</v>
      </c>
      <c r="C1395" s="4" t="n">
        <f aca="false">YEAR(B1395)</f>
        <v>2024</v>
      </c>
      <c r="D1395" s="49" t="s">
        <v>283</v>
      </c>
      <c r="E1395" s="49" t="s">
        <v>3044</v>
      </c>
      <c r="F1395" s="50" t="n">
        <v>1</v>
      </c>
      <c r="G1395" s="49" t="s">
        <v>280</v>
      </c>
      <c r="H1395" s="51" t="n">
        <v>0.7963</v>
      </c>
      <c r="I1395" s="51" t="n">
        <v>0.191</v>
      </c>
      <c r="J1395" s="51" t="n">
        <v>0.0127</v>
      </c>
      <c r="K1395" s="49"/>
      <c r="L1395" s="49"/>
      <c r="M1395" s="49"/>
      <c r="N1395" s="49"/>
      <c r="O1395" s="49"/>
      <c r="P1395" s="49"/>
      <c r="Q1395" s="49"/>
      <c r="R1395" s="49"/>
      <c r="S1395" s="49" t="n">
        <v>0</v>
      </c>
      <c r="T1395" s="49" t="n">
        <v>0</v>
      </c>
      <c r="U1395" s="49" t="s">
        <v>3045</v>
      </c>
    </row>
    <row r="1396" customFormat="false" ht="15" hidden="false" customHeight="false" outlineLevel="0" collapsed="false">
      <c r="B1396" s="48" t="n">
        <v>45434.2606597222</v>
      </c>
      <c r="C1396" s="4" t="n">
        <f aca="false">YEAR(B1396)</f>
        <v>2024</v>
      </c>
      <c r="D1396" s="49" t="s">
        <v>283</v>
      </c>
      <c r="E1396" s="49" t="s">
        <v>3046</v>
      </c>
      <c r="F1396" s="50" t="n">
        <v>1</v>
      </c>
      <c r="G1396" s="49" t="s">
        <v>290</v>
      </c>
      <c r="H1396" s="51" t="n">
        <v>0.3121</v>
      </c>
      <c r="I1396" s="51" t="n">
        <v>0.6294</v>
      </c>
      <c r="J1396" s="51" t="n">
        <v>0.0584</v>
      </c>
      <c r="K1396" s="49"/>
      <c r="L1396" s="49"/>
      <c r="M1396" s="49"/>
      <c r="N1396" s="49"/>
      <c r="O1396" s="49"/>
      <c r="P1396" s="49"/>
      <c r="Q1396" s="49"/>
      <c r="R1396" s="49" t="s">
        <v>281</v>
      </c>
      <c r="S1396" s="49" t="n">
        <v>0</v>
      </c>
      <c r="T1396" s="49" t="n">
        <v>0</v>
      </c>
      <c r="U1396" s="49" t="s">
        <v>3047</v>
      </c>
    </row>
    <row r="1397" customFormat="false" ht="15" hidden="false" customHeight="false" outlineLevel="0" collapsed="false">
      <c r="B1397" s="48" t="n">
        <v>45434.5716782407</v>
      </c>
      <c r="C1397" s="4" t="n">
        <f aca="false">YEAR(B1397)</f>
        <v>2024</v>
      </c>
      <c r="D1397" s="49" t="s">
        <v>283</v>
      </c>
      <c r="E1397" s="49" t="s">
        <v>3048</v>
      </c>
      <c r="F1397" s="50" t="n">
        <v>1</v>
      </c>
      <c r="G1397" s="49" t="s">
        <v>287</v>
      </c>
      <c r="H1397" s="51" t="n">
        <v>0.0015</v>
      </c>
      <c r="I1397" s="51" t="n">
        <v>0.0291</v>
      </c>
      <c r="J1397" s="51" t="n">
        <v>0.9693</v>
      </c>
      <c r="K1397" s="49"/>
      <c r="L1397" s="49"/>
      <c r="M1397" s="49"/>
      <c r="N1397" s="49"/>
      <c r="O1397" s="49"/>
      <c r="P1397" s="49"/>
      <c r="Q1397" s="49"/>
      <c r="R1397" s="49"/>
      <c r="S1397" s="49" t="n">
        <v>0</v>
      </c>
      <c r="T1397" s="49" t="n">
        <v>0</v>
      </c>
      <c r="U1397" s="49" t="s">
        <v>3049</v>
      </c>
    </row>
    <row r="1398" customFormat="false" ht="15" hidden="false" customHeight="false" outlineLevel="0" collapsed="false">
      <c r="B1398" s="48" t="n">
        <v>45434.6859027778</v>
      </c>
      <c r="C1398" s="4" t="n">
        <f aca="false">YEAR(B1398)</f>
        <v>2024</v>
      </c>
      <c r="D1398" s="49" t="s">
        <v>278</v>
      </c>
      <c r="E1398" s="49" t="s">
        <v>3050</v>
      </c>
      <c r="F1398" s="50" t="n">
        <v>15</v>
      </c>
      <c r="G1398" s="49" t="s">
        <v>280</v>
      </c>
      <c r="H1398" s="51" t="n">
        <v>0.8016</v>
      </c>
      <c r="I1398" s="51" t="n">
        <v>0.1835</v>
      </c>
      <c r="J1398" s="51" t="n">
        <v>0.0149</v>
      </c>
      <c r="K1398" s="49"/>
      <c r="L1398" s="49"/>
      <c r="M1398" s="49"/>
      <c r="N1398" s="49"/>
      <c r="O1398" s="49"/>
      <c r="P1398" s="49"/>
      <c r="Q1398" s="49"/>
      <c r="R1398" s="49" t="s">
        <v>281</v>
      </c>
      <c r="S1398" s="49" t="n">
        <v>0</v>
      </c>
      <c r="T1398" s="49" t="n">
        <v>0</v>
      </c>
      <c r="U1398" s="49" t="s">
        <v>3051</v>
      </c>
    </row>
    <row r="1399" customFormat="false" ht="15" hidden="false" customHeight="false" outlineLevel="0" collapsed="false">
      <c r="B1399" s="48" t="n">
        <v>45434.704375</v>
      </c>
      <c r="C1399" s="4" t="n">
        <f aca="false">YEAR(B1399)</f>
        <v>2024</v>
      </c>
      <c r="D1399" s="49" t="s">
        <v>283</v>
      </c>
      <c r="E1399" s="49" t="s">
        <v>3052</v>
      </c>
      <c r="F1399" s="50" t="n">
        <v>2</v>
      </c>
      <c r="G1399" s="49" t="s">
        <v>287</v>
      </c>
      <c r="H1399" s="51" t="n">
        <v>0.0041</v>
      </c>
      <c r="I1399" s="51" t="n">
        <v>0.018</v>
      </c>
      <c r="J1399" s="51" t="n">
        <v>0.9779</v>
      </c>
      <c r="K1399" s="49"/>
      <c r="L1399" s="49"/>
      <c r="M1399" s="49"/>
      <c r="N1399" s="49"/>
      <c r="O1399" s="49"/>
      <c r="P1399" s="49"/>
      <c r="Q1399" s="49"/>
      <c r="R1399" s="49" t="s">
        <v>281</v>
      </c>
      <c r="S1399" s="49" t="n">
        <v>0</v>
      </c>
      <c r="T1399" s="49" t="n">
        <v>0</v>
      </c>
      <c r="U1399" s="49" t="s">
        <v>3053</v>
      </c>
    </row>
    <row r="1400" customFormat="false" ht="15" hidden="false" customHeight="false" outlineLevel="0" collapsed="false">
      <c r="B1400" s="48" t="n">
        <v>45435.1068055556</v>
      </c>
      <c r="C1400" s="4" t="n">
        <f aca="false">YEAR(B1400)</f>
        <v>2024</v>
      </c>
      <c r="D1400" s="49" t="s">
        <v>283</v>
      </c>
      <c r="E1400" s="49" t="s">
        <v>3054</v>
      </c>
      <c r="F1400" s="50" t="n">
        <v>3</v>
      </c>
      <c r="G1400" s="49" t="s">
        <v>280</v>
      </c>
      <c r="H1400" s="51" t="n">
        <v>0.6488</v>
      </c>
      <c r="I1400" s="51" t="n">
        <v>0.3235</v>
      </c>
      <c r="J1400" s="51" t="n">
        <v>0.0277</v>
      </c>
      <c r="K1400" s="49"/>
      <c r="L1400" s="49"/>
      <c r="M1400" s="49"/>
      <c r="N1400" s="49"/>
      <c r="O1400" s="49"/>
      <c r="P1400" s="49"/>
      <c r="Q1400" s="49"/>
      <c r="R1400" s="49"/>
      <c r="S1400" s="49" t="n">
        <v>0</v>
      </c>
      <c r="T1400" s="49" t="n">
        <v>0</v>
      </c>
      <c r="U1400" s="49" t="s">
        <v>3055</v>
      </c>
    </row>
    <row r="1401" customFormat="false" ht="15" hidden="false" customHeight="false" outlineLevel="0" collapsed="false">
      <c r="B1401" s="48" t="n">
        <v>45435.1673842593</v>
      </c>
      <c r="C1401" s="4" t="n">
        <f aca="false">YEAR(B1401)</f>
        <v>2024</v>
      </c>
      <c r="D1401" s="49" t="s">
        <v>278</v>
      </c>
      <c r="E1401" s="49" t="s">
        <v>3056</v>
      </c>
      <c r="F1401" s="50" t="n">
        <v>0</v>
      </c>
      <c r="G1401" s="49" t="s">
        <v>280</v>
      </c>
      <c r="H1401" s="51" t="n">
        <v>0.6723</v>
      </c>
      <c r="I1401" s="51" t="n">
        <v>0.3134</v>
      </c>
      <c r="J1401" s="51" t="n">
        <v>0.0143</v>
      </c>
      <c r="K1401" s="49"/>
      <c r="L1401" s="49"/>
      <c r="M1401" s="49"/>
      <c r="N1401" s="49"/>
      <c r="O1401" s="49"/>
      <c r="P1401" s="49"/>
      <c r="Q1401" s="49"/>
      <c r="R1401" s="49"/>
      <c r="S1401" s="49" t="n">
        <v>0</v>
      </c>
      <c r="T1401" s="49" t="n">
        <v>0</v>
      </c>
      <c r="U1401" s="49" t="s">
        <v>3057</v>
      </c>
    </row>
    <row r="1402" customFormat="false" ht="15" hidden="false" customHeight="false" outlineLevel="0" collapsed="false">
      <c r="B1402" s="48" t="n">
        <v>45435.3201967593</v>
      </c>
      <c r="C1402" s="4" t="n">
        <f aca="false">YEAR(B1402)</f>
        <v>2024</v>
      </c>
      <c r="D1402" s="49" t="s">
        <v>283</v>
      </c>
      <c r="E1402" s="49" t="s">
        <v>3058</v>
      </c>
      <c r="F1402" s="50" t="n">
        <v>1</v>
      </c>
      <c r="G1402" s="49" t="s">
        <v>290</v>
      </c>
      <c r="H1402" s="51" t="n">
        <v>0.0136</v>
      </c>
      <c r="I1402" s="51" t="n">
        <v>0.8516</v>
      </c>
      <c r="J1402" s="51" t="n">
        <v>0.1348</v>
      </c>
      <c r="K1402" s="49"/>
      <c r="L1402" s="49"/>
      <c r="M1402" s="49"/>
      <c r="N1402" s="49"/>
      <c r="O1402" s="49"/>
      <c r="P1402" s="49"/>
      <c r="Q1402" s="49"/>
      <c r="R1402" s="49"/>
      <c r="S1402" s="49" t="n">
        <v>1</v>
      </c>
      <c r="T1402" s="49" t="n">
        <v>0</v>
      </c>
      <c r="U1402" s="49" t="s">
        <v>3059</v>
      </c>
    </row>
    <row r="1403" customFormat="false" ht="15" hidden="false" customHeight="false" outlineLevel="0" collapsed="false">
      <c r="B1403" s="48" t="n">
        <v>45435.7354398148</v>
      </c>
      <c r="C1403" s="4" t="n">
        <f aca="false">YEAR(B1403)</f>
        <v>2024</v>
      </c>
      <c r="D1403" s="49" t="s">
        <v>283</v>
      </c>
      <c r="E1403" s="49" t="s">
        <v>3060</v>
      </c>
      <c r="F1403" s="50" t="n">
        <v>2</v>
      </c>
      <c r="G1403" s="49" t="s">
        <v>290</v>
      </c>
      <c r="H1403" s="51" t="n">
        <v>0.3292</v>
      </c>
      <c r="I1403" s="51" t="n">
        <v>0.5782</v>
      </c>
      <c r="J1403" s="51" t="n">
        <v>0.0926</v>
      </c>
      <c r="K1403" s="49"/>
      <c r="L1403" s="49"/>
      <c r="M1403" s="49"/>
      <c r="N1403" s="49"/>
      <c r="O1403" s="49"/>
      <c r="P1403" s="49"/>
      <c r="Q1403" s="49"/>
      <c r="R1403" s="49" t="s">
        <v>281</v>
      </c>
      <c r="S1403" s="49" t="n">
        <v>0</v>
      </c>
      <c r="T1403" s="49" t="n">
        <v>0</v>
      </c>
      <c r="U1403" s="49" t="s">
        <v>3061</v>
      </c>
    </row>
    <row r="1404" customFormat="false" ht="15" hidden="false" customHeight="false" outlineLevel="0" collapsed="false">
      <c r="B1404" s="48" t="n">
        <v>45435.8288773148</v>
      </c>
      <c r="C1404" s="4" t="n">
        <f aca="false">YEAR(B1404)</f>
        <v>2024</v>
      </c>
      <c r="D1404" s="49" t="s">
        <v>283</v>
      </c>
      <c r="E1404" s="49" t="s">
        <v>3062</v>
      </c>
      <c r="F1404" s="50" t="n">
        <v>4</v>
      </c>
      <c r="G1404" s="49" t="s">
        <v>280</v>
      </c>
      <c r="H1404" s="51" t="n">
        <v>0.7508</v>
      </c>
      <c r="I1404" s="51" t="n">
        <v>0.218</v>
      </c>
      <c r="J1404" s="51" t="n">
        <v>0.0312</v>
      </c>
      <c r="K1404" s="49"/>
      <c r="L1404" s="49"/>
      <c r="M1404" s="49"/>
      <c r="N1404" s="49"/>
      <c r="O1404" s="49"/>
      <c r="P1404" s="49"/>
      <c r="Q1404" s="49"/>
      <c r="R1404" s="49"/>
      <c r="S1404" s="49" t="n">
        <v>0</v>
      </c>
      <c r="T1404" s="49" t="n">
        <v>1</v>
      </c>
      <c r="U1404" s="49" t="s">
        <v>3063</v>
      </c>
    </row>
    <row r="1405" customFormat="false" ht="15" hidden="false" customHeight="false" outlineLevel="0" collapsed="false">
      <c r="B1405" s="48" t="n">
        <v>45435.9168402778</v>
      </c>
      <c r="C1405" s="4" t="n">
        <f aca="false">YEAR(B1405)</f>
        <v>2024</v>
      </c>
      <c r="D1405" s="49" t="s">
        <v>283</v>
      </c>
      <c r="E1405" s="49" t="s">
        <v>3064</v>
      </c>
      <c r="F1405" s="50" t="n">
        <v>5</v>
      </c>
      <c r="G1405" s="49" t="s">
        <v>287</v>
      </c>
      <c r="H1405" s="51" t="n">
        <v>0.0079</v>
      </c>
      <c r="I1405" s="51" t="n">
        <v>0.178</v>
      </c>
      <c r="J1405" s="51" t="n">
        <v>0.8142</v>
      </c>
      <c r="K1405" s="49"/>
      <c r="L1405" s="49"/>
      <c r="M1405" s="49"/>
      <c r="N1405" s="49"/>
      <c r="O1405" s="49"/>
      <c r="P1405" s="49" t="s">
        <v>281</v>
      </c>
      <c r="Q1405" s="49"/>
      <c r="R1405" s="49"/>
      <c r="S1405" s="49" t="n">
        <v>0</v>
      </c>
      <c r="T1405" s="49" t="n">
        <v>0</v>
      </c>
      <c r="U1405" s="49" t="s">
        <v>3065</v>
      </c>
    </row>
    <row r="1406" customFormat="false" ht="15" hidden="false" customHeight="false" outlineLevel="0" collapsed="false">
      <c r="B1406" s="48" t="n">
        <v>45436.5255787037</v>
      </c>
      <c r="C1406" s="4" t="n">
        <f aca="false">YEAR(B1406)</f>
        <v>2024</v>
      </c>
      <c r="D1406" s="49" t="s">
        <v>283</v>
      </c>
      <c r="E1406" s="49" t="s">
        <v>3066</v>
      </c>
      <c r="F1406" s="50" t="n">
        <v>1</v>
      </c>
      <c r="G1406" s="49" t="s">
        <v>280</v>
      </c>
      <c r="H1406" s="51" t="n">
        <v>0.5068</v>
      </c>
      <c r="I1406" s="51" t="n">
        <v>0.4666</v>
      </c>
      <c r="J1406" s="51" t="n">
        <v>0.0266</v>
      </c>
      <c r="K1406" s="49"/>
      <c r="L1406" s="49"/>
      <c r="M1406" s="49"/>
      <c r="N1406" s="49"/>
      <c r="O1406" s="49"/>
      <c r="P1406" s="49"/>
      <c r="Q1406" s="49" t="s">
        <v>281</v>
      </c>
      <c r="R1406" s="49"/>
      <c r="S1406" s="49" t="n">
        <v>0</v>
      </c>
      <c r="T1406" s="49" t="n">
        <v>0</v>
      </c>
      <c r="U1406" s="49" t="s">
        <v>3067</v>
      </c>
    </row>
    <row r="1407" customFormat="false" ht="15" hidden="false" customHeight="false" outlineLevel="0" collapsed="false">
      <c r="B1407" s="48" t="n">
        <v>45436.7366898148</v>
      </c>
      <c r="C1407" s="4" t="n">
        <f aca="false">YEAR(B1407)</f>
        <v>2024</v>
      </c>
      <c r="D1407" s="49" t="s">
        <v>283</v>
      </c>
      <c r="E1407" s="49" t="s">
        <v>3068</v>
      </c>
      <c r="F1407" s="50" t="n">
        <v>1</v>
      </c>
      <c r="G1407" s="49" t="s">
        <v>287</v>
      </c>
      <c r="H1407" s="51" t="n">
        <v>0.0073</v>
      </c>
      <c r="I1407" s="51" t="n">
        <v>0.168</v>
      </c>
      <c r="J1407" s="51" t="n">
        <v>0.8247</v>
      </c>
      <c r="K1407" s="49"/>
      <c r="L1407" s="49"/>
      <c r="M1407" s="49"/>
      <c r="N1407" s="49"/>
      <c r="O1407" s="49"/>
      <c r="P1407" s="49" t="s">
        <v>281</v>
      </c>
      <c r="Q1407" s="49"/>
      <c r="R1407" s="49"/>
      <c r="S1407" s="49" t="n">
        <v>0</v>
      </c>
      <c r="T1407" s="49" t="n">
        <v>0</v>
      </c>
      <c r="U1407" s="49" t="s">
        <v>3069</v>
      </c>
    </row>
    <row r="1408" customFormat="false" ht="15" hidden="false" customHeight="false" outlineLevel="0" collapsed="false">
      <c r="B1408" s="48" t="n">
        <v>45437.1045833333</v>
      </c>
      <c r="C1408" s="4" t="n">
        <f aca="false">YEAR(B1408)</f>
        <v>2024</v>
      </c>
      <c r="D1408" s="49" t="s">
        <v>283</v>
      </c>
      <c r="E1408" s="49" t="s">
        <v>3070</v>
      </c>
      <c r="F1408" s="50" t="n">
        <v>1</v>
      </c>
      <c r="G1408" s="49" t="s">
        <v>280</v>
      </c>
      <c r="H1408" s="51" t="n">
        <v>0.7161</v>
      </c>
      <c r="I1408" s="51" t="n">
        <v>0.2668</v>
      </c>
      <c r="J1408" s="51" t="n">
        <v>0.0171</v>
      </c>
      <c r="K1408" s="49"/>
      <c r="L1408" s="49"/>
      <c r="M1408" s="49"/>
      <c r="N1408" s="49"/>
      <c r="O1408" s="49"/>
      <c r="P1408" s="49"/>
      <c r="Q1408" s="49"/>
      <c r="R1408" s="49"/>
      <c r="S1408" s="49" t="n">
        <v>0</v>
      </c>
      <c r="T1408" s="49" t="n">
        <v>0</v>
      </c>
      <c r="U1408" s="49" t="s">
        <v>3071</v>
      </c>
    </row>
    <row r="1409" customFormat="false" ht="15" hidden="false" customHeight="false" outlineLevel="0" collapsed="false">
      <c r="B1409" s="48" t="n">
        <v>45437.1277083333</v>
      </c>
      <c r="C1409" s="4" t="n">
        <f aca="false">YEAR(B1409)</f>
        <v>2024</v>
      </c>
      <c r="D1409" s="49" t="s">
        <v>278</v>
      </c>
      <c r="E1409" s="49" t="s">
        <v>3072</v>
      </c>
      <c r="F1409" s="50" t="n">
        <v>1</v>
      </c>
      <c r="G1409" s="49" t="s">
        <v>280</v>
      </c>
      <c r="H1409" s="51" t="n">
        <v>0.83</v>
      </c>
      <c r="I1409" s="51" t="n">
        <v>0.159</v>
      </c>
      <c r="J1409" s="51" t="n">
        <v>0.011</v>
      </c>
      <c r="K1409" s="49"/>
      <c r="L1409" s="49"/>
      <c r="M1409" s="49"/>
      <c r="N1409" s="49"/>
      <c r="O1409" s="49"/>
      <c r="P1409" s="49"/>
      <c r="Q1409" s="49"/>
      <c r="R1409" s="49"/>
      <c r="S1409" s="49" t="n">
        <v>0</v>
      </c>
      <c r="T1409" s="49" t="n">
        <v>0</v>
      </c>
      <c r="U1409" s="49" t="s">
        <v>3073</v>
      </c>
    </row>
    <row r="1410" customFormat="false" ht="15" hidden="false" customHeight="false" outlineLevel="0" collapsed="false">
      <c r="B1410" s="48" t="n">
        <v>45437.1652662037</v>
      </c>
      <c r="C1410" s="4" t="n">
        <f aca="false">YEAR(B1410)</f>
        <v>2024</v>
      </c>
      <c r="D1410" s="49" t="s">
        <v>283</v>
      </c>
      <c r="E1410" s="49" t="s">
        <v>3072</v>
      </c>
      <c r="F1410" s="50" t="n">
        <v>1</v>
      </c>
      <c r="G1410" s="49" t="s">
        <v>280</v>
      </c>
      <c r="H1410" s="51" t="n">
        <v>0.83</v>
      </c>
      <c r="I1410" s="51" t="n">
        <v>0.159</v>
      </c>
      <c r="J1410" s="51" t="n">
        <v>0.011</v>
      </c>
      <c r="K1410" s="49"/>
      <c r="L1410" s="49"/>
      <c r="M1410" s="49"/>
      <c r="N1410" s="49"/>
      <c r="O1410" s="49"/>
      <c r="P1410" s="49"/>
      <c r="Q1410" s="49"/>
      <c r="R1410" s="49"/>
      <c r="S1410" s="49" t="n">
        <v>0</v>
      </c>
      <c r="T1410" s="49" t="n">
        <v>0</v>
      </c>
      <c r="U1410" s="49" t="s">
        <v>3074</v>
      </c>
    </row>
    <row r="1411" customFormat="false" ht="15" hidden="false" customHeight="false" outlineLevel="0" collapsed="false">
      <c r="B1411" s="48" t="n">
        <v>45437.5036226852</v>
      </c>
      <c r="C1411" s="4" t="n">
        <f aca="false">YEAR(B1411)</f>
        <v>2024</v>
      </c>
      <c r="D1411" s="49" t="s">
        <v>283</v>
      </c>
      <c r="E1411" s="49" t="s">
        <v>3075</v>
      </c>
      <c r="F1411" s="50" t="n">
        <v>4</v>
      </c>
      <c r="G1411" s="49" t="s">
        <v>280</v>
      </c>
      <c r="H1411" s="51" t="n">
        <v>0.6896</v>
      </c>
      <c r="I1411" s="51" t="n">
        <v>0.2791</v>
      </c>
      <c r="J1411" s="51" t="n">
        <v>0.0313</v>
      </c>
      <c r="K1411" s="49"/>
      <c r="L1411" s="49"/>
      <c r="M1411" s="49"/>
      <c r="N1411" s="49"/>
      <c r="O1411" s="49"/>
      <c r="P1411" s="49"/>
      <c r="Q1411" s="49"/>
      <c r="R1411" s="49"/>
      <c r="S1411" s="49" t="n">
        <v>0</v>
      </c>
      <c r="T1411" s="49" t="n">
        <v>0</v>
      </c>
      <c r="U1411" s="49" t="s">
        <v>3076</v>
      </c>
    </row>
    <row r="1412" customFormat="false" ht="15" hidden="false" customHeight="false" outlineLevel="0" collapsed="false">
      <c r="B1412" s="48" t="n">
        <v>45437.5922916667</v>
      </c>
      <c r="C1412" s="4" t="n">
        <f aca="false">YEAR(B1412)</f>
        <v>2024</v>
      </c>
      <c r="D1412" s="49" t="s">
        <v>283</v>
      </c>
      <c r="E1412" s="49" t="s">
        <v>3077</v>
      </c>
      <c r="F1412" s="50" t="n">
        <v>0</v>
      </c>
      <c r="G1412" s="49" t="s">
        <v>287</v>
      </c>
      <c r="H1412" s="51" t="n">
        <v>0.0016</v>
      </c>
      <c r="I1412" s="51" t="n">
        <v>0.0316</v>
      </c>
      <c r="J1412" s="51" t="n">
        <v>0.9668</v>
      </c>
      <c r="K1412" s="49"/>
      <c r="L1412" s="49"/>
      <c r="M1412" s="49"/>
      <c r="N1412" s="49"/>
      <c r="O1412" s="49"/>
      <c r="P1412" s="49"/>
      <c r="Q1412" s="49"/>
      <c r="R1412" s="49"/>
      <c r="S1412" s="49" t="n">
        <v>0</v>
      </c>
      <c r="T1412" s="49" t="n">
        <v>0</v>
      </c>
      <c r="U1412" s="49" t="s">
        <v>3078</v>
      </c>
    </row>
    <row r="1413" customFormat="false" ht="15" hidden="false" customHeight="false" outlineLevel="0" collapsed="false">
      <c r="B1413" s="48" t="n">
        <v>45437.6448611111</v>
      </c>
      <c r="C1413" s="4" t="n">
        <f aca="false">YEAR(B1413)</f>
        <v>2024</v>
      </c>
      <c r="D1413" s="49" t="s">
        <v>283</v>
      </c>
      <c r="E1413" s="49" t="s">
        <v>3079</v>
      </c>
      <c r="F1413" s="50" t="n">
        <v>1</v>
      </c>
      <c r="G1413" s="49" t="s">
        <v>280</v>
      </c>
      <c r="H1413" s="51" t="n">
        <v>0.8302</v>
      </c>
      <c r="I1413" s="51" t="n">
        <v>0.1573</v>
      </c>
      <c r="J1413" s="51" t="n">
        <v>0.0126</v>
      </c>
      <c r="K1413" s="49"/>
      <c r="L1413" s="49"/>
      <c r="M1413" s="49"/>
      <c r="N1413" s="49"/>
      <c r="O1413" s="49"/>
      <c r="P1413" s="49"/>
      <c r="Q1413" s="49" t="s">
        <v>281</v>
      </c>
      <c r="R1413" s="49"/>
      <c r="S1413" s="49" t="n">
        <v>0</v>
      </c>
      <c r="T1413" s="49" t="n">
        <v>0</v>
      </c>
      <c r="U1413" s="49" t="s">
        <v>3080</v>
      </c>
    </row>
    <row r="1414" customFormat="false" ht="15" hidden="false" customHeight="false" outlineLevel="0" collapsed="false">
      <c r="B1414" s="48" t="n">
        <v>45437.8097337963</v>
      </c>
      <c r="C1414" s="4" t="n">
        <f aca="false">YEAR(B1414)</f>
        <v>2024</v>
      </c>
      <c r="D1414" s="49" t="s">
        <v>278</v>
      </c>
      <c r="E1414" s="49" t="s">
        <v>3081</v>
      </c>
      <c r="F1414" s="50" t="n">
        <v>6</v>
      </c>
      <c r="G1414" s="49" t="s">
        <v>280</v>
      </c>
      <c r="H1414" s="51" t="n">
        <v>0.6617</v>
      </c>
      <c r="I1414" s="51" t="n">
        <v>0.3228</v>
      </c>
      <c r="J1414" s="51" t="n">
        <v>0.0156</v>
      </c>
      <c r="K1414" s="49"/>
      <c r="L1414" s="49"/>
      <c r="M1414" s="49"/>
      <c r="N1414" s="49"/>
      <c r="O1414" s="49"/>
      <c r="P1414" s="49"/>
      <c r="Q1414" s="49"/>
      <c r="R1414" s="49"/>
      <c r="S1414" s="49" t="n">
        <v>0</v>
      </c>
      <c r="T1414" s="49" t="n">
        <v>0</v>
      </c>
      <c r="U1414" s="49" t="s">
        <v>3082</v>
      </c>
    </row>
    <row r="1415" customFormat="false" ht="15" hidden="false" customHeight="false" outlineLevel="0" collapsed="false">
      <c r="B1415" s="48" t="n">
        <v>45437.9189351852</v>
      </c>
      <c r="C1415" s="4" t="n">
        <f aca="false">YEAR(B1415)</f>
        <v>2024</v>
      </c>
      <c r="D1415" s="49" t="s">
        <v>283</v>
      </c>
      <c r="E1415" s="49" t="s">
        <v>3083</v>
      </c>
      <c r="F1415" s="50" t="n">
        <v>2</v>
      </c>
      <c r="G1415" s="49" t="s">
        <v>290</v>
      </c>
      <c r="H1415" s="51" t="n">
        <v>0.3666</v>
      </c>
      <c r="I1415" s="51" t="n">
        <v>0.5809</v>
      </c>
      <c r="J1415" s="51" t="n">
        <v>0.0525</v>
      </c>
      <c r="K1415" s="49"/>
      <c r="L1415" s="49"/>
      <c r="M1415" s="49"/>
      <c r="N1415" s="49"/>
      <c r="O1415" s="49"/>
      <c r="P1415" s="49"/>
      <c r="Q1415" s="49"/>
      <c r="R1415" s="49"/>
      <c r="S1415" s="49" t="n">
        <v>0</v>
      </c>
      <c r="T1415" s="49" t="n">
        <v>0</v>
      </c>
      <c r="U1415" s="49" t="s">
        <v>3084</v>
      </c>
    </row>
    <row r="1416" customFormat="false" ht="15" hidden="false" customHeight="false" outlineLevel="0" collapsed="false">
      <c r="B1416" s="48" t="n">
        <v>45438.3183680556</v>
      </c>
      <c r="C1416" s="4" t="n">
        <f aca="false">YEAR(B1416)</f>
        <v>2024</v>
      </c>
      <c r="D1416" s="49" t="s">
        <v>283</v>
      </c>
      <c r="E1416" s="49" t="s">
        <v>3085</v>
      </c>
      <c r="F1416" s="50" t="n">
        <v>1</v>
      </c>
      <c r="G1416" s="49" t="s">
        <v>290</v>
      </c>
      <c r="H1416" s="51" t="n">
        <v>0.1598</v>
      </c>
      <c r="I1416" s="51" t="n">
        <v>0.4993</v>
      </c>
      <c r="J1416" s="51" t="n">
        <v>0.3409</v>
      </c>
      <c r="K1416" s="49"/>
      <c r="L1416" s="49"/>
      <c r="M1416" s="49"/>
      <c r="N1416" s="49"/>
      <c r="O1416" s="49"/>
      <c r="P1416" s="49"/>
      <c r="Q1416" s="49"/>
      <c r="R1416" s="49"/>
      <c r="S1416" s="49" t="n">
        <v>0</v>
      </c>
      <c r="T1416" s="49" t="n">
        <v>0</v>
      </c>
      <c r="U1416" s="49" t="s">
        <v>3086</v>
      </c>
    </row>
    <row r="1417" customFormat="false" ht="15" hidden="false" customHeight="false" outlineLevel="0" collapsed="false">
      <c r="B1417" s="48" t="n">
        <v>45438.576400463</v>
      </c>
      <c r="C1417" s="4" t="n">
        <f aca="false">YEAR(B1417)</f>
        <v>2024</v>
      </c>
      <c r="D1417" s="49" t="s">
        <v>283</v>
      </c>
      <c r="E1417" s="49" t="s">
        <v>3087</v>
      </c>
      <c r="F1417" s="50" t="n">
        <v>1</v>
      </c>
      <c r="G1417" s="49" t="s">
        <v>287</v>
      </c>
      <c r="H1417" s="51" t="n">
        <v>0.1326</v>
      </c>
      <c r="I1417" s="51" t="n">
        <v>0.3916</v>
      </c>
      <c r="J1417" s="51" t="n">
        <v>0.4758</v>
      </c>
      <c r="K1417" s="49"/>
      <c r="L1417" s="49"/>
      <c r="M1417" s="49"/>
      <c r="N1417" s="49"/>
      <c r="O1417" s="49"/>
      <c r="P1417" s="49"/>
      <c r="Q1417" s="49"/>
      <c r="R1417" s="49"/>
      <c r="S1417" s="49" t="n">
        <v>0</v>
      </c>
      <c r="T1417" s="49" t="n">
        <v>0</v>
      </c>
      <c r="U1417" s="49" t="s">
        <v>3088</v>
      </c>
    </row>
    <row r="1418" customFormat="false" ht="15" hidden="false" customHeight="false" outlineLevel="0" collapsed="false">
      <c r="B1418" s="48" t="n">
        <v>45438.6644560185</v>
      </c>
      <c r="C1418" s="4" t="n">
        <f aca="false">YEAR(B1418)</f>
        <v>2024</v>
      </c>
      <c r="D1418" s="49" t="s">
        <v>283</v>
      </c>
      <c r="E1418" s="49" t="s">
        <v>3089</v>
      </c>
      <c r="F1418" s="50" t="n">
        <v>9</v>
      </c>
      <c r="G1418" s="49" t="s">
        <v>287</v>
      </c>
      <c r="H1418" s="51" t="n">
        <v>0.324</v>
      </c>
      <c r="I1418" s="51" t="n">
        <v>0.1707</v>
      </c>
      <c r="J1418" s="51" t="n">
        <v>0.5053</v>
      </c>
      <c r="K1418" s="49"/>
      <c r="L1418" s="49"/>
      <c r="M1418" s="49"/>
      <c r="N1418" s="49"/>
      <c r="O1418" s="49"/>
      <c r="P1418" s="49"/>
      <c r="Q1418" s="49"/>
      <c r="R1418" s="49"/>
      <c r="S1418" s="49" t="n">
        <v>0</v>
      </c>
      <c r="T1418" s="49" t="n">
        <v>0</v>
      </c>
      <c r="U1418" s="49" t="s">
        <v>3090</v>
      </c>
    </row>
    <row r="1419" customFormat="false" ht="15" hidden="false" customHeight="false" outlineLevel="0" collapsed="false">
      <c r="B1419" s="48" t="n">
        <v>45438.7067824074</v>
      </c>
      <c r="C1419" s="4" t="n">
        <f aca="false">YEAR(B1419)</f>
        <v>2024</v>
      </c>
      <c r="D1419" s="49" t="s">
        <v>278</v>
      </c>
      <c r="E1419" s="49" t="s">
        <v>3091</v>
      </c>
      <c r="F1419" s="50" t="n">
        <v>1</v>
      </c>
      <c r="G1419" s="49" t="s">
        <v>290</v>
      </c>
      <c r="H1419" s="51" t="n">
        <v>0.0218</v>
      </c>
      <c r="I1419" s="51" t="n">
        <v>0.7407</v>
      </c>
      <c r="J1419" s="51" t="n">
        <v>0.2375</v>
      </c>
      <c r="K1419" s="49"/>
      <c r="L1419" s="49"/>
      <c r="M1419" s="49"/>
      <c r="N1419" s="49"/>
      <c r="O1419" s="49"/>
      <c r="P1419" s="49"/>
      <c r="Q1419" s="49"/>
      <c r="R1419" s="49" t="s">
        <v>281</v>
      </c>
      <c r="S1419" s="49" t="n">
        <v>1</v>
      </c>
      <c r="T1419" s="49" t="n">
        <v>0</v>
      </c>
      <c r="U1419" s="49" t="s">
        <v>3092</v>
      </c>
    </row>
    <row r="1420" customFormat="false" ht="15" hidden="false" customHeight="false" outlineLevel="0" collapsed="false">
      <c r="B1420" s="48" t="n">
        <v>45438.7363078704</v>
      </c>
      <c r="C1420" s="4" t="n">
        <f aca="false">YEAR(B1420)</f>
        <v>2024</v>
      </c>
      <c r="D1420" s="49" t="s">
        <v>283</v>
      </c>
      <c r="E1420" s="49" t="s">
        <v>3093</v>
      </c>
      <c r="F1420" s="50" t="n">
        <v>0</v>
      </c>
      <c r="G1420" s="49" t="s">
        <v>290</v>
      </c>
      <c r="H1420" s="51" t="n">
        <v>0.0651</v>
      </c>
      <c r="I1420" s="51" t="n">
        <v>0.5847</v>
      </c>
      <c r="J1420" s="51" t="n">
        <v>0.3501</v>
      </c>
      <c r="K1420" s="49"/>
      <c r="L1420" s="49"/>
      <c r="M1420" s="49"/>
      <c r="N1420" s="49"/>
      <c r="O1420" s="49"/>
      <c r="P1420" s="49"/>
      <c r="Q1420" s="49"/>
      <c r="R1420" s="49"/>
      <c r="S1420" s="49" t="n">
        <v>0</v>
      </c>
      <c r="T1420" s="49" t="n">
        <v>0</v>
      </c>
      <c r="U1420" s="49" t="s">
        <v>3094</v>
      </c>
    </row>
    <row r="1421" customFormat="false" ht="15" hidden="false" customHeight="false" outlineLevel="0" collapsed="false">
      <c r="B1421" s="48" t="n">
        <v>45439.5997800926</v>
      </c>
      <c r="C1421" s="4" t="n">
        <f aca="false">YEAR(B1421)</f>
        <v>2024</v>
      </c>
      <c r="D1421" s="49" t="s">
        <v>283</v>
      </c>
      <c r="E1421" s="49" t="s">
        <v>3095</v>
      </c>
      <c r="F1421" s="50" t="n">
        <v>1</v>
      </c>
      <c r="G1421" s="49" t="s">
        <v>287</v>
      </c>
      <c r="H1421" s="51" t="n">
        <v>0.0049</v>
      </c>
      <c r="I1421" s="51" t="n">
        <v>0.0589</v>
      </c>
      <c r="J1421" s="51" t="n">
        <v>0.9362</v>
      </c>
      <c r="K1421" s="49"/>
      <c r="L1421" s="49"/>
      <c r="M1421" s="49"/>
      <c r="N1421" s="49"/>
      <c r="O1421" s="49"/>
      <c r="P1421" s="49"/>
      <c r="Q1421" s="49" t="s">
        <v>281</v>
      </c>
      <c r="R1421" s="49"/>
      <c r="S1421" s="49" t="n">
        <v>0</v>
      </c>
      <c r="T1421" s="49" t="n">
        <v>0</v>
      </c>
      <c r="U1421" s="49" t="s">
        <v>3096</v>
      </c>
    </row>
    <row r="1422" customFormat="false" ht="15" hidden="false" customHeight="false" outlineLevel="0" collapsed="false">
      <c r="B1422" s="48" t="n">
        <v>45439.8150462963</v>
      </c>
      <c r="C1422" s="4" t="n">
        <f aca="false">YEAR(B1422)</f>
        <v>2024</v>
      </c>
      <c r="D1422" s="49" t="s">
        <v>283</v>
      </c>
      <c r="E1422" s="49" t="s">
        <v>3097</v>
      </c>
      <c r="F1422" s="50" t="n">
        <v>22</v>
      </c>
      <c r="G1422" s="49" t="s">
        <v>280</v>
      </c>
      <c r="H1422" s="51" t="n">
        <v>0.8888</v>
      </c>
      <c r="I1422" s="51" t="n">
        <v>0.0968</v>
      </c>
      <c r="J1422" s="51" t="n">
        <v>0.0144</v>
      </c>
      <c r="K1422" s="49"/>
      <c r="L1422" s="49"/>
      <c r="M1422" s="49"/>
      <c r="N1422" s="49"/>
      <c r="O1422" s="49"/>
      <c r="P1422" s="49"/>
      <c r="Q1422" s="49"/>
      <c r="R1422" s="49"/>
      <c r="S1422" s="49" t="n">
        <v>0</v>
      </c>
      <c r="T1422" s="49" t="n">
        <v>0</v>
      </c>
      <c r="U1422" s="49" t="s">
        <v>3098</v>
      </c>
    </row>
    <row r="1423" customFormat="false" ht="15" hidden="false" customHeight="false" outlineLevel="0" collapsed="false">
      <c r="B1423" s="48" t="n">
        <v>45440.1304976852</v>
      </c>
      <c r="C1423" s="4" t="n">
        <f aca="false">YEAR(B1423)</f>
        <v>2024</v>
      </c>
      <c r="D1423" s="49" t="s">
        <v>278</v>
      </c>
      <c r="E1423" s="49" t="s">
        <v>3099</v>
      </c>
      <c r="F1423" s="50" t="n">
        <v>45</v>
      </c>
      <c r="G1423" s="49" t="s">
        <v>280</v>
      </c>
      <c r="H1423" s="51" t="n">
        <v>0.7171</v>
      </c>
      <c r="I1423" s="51" t="n">
        <v>0.2419</v>
      </c>
      <c r="J1423" s="51" t="n">
        <v>0.041</v>
      </c>
      <c r="K1423" s="49"/>
      <c r="L1423" s="49"/>
      <c r="M1423" s="49"/>
      <c r="N1423" s="49"/>
      <c r="O1423" s="49"/>
      <c r="P1423" s="49"/>
      <c r="Q1423" s="49"/>
      <c r="R1423" s="49" t="s">
        <v>281</v>
      </c>
      <c r="S1423" s="49" t="n">
        <v>0</v>
      </c>
      <c r="T1423" s="49" t="n">
        <v>0</v>
      </c>
      <c r="U1423" s="49" t="s">
        <v>3100</v>
      </c>
    </row>
    <row r="1424" customFormat="false" ht="15" hidden="false" customHeight="false" outlineLevel="0" collapsed="false">
      <c r="B1424" s="48" t="n">
        <v>45440.5978240741</v>
      </c>
      <c r="C1424" s="4" t="n">
        <f aca="false">YEAR(B1424)</f>
        <v>2024</v>
      </c>
      <c r="D1424" s="49" t="s">
        <v>283</v>
      </c>
      <c r="E1424" s="49" t="s">
        <v>3101</v>
      </c>
      <c r="F1424" s="50" t="n">
        <v>1</v>
      </c>
      <c r="G1424" s="49" t="s">
        <v>280</v>
      </c>
      <c r="H1424" s="51" t="n">
        <v>0.7682</v>
      </c>
      <c r="I1424" s="51" t="n">
        <v>0.2069</v>
      </c>
      <c r="J1424" s="51" t="n">
        <v>0.0248</v>
      </c>
      <c r="K1424" s="49"/>
      <c r="L1424" s="49"/>
      <c r="M1424" s="49"/>
      <c r="N1424" s="49"/>
      <c r="O1424" s="49"/>
      <c r="P1424" s="49"/>
      <c r="Q1424" s="49"/>
      <c r="R1424" s="49" t="s">
        <v>281</v>
      </c>
      <c r="S1424" s="49" t="n">
        <v>0</v>
      </c>
      <c r="T1424" s="49" t="n">
        <v>0</v>
      </c>
      <c r="U1424" s="49" t="s">
        <v>3102</v>
      </c>
    </row>
    <row r="1425" customFormat="false" ht="15" hidden="false" customHeight="false" outlineLevel="0" collapsed="false">
      <c r="B1425" s="48" t="n">
        <v>45441.5959375</v>
      </c>
      <c r="C1425" s="4" t="n">
        <f aca="false">YEAR(B1425)</f>
        <v>2024</v>
      </c>
      <c r="D1425" s="49" t="s">
        <v>283</v>
      </c>
      <c r="E1425" s="49" t="s">
        <v>3103</v>
      </c>
      <c r="F1425" s="50" t="n">
        <v>1</v>
      </c>
      <c r="G1425" s="49" t="s">
        <v>280</v>
      </c>
      <c r="H1425" s="51" t="n">
        <v>0.87</v>
      </c>
      <c r="I1425" s="51" t="n">
        <v>0.1204</v>
      </c>
      <c r="J1425" s="51" t="n">
        <v>0.0096</v>
      </c>
      <c r="K1425" s="49"/>
      <c r="L1425" s="49"/>
      <c r="M1425" s="49"/>
      <c r="N1425" s="49"/>
      <c r="O1425" s="49"/>
      <c r="P1425" s="49"/>
      <c r="Q1425" s="49"/>
      <c r="R1425" s="49"/>
      <c r="S1425" s="49" t="n">
        <v>0</v>
      </c>
      <c r="T1425" s="49" t="n">
        <v>0</v>
      </c>
      <c r="U1425" s="49" t="s">
        <v>3104</v>
      </c>
    </row>
    <row r="1426" customFormat="false" ht="15" hidden="false" customHeight="false" outlineLevel="0" collapsed="false">
      <c r="B1426" s="48" t="n">
        <v>45442.4038773148</v>
      </c>
      <c r="C1426" s="4" t="n">
        <f aca="false">YEAR(B1426)</f>
        <v>2024</v>
      </c>
      <c r="D1426" s="49" t="s">
        <v>283</v>
      </c>
      <c r="E1426" s="49" t="s">
        <v>3105</v>
      </c>
      <c r="F1426" s="50" t="n">
        <v>1</v>
      </c>
      <c r="G1426" s="49" t="s">
        <v>287</v>
      </c>
      <c r="H1426" s="51" t="n">
        <v>0.0023</v>
      </c>
      <c r="I1426" s="51" t="n">
        <v>0.0683</v>
      </c>
      <c r="J1426" s="51" t="n">
        <v>0.9294</v>
      </c>
      <c r="K1426" s="49"/>
      <c r="L1426" s="49"/>
      <c r="M1426" s="49"/>
      <c r="N1426" s="49"/>
      <c r="O1426" s="49"/>
      <c r="P1426" s="49"/>
      <c r="Q1426" s="49"/>
      <c r="R1426" s="49"/>
      <c r="S1426" s="49" t="n">
        <v>0</v>
      </c>
      <c r="T1426" s="49" t="n">
        <v>0</v>
      </c>
      <c r="U1426" s="49" t="s">
        <v>3106</v>
      </c>
    </row>
    <row r="1427" customFormat="false" ht="15" hidden="false" customHeight="false" outlineLevel="0" collapsed="false">
      <c r="B1427" s="48" t="n">
        <v>45442.7319907407</v>
      </c>
      <c r="C1427" s="4" t="n">
        <f aca="false">YEAR(B1427)</f>
        <v>2024</v>
      </c>
      <c r="D1427" s="49" t="s">
        <v>283</v>
      </c>
      <c r="E1427" s="49" t="s">
        <v>3107</v>
      </c>
      <c r="F1427" s="50" t="n">
        <v>1</v>
      </c>
      <c r="G1427" s="49" t="s">
        <v>290</v>
      </c>
      <c r="H1427" s="51" t="n">
        <v>0.0076</v>
      </c>
      <c r="I1427" s="51" t="n">
        <v>0.9045</v>
      </c>
      <c r="J1427" s="51" t="n">
        <v>0.0879</v>
      </c>
      <c r="K1427" s="49"/>
      <c r="L1427" s="49"/>
      <c r="M1427" s="49"/>
      <c r="N1427" s="49"/>
      <c r="O1427" s="49"/>
      <c r="P1427" s="49"/>
      <c r="Q1427" s="49"/>
      <c r="R1427" s="49"/>
      <c r="S1427" s="49" t="n">
        <v>1</v>
      </c>
      <c r="T1427" s="49" t="n">
        <v>0</v>
      </c>
      <c r="U1427" s="49" t="s">
        <v>3108</v>
      </c>
    </row>
    <row r="1428" customFormat="false" ht="15" hidden="false" customHeight="false" outlineLevel="0" collapsed="false">
      <c r="B1428" s="48" t="n">
        <v>45442.7711458333</v>
      </c>
      <c r="C1428" s="4" t="n">
        <f aca="false">YEAR(B1428)</f>
        <v>2024</v>
      </c>
      <c r="D1428" s="49" t="s">
        <v>283</v>
      </c>
      <c r="E1428" s="49" t="s">
        <v>3109</v>
      </c>
      <c r="F1428" s="50" t="n">
        <v>0</v>
      </c>
      <c r="G1428" s="49" t="s">
        <v>287</v>
      </c>
      <c r="H1428" s="51" t="n">
        <v>0.0146</v>
      </c>
      <c r="I1428" s="51" t="n">
        <v>0.174</v>
      </c>
      <c r="J1428" s="51" t="n">
        <v>0.8114</v>
      </c>
      <c r="K1428" s="49"/>
      <c r="L1428" s="49"/>
      <c r="M1428" s="49"/>
      <c r="N1428" s="49"/>
      <c r="O1428" s="49"/>
      <c r="P1428" s="49"/>
      <c r="Q1428" s="49"/>
      <c r="R1428" s="49"/>
      <c r="S1428" s="49" t="n">
        <v>0</v>
      </c>
      <c r="T1428" s="49" t="n">
        <v>0</v>
      </c>
      <c r="U1428" s="49" t="s">
        <v>3110</v>
      </c>
    </row>
    <row r="1429" customFormat="false" ht="15" hidden="false" customHeight="false" outlineLevel="0" collapsed="false">
      <c r="B1429" s="48" t="n">
        <v>45442.9290393519</v>
      </c>
      <c r="C1429" s="4" t="n">
        <f aca="false">YEAR(B1429)</f>
        <v>2024</v>
      </c>
      <c r="D1429" s="49" t="s">
        <v>283</v>
      </c>
      <c r="E1429" s="49" t="s">
        <v>3111</v>
      </c>
      <c r="F1429" s="50" t="n">
        <v>1</v>
      </c>
      <c r="G1429" s="49" t="s">
        <v>280</v>
      </c>
      <c r="H1429" s="51" t="n">
        <v>0.8465</v>
      </c>
      <c r="I1429" s="51" t="n">
        <v>0.1384</v>
      </c>
      <c r="J1429" s="51" t="n">
        <v>0.015</v>
      </c>
      <c r="K1429" s="49"/>
      <c r="L1429" s="49"/>
      <c r="M1429" s="49"/>
      <c r="N1429" s="49"/>
      <c r="O1429" s="49"/>
      <c r="P1429" s="49"/>
      <c r="Q1429" s="49"/>
      <c r="R1429" s="49"/>
      <c r="S1429" s="49" t="n">
        <v>0</v>
      </c>
      <c r="T1429" s="49" t="n">
        <v>0</v>
      </c>
      <c r="U1429" s="49" t="s">
        <v>3112</v>
      </c>
    </row>
    <row r="1430" customFormat="false" ht="15" hidden="false" customHeight="false" outlineLevel="0" collapsed="false">
      <c r="B1430" s="48" t="n">
        <v>45443.1142708333</v>
      </c>
      <c r="C1430" s="4" t="n">
        <f aca="false">YEAR(B1430)</f>
        <v>2024</v>
      </c>
      <c r="D1430" s="49" t="s">
        <v>283</v>
      </c>
      <c r="E1430" s="49" t="s">
        <v>3113</v>
      </c>
      <c r="F1430" s="50" t="n">
        <v>0</v>
      </c>
      <c r="G1430" s="49" t="s">
        <v>287</v>
      </c>
      <c r="H1430" s="51" t="n">
        <v>0.0073</v>
      </c>
      <c r="I1430" s="51" t="n">
        <v>0.2985</v>
      </c>
      <c r="J1430" s="51" t="n">
        <v>0.6941</v>
      </c>
      <c r="K1430" s="49"/>
      <c r="L1430" s="49"/>
      <c r="M1430" s="49"/>
      <c r="N1430" s="49"/>
      <c r="O1430" s="49"/>
      <c r="P1430" s="49"/>
      <c r="Q1430" s="49"/>
      <c r="R1430" s="49"/>
      <c r="S1430" s="49" t="n">
        <v>0</v>
      </c>
      <c r="T1430" s="49" t="n">
        <v>0</v>
      </c>
      <c r="U1430" s="49" t="s">
        <v>3114</v>
      </c>
    </row>
    <row r="1431" customFormat="false" ht="15" hidden="false" customHeight="false" outlineLevel="0" collapsed="false">
      <c r="B1431" s="48" t="n">
        <v>45443.4327546296</v>
      </c>
      <c r="C1431" s="4" t="n">
        <f aca="false">YEAR(B1431)</f>
        <v>2024</v>
      </c>
      <c r="D1431" s="49" t="s">
        <v>283</v>
      </c>
      <c r="E1431" s="49" t="s">
        <v>3115</v>
      </c>
      <c r="F1431" s="50" t="n">
        <v>1</v>
      </c>
      <c r="G1431" s="49" t="s">
        <v>287</v>
      </c>
      <c r="H1431" s="51" t="n">
        <v>0.0031</v>
      </c>
      <c r="I1431" s="51" t="n">
        <v>0.0145</v>
      </c>
      <c r="J1431" s="51" t="n">
        <v>0.9823</v>
      </c>
      <c r="K1431" s="49"/>
      <c r="L1431" s="49"/>
      <c r="M1431" s="49"/>
      <c r="N1431" s="49"/>
      <c r="O1431" s="49"/>
      <c r="P1431" s="49"/>
      <c r="Q1431" s="49"/>
      <c r="R1431" s="49" t="s">
        <v>281</v>
      </c>
      <c r="S1431" s="49" t="n">
        <v>0</v>
      </c>
      <c r="T1431" s="49" t="n">
        <v>0</v>
      </c>
      <c r="U1431" s="49" t="s">
        <v>3116</v>
      </c>
    </row>
    <row r="1432" customFormat="false" ht="15" hidden="false" customHeight="false" outlineLevel="0" collapsed="false">
      <c r="B1432" s="48" t="n">
        <v>45443.8626157407</v>
      </c>
      <c r="C1432" s="4" t="n">
        <f aca="false">YEAR(B1432)</f>
        <v>2024</v>
      </c>
      <c r="D1432" s="49" t="s">
        <v>283</v>
      </c>
      <c r="E1432" s="49" t="s">
        <v>3117</v>
      </c>
      <c r="F1432" s="50" t="n">
        <v>0</v>
      </c>
      <c r="G1432" s="49" t="s">
        <v>280</v>
      </c>
      <c r="H1432" s="51" t="n">
        <v>0.6799</v>
      </c>
      <c r="I1432" s="51" t="n">
        <v>0.2958</v>
      </c>
      <c r="J1432" s="51" t="n">
        <v>0.0243</v>
      </c>
      <c r="K1432" s="49"/>
      <c r="L1432" s="49"/>
      <c r="M1432" s="49"/>
      <c r="N1432" s="49"/>
      <c r="O1432" s="49"/>
      <c r="P1432" s="49"/>
      <c r="Q1432" s="49"/>
      <c r="R1432" s="49"/>
      <c r="S1432" s="49" t="n">
        <v>0</v>
      </c>
      <c r="T1432" s="49" t="n">
        <v>0</v>
      </c>
      <c r="U1432" s="49" t="s">
        <v>3118</v>
      </c>
    </row>
    <row r="1433" customFormat="false" ht="15" hidden="false" customHeight="false" outlineLevel="0" collapsed="false">
      <c r="B1433" s="48" t="n">
        <v>45444.0580092593</v>
      </c>
      <c r="C1433" s="4" t="n">
        <f aca="false">YEAR(B1433)</f>
        <v>2024</v>
      </c>
      <c r="D1433" s="49" t="s">
        <v>283</v>
      </c>
      <c r="E1433" s="49" t="s">
        <v>3119</v>
      </c>
      <c r="F1433" s="50" t="n">
        <v>1</v>
      </c>
      <c r="G1433" s="49" t="s">
        <v>290</v>
      </c>
      <c r="H1433" s="51" t="n">
        <v>0.0092</v>
      </c>
      <c r="I1433" s="51" t="n">
        <v>0.8626</v>
      </c>
      <c r="J1433" s="51" t="n">
        <v>0.1282</v>
      </c>
      <c r="K1433" s="49"/>
      <c r="L1433" s="49"/>
      <c r="M1433" s="49"/>
      <c r="N1433" s="49"/>
      <c r="O1433" s="49"/>
      <c r="P1433" s="49"/>
      <c r="Q1433" s="49"/>
      <c r="R1433" s="49"/>
      <c r="S1433" s="49" t="n">
        <v>1</v>
      </c>
      <c r="T1433" s="49" t="n">
        <v>0</v>
      </c>
      <c r="U1433" s="49" t="s">
        <v>3120</v>
      </c>
    </row>
    <row r="1434" customFormat="false" ht="15" hidden="false" customHeight="false" outlineLevel="0" collapsed="false">
      <c r="B1434" s="48" t="n">
        <v>45444.5547800926</v>
      </c>
      <c r="C1434" s="4" t="n">
        <f aca="false">YEAR(B1434)</f>
        <v>2024</v>
      </c>
      <c r="D1434" s="49" t="s">
        <v>278</v>
      </c>
      <c r="E1434" s="49" t="s">
        <v>3121</v>
      </c>
      <c r="F1434" s="50" t="n">
        <v>2</v>
      </c>
      <c r="G1434" s="49" t="s">
        <v>280</v>
      </c>
      <c r="H1434" s="51" t="n">
        <v>0.8503</v>
      </c>
      <c r="I1434" s="51" t="n">
        <v>0.1413</v>
      </c>
      <c r="J1434" s="51" t="n">
        <v>0.0085</v>
      </c>
      <c r="K1434" s="49" t="s">
        <v>281</v>
      </c>
      <c r="L1434" s="49"/>
      <c r="M1434" s="49"/>
      <c r="N1434" s="49"/>
      <c r="O1434" s="49"/>
      <c r="P1434" s="49"/>
      <c r="Q1434" s="49"/>
      <c r="R1434" s="49"/>
      <c r="S1434" s="49" t="n">
        <v>0</v>
      </c>
      <c r="T1434" s="49" t="n">
        <v>0</v>
      </c>
      <c r="U1434" s="49" t="s">
        <v>3122</v>
      </c>
    </row>
    <row r="1435" customFormat="false" ht="15" hidden="false" customHeight="false" outlineLevel="0" collapsed="false">
      <c r="B1435" s="48" t="n">
        <v>45444.723900463</v>
      </c>
      <c r="C1435" s="4" t="n">
        <f aca="false">YEAR(B1435)</f>
        <v>2024</v>
      </c>
      <c r="D1435" s="49" t="s">
        <v>278</v>
      </c>
      <c r="E1435" s="49" t="s">
        <v>3123</v>
      </c>
      <c r="F1435" s="50" t="n">
        <v>1</v>
      </c>
      <c r="G1435" s="49" t="s">
        <v>280</v>
      </c>
      <c r="H1435" s="51" t="n">
        <v>0.614</v>
      </c>
      <c r="I1435" s="51" t="n">
        <v>0.3678</v>
      </c>
      <c r="J1435" s="51" t="n">
        <v>0.0182</v>
      </c>
      <c r="K1435" s="49"/>
      <c r="L1435" s="49"/>
      <c r="M1435" s="49"/>
      <c r="N1435" s="49"/>
      <c r="O1435" s="49"/>
      <c r="P1435" s="49"/>
      <c r="Q1435" s="49"/>
      <c r="R1435" s="49" t="s">
        <v>281</v>
      </c>
      <c r="S1435" s="49" t="n">
        <v>0</v>
      </c>
      <c r="T1435" s="49" t="n">
        <v>0</v>
      </c>
      <c r="U1435" s="49" t="s">
        <v>3124</v>
      </c>
    </row>
    <row r="1436" customFormat="false" ht="15" hidden="false" customHeight="false" outlineLevel="0" collapsed="false">
      <c r="B1436" s="48" t="n">
        <v>45445.7683333333</v>
      </c>
      <c r="C1436" s="4" t="n">
        <f aca="false">YEAR(B1436)</f>
        <v>2024</v>
      </c>
      <c r="D1436" s="49" t="s">
        <v>283</v>
      </c>
      <c r="E1436" s="49" t="s">
        <v>3125</v>
      </c>
      <c r="F1436" s="50" t="n">
        <v>2</v>
      </c>
      <c r="G1436" s="49" t="s">
        <v>290</v>
      </c>
      <c r="H1436" s="51" t="n">
        <v>0.02</v>
      </c>
      <c r="I1436" s="51" t="n">
        <v>0.7568</v>
      </c>
      <c r="J1436" s="51" t="n">
        <v>0.2232</v>
      </c>
      <c r="K1436" s="49"/>
      <c r="L1436" s="49"/>
      <c r="M1436" s="49"/>
      <c r="N1436" s="49"/>
      <c r="O1436" s="49"/>
      <c r="P1436" s="49"/>
      <c r="Q1436" s="49"/>
      <c r="R1436" s="49"/>
      <c r="S1436" s="49" t="n">
        <v>0</v>
      </c>
      <c r="T1436" s="49" t="n">
        <v>0</v>
      </c>
      <c r="U1436" s="49" t="s">
        <v>3126</v>
      </c>
    </row>
    <row r="1437" customFormat="false" ht="15" hidden="false" customHeight="false" outlineLevel="0" collapsed="false">
      <c r="B1437" s="48" t="n">
        <v>45446.1205439815</v>
      </c>
      <c r="C1437" s="4" t="n">
        <f aca="false">YEAR(B1437)</f>
        <v>2024</v>
      </c>
      <c r="D1437" s="49" t="s">
        <v>283</v>
      </c>
      <c r="E1437" s="49" t="s">
        <v>3127</v>
      </c>
      <c r="F1437" s="50" t="n">
        <v>0</v>
      </c>
      <c r="G1437" s="49" t="s">
        <v>287</v>
      </c>
      <c r="H1437" s="51" t="n">
        <v>0.0034</v>
      </c>
      <c r="I1437" s="51" t="n">
        <v>0.1603</v>
      </c>
      <c r="J1437" s="51" t="n">
        <v>0.8363</v>
      </c>
      <c r="K1437" s="49"/>
      <c r="L1437" s="49"/>
      <c r="M1437" s="49"/>
      <c r="N1437" s="49"/>
      <c r="O1437" s="49"/>
      <c r="P1437" s="49"/>
      <c r="Q1437" s="49"/>
      <c r="R1437" s="49"/>
      <c r="S1437" s="49" t="n">
        <v>0</v>
      </c>
      <c r="T1437" s="49" t="n">
        <v>0</v>
      </c>
      <c r="U1437" s="49" t="s">
        <v>3128</v>
      </c>
    </row>
    <row r="1438" customFormat="false" ht="15" hidden="false" customHeight="false" outlineLevel="0" collapsed="false">
      <c r="B1438" s="48" t="n">
        <v>45446.1440277778</v>
      </c>
      <c r="C1438" s="4" t="n">
        <f aca="false">YEAR(B1438)</f>
        <v>2024</v>
      </c>
      <c r="D1438" s="49" t="s">
        <v>283</v>
      </c>
      <c r="E1438" s="49" t="s">
        <v>3129</v>
      </c>
      <c r="F1438" s="50" t="n">
        <v>17</v>
      </c>
      <c r="G1438" s="49" t="s">
        <v>280</v>
      </c>
      <c r="H1438" s="51" t="n">
        <v>0.9368</v>
      </c>
      <c r="I1438" s="51" t="n">
        <v>0.0573</v>
      </c>
      <c r="J1438" s="51" t="n">
        <v>0.0059</v>
      </c>
      <c r="K1438" s="49"/>
      <c r="L1438" s="49"/>
      <c r="M1438" s="49"/>
      <c r="N1438" s="49"/>
      <c r="O1438" s="49"/>
      <c r="P1438" s="49"/>
      <c r="Q1438" s="49"/>
      <c r="R1438" s="49"/>
      <c r="S1438" s="49" t="n">
        <v>0</v>
      </c>
      <c r="T1438" s="49" t="n">
        <v>0</v>
      </c>
      <c r="U1438" s="49" t="s">
        <v>3130</v>
      </c>
    </row>
    <row r="1439" customFormat="false" ht="15" hidden="false" customHeight="false" outlineLevel="0" collapsed="false">
      <c r="B1439" s="48" t="n">
        <v>45446.6176851852</v>
      </c>
      <c r="C1439" s="4" t="n">
        <f aca="false">YEAR(B1439)</f>
        <v>2024</v>
      </c>
      <c r="D1439" s="49" t="s">
        <v>278</v>
      </c>
      <c r="E1439" s="49" t="s">
        <v>3131</v>
      </c>
      <c r="F1439" s="50" t="n">
        <v>3</v>
      </c>
      <c r="G1439" s="49" t="s">
        <v>290</v>
      </c>
      <c r="H1439" s="51" t="n">
        <v>0.4402</v>
      </c>
      <c r="I1439" s="51" t="n">
        <v>0.5396</v>
      </c>
      <c r="J1439" s="51" t="n">
        <v>0.0202</v>
      </c>
      <c r="K1439" s="49"/>
      <c r="L1439" s="49"/>
      <c r="M1439" s="49"/>
      <c r="N1439" s="49"/>
      <c r="O1439" s="49"/>
      <c r="P1439" s="49"/>
      <c r="Q1439" s="49"/>
      <c r="R1439" s="49"/>
      <c r="S1439" s="49" t="n">
        <v>0</v>
      </c>
      <c r="T1439" s="49" t="n">
        <v>0</v>
      </c>
      <c r="U1439" s="49" t="s">
        <v>3132</v>
      </c>
    </row>
    <row r="1440" customFormat="false" ht="15" hidden="false" customHeight="false" outlineLevel="0" collapsed="false">
      <c r="B1440" s="48" t="n">
        <v>45446.7977546296</v>
      </c>
      <c r="C1440" s="4" t="n">
        <f aca="false">YEAR(B1440)</f>
        <v>2024</v>
      </c>
      <c r="D1440" s="49" t="s">
        <v>283</v>
      </c>
      <c r="E1440" s="49" t="s">
        <v>3133</v>
      </c>
      <c r="F1440" s="50" t="n">
        <v>2</v>
      </c>
      <c r="G1440" s="49" t="s">
        <v>290</v>
      </c>
      <c r="H1440" s="51" t="n">
        <v>0.4355</v>
      </c>
      <c r="I1440" s="51" t="n">
        <v>0.5476</v>
      </c>
      <c r="J1440" s="51" t="n">
        <v>0.0169</v>
      </c>
      <c r="K1440" s="49"/>
      <c r="L1440" s="49"/>
      <c r="M1440" s="49"/>
      <c r="N1440" s="49"/>
      <c r="O1440" s="49" t="s">
        <v>281</v>
      </c>
      <c r="P1440" s="49"/>
      <c r="Q1440" s="49"/>
      <c r="R1440" s="49"/>
      <c r="S1440" s="49" t="n">
        <v>0</v>
      </c>
      <c r="T1440" s="49" t="n">
        <v>0</v>
      </c>
      <c r="U1440" s="49" t="s">
        <v>3134</v>
      </c>
    </row>
    <row r="1441" customFormat="false" ht="15" hidden="false" customHeight="false" outlineLevel="0" collapsed="false">
      <c r="B1441" s="48" t="n">
        <v>45447.1157986111</v>
      </c>
      <c r="C1441" s="4" t="n">
        <f aca="false">YEAR(B1441)</f>
        <v>2024</v>
      </c>
      <c r="D1441" s="49" t="s">
        <v>283</v>
      </c>
      <c r="E1441" s="49" t="s">
        <v>3135</v>
      </c>
      <c r="F1441" s="50" t="n">
        <v>3</v>
      </c>
      <c r="G1441" s="49" t="s">
        <v>280</v>
      </c>
      <c r="H1441" s="51" t="n">
        <v>0.919</v>
      </c>
      <c r="I1441" s="51" t="n">
        <v>0.0742</v>
      </c>
      <c r="J1441" s="51" t="n">
        <v>0.0069</v>
      </c>
      <c r="K1441" s="49"/>
      <c r="L1441" s="49"/>
      <c r="M1441" s="49"/>
      <c r="N1441" s="49"/>
      <c r="O1441" s="49" t="s">
        <v>281</v>
      </c>
      <c r="P1441" s="49"/>
      <c r="Q1441" s="49" t="s">
        <v>281</v>
      </c>
      <c r="R1441" s="49"/>
      <c r="S1441" s="49" t="n">
        <v>0</v>
      </c>
      <c r="T1441" s="49" t="n">
        <v>0</v>
      </c>
      <c r="U1441" s="49" t="s">
        <v>3136</v>
      </c>
    </row>
    <row r="1442" customFormat="false" ht="15" hidden="false" customHeight="false" outlineLevel="0" collapsed="false">
      <c r="B1442" s="48" t="n">
        <v>45447.6607638889</v>
      </c>
      <c r="C1442" s="4" t="n">
        <f aca="false">YEAR(B1442)</f>
        <v>2024</v>
      </c>
      <c r="D1442" s="49" t="s">
        <v>283</v>
      </c>
      <c r="E1442" s="49" t="s">
        <v>3137</v>
      </c>
      <c r="F1442" s="50" t="n">
        <v>1</v>
      </c>
      <c r="G1442" s="49" t="s">
        <v>290</v>
      </c>
      <c r="H1442" s="51" t="n">
        <v>0.0294</v>
      </c>
      <c r="I1442" s="51" t="n">
        <v>0.8861</v>
      </c>
      <c r="J1442" s="51" t="n">
        <v>0.0844</v>
      </c>
      <c r="K1442" s="49"/>
      <c r="L1442" s="49"/>
      <c r="M1442" s="49"/>
      <c r="N1442" s="49"/>
      <c r="O1442" s="49"/>
      <c r="P1442" s="49"/>
      <c r="Q1442" s="49"/>
      <c r="R1442" s="49"/>
      <c r="S1442" s="49" t="n">
        <v>1</v>
      </c>
      <c r="T1442" s="49" t="n">
        <v>0</v>
      </c>
      <c r="U1442" s="49" t="s">
        <v>3138</v>
      </c>
    </row>
    <row r="1443" customFormat="false" ht="15" hidden="false" customHeight="false" outlineLevel="0" collapsed="false">
      <c r="B1443" s="48" t="n">
        <v>45447.8604976852</v>
      </c>
      <c r="C1443" s="4" t="n">
        <f aca="false">YEAR(B1443)</f>
        <v>2024</v>
      </c>
      <c r="D1443" s="49" t="s">
        <v>283</v>
      </c>
      <c r="E1443" s="49" t="s">
        <v>3139</v>
      </c>
      <c r="F1443" s="50" t="n">
        <v>0</v>
      </c>
      <c r="G1443" s="49" t="s">
        <v>280</v>
      </c>
      <c r="H1443" s="51" t="n">
        <v>0.8815</v>
      </c>
      <c r="I1443" s="51" t="n">
        <v>0.1099</v>
      </c>
      <c r="J1443" s="51" t="n">
        <v>0.0086</v>
      </c>
      <c r="K1443" s="49" t="s">
        <v>281</v>
      </c>
      <c r="L1443" s="49"/>
      <c r="M1443" s="49"/>
      <c r="N1443" s="49"/>
      <c r="O1443" s="49"/>
      <c r="P1443" s="49"/>
      <c r="Q1443" s="49"/>
      <c r="R1443" s="49"/>
      <c r="S1443" s="49" t="n">
        <v>0</v>
      </c>
      <c r="T1443" s="49" t="n">
        <v>1</v>
      </c>
      <c r="U1443" s="49" t="s">
        <v>3140</v>
      </c>
    </row>
    <row r="1444" customFormat="false" ht="15" hidden="false" customHeight="false" outlineLevel="0" collapsed="false">
      <c r="B1444" s="48" t="n">
        <v>45448.2738541667</v>
      </c>
      <c r="C1444" s="4" t="n">
        <f aca="false">YEAR(B1444)</f>
        <v>2024</v>
      </c>
      <c r="D1444" s="49" t="s">
        <v>278</v>
      </c>
      <c r="E1444" s="49" t="s">
        <v>3141</v>
      </c>
      <c r="F1444" s="50" t="n">
        <v>22</v>
      </c>
      <c r="G1444" s="49" t="s">
        <v>287</v>
      </c>
      <c r="H1444" s="51" t="n">
        <v>0.0069</v>
      </c>
      <c r="I1444" s="51" t="n">
        <v>0.0241</v>
      </c>
      <c r="J1444" s="51" t="n">
        <v>0.969</v>
      </c>
      <c r="K1444" s="49"/>
      <c r="L1444" s="49"/>
      <c r="M1444" s="49"/>
      <c r="N1444" s="49"/>
      <c r="O1444" s="49"/>
      <c r="P1444" s="49"/>
      <c r="Q1444" s="49"/>
      <c r="R1444" s="49"/>
      <c r="S1444" s="49" t="n">
        <v>0</v>
      </c>
      <c r="T1444" s="49" t="n">
        <v>0</v>
      </c>
      <c r="U1444" s="49" t="s">
        <v>3142</v>
      </c>
    </row>
    <row r="1445" customFormat="false" ht="15" hidden="false" customHeight="false" outlineLevel="0" collapsed="false">
      <c r="B1445" s="48" t="n">
        <v>45448.2931018519</v>
      </c>
      <c r="C1445" s="4" t="n">
        <f aca="false">YEAR(B1445)</f>
        <v>2024</v>
      </c>
      <c r="D1445" s="49" t="s">
        <v>278</v>
      </c>
      <c r="E1445" s="49" t="s">
        <v>3143</v>
      </c>
      <c r="F1445" s="50" t="n">
        <v>0</v>
      </c>
      <c r="G1445" s="49" t="s">
        <v>287</v>
      </c>
      <c r="H1445" s="51" t="n">
        <v>0.0051</v>
      </c>
      <c r="I1445" s="51" t="n">
        <v>0.1866</v>
      </c>
      <c r="J1445" s="51" t="n">
        <v>0.8083</v>
      </c>
      <c r="K1445" s="49"/>
      <c r="L1445" s="49"/>
      <c r="M1445" s="49"/>
      <c r="N1445" s="49"/>
      <c r="O1445" s="49"/>
      <c r="P1445" s="49"/>
      <c r="Q1445" s="49"/>
      <c r="R1445" s="49"/>
      <c r="S1445" s="49" t="n">
        <v>0</v>
      </c>
      <c r="T1445" s="49" t="n">
        <v>0</v>
      </c>
      <c r="U1445" s="49" t="s">
        <v>3144</v>
      </c>
    </row>
    <row r="1446" customFormat="false" ht="15" hidden="false" customHeight="false" outlineLevel="0" collapsed="false">
      <c r="B1446" s="48" t="n">
        <v>45448.6868518519</v>
      </c>
      <c r="C1446" s="4" t="n">
        <f aca="false">YEAR(B1446)</f>
        <v>2024</v>
      </c>
      <c r="D1446" s="49" t="s">
        <v>278</v>
      </c>
      <c r="E1446" s="49" t="s">
        <v>3145</v>
      </c>
      <c r="F1446" s="50" t="n">
        <v>0</v>
      </c>
      <c r="G1446" s="49" t="s">
        <v>287</v>
      </c>
      <c r="H1446" s="51" t="n">
        <v>0.0106</v>
      </c>
      <c r="I1446" s="51" t="n">
        <v>0.0756</v>
      </c>
      <c r="J1446" s="51" t="n">
        <v>0.9138</v>
      </c>
      <c r="K1446" s="49"/>
      <c r="L1446" s="49"/>
      <c r="M1446" s="49"/>
      <c r="N1446" s="49"/>
      <c r="O1446" s="49"/>
      <c r="P1446" s="49"/>
      <c r="Q1446" s="49"/>
      <c r="R1446" s="49"/>
      <c r="S1446" s="49" t="n">
        <v>0</v>
      </c>
      <c r="T1446" s="49" t="n">
        <v>0</v>
      </c>
      <c r="U1446" s="49" t="s">
        <v>3146</v>
      </c>
    </row>
    <row r="1447" customFormat="false" ht="15" hidden="false" customHeight="false" outlineLevel="0" collapsed="false">
      <c r="B1447" s="48" t="n">
        <v>45448.7926273148</v>
      </c>
      <c r="C1447" s="4" t="n">
        <f aca="false">YEAR(B1447)</f>
        <v>2024</v>
      </c>
      <c r="D1447" s="49" t="s">
        <v>283</v>
      </c>
      <c r="E1447" s="49" t="s">
        <v>3147</v>
      </c>
      <c r="F1447" s="50" t="n">
        <v>7</v>
      </c>
      <c r="G1447" s="49" t="s">
        <v>280</v>
      </c>
      <c r="H1447" s="51" t="n">
        <v>0.7349</v>
      </c>
      <c r="I1447" s="51" t="n">
        <v>0.2478</v>
      </c>
      <c r="J1447" s="51" t="n">
        <v>0.0173</v>
      </c>
      <c r="K1447" s="49"/>
      <c r="L1447" s="49"/>
      <c r="M1447" s="49"/>
      <c r="N1447" s="49"/>
      <c r="O1447" s="49"/>
      <c r="P1447" s="49"/>
      <c r="Q1447" s="49"/>
      <c r="R1447" s="49" t="s">
        <v>281</v>
      </c>
      <c r="S1447" s="49" t="n">
        <v>0</v>
      </c>
      <c r="T1447" s="49" t="n">
        <v>0</v>
      </c>
      <c r="U1447" s="49" t="s">
        <v>3148</v>
      </c>
    </row>
    <row r="1448" customFormat="false" ht="15" hidden="false" customHeight="false" outlineLevel="0" collapsed="false">
      <c r="B1448" s="48" t="n">
        <v>45449.2943981482</v>
      </c>
      <c r="C1448" s="4" t="n">
        <f aca="false">YEAR(B1448)</f>
        <v>2024</v>
      </c>
      <c r="D1448" s="49" t="s">
        <v>278</v>
      </c>
      <c r="E1448" s="49" t="s">
        <v>3149</v>
      </c>
      <c r="F1448" s="50" t="n">
        <v>1</v>
      </c>
      <c r="G1448" s="49" t="s">
        <v>290</v>
      </c>
      <c r="H1448" s="51" t="n">
        <v>0.1984</v>
      </c>
      <c r="I1448" s="51" t="n">
        <v>0.7285</v>
      </c>
      <c r="J1448" s="51" t="n">
        <v>0.0731</v>
      </c>
      <c r="K1448" s="49"/>
      <c r="L1448" s="49"/>
      <c r="M1448" s="49"/>
      <c r="N1448" s="49"/>
      <c r="O1448" s="49"/>
      <c r="P1448" s="49"/>
      <c r="Q1448" s="49"/>
      <c r="R1448" s="49"/>
      <c r="S1448" s="49" t="n">
        <v>0</v>
      </c>
      <c r="T1448" s="49" t="n">
        <v>0</v>
      </c>
      <c r="U1448" s="49" t="s">
        <v>3150</v>
      </c>
    </row>
    <row r="1449" customFormat="false" ht="15" hidden="false" customHeight="false" outlineLevel="0" collapsed="false">
      <c r="B1449" s="48" t="n">
        <v>45449.3303587963</v>
      </c>
      <c r="C1449" s="4" t="n">
        <f aca="false">YEAR(B1449)</f>
        <v>2024</v>
      </c>
      <c r="D1449" s="49" t="s">
        <v>283</v>
      </c>
      <c r="E1449" s="49" t="s">
        <v>1272</v>
      </c>
      <c r="F1449" s="50" t="n">
        <v>1</v>
      </c>
      <c r="G1449" s="49" t="s">
        <v>290</v>
      </c>
      <c r="H1449" s="51" t="n">
        <v>0.0099</v>
      </c>
      <c r="I1449" s="51" t="n">
        <v>0.9049</v>
      </c>
      <c r="J1449" s="51" t="n">
        <v>0.0852</v>
      </c>
      <c r="K1449" s="49"/>
      <c r="L1449" s="49"/>
      <c r="M1449" s="49"/>
      <c r="N1449" s="49"/>
      <c r="O1449" s="49"/>
      <c r="P1449" s="49"/>
      <c r="Q1449" s="49"/>
      <c r="R1449" s="49"/>
      <c r="S1449" s="49" t="n">
        <v>1</v>
      </c>
      <c r="T1449" s="49" t="n">
        <v>0</v>
      </c>
      <c r="U1449" s="49" t="s">
        <v>3151</v>
      </c>
    </row>
    <row r="1450" customFormat="false" ht="15" hidden="false" customHeight="false" outlineLevel="0" collapsed="false">
      <c r="B1450" s="48" t="n">
        <v>45449.5233680556</v>
      </c>
      <c r="C1450" s="4" t="n">
        <f aca="false">YEAR(B1450)</f>
        <v>2024</v>
      </c>
      <c r="D1450" s="49" t="s">
        <v>278</v>
      </c>
      <c r="E1450" s="49" t="s">
        <v>3152</v>
      </c>
      <c r="F1450" s="50" t="n">
        <v>1</v>
      </c>
      <c r="G1450" s="49" t="s">
        <v>280</v>
      </c>
      <c r="H1450" s="51" t="n">
        <v>0.5773</v>
      </c>
      <c r="I1450" s="51" t="n">
        <v>0.39</v>
      </c>
      <c r="J1450" s="51" t="n">
        <v>0.0328</v>
      </c>
      <c r="K1450" s="49" t="s">
        <v>281</v>
      </c>
      <c r="L1450" s="49"/>
      <c r="M1450" s="49"/>
      <c r="N1450" s="49"/>
      <c r="O1450" s="49"/>
      <c r="P1450" s="49"/>
      <c r="Q1450" s="49"/>
      <c r="R1450" s="49"/>
      <c r="S1450" s="49" t="n">
        <v>1</v>
      </c>
      <c r="T1450" s="49" t="n">
        <v>0</v>
      </c>
      <c r="U1450" s="49" t="s">
        <v>3153</v>
      </c>
    </row>
    <row r="1451" customFormat="false" ht="15" hidden="false" customHeight="false" outlineLevel="0" collapsed="false">
      <c r="B1451" s="48" t="n">
        <v>45449.6842708333</v>
      </c>
      <c r="C1451" s="4" t="n">
        <f aca="false">YEAR(B1451)</f>
        <v>2024</v>
      </c>
      <c r="D1451" s="49" t="s">
        <v>283</v>
      </c>
      <c r="E1451" s="49" t="s">
        <v>3154</v>
      </c>
      <c r="F1451" s="50" t="n">
        <v>1</v>
      </c>
      <c r="G1451" s="49" t="s">
        <v>287</v>
      </c>
      <c r="H1451" s="51" t="n">
        <v>0.007</v>
      </c>
      <c r="I1451" s="51" t="n">
        <v>0.3471</v>
      </c>
      <c r="J1451" s="51" t="n">
        <v>0.6459</v>
      </c>
      <c r="K1451" s="49"/>
      <c r="L1451" s="49"/>
      <c r="M1451" s="49"/>
      <c r="N1451" s="49"/>
      <c r="O1451" s="49"/>
      <c r="P1451" s="49"/>
      <c r="Q1451" s="49"/>
      <c r="R1451" s="49"/>
      <c r="S1451" s="49" t="n">
        <v>0</v>
      </c>
      <c r="T1451" s="49" t="n">
        <v>0</v>
      </c>
      <c r="U1451" s="49" t="s">
        <v>3155</v>
      </c>
    </row>
    <row r="1452" customFormat="false" ht="15" hidden="false" customHeight="false" outlineLevel="0" collapsed="false">
      <c r="B1452" s="48" t="n">
        <v>45449.75375</v>
      </c>
      <c r="C1452" s="4" t="n">
        <f aca="false">YEAR(B1452)</f>
        <v>2024</v>
      </c>
      <c r="D1452" s="49" t="s">
        <v>283</v>
      </c>
      <c r="E1452" s="49" t="s">
        <v>3156</v>
      </c>
      <c r="F1452" s="50" t="n">
        <v>3</v>
      </c>
      <c r="G1452" s="49" t="s">
        <v>287</v>
      </c>
      <c r="H1452" s="51" t="n">
        <v>0.0081</v>
      </c>
      <c r="I1452" s="51" t="n">
        <v>0.2761</v>
      </c>
      <c r="J1452" s="51" t="n">
        <v>0.7158</v>
      </c>
      <c r="K1452" s="49"/>
      <c r="L1452" s="49"/>
      <c r="M1452" s="49"/>
      <c r="N1452" s="49"/>
      <c r="O1452" s="49"/>
      <c r="P1452" s="49"/>
      <c r="Q1452" s="49"/>
      <c r="R1452" s="49"/>
      <c r="S1452" s="49" t="n">
        <v>0</v>
      </c>
      <c r="T1452" s="49" t="n">
        <v>0</v>
      </c>
      <c r="U1452" s="49" t="s">
        <v>3157</v>
      </c>
    </row>
    <row r="1453" customFormat="false" ht="15" hidden="false" customHeight="false" outlineLevel="0" collapsed="false">
      <c r="B1453" s="48" t="n">
        <v>45450.7386111111</v>
      </c>
      <c r="C1453" s="4" t="n">
        <f aca="false">YEAR(B1453)</f>
        <v>2024</v>
      </c>
      <c r="D1453" s="49" t="s">
        <v>283</v>
      </c>
      <c r="E1453" s="49" t="s">
        <v>3158</v>
      </c>
      <c r="F1453" s="50" t="n">
        <v>8</v>
      </c>
      <c r="G1453" s="49" t="s">
        <v>290</v>
      </c>
      <c r="H1453" s="51" t="n">
        <v>0.263</v>
      </c>
      <c r="I1453" s="51" t="n">
        <v>0.6753</v>
      </c>
      <c r="J1453" s="51" t="n">
        <v>0.0617</v>
      </c>
      <c r="K1453" s="49"/>
      <c r="L1453" s="49"/>
      <c r="M1453" s="49"/>
      <c r="N1453" s="49"/>
      <c r="O1453" s="49"/>
      <c r="P1453" s="49"/>
      <c r="Q1453" s="49"/>
      <c r="R1453" s="49" t="s">
        <v>281</v>
      </c>
      <c r="S1453" s="49" t="n">
        <v>0</v>
      </c>
      <c r="T1453" s="49" t="n">
        <v>0</v>
      </c>
      <c r="U1453" s="49" t="s">
        <v>3159</v>
      </c>
    </row>
    <row r="1454" customFormat="false" ht="15" hidden="false" customHeight="false" outlineLevel="0" collapsed="false">
      <c r="B1454" s="48" t="n">
        <v>45451.1038888889</v>
      </c>
      <c r="C1454" s="4" t="n">
        <f aca="false">YEAR(B1454)</f>
        <v>2024</v>
      </c>
      <c r="D1454" s="49" t="s">
        <v>283</v>
      </c>
      <c r="E1454" s="49" t="s">
        <v>3160</v>
      </c>
      <c r="F1454" s="50" t="n">
        <v>24</v>
      </c>
      <c r="G1454" s="49" t="s">
        <v>287</v>
      </c>
      <c r="H1454" s="51" t="n">
        <v>0.016</v>
      </c>
      <c r="I1454" s="51" t="n">
        <v>0.2288</v>
      </c>
      <c r="J1454" s="51" t="n">
        <v>0.7552</v>
      </c>
      <c r="K1454" s="49"/>
      <c r="L1454" s="49"/>
      <c r="M1454" s="49"/>
      <c r="N1454" s="49"/>
      <c r="O1454" s="49"/>
      <c r="P1454" s="49"/>
      <c r="Q1454" s="49"/>
      <c r="R1454" s="49"/>
      <c r="S1454" s="49" t="n">
        <v>0</v>
      </c>
      <c r="T1454" s="49" t="n">
        <v>0</v>
      </c>
      <c r="U1454" s="49" t="s">
        <v>3161</v>
      </c>
    </row>
    <row r="1455" customFormat="false" ht="15" hidden="false" customHeight="false" outlineLevel="0" collapsed="false">
      <c r="B1455" s="48" t="n">
        <v>45451.1785648148</v>
      </c>
      <c r="C1455" s="4" t="n">
        <f aca="false">YEAR(B1455)</f>
        <v>2024</v>
      </c>
      <c r="D1455" s="49" t="s">
        <v>283</v>
      </c>
      <c r="E1455" s="49" t="s">
        <v>3162</v>
      </c>
      <c r="F1455" s="50" t="n">
        <v>1</v>
      </c>
      <c r="G1455" s="49" t="s">
        <v>287</v>
      </c>
      <c r="H1455" s="51" t="n">
        <v>0.0032</v>
      </c>
      <c r="I1455" s="51" t="n">
        <v>0.0807</v>
      </c>
      <c r="J1455" s="51" t="n">
        <v>0.9161</v>
      </c>
      <c r="K1455" s="49"/>
      <c r="L1455" s="49"/>
      <c r="M1455" s="49"/>
      <c r="N1455" s="49"/>
      <c r="O1455" s="49"/>
      <c r="P1455" s="49"/>
      <c r="Q1455" s="49"/>
      <c r="R1455" s="49"/>
      <c r="S1455" s="49" t="n">
        <v>0</v>
      </c>
      <c r="T1455" s="49" t="n">
        <v>0</v>
      </c>
      <c r="U1455" s="49" t="s">
        <v>3163</v>
      </c>
    </row>
    <row r="1456" customFormat="false" ht="15" hidden="false" customHeight="false" outlineLevel="0" collapsed="false">
      <c r="B1456" s="48" t="n">
        <v>45451.3045023148</v>
      </c>
      <c r="C1456" s="4" t="n">
        <f aca="false">YEAR(B1456)</f>
        <v>2024</v>
      </c>
      <c r="D1456" s="49" t="s">
        <v>278</v>
      </c>
      <c r="E1456" s="49" t="s">
        <v>3164</v>
      </c>
      <c r="F1456" s="50" t="n">
        <v>2</v>
      </c>
      <c r="G1456" s="49" t="s">
        <v>280</v>
      </c>
      <c r="H1456" s="51" t="n">
        <v>0.845</v>
      </c>
      <c r="I1456" s="51" t="n">
        <v>0.1459</v>
      </c>
      <c r="J1456" s="51" t="n">
        <v>0.0091</v>
      </c>
      <c r="K1456" s="49"/>
      <c r="L1456" s="49"/>
      <c r="M1456" s="49"/>
      <c r="N1456" s="49"/>
      <c r="O1456" s="49"/>
      <c r="P1456" s="49"/>
      <c r="Q1456" s="49"/>
      <c r="R1456" s="49"/>
      <c r="S1456" s="49" t="n">
        <v>0</v>
      </c>
      <c r="T1456" s="49" t="n">
        <v>1</v>
      </c>
      <c r="U1456" s="49" t="s">
        <v>3165</v>
      </c>
    </row>
    <row r="1457" customFormat="false" ht="15" hidden="false" customHeight="false" outlineLevel="0" collapsed="false">
      <c r="B1457" s="48" t="n">
        <v>45451.7165162037</v>
      </c>
      <c r="C1457" s="4" t="n">
        <f aca="false">YEAR(B1457)</f>
        <v>2024</v>
      </c>
      <c r="D1457" s="49" t="s">
        <v>283</v>
      </c>
      <c r="E1457" s="49" t="s">
        <v>3166</v>
      </c>
      <c r="F1457" s="50" t="n">
        <v>1</v>
      </c>
      <c r="G1457" s="49" t="s">
        <v>287</v>
      </c>
      <c r="H1457" s="51" t="n">
        <v>0.0047</v>
      </c>
      <c r="I1457" s="51" t="n">
        <v>0.4307</v>
      </c>
      <c r="J1457" s="51" t="n">
        <v>0.5646</v>
      </c>
      <c r="K1457" s="49"/>
      <c r="L1457" s="49"/>
      <c r="M1457" s="49"/>
      <c r="N1457" s="49"/>
      <c r="O1457" s="49"/>
      <c r="P1457" s="49"/>
      <c r="Q1457" s="49"/>
      <c r="R1457" s="49"/>
      <c r="S1457" s="49" t="n">
        <v>0</v>
      </c>
      <c r="T1457" s="49" t="n">
        <v>0</v>
      </c>
      <c r="U1457" s="49" t="s">
        <v>3167</v>
      </c>
    </row>
    <row r="1458" customFormat="false" ht="15" hidden="false" customHeight="false" outlineLevel="0" collapsed="false">
      <c r="B1458" s="48" t="n">
        <v>45452.0167824074</v>
      </c>
      <c r="C1458" s="4" t="n">
        <f aca="false">YEAR(B1458)</f>
        <v>2024</v>
      </c>
      <c r="D1458" s="49" t="s">
        <v>278</v>
      </c>
      <c r="E1458" s="49" t="s">
        <v>3168</v>
      </c>
      <c r="F1458" s="50" t="n">
        <v>1</v>
      </c>
      <c r="G1458" s="49" t="s">
        <v>280</v>
      </c>
      <c r="H1458" s="51" t="n">
        <v>0.5506</v>
      </c>
      <c r="I1458" s="51" t="n">
        <v>0.4403</v>
      </c>
      <c r="J1458" s="51" t="n">
        <v>0.0091</v>
      </c>
      <c r="K1458" s="49"/>
      <c r="L1458" s="49"/>
      <c r="M1458" s="49"/>
      <c r="N1458" s="49"/>
      <c r="O1458" s="49"/>
      <c r="P1458" s="49"/>
      <c r="Q1458" s="49"/>
      <c r="R1458" s="49"/>
      <c r="S1458" s="49" t="n">
        <v>1</v>
      </c>
      <c r="T1458" s="49" t="n">
        <v>0</v>
      </c>
      <c r="U1458" s="49" t="s">
        <v>3169</v>
      </c>
    </row>
    <row r="1459" customFormat="false" ht="15" hidden="false" customHeight="false" outlineLevel="0" collapsed="false">
      <c r="B1459" s="48" t="n">
        <v>45452.082962963</v>
      </c>
      <c r="C1459" s="4" t="n">
        <f aca="false">YEAR(B1459)</f>
        <v>2024</v>
      </c>
      <c r="D1459" s="49" t="s">
        <v>278</v>
      </c>
      <c r="E1459" s="49" t="s">
        <v>3170</v>
      </c>
      <c r="F1459" s="50" t="n">
        <v>1</v>
      </c>
      <c r="G1459" s="49" t="s">
        <v>290</v>
      </c>
      <c r="H1459" s="51" t="n">
        <v>0.3788</v>
      </c>
      <c r="I1459" s="51" t="n">
        <v>0.5542</v>
      </c>
      <c r="J1459" s="51" t="n">
        <v>0.067</v>
      </c>
      <c r="K1459" s="49"/>
      <c r="L1459" s="49"/>
      <c r="M1459" s="49"/>
      <c r="N1459" s="49"/>
      <c r="O1459" s="49"/>
      <c r="P1459" s="49"/>
      <c r="Q1459" s="49"/>
      <c r="R1459" s="49"/>
      <c r="S1459" s="49" t="n">
        <v>0</v>
      </c>
      <c r="T1459" s="49" t="n">
        <v>0</v>
      </c>
      <c r="U1459" s="49" t="s">
        <v>3171</v>
      </c>
    </row>
    <row r="1460" customFormat="false" ht="15" hidden="false" customHeight="false" outlineLevel="0" collapsed="false">
      <c r="B1460" s="48" t="n">
        <v>45452.5116550926</v>
      </c>
      <c r="C1460" s="4" t="n">
        <f aca="false">YEAR(B1460)</f>
        <v>2024</v>
      </c>
      <c r="D1460" s="49" t="s">
        <v>283</v>
      </c>
      <c r="E1460" s="49" t="s">
        <v>3172</v>
      </c>
      <c r="F1460" s="50" t="n">
        <v>1</v>
      </c>
      <c r="G1460" s="49" t="s">
        <v>280</v>
      </c>
      <c r="H1460" s="51" t="n">
        <v>0.8715</v>
      </c>
      <c r="I1460" s="51" t="n">
        <v>0.1162</v>
      </c>
      <c r="J1460" s="51" t="n">
        <v>0.0123</v>
      </c>
      <c r="K1460" s="49"/>
      <c r="L1460" s="49"/>
      <c r="M1460" s="49"/>
      <c r="N1460" s="49"/>
      <c r="O1460" s="49"/>
      <c r="P1460" s="49"/>
      <c r="Q1460" s="49"/>
      <c r="R1460" s="49"/>
      <c r="S1460" s="49" t="n">
        <v>0</v>
      </c>
      <c r="T1460" s="49" t="n">
        <v>0</v>
      </c>
      <c r="U1460" s="49" t="s">
        <v>3173</v>
      </c>
    </row>
    <row r="1461" customFormat="false" ht="15" hidden="false" customHeight="false" outlineLevel="0" collapsed="false">
      <c r="B1461" s="48" t="n">
        <v>45452.8257523148</v>
      </c>
      <c r="C1461" s="4" t="n">
        <f aca="false">YEAR(B1461)</f>
        <v>2024</v>
      </c>
      <c r="D1461" s="49" t="s">
        <v>283</v>
      </c>
      <c r="E1461" s="49" t="s">
        <v>3174</v>
      </c>
      <c r="F1461" s="50" t="n">
        <v>2</v>
      </c>
      <c r="G1461" s="49" t="s">
        <v>290</v>
      </c>
      <c r="H1461" s="51" t="n">
        <v>0.4781</v>
      </c>
      <c r="I1461" s="51" t="n">
        <v>0.4813</v>
      </c>
      <c r="J1461" s="51" t="n">
        <v>0.0406</v>
      </c>
      <c r="K1461" s="49"/>
      <c r="L1461" s="49"/>
      <c r="M1461" s="49"/>
      <c r="N1461" s="49"/>
      <c r="O1461" s="49"/>
      <c r="P1461" s="49"/>
      <c r="Q1461" s="49"/>
      <c r="R1461" s="49"/>
      <c r="S1461" s="49" t="n">
        <v>0</v>
      </c>
      <c r="T1461" s="49" t="n">
        <v>0</v>
      </c>
      <c r="U1461" s="49" t="s">
        <v>3175</v>
      </c>
    </row>
    <row r="1462" customFormat="false" ht="15" hidden="false" customHeight="false" outlineLevel="0" collapsed="false">
      <c r="B1462" s="48" t="n">
        <v>45453.7109143519</v>
      </c>
      <c r="C1462" s="4" t="n">
        <f aca="false">YEAR(B1462)</f>
        <v>2024</v>
      </c>
      <c r="D1462" s="49" t="s">
        <v>283</v>
      </c>
      <c r="E1462" s="49" t="s">
        <v>3176</v>
      </c>
      <c r="F1462" s="50" t="n">
        <v>2</v>
      </c>
      <c r="G1462" s="49" t="s">
        <v>290</v>
      </c>
      <c r="H1462" s="51" t="n">
        <v>0.3362</v>
      </c>
      <c r="I1462" s="51" t="n">
        <v>0.645</v>
      </c>
      <c r="J1462" s="51" t="n">
        <v>0.0189</v>
      </c>
      <c r="K1462" s="49"/>
      <c r="L1462" s="49"/>
      <c r="M1462" s="49"/>
      <c r="N1462" s="49"/>
      <c r="O1462" s="49"/>
      <c r="P1462" s="49"/>
      <c r="Q1462" s="49"/>
      <c r="R1462" s="49"/>
      <c r="S1462" s="49" t="n">
        <v>0</v>
      </c>
      <c r="T1462" s="49" t="n">
        <v>0</v>
      </c>
      <c r="U1462" s="49" t="s">
        <v>3177</v>
      </c>
    </row>
    <row r="1463" customFormat="false" ht="15" hidden="false" customHeight="false" outlineLevel="0" collapsed="false">
      <c r="B1463" s="48" t="n">
        <v>45454.2282060185</v>
      </c>
      <c r="C1463" s="4" t="n">
        <f aca="false">YEAR(B1463)</f>
        <v>2024</v>
      </c>
      <c r="D1463" s="49" t="s">
        <v>283</v>
      </c>
      <c r="E1463" s="49" t="s">
        <v>3178</v>
      </c>
      <c r="F1463" s="50" t="n">
        <v>1</v>
      </c>
      <c r="G1463" s="49" t="s">
        <v>290</v>
      </c>
      <c r="H1463" s="51" t="n">
        <v>0.1482</v>
      </c>
      <c r="I1463" s="51" t="n">
        <v>0.8312</v>
      </c>
      <c r="J1463" s="51" t="n">
        <v>0.0206</v>
      </c>
      <c r="K1463" s="49"/>
      <c r="L1463" s="49"/>
      <c r="M1463" s="49"/>
      <c r="N1463" s="49"/>
      <c r="O1463" s="49"/>
      <c r="P1463" s="49"/>
      <c r="Q1463" s="49"/>
      <c r="R1463" s="49"/>
      <c r="S1463" s="49" t="n">
        <v>1</v>
      </c>
      <c r="T1463" s="49" t="n">
        <v>0</v>
      </c>
      <c r="U1463" s="49" t="s">
        <v>3179</v>
      </c>
    </row>
    <row r="1464" customFormat="false" ht="15" hidden="false" customHeight="false" outlineLevel="0" collapsed="false">
      <c r="B1464" s="48" t="n">
        <v>45454.3540509259</v>
      </c>
      <c r="C1464" s="4" t="n">
        <f aca="false">YEAR(B1464)</f>
        <v>2024</v>
      </c>
      <c r="D1464" s="49" t="s">
        <v>283</v>
      </c>
      <c r="E1464" s="49" t="s">
        <v>3180</v>
      </c>
      <c r="F1464" s="50" t="n">
        <v>5</v>
      </c>
      <c r="G1464" s="49" t="s">
        <v>280</v>
      </c>
      <c r="H1464" s="51" t="n">
        <v>0.586</v>
      </c>
      <c r="I1464" s="51" t="n">
        <v>0.2773</v>
      </c>
      <c r="J1464" s="51" t="n">
        <v>0.1366</v>
      </c>
      <c r="K1464" s="49"/>
      <c r="L1464" s="49"/>
      <c r="M1464" s="49"/>
      <c r="N1464" s="49"/>
      <c r="O1464" s="49"/>
      <c r="P1464" s="49"/>
      <c r="Q1464" s="49"/>
      <c r="R1464" s="49"/>
      <c r="S1464" s="49" t="n">
        <v>0</v>
      </c>
      <c r="T1464" s="49" t="n">
        <v>0</v>
      </c>
      <c r="U1464" s="49" t="s">
        <v>3181</v>
      </c>
    </row>
    <row r="1465" customFormat="false" ht="15" hidden="false" customHeight="false" outlineLevel="0" collapsed="false">
      <c r="B1465" s="48" t="n">
        <v>45454.636875</v>
      </c>
      <c r="C1465" s="4" t="n">
        <f aca="false">YEAR(B1465)</f>
        <v>2024</v>
      </c>
      <c r="D1465" s="49" t="s">
        <v>283</v>
      </c>
      <c r="E1465" s="49" t="s">
        <v>3182</v>
      </c>
      <c r="F1465" s="50" t="n">
        <v>1</v>
      </c>
      <c r="G1465" s="49" t="s">
        <v>290</v>
      </c>
      <c r="H1465" s="51" t="n">
        <v>0.2621</v>
      </c>
      <c r="I1465" s="51" t="n">
        <v>0.7086</v>
      </c>
      <c r="J1465" s="51" t="n">
        <v>0.0292</v>
      </c>
      <c r="K1465" s="49"/>
      <c r="L1465" s="49"/>
      <c r="M1465" s="49"/>
      <c r="N1465" s="49"/>
      <c r="O1465" s="49"/>
      <c r="P1465" s="49"/>
      <c r="Q1465" s="49"/>
      <c r="R1465" s="49"/>
      <c r="S1465" s="49" t="n">
        <v>1</v>
      </c>
      <c r="T1465" s="49" t="n">
        <v>0</v>
      </c>
      <c r="U1465" s="49" t="s">
        <v>3183</v>
      </c>
    </row>
    <row r="1466" customFormat="false" ht="15" hidden="false" customHeight="false" outlineLevel="0" collapsed="false">
      <c r="B1466" s="48" t="n">
        <v>45454.644375</v>
      </c>
      <c r="C1466" s="4" t="n">
        <f aca="false">YEAR(B1466)</f>
        <v>2024</v>
      </c>
      <c r="D1466" s="49" t="s">
        <v>278</v>
      </c>
      <c r="E1466" s="49" t="s">
        <v>3184</v>
      </c>
      <c r="F1466" s="50" t="n">
        <v>6</v>
      </c>
      <c r="G1466" s="49" t="s">
        <v>290</v>
      </c>
      <c r="H1466" s="51" t="n">
        <v>0.062</v>
      </c>
      <c r="I1466" s="51" t="n">
        <v>0.7887</v>
      </c>
      <c r="J1466" s="51" t="n">
        <v>0.1493</v>
      </c>
      <c r="K1466" s="49" t="s">
        <v>281</v>
      </c>
      <c r="L1466" s="49"/>
      <c r="M1466" s="49"/>
      <c r="N1466" s="49"/>
      <c r="O1466" s="49"/>
      <c r="P1466" s="49"/>
      <c r="Q1466" s="49"/>
      <c r="R1466" s="49"/>
      <c r="S1466" s="49" t="n">
        <v>0</v>
      </c>
      <c r="T1466" s="49" t="n">
        <v>0</v>
      </c>
      <c r="U1466" s="49" t="s">
        <v>3185</v>
      </c>
    </row>
    <row r="1467" customFormat="false" ht="15" hidden="false" customHeight="false" outlineLevel="0" collapsed="false">
      <c r="B1467" s="48" t="n">
        <v>45454.691712963</v>
      </c>
      <c r="C1467" s="4" t="n">
        <f aca="false">YEAR(B1467)</f>
        <v>2024</v>
      </c>
      <c r="D1467" s="49" t="s">
        <v>283</v>
      </c>
      <c r="E1467" s="49" t="s">
        <v>3186</v>
      </c>
      <c r="F1467" s="50" t="n">
        <v>0</v>
      </c>
      <c r="G1467" s="49" t="s">
        <v>287</v>
      </c>
      <c r="H1467" s="51" t="n">
        <v>0.0052</v>
      </c>
      <c r="I1467" s="51" t="n">
        <v>0.0539</v>
      </c>
      <c r="J1467" s="51" t="n">
        <v>0.9409</v>
      </c>
      <c r="K1467" s="49"/>
      <c r="L1467" s="49"/>
      <c r="M1467" s="49"/>
      <c r="N1467" s="49"/>
      <c r="O1467" s="49"/>
      <c r="P1467" s="49"/>
      <c r="Q1467" s="49"/>
      <c r="R1467" s="49"/>
      <c r="S1467" s="49" t="n">
        <v>0</v>
      </c>
      <c r="T1467" s="49" t="n">
        <v>0</v>
      </c>
      <c r="U1467" s="49" t="s">
        <v>3187</v>
      </c>
    </row>
    <row r="1468" customFormat="false" ht="15" hidden="false" customHeight="false" outlineLevel="0" collapsed="false">
      <c r="B1468" s="48" t="n">
        <v>45454.7256481482</v>
      </c>
      <c r="C1468" s="4" t="n">
        <f aca="false">YEAR(B1468)</f>
        <v>2024</v>
      </c>
      <c r="D1468" s="49" t="s">
        <v>283</v>
      </c>
      <c r="E1468" s="49" t="s">
        <v>3188</v>
      </c>
      <c r="F1468" s="50" t="n">
        <v>0</v>
      </c>
      <c r="G1468" s="49" t="s">
        <v>280</v>
      </c>
      <c r="H1468" s="51" t="n">
        <v>0.9655</v>
      </c>
      <c r="I1468" s="51" t="n">
        <v>0.0285</v>
      </c>
      <c r="J1468" s="51" t="n">
        <v>0.006</v>
      </c>
      <c r="K1468" s="49"/>
      <c r="L1468" s="49"/>
      <c r="M1468" s="49"/>
      <c r="N1468" s="49"/>
      <c r="O1468" s="49"/>
      <c r="P1468" s="49"/>
      <c r="Q1468" s="49"/>
      <c r="R1468" s="49"/>
      <c r="S1468" s="49" t="n">
        <v>0</v>
      </c>
      <c r="T1468" s="49" t="n">
        <v>0</v>
      </c>
      <c r="U1468" s="49" t="s">
        <v>3189</v>
      </c>
    </row>
    <row r="1469" customFormat="false" ht="15" hidden="false" customHeight="false" outlineLevel="0" collapsed="false">
      <c r="B1469" s="48" t="n">
        <v>45456.1104976852</v>
      </c>
      <c r="C1469" s="4" t="n">
        <f aca="false">YEAR(B1469)</f>
        <v>2024</v>
      </c>
      <c r="D1469" s="49" t="s">
        <v>283</v>
      </c>
      <c r="E1469" s="49" t="s">
        <v>3190</v>
      </c>
      <c r="F1469" s="50" t="n">
        <v>1</v>
      </c>
      <c r="G1469" s="49" t="s">
        <v>280</v>
      </c>
      <c r="H1469" s="51" t="n">
        <v>0.8487</v>
      </c>
      <c r="I1469" s="51" t="n">
        <v>0.1409</v>
      </c>
      <c r="J1469" s="51" t="n">
        <v>0.0104</v>
      </c>
      <c r="K1469" s="49"/>
      <c r="L1469" s="49"/>
      <c r="M1469" s="49"/>
      <c r="N1469" s="49"/>
      <c r="O1469" s="49"/>
      <c r="P1469" s="49"/>
      <c r="Q1469" s="49"/>
      <c r="R1469" s="49" t="s">
        <v>281</v>
      </c>
      <c r="S1469" s="49" t="n">
        <v>1</v>
      </c>
      <c r="T1469" s="49" t="n">
        <v>0</v>
      </c>
      <c r="U1469" s="49" t="s">
        <v>3191</v>
      </c>
    </row>
    <row r="1470" customFormat="false" ht="15" hidden="false" customHeight="false" outlineLevel="0" collapsed="false">
      <c r="B1470" s="48" t="n">
        <v>45456.1121875</v>
      </c>
      <c r="C1470" s="4" t="n">
        <f aca="false">YEAR(B1470)</f>
        <v>2024</v>
      </c>
      <c r="D1470" s="49" t="s">
        <v>278</v>
      </c>
      <c r="E1470" s="49" t="s">
        <v>3192</v>
      </c>
      <c r="F1470" s="50" t="n">
        <v>5</v>
      </c>
      <c r="G1470" s="49" t="s">
        <v>280</v>
      </c>
      <c r="H1470" s="51" t="n">
        <v>0.9171</v>
      </c>
      <c r="I1470" s="51" t="n">
        <v>0.077</v>
      </c>
      <c r="J1470" s="51" t="n">
        <v>0.0059</v>
      </c>
      <c r="K1470" s="49"/>
      <c r="L1470" s="49"/>
      <c r="M1470" s="49"/>
      <c r="N1470" s="49"/>
      <c r="O1470" s="49"/>
      <c r="P1470" s="49"/>
      <c r="Q1470" s="49"/>
      <c r="R1470" s="49" t="s">
        <v>281</v>
      </c>
      <c r="S1470" s="49" t="n">
        <v>0</v>
      </c>
      <c r="T1470" s="49" t="n">
        <v>0</v>
      </c>
      <c r="U1470" s="49" t="s">
        <v>3193</v>
      </c>
    </row>
    <row r="1471" customFormat="false" ht="15" hidden="false" customHeight="false" outlineLevel="0" collapsed="false">
      <c r="B1471" s="48" t="n">
        <v>45456.4852430556</v>
      </c>
      <c r="C1471" s="4" t="n">
        <f aca="false">YEAR(B1471)</f>
        <v>2024</v>
      </c>
      <c r="D1471" s="49" t="s">
        <v>278</v>
      </c>
      <c r="E1471" s="49" t="s">
        <v>3194</v>
      </c>
      <c r="F1471" s="50" t="n">
        <v>1</v>
      </c>
      <c r="G1471" s="49" t="s">
        <v>290</v>
      </c>
      <c r="H1471" s="51" t="n">
        <v>0.131</v>
      </c>
      <c r="I1471" s="51" t="n">
        <v>0.6883</v>
      </c>
      <c r="J1471" s="51" t="n">
        <v>0.1807</v>
      </c>
      <c r="K1471" s="49"/>
      <c r="L1471" s="49"/>
      <c r="M1471" s="49"/>
      <c r="N1471" s="49"/>
      <c r="O1471" s="49"/>
      <c r="P1471" s="49"/>
      <c r="Q1471" s="49" t="s">
        <v>281</v>
      </c>
      <c r="R1471" s="49"/>
      <c r="S1471" s="49" t="n">
        <v>0</v>
      </c>
      <c r="T1471" s="49" t="n">
        <v>0</v>
      </c>
      <c r="U1471" s="49" t="s">
        <v>3195</v>
      </c>
    </row>
    <row r="1472" customFormat="false" ht="15" hidden="false" customHeight="false" outlineLevel="0" collapsed="false">
      <c r="B1472" s="48" t="n">
        <v>45456.7687152778</v>
      </c>
      <c r="C1472" s="4" t="n">
        <f aca="false">YEAR(B1472)</f>
        <v>2024</v>
      </c>
      <c r="D1472" s="49" t="s">
        <v>283</v>
      </c>
      <c r="E1472" s="49" t="s">
        <v>3196</v>
      </c>
      <c r="F1472" s="50" t="n">
        <v>20</v>
      </c>
      <c r="G1472" s="49" t="s">
        <v>287</v>
      </c>
      <c r="H1472" s="51" t="n">
        <v>0.0018</v>
      </c>
      <c r="I1472" s="51" t="n">
        <v>0.0178</v>
      </c>
      <c r="J1472" s="51" t="n">
        <v>0.9803</v>
      </c>
      <c r="K1472" s="49"/>
      <c r="L1472" s="49"/>
      <c r="M1472" s="49"/>
      <c r="N1472" s="49"/>
      <c r="O1472" s="49"/>
      <c r="P1472" s="49"/>
      <c r="Q1472" s="49"/>
      <c r="R1472" s="49"/>
      <c r="S1472" s="49" t="n">
        <v>0</v>
      </c>
      <c r="T1472" s="49" t="n">
        <v>0</v>
      </c>
      <c r="U1472" s="49" t="s">
        <v>3197</v>
      </c>
    </row>
    <row r="1473" customFormat="false" ht="15" hidden="false" customHeight="false" outlineLevel="0" collapsed="false">
      <c r="B1473" s="48" t="n">
        <v>45457.1281365741</v>
      </c>
      <c r="C1473" s="4" t="n">
        <f aca="false">YEAR(B1473)</f>
        <v>2024</v>
      </c>
      <c r="D1473" s="49" t="s">
        <v>283</v>
      </c>
      <c r="E1473" s="49" t="s">
        <v>3198</v>
      </c>
      <c r="F1473" s="50" t="n">
        <v>2</v>
      </c>
      <c r="G1473" s="49" t="s">
        <v>290</v>
      </c>
      <c r="H1473" s="51" t="n">
        <v>0.0469</v>
      </c>
      <c r="I1473" s="51" t="n">
        <v>0.8565</v>
      </c>
      <c r="J1473" s="51" t="n">
        <v>0.0966</v>
      </c>
      <c r="K1473" s="49"/>
      <c r="L1473" s="49"/>
      <c r="M1473" s="49"/>
      <c r="N1473" s="49"/>
      <c r="O1473" s="49"/>
      <c r="P1473" s="49"/>
      <c r="Q1473" s="49"/>
      <c r="R1473" s="49"/>
      <c r="S1473" s="49" t="n">
        <v>0</v>
      </c>
      <c r="T1473" s="49" t="n">
        <v>0</v>
      </c>
      <c r="U1473" s="49" t="s">
        <v>3199</v>
      </c>
    </row>
    <row r="1474" customFormat="false" ht="15" hidden="false" customHeight="false" outlineLevel="0" collapsed="false">
      <c r="B1474" s="48" t="n">
        <v>45457.2809143519</v>
      </c>
      <c r="C1474" s="4" t="n">
        <f aca="false">YEAR(B1474)</f>
        <v>2024</v>
      </c>
      <c r="D1474" s="49" t="s">
        <v>283</v>
      </c>
      <c r="E1474" s="49" t="s">
        <v>3200</v>
      </c>
      <c r="F1474" s="50" t="n">
        <v>10</v>
      </c>
      <c r="G1474" s="49" t="s">
        <v>287</v>
      </c>
      <c r="H1474" s="51" t="n">
        <v>0.0052</v>
      </c>
      <c r="I1474" s="51" t="n">
        <v>0.1654</v>
      </c>
      <c r="J1474" s="51" t="n">
        <v>0.8294</v>
      </c>
      <c r="K1474" s="49"/>
      <c r="L1474" s="49"/>
      <c r="M1474" s="49"/>
      <c r="N1474" s="49"/>
      <c r="O1474" s="49"/>
      <c r="P1474" s="49"/>
      <c r="Q1474" s="49"/>
      <c r="R1474" s="49"/>
      <c r="S1474" s="49" t="n">
        <v>0</v>
      </c>
      <c r="T1474" s="49" t="n">
        <v>0</v>
      </c>
      <c r="U1474" s="49" t="s">
        <v>3201</v>
      </c>
    </row>
    <row r="1475" customFormat="false" ht="15" hidden="false" customHeight="false" outlineLevel="0" collapsed="false">
      <c r="B1475" s="48" t="n">
        <v>45457.6494675926</v>
      </c>
      <c r="C1475" s="4" t="n">
        <f aca="false">YEAR(B1475)</f>
        <v>2024</v>
      </c>
      <c r="D1475" s="49" t="s">
        <v>278</v>
      </c>
      <c r="E1475" s="49" t="s">
        <v>3202</v>
      </c>
      <c r="F1475" s="50" t="n">
        <v>0</v>
      </c>
      <c r="G1475" s="49" t="s">
        <v>287</v>
      </c>
      <c r="H1475" s="51" t="n">
        <v>0.0353</v>
      </c>
      <c r="I1475" s="51" t="n">
        <v>0.3733</v>
      </c>
      <c r="J1475" s="51" t="n">
        <v>0.5914</v>
      </c>
      <c r="K1475" s="49"/>
      <c r="L1475" s="49"/>
      <c r="M1475" s="49"/>
      <c r="N1475" s="49"/>
      <c r="O1475" s="49"/>
      <c r="P1475" s="49"/>
      <c r="Q1475" s="49"/>
      <c r="R1475" s="49"/>
      <c r="S1475" s="49" t="n">
        <v>0</v>
      </c>
      <c r="T1475" s="49" t="n">
        <v>0</v>
      </c>
      <c r="U1475" s="49" t="s">
        <v>3203</v>
      </c>
    </row>
    <row r="1476" customFormat="false" ht="15" hidden="false" customHeight="false" outlineLevel="0" collapsed="false">
      <c r="B1476" s="48" t="n">
        <v>45458.1240277778</v>
      </c>
      <c r="C1476" s="4" t="n">
        <f aca="false">YEAR(B1476)</f>
        <v>2024</v>
      </c>
      <c r="D1476" s="49" t="s">
        <v>283</v>
      </c>
      <c r="E1476" s="49" t="s">
        <v>3204</v>
      </c>
      <c r="F1476" s="50" t="n">
        <v>1</v>
      </c>
      <c r="G1476" s="49" t="s">
        <v>287</v>
      </c>
      <c r="H1476" s="51" t="n">
        <v>0.0031</v>
      </c>
      <c r="I1476" s="51" t="n">
        <v>0.0134</v>
      </c>
      <c r="J1476" s="51" t="n">
        <v>0.9835</v>
      </c>
      <c r="K1476" s="49"/>
      <c r="L1476" s="49"/>
      <c r="M1476" s="49"/>
      <c r="N1476" s="49"/>
      <c r="O1476" s="49"/>
      <c r="P1476" s="49"/>
      <c r="Q1476" s="49"/>
      <c r="R1476" s="49" t="s">
        <v>281</v>
      </c>
      <c r="S1476" s="49" t="n">
        <v>1</v>
      </c>
      <c r="T1476" s="49" t="n">
        <v>0</v>
      </c>
      <c r="U1476" s="49" t="s">
        <v>3205</v>
      </c>
    </row>
    <row r="1477" customFormat="false" ht="15" hidden="false" customHeight="false" outlineLevel="0" collapsed="false">
      <c r="B1477" s="48" t="n">
        <v>45458.5024537037</v>
      </c>
      <c r="C1477" s="4" t="n">
        <f aca="false">YEAR(B1477)</f>
        <v>2024</v>
      </c>
      <c r="D1477" s="49" t="s">
        <v>283</v>
      </c>
      <c r="E1477" s="49" t="s">
        <v>3206</v>
      </c>
      <c r="F1477" s="50" t="n">
        <v>1</v>
      </c>
      <c r="G1477" s="49" t="s">
        <v>290</v>
      </c>
      <c r="H1477" s="51" t="n">
        <v>0.0087</v>
      </c>
      <c r="I1477" s="51" t="n">
        <v>0.9145</v>
      </c>
      <c r="J1477" s="51" t="n">
        <v>0.0767</v>
      </c>
      <c r="K1477" s="49"/>
      <c r="L1477" s="49"/>
      <c r="M1477" s="49"/>
      <c r="N1477" s="49"/>
      <c r="O1477" s="49"/>
      <c r="P1477" s="49"/>
      <c r="Q1477" s="49"/>
      <c r="R1477" s="49"/>
      <c r="S1477" s="49" t="n">
        <v>1</v>
      </c>
      <c r="T1477" s="49" t="n">
        <v>0</v>
      </c>
      <c r="U1477" s="49" t="s">
        <v>3207</v>
      </c>
    </row>
    <row r="1478" customFormat="false" ht="15" hidden="false" customHeight="false" outlineLevel="0" collapsed="false">
      <c r="B1478" s="48" t="n">
        <v>45458.789525463</v>
      </c>
      <c r="C1478" s="4" t="n">
        <f aca="false">YEAR(B1478)</f>
        <v>2024</v>
      </c>
      <c r="D1478" s="49" t="s">
        <v>283</v>
      </c>
      <c r="E1478" s="49" t="s">
        <v>3208</v>
      </c>
      <c r="F1478" s="50" t="n">
        <v>3</v>
      </c>
      <c r="G1478" s="49" t="s">
        <v>287</v>
      </c>
      <c r="H1478" s="51" t="n">
        <v>0.0025</v>
      </c>
      <c r="I1478" s="51" t="n">
        <v>0.1294</v>
      </c>
      <c r="J1478" s="51" t="n">
        <v>0.8681</v>
      </c>
      <c r="K1478" s="49"/>
      <c r="L1478" s="49"/>
      <c r="M1478" s="49"/>
      <c r="N1478" s="49"/>
      <c r="O1478" s="49"/>
      <c r="P1478" s="49"/>
      <c r="Q1478" s="49"/>
      <c r="R1478" s="49"/>
      <c r="S1478" s="49" t="n">
        <v>0</v>
      </c>
      <c r="T1478" s="49" t="n">
        <v>0</v>
      </c>
      <c r="U1478" s="49" t="s">
        <v>3209</v>
      </c>
    </row>
    <row r="1479" customFormat="false" ht="15" hidden="false" customHeight="false" outlineLevel="0" collapsed="false">
      <c r="B1479" s="48" t="n">
        <v>45458.8848611111</v>
      </c>
      <c r="C1479" s="4" t="n">
        <f aca="false">YEAR(B1479)</f>
        <v>2024</v>
      </c>
      <c r="D1479" s="49" t="s">
        <v>283</v>
      </c>
      <c r="E1479" s="49" t="s">
        <v>3210</v>
      </c>
      <c r="F1479" s="50" t="n">
        <v>4</v>
      </c>
      <c r="G1479" s="49" t="s">
        <v>287</v>
      </c>
      <c r="H1479" s="51" t="n">
        <v>0.0057</v>
      </c>
      <c r="I1479" s="51" t="n">
        <v>0.0714</v>
      </c>
      <c r="J1479" s="51" t="n">
        <v>0.9229</v>
      </c>
      <c r="K1479" s="49"/>
      <c r="L1479" s="49"/>
      <c r="M1479" s="49"/>
      <c r="N1479" s="49"/>
      <c r="O1479" s="49"/>
      <c r="P1479" s="49"/>
      <c r="Q1479" s="49"/>
      <c r="R1479" s="49"/>
      <c r="S1479" s="49" t="n">
        <v>0</v>
      </c>
      <c r="T1479" s="49" t="n">
        <v>0</v>
      </c>
      <c r="U1479" s="49" t="s">
        <v>3211</v>
      </c>
    </row>
    <row r="1480" customFormat="false" ht="15" hidden="false" customHeight="false" outlineLevel="0" collapsed="false">
      <c r="B1480" s="48" t="n">
        <v>45459.0447222222</v>
      </c>
      <c r="C1480" s="4" t="n">
        <f aca="false">YEAR(B1480)</f>
        <v>2024</v>
      </c>
      <c r="D1480" s="49" t="s">
        <v>283</v>
      </c>
      <c r="E1480" s="49" t="s">
        <v>3212</v>
      </c>
      <c r="F1480" s="50" t="n">
        <v>42</v>
      </c>
      <c r="G1480" s="49" t="s">
        <v>287</v>
      </c>
      <c r="H1480" s="51" t="n">
        <v>0.0185</v>
      </c>
      <c r="I1480" s="51" t="n">
        <v>0.156</v>
      </c>
      <c r="J1480" s="51" t="n">
        <v>0.8254</v>
      </c>
      <c r="K1480" s="49"/>
      <c r="L1480" s="49"/>
      <c r="M1480" s="49"/>
      <c r="N1480" s="49"/>
      <c r="O1480" s="49"/>
      <c r="P1480" s="49"/>
      <c r="Q1480" s="49"/>
      <c r="R1480" s="49"/>
      <c r="S1480" s="49" t="n">
        <v>0</v>
      </c>
      <c r="T1480" s="49" t="n">
        <v>0</v>
      </c>
      <c r="U1480" s="49" t="s">
        <v>3213</v>
      </c>
    </row>
    <row r="1481" customFormat="false" ht="15" hidden="false" customHeight="false" outlineLevel="0" collapsed="false">
      <c r="B1481" s="48" t="n">
        <v>45459.2872916667</v>
      </c>
      <c r="C1481" s="4" t="n">
        <f aca="false">YEAR(B1481)</f>
        <v>2024</v>
      </c>
      <c r="D1481" s="49" t="s">
        <v>283</v>
      </c>
      <c r="E1481" s="49" t="s">
        <v>3214</v>
      </c>
      <c r="F1481" s="50" t="n">
        <v>1</v>
      </c>
      <c r="G1481" s="49" t="s">
        <v>287</v>
      </c>
      <c r="H1481" s="51" t="n">
        <v>0.0011</v>
      </c>
      <c r="I1481" s="51" t="n">
        <v>0.0156</v>
      </c>
      <c r="J1481" s="51" t="n">
        <v>0.9833</v>
      </c>
      <c r="K1481" s="49"/>
      <c r="L1481" s="49"/>
      <c r="M1481" s="49"/>
      <c r="N1481" s="49"/>
      <c r="O1481" s="49"/>
      <c r="P1481" s="49"/>
      <c r="Q1481" s="49"/>
      <c r="R1481" s="49"/>
      <c r="S1481" s="49" t="n">
        <v>1</v>
      </c>
      <c r="T1481" s="49" t="n">
        <v>0</v>
      </c>
      <c r="U1481" s="49" t="s">
        <v>3215</v>
      </c>
    </row>
    <row r="1482" customFormat="false" ht="15" hidden="false" customHeight="false" outlineLevel="0" collapsed="false">
      <c r="B1482" s="48" t="n">
        <v>45459.5290162037</v>
      </c>
      <c r="C1482" s="4" t="n">
        <f aca="false">YEAR(B1482)</f>
        <v>2024</v>
      </c>
      <c r="D1482" s="49" t="s">
        <v>283</v>
      </c>
      <c r="E1482" s="49" t="s">
        <v>3216</v>
      </c>
      <c r="F1482" s="50" t="n">
        <v>2</v>
      </c>
      <c r="G1482" s="49" t="s">
        <v>280</v>
      </c>
      <c r="H1482" s="51" t="n">
        <v>0.8065</v>
      </c>
      <c r="I1482" s="51" t="n">
        <v>0.1763</v>
      </c>
      <c r="J1482" s="51" t="n">
        <v>0.0173</v>
      </c>
      <c r="K1482" s="49"/>
      <c r="L1482" s="49"/>
      <c r="M1482" s="49"/>
      <c r="N1482" s="49"/>
      <c r="O1482" s="49"/>
      <c r="P1482" s="49"/>
      <c r="Q1482" s="49"/>
      <c r="R1482" s="49"/>
      <c r="S1482" s="49" t="n">
        <v>0</v>
      </c>
      <c r="T1482" s="49" t="n">
        <v>0</v>
      </c>
      <c r="U1482" s="49" t="s">
        <v>3217</v>
      </c>
    </row>
    <row r="1483" customFormat="false" ht="15" hidden="false" customHeight="false" outlineLevel="0" collapsed="false">
      <c r="B1483" s="48" t="n">
        <v>45459.7339814815</v>
      </c>
      <c r="C1483" s="4" t="n">
        <f aca="false">YEAR(B1483)</f>
        <v>2024</v>
      </c>
      <c r="D1483" s="49" t="s">
        <v>278</v>
      </c>
      <c r="E1483" s="49" t="s">
        <v>3218</v>
      </c>
      <c r="F1483" s="50" t="n">
        <v>6</v>
      </c>
      <c r="G1483" s="49" t="s">
        <v>280</v>
      </c>
      <c r="H1483" s="51" t="n">
        <v>0.8355</v>
      </c>
      <c r="I1483" s="51" t="n">
        <v>0.1507</v>
      </c>
      <c r="J1483" s="51" t="n">
        <v>0.0138</v>
      </c>
      <c r="K1483" s="49"/>
      <c r="L1483" s="49"/>
      <c r="M1483" s="49"/>
      <c r="N1483" s="49"/>
      <c r="O1483" s="49"/>
      <c r="P1483" s="49"/>
      <c r="Q1483" s="49"/>
      <c r="R1483" s="49"/>
      <c r="S1483" s="49" t="n">
        <v>0</v>
      </c>
      <c r="T1483" s="49" t="n">
        <v>0</v>
      </c>
      <c r="U1483" s="49" t="s">
        <v>3219</v>
      </c>
    </row>
    <row r="1484" customFormat="false" ht="15" hidden="false" customHeight="false" outlineLevel="0" collapsed="false">
      <c r="B1484" s="48" t="n">
        <v>45460.4543865741</v>
      </c>
      <c r="C1484" s="4" t="n">
        <f aca="false">YEAR(B1484)</f>
        <v>2024</v>
      </c>
      <c r="D1484" s="49" t="s">
        <v>278</v>
      </c>
      <c r="E1484" s="49" t="s">
        <v>3220</v>
      </c>
      <c r="F1484" s="50" t="n">
        <v>51</v>
      </c>
      <c r="G1484" s="49" t="s">
        <v>280</v>
      </c>
      <c r="H1484" s="51" t="n">
        <v>0.6261</v>
      </c>
      <c r="I1484" s="51" t="n">
        <v>0.3583</v>
      </c>
      <c r="J1484" s="51" t="n">
        <v>0.0156</v>
      </c>
      <c r="K1484" s="49"/>
      <c r="L1484" s="49"/>
      <c r="M1484" s="49"/>
      <c r="N1484" s="49"/>
      <c r="O1484" s="49" t="s">
        <v>281</v>
      </c>
      <c r="P1484" s="49"/>
      <c r="Q1484" s="49"/>
      <c r="R1484" s="49"/>
      <c r="S1484" s="49" t="n">
        <v>0</v>
      </c>
      <c r="T1484" s="49" t="n">
        <v>0</v>
      </c>
      <c r="U1484" s="49" t="s">
        <v>3221</v>
      </c>
    </row>
    <row r="1485" customFormat="false" ht="15" hidden="false" customHeight="false" outlineLevel="0" collapsed="false">
      <c r="B1485" s="48" t="n">
        <v>45460.6175578704</v>
      </c>
      <c r="C1485" s="4" t="n">
        <f aca="false">YEAR(B1485)</f>
        <v>2024</v>
      </c>
      <c r="D1485" s="49" t="s">
        <v>278</v>
      </c>
      <c r="E1485" s="49" t="s">
        <v>3222</v>
      </c>
      <c r="F1485" s="50" t="n">
        <v>1</v>
      </c>
      <c r="G1485" s="49" t="s">
        <v>290</v>
      </c>
      <c r="H1485" s="51" t="n">
        <v>0.0042</v>
      </c>
      <c r="I1485" s="51" t="n">
        <v>0.7462</v>
      </c>
      <c r="J1485" s="51" t="n">
        <v>0.2495</v>
      </c>
      <c r="K1485" s="49"/>
      <c r="L1485" s="49"/>
      <c r="M1485" s="49"/>
      <c r="N1485" s="49"/>
      <c r="O1485" s="49"/>
      <c r="P1485" s="49"/>
      <c r="Q1485" s="49"/>
      <c r="R1485" s="49" t="s">
        <v>281</v>
      </c>
      <c r="S1485" s="49" t="n">
        <v>0</v>
      </c>
      <c r="T1485" s="49" t="n">
        <v>0</v>
      </c>
      <c r="U1485" s="49" t="s">
        <v>3223</v>
      </c>
    </row>
    <row r="1486" customFormat="false" ht="15" hidden="false" customHeight="false" outlineLevel="0" collapsed="false">
      <c r="B1486" s="48" t="n">
        <v>45461.0740972222</v>
      </c>
      <c r="C1486" s="4" t="n">
        <f aca="false">YEAR(B1486)</f>
        <v>2024</v>
      </c>
      <c r="D1486" s="49" t="s">
        <v>278</v>
      </c>
      <c r="E1486" s="49" t="s">
        <v>3224</v>
      </c>
      <c r="F1486" s="50" t="n">
        <v>18</v>
      </c>
      <c r="G1486" s="49" t="s">
        <v>280</v>
      </c>
      <c r="H1486" s="51" t="n">
        <v>0.8897</v>
      </c>
      <c r="I1486" s="51" t="n">
        <v>0.1029</v>
      </c>
      <c r="J1486" s="51" t="n">
        <v>0.0074</v>
      </c>
      <c r="K1486" s="49"/>
      <c r="L1486" s="49"/>
      <c r="M1486" s="49"/>
      <c r="N1486" s="49"/>
      <c r="O1486" s="49"/>
      <c r="P1486" s="49"/>
      <c r="Q1486" s="49"/>
      <c r="R1486" s="49"/>
      <c r="S1486" s="49" t="n">
        <v>0</v>
      </c>
      <c r="T1486" s="49" t="n">
        <v>0</v>
      </c>
      <c r="U1486" s="49" t="s">
        <v>3225</v>
      </c>
    </row>
    <row r="1487" customFormat="false" ht="15" hidden="false" customHeight="false" outlineLevel="0" collapsed="false">
      <c r="B1487" s="48" t="n">
        <v>45461.0756828704</v>
      </c>
      <c r="C1487" s="4" t="n">
        <f aca="false">YEAR(B1487)</f>
        <v>2024</v>
      </c>
      <c r="D1487" s="49" t="s">
        <v>283</v>
      </c>
      <c r="E1487" s="49" t="s">
        <v>3226</v>
      </c>
      <c r="F1487" s="50" t="n">
        <v>6</v>
      </c>
      <c r="G1487" s="49" t="s">
        <v>280</v>
      </c>
      <c r="H1487" s="51" t="n">
        <v>0.9244</v>
      </c>
      <c r="I1487" s="51" t="n">
        <v>0.0684</v>
      </c>
      <c r="J1487" s="51" t="n">
        <v>0.0073</v>
      </c>
      <c r="K1487" s="49"/>
      <c r="L1487" s="49"/>
      <c r="M1487" s="49"/>
      <c r="N1487" s="49"/>
      <c r="O1487" s="49"/>
      <c r="P1487" s="49"/>
      <c r="Q1487" s="49"/>
      <c r="R1487" s="49"/>
      <c r="S1487" s="49" t="n">
        <v>0</v>
      </c>
      <c r="T1487" s="49" t="n">
        <v>0</v>
      </c>
      <c r="U1487" s="49" t="s">
        <v>3227</v>
      </c>
    </row>
    <row r="1488" customFormat="false" ht="15" hidden="false" customHeight="false" outlineLevel="0" collapsed="false">
      <c r="B1488" s="48" t="n">
        <v>45461.1681944444</v>
      </c>
      <c r="C1488" s="4" t="n">
        <f aca="false">YEAR(B1488)</f>
        <v>2024</v>
      </c>
      <c r="D1488" s="49" t="s">
        <v>283</v>
      </c>
      <c r="E1488" s="49" t="s">
        <v>3228</v>
      </c>
      <c r="F1488" s="50" t="n">
        <v>4</v>
      </c>
      <c r="G1488" s="49" t="s">
        <v>280</v>
      </c>
      <c r="H1488" s="51" t="n">
        <v>0.6924</v>
      </c>
      <c r="I1488" s="51" t="n">
        <v>0.2891</v>
      </c>
      <c r="J1488" s="51" t="n">
        <v>0.0185</v>
      </c>
      <c r="K1488" s="49"/>
      <c r="L1488" s="49"/>
      <c r="M1488" s="49"/>
      <c r="N1488" s="49"/>
      <c r="O1488" s="49"/>
      <c r="P1488" s="49"/>
      <c r="Q1488" s="49"/>
      <c r="R1488" s="49"/>
      <c r="S1488" s="49" t="n">
        <v>0</v>
      </c>
      <c r="T1488" s="49" t="n">
        <v>0</v>
      </c>
      <c r="U1488" s="49" t="s">
        <v>3229</v>
      </c>
    </row>
    <row r="1489" customFormat="false" ht="15" hidden="false" customHeight="false" outlineLevel="0" collapsed="false">
      <c r="B1489" s="48" t="n">
        <v>45461.4031481482</v>
      </c>
      <c r="C1489" s="4" t="n">
        <f aca="false">YEAR(B1489)</f>
        <v>2024</v>
      </c>
      <c r="D1489" s="49" t="s">
        <v>283</v>
      </c>
      <c r="E1489" s="49" t="s">
        <v>3230</v>
      </c>
      <c r="F1489" s="50" t="n">
        <v>1</v>
      </c>
      <c r="G1489" s="49" t="s">
        <v>280</v>
      </c>
      <c r="H1489" s="51" t="n">
        <v>0.8516</v>
      </c>
      <c r="I1489" s="51" t="n">
        <v>0.1396</v>
      </c>
      <c r="J1489" s="51" t="n">
        <v>0.0088</v>
      </c>
      <c r="K1489" s="49" t="s">
        <v>281</v>
      </c>
      <c r="L1489" s="49"/>
      <c r="M1489" s="49"/>
      <c r="N1489" s="49"/>
      <c r="O1489" s="49"/>
      <c r="P1489" s="49"/>
      <c r="Q1489" s="49"/>
      <c r="R1489" s="49"/>
      <c r="S1489" s="49" t="n">
        <v>0</v>
      </c>
      <c r="T1489" s="49" t="n">
        <v>0</v>
      </c>
      <c r="U1489" s="49" t="s">
        <v>3231</v>
      </c>
    </row>
    <row r="1490" customFormat="false" ht="15" hidden="false" customHeight="false" outlineLevel="0" collapsed="false">
      <c r="B1490" s="48" t="n">
        <v>45461.4216782407</v>
      </c>
      <c r="C1490" s="4" t="n">
        <f aca="false">YEAR(B1490)</f>
        <v>2024</v>
      </c>
      <c r="D1490" s="49" t="s">
        <v>278</v>
      </c>
      <c r="E1490" s="49" t="s">
        <v>3230</v>
      </c>
      <c r="F1490" s="50" t="n">
        <v>10</v>
      </c>
      <c r="G1490" s="49" t="s">
        <v>280</v>
      </c>
      <c r="H1490" s="51" t="n">
        <v>0.8516</v>
      </c>
      <c r="I1490" s="51" t="n">
        <v>0.1396</v>
      </c>
      <c r="J1490" s="51" t="n">
        <v>0.0088</v>
      </c>
      <c r="K1490" s="49" t="s">
        <v>281</v>
      </c>
      <c r="L1490" s="49"/>
      <c r="M1490" s="49"/>
      <c r="N1490" s="49"/>
      <c r="O1490" s="49"/>
      <c r="P1490" s="49"/>
      <c r="Q1490" s="49"/>
      <c r="R1490" s="49"/>
      <c r="S1490" s="49" t="n">
        <v>0</v>
      </c>
      <c r="T1490" s="49" t="n">
        <v>0</v>
      </c>
      <c r="U1490" s="49" t="s">
        <v>3232</v>
      </c>
    </row>
    <row r="1491" customFormat="false" ht="15" hidden="false" customHeight="false" outlineLevel="0" collapsed="false">
      <c r="B1491" s="48" t="n">
        <v>45462.0274305556</v>
      </c>
      <c r="C1491" s="4" t="n">
        <f aca="false">YEAR(B1491)</f>
        <v>2024</v>
      </c>
      <c r="D1491" s="49" t="s">
        <v>278</v>
      </c>
      <c r="E1491" s="49" t="s">
        <v>3233</v>
      </c>
      <c r="F1491" s="50" t="n">
        <v>16</v>
      </c>
      <c r="G1491" s="49" t="s">
        <v>280</v>
      </c>
      <c r="H1491" s="51" t="n">
        <v>0.7481</v>
      </c>
      <c r="I1491" s="51" t="n">
        <v>0.2263</v>
      </c>
      <c r="J1491" s="51" t="n">
        <v>0.0256</v>
      </c>
      <c r="K1491" s="49"/>
      <c r="L1491" s="49"/>
      <c r="M1491" s="49"/>
      <c r="N1491" s="49"/>
      <c r="O1491" s="49"/>
      <c r="P1491" s="49"/>
      <c r="Q1491" s="49"/>
      <c r="R1491" s="49"/>
      <c r="S1491" s="49" t="n">
        <v>0</v>
      </c>
      <c r="T1491" s="49" t="n">
        <v>0</v>
      </c>
      <c r="U1491" s="49" t="s">
        <v>3234</v>
      </c>
    </row>
    <row r="1492" customFormat="false" ht="15" hidden="false" customHeight="false" outlineLevel="0" collapsed="false">
      <c r="B1492" s="48" t="n">
        <v>45462.3221180556</v>
      </c>
      <c r="C1492" s="4" t="n">
        <f aca="false">YEAR(B1492)</f>
        <v>2024</v>
      </c>
      <c r="D1492" s="49" t="s">
        <v>283</v>
      </c>
      <c r="E1492" s="49" t="s">
        <v>3235</v>
      </c>
      <c r="F1492" s="50" t="n">
        <v>2</v>
      </c>
      <c r="G1492" s="49" t="s">
        <v>290</v>
      </c>
      <c r="H1492" s="51" t="n">
        <v>0.055</v>
      </c>
      <c r="I1492" s="51" t="n">
        <v>0.8974</v>
      </c>
      <c r="J1492" s="51" t="n">
        <v>0.0476</v>
      </c>
      <c r="K1492" s="49"/>
      <c r="L1492" s="49"/>
      <c r="M1492" s="49"/>
      <c r="N1492" s="49"/>
      <c r="O1492" s="49"/>
      <c r="P1492" s="49"/>
      <c r="Q1492" s="49"/>
      <c r="R1492" s="49"/>
      <c r="S1492" s="49" t="n">
        <v>0</v>
      </c>
      <c r="T1492" s="49" t="n">
        <v>0</v>
      </c>
      <c r="U1492" s="49" t="s">
        <v>3236</v>
      </c>
    </row>
    <row r="1493" customFormat="false" ht="15" hidden="false" customHeight="false" outlineLevel="0" collapsed="false">
      <c r="B1493" s="48" t="n">
        <v>45462.7566087963</v>
      </c>
      <c r="C1493" s="4" t="n">
        <f aca="false">YEAR(B1493)</f>
        <v>2024</v>
      </c>
      <c r="D1493" s="49" t="s">
        <v>283</v>
      </c>
      <c r="E1493" s="49" t="s">
        <v>3237</v>
      </c>
      <c r="F1493" s="50" t="n">
        <v>1</v>
      </c>
      <c r="G1493" s="49" t="s">
        <v>280</v>
      </c>
      <c r="H1493" s="51" t="n">
        <v>0.9042</v>
      </c>
      <c r="I1493" s="51" t="n">
        <v>0.0883</v>
      </c>
      <c r="J1493" s="51" t="n">
        <v>0.0075</v>
      </c>
      <c r="K1493" s="49"/>
      <c r="L1493" s="49"/>
      <c r="M1493" s="49"/>
      <c r="N1493" s="49"/>
      <c r="O1493" s="49"/>
      <c r="P1493" s="49"/>
      <c r="Q1493" s="49"/>
      <c r="R1493" s="49"/>
      <c r="S1493" s="49" t="n">
        <v>0</v>
      </c>
      <c r="T1493" s="49" t="n">
        <v>0</v>
      </c>
      <c r="U1493" s="49" t="s">
        <v>3238</v>
      </c>
    </row>
    <row r="1494" customFormat="false" ht="15" hidden="false" customHeight="false" outlineLevel="0" collapsed="false">
      <c r="B1494" s="48" t="n">
        <v>45462.9881597222</v>
      </c>
      <c r="C1494" s="4" t="n">
        <f aca="false">YEAR(B1494)</f>
        <v>2024</v>
      </c>
      <c r="D1494" s="49" t="s">
        <v>283</v>
      </c>
      <c r="E1494" s="49" t="s">
        <v>3239</v>
      </c>
      <c r="F1494" s="50" t="n">
        <v>10</v>
      </c>
      <c r="G1494" s="49" t="s">
        <v>290</v>
      </c>
      <c r="H1494" s="51" t="n">
        <v>0.255</v>
      </c>
      <c r="I1494" s="51" t="n">
        <v>0.4592</v>
      </c>
      <c r="J1494" s="51" t="n">
        <v>0.2858</v>
      </c>
      <c r="K1494" s="49"/>
      <c r="L1494" s="49"/>
      <c r="M1494" s="49"/>
      <c r="N1494" s="49"/>
      <c r="O1494" s="49"/>
      <c r="P1494" s="49"/>
      <c r="Q1494" s="49"/>
      <c r="R1494" s="49"/>
      <c r="S1494" s="49" t="n">
        <v>0</v>
      </c>
      <c r="T1494" s="49" t="n">
        <v>0</v>
      </c>
      <c r="U1494" s="49" t="s">
        <v>3240</v>
      </c>
    </row>
    <row r="1495" customFormat="false" ht="15" hidden="false" customHeight="false" outlineLevel="0" collapsed="false">
      <c r="B1495" s="48" t="n">
        <v>45464.7205324074</v>
      </c>
      <c r="C1495" s="4" t="n">
        <f aca="false">YEAR(B1495)</f>
        <v>2024</v>
      </c>
      <c r="D1495" s="49" t="s">
        <v>283</v>
      </c>
      <c r="E1495" s="49" t="s">
        <v>3241</v>
      </c>
      <c r="F1495" s="50" t="n">
        <v>1</v>
      </c>
      <c r="G1495" s="49" t="s">
        <v>280</v>
      </c>
      <c r="H1495" s="51" t="n">
        <v>0.761</v>
      </c>
      <c r="I1495" s="51" t="n">
        <v>0.2207</v>
      </c>
      <c r="J1495" s="51" t="n">
        <v>0.0183</v>
      </c>
      <c r="K1495" s="49"/>
      <c r="L1495" s="49"/>
      <c r="M1495" s="49"/>
      <c r="N1495" s="49"/>
      <c r="O1495" s="49"/>
      <c r="P1495" s="49"/>
      <c r="Q1495" s="49"/>
      <c r="R1495" s="49" t="s">
        <v>281</v>
      </c>
      <c r="S1495" s="49" t="n">
        <v>0</v>
      </c>
      <c r="T1495" s="49" t="n">
        <v>0</v>
      </c>
      <c r="U1495" s="49" t="s">
        <v>3242</v>
      </c>
    </row>
    <row r="1496" customFormat="false" ht="15" hidden="false" customHeight="false" outlineLevel="0" collapsed="false">
      <c r="B1496" s="48" t="n">
        <v>45465.8565625</v>
      </c>
      <c r="C1496" s="4" t="n">
        <f aca="false">YEAR(B1496)</f>
        <v>2024</v>
      </c>
      <c r="D1496" s="49" t="s">
        <v>283</v>
      </c>
      <c r="E1496" s="49" t="s">
        <v>3243</v>
      </c>
      <c r="F1496" s="50" t="n">
        <v>5</v>
      </c>
      <c r="G1496" s="49" t="s">
        <v>287</v>
      </c>
      <c r="H1496" s="51" t="n">
        <v>0.0145</v>
      </c>
      <c r="I1496" s="51" t="n">
        <v>0.4907</v>
      </c>
      <c r="J1496" s="51" t="n">
        <v>0.4948</v>
      </c>
      <c r="K1496" s="49"/>
      <c r="L1496" s="49"/>
      <c r="M1496" s="49"/>
      <c r="N1496" s="49"/>
      <c r="O1496" s="49"/>
      <c r="P1496" s="49"/>
      <c r="Q1496" s="49"/>
      <c r="R1496" s="49"/>
      <c r="S1496" s="49" t="n">
        <v>0</v>
      </c>
      <c r="T1496" s="49" t="n">
        <v>0</v>
      </c>
      <c r="U1496" s="49" t="s">
        <v>3244</v>
      </c>
    </row>
    <row r="1497" customFormat="false" ht="15" hidden="false" customHeight="false" outlineLevel="0" collapsed="false">
      <c r="B1497" s="48" t="n">
        <v>45467.4182291667</v>
      </c>
      <c r="C1497" s="4" t="n">
        <f aca="false">YEAR(B1497)</f>
        <v>2024</v>
      </c>
      <c r="D1497" s="49" t="s">
        <v>283</v>
      </c>
      <c r="E1497" s="49" t="s">
        <v>3245</v>
      </c>
      <c r="F1497" s="50" t="n">
        <v>1</v>
      </c>
      <c r="G1497" s="49" t="s">
        <v>290</v>
      </c>
      <c r="H1497" s="51" t="n">
        <v>0.0353</v>
      </c>
      <c r="I1497" s="51" t="n">
        <v>0.8488</v>
      </c>
      <c r="J1497" s="51" t="n">
        <v>0.1159</v>
      </c>
      <c r="K1497" s="49"/>
      <c r="L1497" s="49"/>
      <c r="M1497" s="49"/>
      <c r="N1497" s="49"/>
      <c r="O1497" s="49"/>
      <c r="P1497" s="49"/>
      <c r="Q1497" s="49"/>
      <c r="R1497" s="49"/>
      <c r="S1497" s="49" t="n">
        <v>0</v>
      </c>
      <c r="T1497" s="49" t="n">
        <v>0</v>
      </c>
      <c r="U1497" s="49" t="s">
        <v>3246</v>
      </c>
    </row>
    <row r="1498" customFormat="false" ht="15" hidden="false" customHeight="false" outlineLevel="0" collapsed="false">
      <c r="B1498" s="48" t="n">
        <v>45467.7287152778</v>
      </c>
      <c r="C1498" s="4" t="n">
        <f aca="false">YEAR(B1498)</f>
        <v>2024</v>
      </c>
      <c r="D1498" s="49" t="s">
        <v>283</v>
      </c>
      <c r="E1498" s="49" t="s">
        <v>3247</v>
      </c>
      <c r="F1498" s="50" t="n">
        <v>1</v>
      </c>
      <c r="G1498" s="49" t="s">
        <v>290</v>
      </c>
      <c r="H1498" s="51" t="n">
        <v>0.009</v>
      </c>
      <c r="I1498" s="51" t="n">
        <v>0.7794</v>
      </c>
      <c r="J1498" s="51" t="n">
        <v>0.2116</v>
      </c>
      <c r="K1498" s="49"/>
      <c r="L1498" s="49"/>
      <c r="M1498" s="49"/>
      <c r="N1498" s="49"/>
      <c r="O1498" s="49"/>
      <c r="P1498" s="49"/>
      <c r="Q1498" s="49"/>
      <c r="R1498" s="49"/>
      <c r="S1498" s="49" t="n">
        <v>0</v>
      </c>
      <c r="T1498" s="49" t="n">
        <v>0</v>
      </c>
      <c r="U1498" s="49" t="s">
        <v>3248</v>
      </c>
    </row>
    <row r="1499" customFormat="false" ht="15" hidden="false" customHeight="false" outlineLevel="0" collapsed="false">
      <c r="B1499" s="48" t="n">
        <v>45467.803125</v>
      </c>
      <c r="C1499" s="4" t="n">
        <f aca="false">YEAR(B1499)</f>
        <v>2024</v>
      </c>
      <c r="D1499" s="49" t="s">
        <v>278</v>
      </c>
      <c r="E1499" s="49" t="s">
        <v>3249</v>
      </c>
      <c r="F1499" s="50" t="n">
        <v>1</v>
      </c>
      <c r="G1499" s="49" t="s">
        <v>290</v>
      </c>
      <c r="H1499" s="51" t="n">
        <v>0.2411</v>
      </c>
      <c r="I1499" s="51" t="n">
        <v>0.7047</v>
      </c>
      <c r="J1499" s="51" t="n">
        <v>0.0542</v>
      </c>
      <c r="K1499" s="49"/>
      <c r="L1499" s="49"/>
      <c r="M1499" s="49"/>
      <c r="N1499" s="49"/>
      <c r="O1499" s="49"/>
      <c r="P1499" s="49"/>
      <c r="Q1499" s="49"/>
      <c r="R1499" s="49"/>
      <c r="S1499" s="49" t="n">
        <v>0</v>
      </c>
      <c r="T1499" s="49" t="n">
        <v>0</v>
      </c>
      <c r="U1499" s="49" t="s">
        <v>3250</v>
      </c>
    </row>
    <row r="1500" customFormat="false" ht="15" hidden="false" customHeight="false" outlineLevel="0" collapsed="false">
      <c r="B1500" s="48" t="n">
        <v>45469.1782060185</v>
      </c>
      <c r="C1500" s="4" t="n">
        <f aca="false">YEAR(B1500)</f>
        <v>2024</v>
      </c>
      <c r="D1500" s="49" t="s">
        <v>283</v>
      </c>
      <c r="E1500" s="49" t="s">
        <v>3251</v>
      </c>
      <c r="F1500" s="50" t="n">
        <v>1</v>
      </c>
      <c r="G1500" s="49" t="s">
        <v>280</v>
      </c>
      <c r="H1500" s="51" t="n">
        <v>0.5905</v>
      </c>
      <c r="I1500" s="51" t="n">
        <v>0.395</v>
      </c>
      <c r="J1500" s="51" t="n">
        <v>0.0144</v>
      </c>
      <c r="K1500" s="49"/>
      <c r="L1500" s="49"/>
      <c r="M1500" s="49"/>
      <c r="N1500" s="49"/>
      <c r="O1500" s="49"/>
      <c r="P1500" s="49"/>
      <c r="Q1500" s="49"/>
      <c r="R1500" s="49"/>
      <c r="S1500" s="49" t="n">
        <v>0</v>
      </c>
      <c r="T1500" s="49" t="n">
        <v>0</v>
      </c>
      <c r="U1500" s="49" t="s">
        <v>3252</v>
      </c>
    </row>
    <row r="1501" customFormat="false" ht="15" hidden="false" customHeight="false" outlineLevel="0" collapsed="false">
      <c r="B1501" s="48" t="n">
        <v>45469.5139467593</v>
      </c>
      <c r="C1501" s="4" t="n">
        <f aca="false">YEAR(B1501)</f>
        <v>2024</v>
      </c>
      <c r="D1501" s="49" t="s">
        <v>283</v>
      </c>
      <c r="E1501" s="49" t="s">
        <v>3253</v>
      </c>
      <c r="F1501" s="50" t="n">
        <v>1</v>
      </c>
      <c r="G1501" s="49" t="s">
        <v>290</v>
      </c>
      <c r="H1501" s="51" t="n">
        <v>0.2289</v>
      </c>
      <c r="I1501" s="51" t="n">
        <v>0.6343</v>
      </c>
      <c r="J1501" s="51" t="n">
        <v>0.1369</v>
      </c>
      <c r="K1501" s="49"/>
      <c r="L1501" s="49"/>
      <c r="M1501" s="49"/>
      <c r="N1501" s="49"/>
      <c r="O1501" s="49"/>
      <c r="P1501" s="49"/>
      <c r="Q1501" s="49" t="s">
        <v>281</v>
      </c>
      <c r="R1501" s="49"/>
      <c r="S1501" s="49" t="n">
        <v>0</v>
      </c>
      <c r="T1501" s="49" t="n">
        <v>0</v>
      </c>
      <c r="U1501" s="49" t="s">
        <v>3254</v>
      </c>
    </row>
    <row r="1502" customFormat="false" ht="15" hidden="false" customHeight="false" outlineLevel="0" collapsed="false">
      <c r="B1502" s="48" t="n">
        <v>45469.7268981482</v>
      </c>
      <c r="C1502" s="4" t="n">
        <f aca="false">YEAR(B1502)</f>
        <v>2024</v>
      </c>
      <c r="D1502" s="49" t="s">
        <v>283</v>
      </c>
      <c r="E1502" s="49" t="s">
        <v>3255</v>
      </c>
      <c r="F1502" s="50" t="n">
        <v>1</v>
      </c>
      <c r="G1502" s="49" t="s">
        <v>290</v>
      </c>
      <c r="H1502" s="51" t="n">
        <v>0.0095</v>
      </c>
      <c r="I1502" s="51" t="n">
        <v>0.9058</v>
      </c>
      <c r="J1502" s="51" t="n">
        <v>0.0847</v>
      </c>
      <c r="K1502" s="49"/>
      <c r="L1502" s="49"/>
      <c r="M1502" s="49"/>
      <c r="N1502" s="49"/>
      <c r="O1502" s="49"/>
      <c r="P1502" s="49"/>
      <c r="Q1502" s="49"/>
      <c r="R1502" s="49"/>
      <c r="S1502" s="49" t="n">
        <v>1</v>
      </c>
      <c r="T1502" s="49" t="n">
        <v>0</v>
      </c>
      <c r="U1502" s="49" t="s">
        <v>3256</v>
      </c>
    </row>
    <row r="1503" customFormat="false" ht="15" hidden="false" customHeight="false" outlineLevel="0" collapsed="false">
      <c r="B1503" s="48" t="n">
        <v>45469.7946990741</v>
      </c>
      <c r="C1503" s="4" t="n">
        <f aca="false">YEAR(B1503)</f>
        <v>2024</v>
      </c>
      <c r="D1503" s="49" t="s">
        <v>283</v>
      </c>
      <c r="E1503" s="49" t="s">
        <v>3257</v>
      </c>
      <c r="F1503" s="50" t="n">
        <v>1</v>
      </c>
      <c r="G1503" s="49" t="s">
        <v>280</v>
      </c>
      <c r="H1503" s="51" t="n">
        <v>0.9405</v>
      </c>
      <c r="I1503" s="51" t="n">
        <v>0.0527</v>
      </c>
      <c r="J1503" s="51" t="n">
        <v>0.0069</v>
      </c>
      <c r="K1503" s="49"/>
      <c r="L1503" s="49"/>
      <c r="M1503" s="49"/>
      <c r="N1503" s="49"/>
      <c r="O1503" s="49"/>
      <c r="P1503" s="49"/>
      <c r="Q1503" s="49"/>
      <c r="R1503" s="49"/>
      <c r="S1503" s="49" t="n">
        <v>1</v>
      </c>
      <c r="T1503" s="49" t="n">
        <v>0</v>
      </c>
      <c r="U1503" s="49" t="s">
        <v>3258</v>
      </c>
    </row>
    <row r="1504" customFormat="false" ht="15" hidden="false" customHeight="false" outlineLevel="0" collapsed="false">
      <c r="B1504" s="48" t="n">
        <v>45470.2701967593</v>
      </c>
      <c r="C1504" s="4" t="n">
        <f aca="false">YEAR(B1504)</f>
        <v>2024</v>
      </c>
      <c r="D1504" s="49" t="s">
        <v>278</v>
      </c>
      <c r="E1504" s="49" t="s">
        <v>3259</v>
      </c>
      <c r="F1504" s="50" t="n">
        <v>2</v>
      </c>
      <c r="G1504" s="49" t="s">
        <v>280</v>
      </c>
      <c r="H1504" s="51" t="n">
        <v>0.7751</v>
      </c>
      <c r="I1504" s="51" t="n">
        <v>0.2016</v>
      </c>
      <c r="J1504" s="51" t="n">
        <v>0.0233</v>
      </c>
      <c r="K1504" s="49"/>
      <c r="L1504" s="49"/>
      <c r="M1504" s="49"/>
      <c r="N1504" s="49"/>
      <c r="O1504" s="49"/>
      <c r="P1504" s="49"/>
      <c r="Q1504" s="49"/>
      <c r="R1504" s="49"/>
      <c r="S1504" s="49" t="n">
        <v>0</v>
      </c>
      <c r="T1504" s="49" t="n">
        <v>0</v>
      </c>
      <c r="U1504" s="49" t="s">
        <v>3260</v>
      </c>
    </row>
    <row r="1505" customFormat="false" ht="15" hidden="false" customHeight="false" outlineLevel="0" collapsed="false">
      <c r="B1505" s="48" t="n">
        <v>45470.822037037</v>
      </c>
      <c r="C1505" s="4" t="n">
        <f aca="false">YEAR(B1505)</f>
        <v>2024</v>
      </c>
      <c r="D1505" s="49" t="s">
        <v>283</v>
      </c>
      <c r="E1505" s="49" t="s">
        <v>3261</v>
      </c>
      <c r="F1505" s="50" t="n">
        <v>1</v>
      </c>
      <c r="G1505" s="49" t="s">
        <v>287</v>
      </c>
      <c r="H1505" s="51" t="n">
        <v>0.0088</v>
      </c>
      <c r="I1505" s="51" t="n">
        <v>0.1561</v>
      </c>
      <c r="J1505" s="51" t="n">
        <v>0.8351</v>
      </c>
      <c r="K1505" s="49"/>
      <c r="L1505" s="49"/>
      <c r="M1505" s="49"/>
      <c r="N1505" s="49"/>
      <c r="O1505" s="49"/>
      <c r="P1505" s="49"/>
      <c r="Q1505" s="49" t="s">
        <v>281</v>
      </c>
      <c r="R1505" s="49" t="s">
        <v>281</v>
      </c>
      <c r="S1505" s="49" t="n">
        <v>0</v>
      </c>
      <c r="T1505" s="49" t="n">
        <v>0</v>
      </c>
      <c r="U1505" s="49" t="s">
        <v>3262</v>
      </c>
    </row>
    <row r="1506" customFormat="false" ht="15" hidden="false" customHeight="false" outlineLevel="0" collapsed="false">
      <c r="B1506" s="48" t="n">
        <v>45471.0986458333</v>
      </c>
      <c r="C1506" s="4" t="n">
        <f aca="false">YEAR(B1506)</f>
        <v>2024</v>
      </c>
      <c r="D1506" s="49" t="s">
        <v>283</v>
      </c>
      <c r="E1506" s="49" t="s">
        <v>3263</v>
      </c>
      <c r="F1506" s="50" t="n">
        <v>16</v>
      </c>
      <c r="G1506" s="49" t="s">
        <v>280</v>
      </c>
      <c r="H1506" s="51" t="n">
        <v>0.6568</v>
      </c>
      <c r="I1506" s="51" t="n">
        <v>0.3085</v>
      </c>
      <c r="J1506" s="51" t="n">
        <v>0.0347</v>
      </c>
      <c r="K1506" s="49"/>
      <c r="L1506" s="49"/>
      <c r="M1506" s="49"/>
      <c r="N1506" s="49"/>
      <c r="O1506" s="49"/>
      <c r="P1506" s="49"/>
      <c r="Q1506" s="49"/>
      <c r="R1506" s="49"/>
      <c r="S1506" s="49" t="n">
        <v>0</v>
      </c>
      <c r="T1506" s="49" t="n">
        <v>0</v>
      </c>
      <c r="U1506" s="49" t="s">
        <v>3264</v>
      </c>
    </row>
    <row r="1507" customFormat="false" ht="15" hidden="false" customHeight="false" outlineLevel="0" collapsed="false">
      <c r="B1507" s="48" t="n">
        <v>45471.1994212963</v>
      </c>
      <c r="C1507" s="4" t="n">
        <f aca="false">YEAR(B1507)</f>
        <v>2024</v>
      </c>
      <c r="D1507" s="49" t="s">
        <v>283</v>
      </c>
      <c r="E1507" s="49" t="s">
        <v>3265</v>
      </c>
      <c r="F1507" s="50" t="n">
        <v>1</v>
      </c>
      <c r="G1507" s="49" t="s">
        <v>280</v>
      </c>
      <c r="H1507" s="51" t="n">
        <v>0.9333</v>
      </c>
      <c r="I1507" s="51" t="n">
        <v>0.0613</v>
      </c>
      <c r="J1507" s="51" t="n">
        <v>0.0054</v>
      </c>
      <c r="K1507" s="49"/>
      <c r="L1507" s="49"/>
      <c r="M1507" s="49"/>
      <c r="N1507" s="49"/>
      <c r="O1507" s="49"/>
      <c r="P1507" s="49"/>
      <c r="Q1507" s="49" t="s">
        <v>281</v>
      </c>
      <c r="R1507" s="49"/>
      <c r="S1507" s="49" t="n">
        <v>0</v>
      </c>
      <c r="T1507" s="49" t="n">
        <v>0</v>
      </c>
      <c r="U1507" s="49" t="s">
        <v>3266</v>
      </c>
    </row>
    <row r="1508" customFormat="false" ht="15" hidden="false" customHeight="false" outlineLevel="0" collapsed="false">
      <c r="B1508" s="48" t="n">
        <v>45471.434212963</v>
      </c>
      <c r="C1508" s="4" t="n">
        <f aca="false">YEAR(B1508)</f>
        <v>2024</v>
      </c>
      <c r="D1508" s="49" t="s">
        <v>283</v>
      </c>
      <c r="E1508" s="49" t="s">
        <v>3267</v>
      </c>
      <c r="F1508" s="50" t="n">
        <v>20</v>
      </c>
      <c r="G1508" s="49" t="s">
        <v>287</v>
      </c>
      <c r="H1508" s="51" t="n">
        <v>0.0045</v>
      </c>
      <c r="I1508" s="51" t="n">
        <v>0.24</v>
      </c>
      <c r="J1508" s="51" t="n">
        <v>0.7555</v>
      </c>
      <c r="K1508" s="49"/>
      <c r="L1508" s="49"/>
      <c r="M1508" s="49"/>
      <c r="N1508" s="49"/>
      <c r="O1508" s="49"/>
      <c r="P1508" s="49"/>
      <c r="Q1508" s="49"/>
      <c r="R1508" s="49"/>
      <c r="S1508" s="49" t="n">
        <v>0</v>
      </c>
      <c r="T1508" s="49" t="n">
        <v>0</v>
      </c>
      <c r="U1508" s="49" t="s">
        <v>3268</v>
      </c>
    </row>
    <row r="1509" customFormat="false" ht="15" hidden="false" customHeight="false" outlineLevel="0" collapsed="false">
      <c r="B1509" s="48" t="n">
        <v>45471.5441087963</v>
      </c>
      <c r="C1509" s="4" t="n">
        <f aca="false">YEAR(B1509)</f>
        <v>2024</v>
      </c>
      <c r="D1509" s="49" t="s">
        <v>278</v>
      </c>
      <c r="E1509" s="49" t="s">
        <v>3269</v>
      </c>
      <c r="F1509" s="50" t="n">
        <v>29</v>
      </c>
      <c r="G1509" s="49" t="s">
        <v>287</v>
      </c>
      <c r="H1509" s="51" t="n">
        <v>0.006</v>
      </c>
      <c r="I1509" s="51" t="n">
        <v>0.1483</v>
      </c>
      <c r="J1509" s="51" t="n">
        <v>0.8456</v>
      </c>
      <c r="K1509" s="49"/>
      <c r="L1509" s="49"/>
      <c r="M1509" s="49"/>
      <c r="N1509" s="49"/>
      <c r="O1509" s="49"/>
      <c r="P1509" s="49"/>
      <c r="Q1509" s="49"/>
      <c r="R1509" s="49"/>
      <c r="S1509" s="49" t="n">
        <v>0</v>
      </c>
      <c r="T1509" s="49" t="n">
        <v>0</v>
      </c>
      <c r="U1509" s="49" t="s">
        <v>3270</v>
      </c>
    </row>
    <row r="1510" customFormat="false" ht="15" hidden="false" customHeight="false" outlineLevel="0" collapsed="false">
      <c r="B1510" s="48" t="n">
        <v>45471.8525347222</v>
      </c>
      <c r="C1510" s="4" t="n">
        <f aca="false">YEAR(B1510)</f>
        <v>2024</v>
      </c>
      <c r="D1510" s="49" t="s">
        <v>283</v>
      </c>
      <c r="E1510" s="49" t="s">
        <v>3271</v>
      </c>
      <c r="F1510" s="50" t="n">
        <v>2</v>
      </c>
      <c r="G1510" s="49" t="s">
        <v>287</v>
      </c>
      <c r="H1510" s="51" t="n">
        <v>0.0089</v>
      </c>
      <c r="I1510" s="51" t="n">
        <v>0.325</v>
      </c>
      <c r="J1510" s="51" t="n">
        <v>0.6661</v>
      </c>
      <c r="K1510" s="49"/>
      <c r="L1510" s="49"/>
      <c r="M1510" s="49"/>
      <c r="N1510" s="49"/>
      <c r="O1510" s="49"/>
      <c r="P1510" s="49"/>
      <c r="Q1510" s="49"/>
      <c r="R1510" s="49"/>
      <c r="S1510" s="49" t="n">
        <v>0</v>
      </c>
      <c r="T1510" s="49" t="n">
        <v>0</v>
      </c>
      <c r="U1510" s="49" t="s">
        <v>3272</v>
      </c>
    </row>
    <row r="1511" customFormat="false" ht="15" hidden="false" customHeight="false" outlineLevel="0" collapsed="false">
      <c r="B1511" s="48" t="n">
        <v>45472.0559143519</v>
      </c>
      <c r="C1511" s="4" t="n">
        <f aca="false">YEAR(B1511)</f>
        <v>2024</v>
      </c>
      <c r="D1511" s="49" t="s">
        <v>283</v>
      </c>
      <c r="E1511" s="49" t="s">
        <v>3273</v>
      </c>
      <c r="F1511" s="50" t="n">
        <v>10</v>
      </c>
      <c r="G1511" s="49" t="s">
        <v>287</v>
      </c>
      <c r="H1511" s="51" t="n">
        <v>0.0058</v>
      </c>
      <c r="I1511" s="51" t="n">
        <v>0.191</v>
      </c>
      <c r="J1511" s="51" t="n">
        <v>0.8032</v>
      </c>
      <c r="K1511" s="49"/>
      <c r="L1511" s="49"/>
      <c r="M1511" s="49"/>
      <c r="N1511" s="49"/>
      <c r="O1511" s="49"/>
      <c r="P1511" s="49"/>
      <c r="Q1511" s="49"/>
      <c r="R1511" s="49"/>
      <c r="S1511" s="49" t="n">
        <v>0</v>
      </c>
      <c r="T1511" s="49" t="n">
        <v>0</v>
      </c>
      <c r="U1511" s="49" t="s">
        <v>3274</v>
      </c>
    </row>
    <row r="1512" customFormat="false" ht="15" hidden="false" customHeight="false" outlineLevel="0" collapsed="false">
      <c r="B1512" s="48" t="n">
        <v>45472.2471759259</v>
      </c>
      <c r="C1512" s="4" t="n">
        <f aca="false">YEAR(B1512)</f>
        <v>2024</v>
      </c>
      <c r="D1512" s="49" t="s">
        <v>278</v>
      </c>
      <c r="E1512" s="49" t="s">
        <v>3275</v>
      </c>
      <c r="F1512" s="50" t="n">
        <v>28</v>
      </c>
      <c r="G1512" s="49" t="s">
        <v>280</v>
      </c>
      <c r="H1512" s="51" t="n">
        <v>0.9251</v>
      </c>
      <c r="I1512" s="51" t="n">
        <v>0.0672</v>
      </c>
      <c r="J1512" s="51" t="n">
        <v>0.0077</v>
      </c>
      <c r="K1512" s="49"/>
      <c r="L1512" s="49"/>
      <c r="M1512" s="49"/>
      <c r="N1512" s="49"/>
      <c r="O1512" s="49"/>
      <c r="P1512" s="49"/>
      <c r="Q1512" s="49"/>
      <c r="R1512" s="49"/>
      <c r="S1512" s="49" t="n">
        <v>0</v>
      </c>
      <c r="T1512" s="49" t="n">
        <v>0</v>
      </c>
      <c r="U1512" s="49" t="s">
        <v>3276</v>
      </c>
    </row>
    <row r="1513" customFormat="false" ht="15" hidden="false" customHeight="false" outlineLevel="0" collapsed="false">
      <c r="B1513" s="48" t="n">
        <v>45472.4318055556</v>
      </c>
      <c r="C1513" s="4" t="n">
        <f aca="false">YEAR(B1513)</f>
        <v>2024</v>
      </c>
      <c r="D1513" s="49" t="s">
        <v>283</v>
      </c>
      <c r="E1513" s="49" t="s">
        <v>3277</v>
      </c>
      <c r="F1513" s="50" t="n">
        <v>1</v>
      </c>
      <c r="G1513" s="49" t="s">
        <v>290</v>
      </c>
      <c r="H1513" s="51" t="n">
        <v>0.3999</v>
      </c>
      <c r="I1513" s="51" t="n">
        <v>0.528</v>
      </c>
      <c r="J1513" s="51" t="n">
        <v>0.0721</v>
      </c>
      <c r="K1513" s="49" t="s">
        <v>281</v>
      </c>
      <c r="L1513" s="49"/>
      <c r="M1513" s="49"/>
      <c r="N1513" s="49"/>
      <c r="O1513" s="49"/>
      <c r="P1513" s="49"/>
      <c r="Q1513" s="49"/>
      <c r="R1513" s="49"/>
      <c r="S1513" s="49" t="n">
        <v>0</v>
      </c>
      <c r="T1513" s="49" t="n">
        <v>0</v>
      </c>
      <c r="U1513" s="49" t="s">
        <v>3278</v>
      </c>
    </row>
    <row r="1514" customFormat="false" ht="15" hidden="false" customHeight="false" outlineLevel="0" collapsed="false">
      <c r="B1514" s="48" t="n">
        <v>45472.7429282407</v>
      </c>
      <c r="C1514" s="4" t="n">
        <f aca="false">YEAR(B1514)</f>
        <v>2024</v>
      </c>
      <c r="D1514" s="49" t="s">
        <v>283</v>
      </c>
      <c r="E1514" s="49" t="s">
        <v>3279</v>
      </c>
      <c r="F1514" s="50" t="n">
        <v>5</v>
      </c>
      <c r="G1514" s="49" t="s">
        <v>287</v>
      </c>
      <c r="H1514" s="51" t="n">
        <v>0.0118</v>
      </c>
      <c r="I1514" s="51" t="n">
        <v>0.2688</v>
      </c>
      <c r="J1514" s="51" t="n">
        <v>0.7194</v>
      </c>
      <c r="K1514" s="49"/>
      <c r="L1514" s="49"/>
      <c r="M1514" s="49"/>
      <c r="N1514" s="49"/>
      <c r="O1514" s="49"/>
      <c r="P1514" s="49"/>
      <c r="Q1514" s="49"/>
      <c r="R1514" s="49"/>
      <c r="S1514" s="49" t="n">
        <v>0</v>
      </c>
      <c r="T1514" s="49" t="n">
        <v>0</v>
      </c>
      <c r="U1514" s="49" t="s">
        <v>3280</v>
      </c>
    </row>
    <row r="1515" customFormat="false" ht="15" hidden="false" customHeight="false" outlineLevel="0" collapsed="false">
      <c r="B1515" s="48" t="n">
        <v>45472.9078240741</v>
      </c>
      <c r="C1515" s="4" t="n">
        <f aca="false">YEAR(B1515)</f>
        <v>2024</v>
      </c>
      <c r="D1515" s="49" t="s">
        <v>283</v>
      </c>
      <c r="E1515" s="49" t="s">
        <v>3281</v>
      </c>
      <c r="F1515" s="50" t="n">
        <v>2</v>
      </c>
      <c r="G1515" s="49" t="s">
        <v>290</v>
      </c>
      <c r="H1515" s="51" t="n">
        <v>0.2011</v>
      </c>
      <c r="I1515" s="51" t="n">
        <v>0.7285</v>
      </c>
      <c r="J1515" s="51" t="n">
        <v>0.0704</v>
      </c>
      <c r="K1515" s="49"/>
      <c r="L1515" s="49"/>
      <c r="M1515" s="49"/>
      <c r="N1515" s="49"/>
      <c r="O1515" s="49"/>
      <c r="P1515" s="49"/>
      <c r="Q1515" s="49"/>
      <c r="R1515" s="49"/>
      <c r="S1515" s="49" t="n">
        <v>0</v>
      </c>
      <c r="T1515" s="49" t="n">
        <v>0</v>
      </c>
      <c r="U1515" s="49" t="s">
        <v>3282</v>
      </c>
    </row>
    <row r="1516" customFormat="false" ht="15" hidden="false" customHeight="false" outlineLevel="0" collapsed="false">
      <c r="B1516" s="48" t="n">
        <v>45472.9130092593</v>
      </c>
      <c r="C1516" s="4" t="n">
        <f aca="false">YEAR(B1516)</f>
        <v>2024</v>
      </c>
      <c r="D1516" s="49" t="s">
        <v>278</v>
      </c>
      <c r="E1516" s="49" t="s">
        <v>3283</v>
      </c>
      <c r="F1516" s="50" t="n">
        <v>7</v>
      </c>
      <c r="G1516" s="49" t="s">
        <v>287</v>
      </c>
      <c r="H1516" s="51" t="n">
        <v>0.0121</v>
      </c>
      <c r="I1516" s="51" t="n">
        <v>0.3587</v>
      </c>
      <c r="J1516" s="51" t="n">
        <v>0.6292</v>
      </c>
      <c r="K1516" s="49"/>
      <c r="L1516" s="49"/>
      <c r="M1516" s="49"/>
      <c r="N1516" s="49"/>
      <c r="O1516" s="49"/>
      <c r="P1516" s="49"/>
      <c r="Q1516" s="49"/>
      <c r="R1516" s="49" t="s">
        <v>281</v>
      </c>
      <c r="S1516" s="49" t="n">
        <v>0</v>
      </c>
      <c r="T1516" s="49" t="n">
        <v>0</v>
      </c>
      <c r="U1516" s="49" t="s">
        <v>3284</v>
      </c>
    </row>
    <row r="1517" customFormat="false" ht="15" hidden="false" customHeight="false" outlineLevel="0" collapsed="false">
      <c r="B1517" s="48" t="n">
        <v>45473.7038310185</v>
      </c>
      <c r="C1517" s="4" t="n">
        <f aca="false">YEAR(B1517)</f>
        <v>2024</v>
      </c>
      <c r="D1517" s="49" t="s">
        <v>283</v>
      </c>
      <c r="E1517" s="49" t="s">
        <v>3285</v>
      </c>
      <c r="F1517" s="50" t="n">
        <v>1</v>
      </c>
      <c r="G1517" s="49" t="s">
        <v>280</v>
      </c>
      <c r="H1517" s="51" t="n">
        <v>0.9384</v>
      </c>
      <c r="I1517" s="51" t="n">
        <v>0.0553</v>
      </c>
      <c r="J1517" s="51" t="n">
        <v>0.0063</v>
      </c>
      <c r="K1517" s="49"/>
      <c r="L1517" s="49"/>
      <c r="M1517" s="49"/>
      <c r="N1517" s="49"/>
      <c r="O1517" s="49"/>
      <c r="P1517" s="49"/>
      <c r="Q1517" s="49"/>
      <c r="R1517" s="49" t="s">
        <v>281</v>
      </c>
      <c r="S1517" s="49" t="n">
        <v>0</v>
      </c>
      <c r="T1517" s="49" t="n">
        <v>0</v>
      </c>
      <c r="U1517" s="49" t="s">
        <v>3286</v>
      </c>
    </row>
    <row r="1518" customFormat="false" ht="15" hidden="false" customHeight="false" outlineLevel="0" collapsed="false">
      <c r="B1518" s="48" t="n">
        <v>45473.8381712963</v>
      </c>
      <c r="C1518" s="4" t="n">
        <f aca="false">YEAR(B1518)</f>
        <v>2024</v>
      </c>
      <c r="D1518" s="49" t="s">
        <v>283</v>
      </c>
      <c r="E1518" s="49" t="s">
        <v>3287</v>
      </c>
      <c r="F1518" s="50" t="n">
        <v>1</v>
      </c>
      <c r="G1518" s="49" t="s">
        <v>287</v>
      </c>
      <c r="H1518" s="51" t="n">
        <v>0.0103</v>
      </c>
      <c r="I1518" s="51" t="n">
        <v>0.2942</v>
      </c>
      <c r="J1518" s="51" t="n">
        <v>0.6954</v>
      </c>
      <c r="K1518" s="49"/>
      <c r="L1518" s="49"/>
      <c r="M1518" s="49"/>
      <c r="N1518" s="49"/>
      <c r="O1518" s="49"/>
      <c r="P1518" s="49"/>
      <c r="Q1518" s="49"/>
      <c r="R1518" s="49"/>
      <c r="S1518" s="49" t="n">
        <v>0</v>
      </c>
      <c r="T1518" s="49" t="n">
        <v>0</v>
      </c>
      <c r="U1518" s="49" t="s">
        <v>3288</v>
      </c>
    </row>
    <row r="1519" customFormat="false" ht="15" hidden="false" customHeight="false" outlineLevel="0" collapsed="false">
      <c r="B1519" s="48" t="n">
        <v>45474.1693518519</v>
      </c>
      <c r="C1519" s="4" t="n">
        <f aca="false">YEAR(B1519)</f>
        <v>2024</v>
      </c>
      <c r="D1519" s="49" t="s">
        <v>283</v>
      </c>
      <c r="E1519" s="49" t="s">
        <v>3289</v>
      </c>
      <c r="F1519" s="50" t="n">
        <v>1</v>
      </c>
      <c r="G1519" s="49" t="s">
        <v>290</v>
      </c>
      <c r="H1519" s="51" t="n">
        <v>0.4078</v>
      </c>
      <c r="I1519" s="51" t="n">
        <v>0.5795</v>
      </c>
      <c r="J1519" s="51" t="n">
        <v>0.0127</v>
      </c>
      <c r="K1519" s="49"/>
      <c r="L1519" s="49"/>
      <c r="M1519" s="49"/>
      <c r="N1519" s="49"/>
      <c r="O1519" s="49"/>
      <c r="P1519" s="49"/>
      <c r="Q1519" s="49"/>
      <c r="R1519" s="49"/>
      <c r="S1519" s="49" t="n">
        <v>1</v>
      </c>
      <c r="T1519" s="49" t="n">
        <v>0</v>
      </c>
      <c r="U1519" s="49" t="s">
        <v>3290</v>
      </c>
    </row>
    <row r="1520" customFormat="false" ht="15" hidden="false" customHeight="false" outlineLevel="0" collapsed="false">
      <c r="B1520" s="48" t="n">
        <v>45474.3683449074</v>
      </c>
      <c r="C1520" s="4" t="n">
        <f aca="false">YEAR(B1520)</f>
        <v>2024</v>
      </c>
      <c r="D1520" s="49" t="s">
        <v>283</v>
      </c>
      <c r="E1520" s="49" t="s">
        <v>3291</v>
      </c>
      <c r="F1520" s="50" t="n">
        <v>1</v>
      </c>
      <c r="G1520" s="49" t="s">
        <v>287</v>
      </c>
      <c r="H1520" s="51" t="n">
        <v>0.0098</v>
      </c>
      <c r="I1520" s="51" t="n">
        <v>0.3124</v>
      </c>
      <c r="J1520" s="51" t="n">
        <v>0.6778</v>
      </c>
      <c r="K1520" s="49"/>
      <c r="L1520" s="49"/>
      <c r="M1520" s="49"/>
      <c r="N1520" s="49"/>
      <c r="O1520" s="49"/>
      <c r="P1520" s="49"/>
      <c r="Q1520" s="49"/>
      <c r="R1520" s="49"/>
      <c r="S1520" s="49" t="n">
        <v>0</v>
      </c>
      <c r="T1520" s="49" t="n">
        <v>0</v>
      </c>
      <c r="U1520" s="49" t="s">
        <v>3292</v>
      </c>
    </row>
    <row r="1521" customFormat="false" ht="15" hidden="false" customHeight="false" outlineLevel="0" collapsed="false">
      <c r="B1521" s="48" t="n">
        <v>45474.3801273148</v>
      </c>
      <c r="C1521" s="4" t="n">
        <f aca="false">YEAR(B1521)</f>
        <v>2024</v>
      </c>
      <c r="D1521" s="49" t="s">
        <v>283</v>
      </c>
      <c r="E1521" s="49" t="s">
        <v>3293</v>
      </c>
      <c r="F1521" s="50" t="n">
        <v>1</v>
      </c>
      <c r="G1521" s="49" t="s">
        <v>290</v>
      </c>
      <c r="H1521" s="51" t="n">
        <v>0.2209</v>
      </c>
      <c r="I1521" s="51" t="n">
        <v>0.6098</v>
      </c>
      <c r="J1521" s="51" t="n">
        <v>0.1693</v>
      </c>
      <c r="K1521" s="49"/>
      <c r="L1521" s="49"/>
      <c r="M1521" s="49"/>
      <c r="N1521" s="49"/>
      <c r="O1521" s="49"/>
      <c r="P1521" s="49"/>
      <c r="Q1521" s="49"/>
      <c r="R1521" s="49"/>
      <c r="S1521" s="49" t="n">
        <v>0</v>
      </c>
      <c r="T1521" s="49" t="n">
        <v>0</v>
      </c>
      <c r="U1521" s="49" t="s">
        <v>3294</v>
      </c>
    </row>
    <row r="1522" customFormat="false" ht="15" hidden="false" customHeight="false" outlineLevel="0" collapsed="false">
      <c r="B1522" s="48" t="n">
        <v>45474.5545717593</v>
      </c>
      <c r="C1522" s="4" t="n">
        <f aca="false">YEAR(B1522)</f>
        <v>2024</v>
      </c>
      <c r="D1522" s="49" t="s">
        <v>283</v>
      </c>
      <c r="E1522" s="49" t="s">
        <v>3295</v>
      </c>
      <c r="F1522" s="50" t="n">
        <v>1</v>
      </c>
      <c r="G1522" s="49" t="s">
        <v>290</v>
      </c>
      <c r="H1522" s="51" t="n">
        <v>0.0225</v>
      </c>
      <c r="I1522" s="51" t="n">
        <v>0.8766</v>
      </c>
      <c r="J1522" s="51" t="n">
        <v>0.1009</v>
      </c>
      <c r="K1522" s="49"/>
      <c r="L1522" s="49"/>
      <c r="M1522" s="49"/>
      <c r="N1522" s="49"/>
      <c r="O1522" s="49"/>
      <c r="P1522" s="49"/>
      <c r="Q1522" s="49"/>
      <c r="R1522" s="49"/>
      <c r="S1522" s="49" t="n">
        <v>1</v>
      </c>
      <c r="T1522" s="49" t="n">
        <v>0</v>
      </c>
      <c r="U1522" s="49" t="s">
        <v>3296</v>
      </c>
    </row>
    <row r="1523" customFormat="false" ht="15" hidden="false" customHeight="false" outlineLevel="0" collapsed="false">
      <c r="B1523" s="48" t="n">
        <v>45474.7676967593</v>
      </c>
      <c r="C1523" s="4" t="n">
        <f aca="false">YEAR(B1523)</f>
        <v>2024</v>
      </c>
      <c r="D1523" s="49" t="s">
        <v>283</v>
      </c>
      <c r="E1523" s="49" t="s">
        <v>3297</v>
      </c>
      <c r="F1523" s="50" t="n">
        <v>12</v>
      </c>
      <c r="G1523" s="49" t="s">
        <v>287</v>
      </c>
      <c r="H1523" s="51" t="n">
        <v>0.0082</v>
      </c>
      <c r="I1523" s="51" t="n">
        <v>0.271</v>
      </c>
      <c r="J1523" s="51" t="n">
        <v>0.7208</v>
      </c>
      <c r="K1523" s="49"/>
      <c r="L1523" s="49"/>
      <c r="M1523" s="49"/>
      <c r="N1523" s="49"/>
      <c r="O1523" s="49"/>
      <c r="P1523" s="49"/>
      <c r="Q1523" s="49"/>
      <c r="R1523" s="49"/>
      <c r="S1523" s="49" t="n">
        <v>0</v>
      </c>
      <c r="T1523" s="49" t="n">
        <v>0</v>
      </c>
      <c r="U1523" s="49" t="s">
        <v>3298</v>
      </c>
    </row>
    <row r="1524" customFormat="false" ht="15" hidden="false" customHeight="false" outlineLevel="0" collapsed="false">
      <c r="B1524" s="48" t="n">
        <v>45474.9362615741</v>
      </c>
      <c r="C1524" s="4" t="n">
        <f aca="false">YEAR(B1524)</f>
        <v>2024</v>
      </c>
      <c r="D1524" s="49" t="s">
        <v>283</v>
      </c>
      <c r="E1524" s="49" t="s">
        <v>3299</v>
      </c>
      <c r="F1524" s="50" t="n">
        <v>1</v>
      </c>
      <c r="G1524" s="49" t="s">
        <v>280</v>
      </c>
      <c r="H1524" s="51" t="n">
        <v>0.714</v>
      </c>
      <c r="I1524" s="51" t="n">
        <v>0.2752</v>
      </c>
      <c r="J1524" s="51" t="n">
        <v>0.0108</v>
      </c>
      <c r="K1524" s="49"/>
      <c r="L1524" s="49"/>
      <c r="M1524" s="49"/>
      <c r="N1524" s="49"/>
      <c r="O1524" s="49"/>
      <c r="P1524" s="49"/>
      <c r="Q1524" s="49" t="s">
        <v>281</v>
      </c>
      <c r="R1524" s="49"/>
      <c r="S1524" s="49" t="n">
        <v>1</v>
      </c>
      <c r="T1524" s="49" t="n">
        <v>0</v>
      </c>
      <c r="U1524" s="49" t="s">
        <v>3300</v>
      </c>
    </row>
    <row r="1525" customFormat="false" ht="15" hidden="false" customHeight="false" outlineLevel="0" collapsed="false">
      <c r="B1525" s="48" t="n">
        <v>45475.6631712963</v>
      </c>
      <c r="C1525" s="4" t="n">
        <f aca="false">YEAR(B1525)</f>
        <v>2024</v>
      </c>
      <c r="D1525" s="49" t="s">
        <v>283</v>
      </c>
      <c r="E1525" s="49" t="s">
        <v>3301</v>
      </c>
      <c r="F1525" s="50" t="n">
        <v>1</v>
      </c>
      <c r="G1525" s="49" t="s">
        <v>290</v>
      </c>
      <c r="H1525" s="51" t="n">
        <v>0.0132</v>
      </c>
      <c r="I1525" s="51" t="n">
        <v>0.9143</v>
      </c>
      <c r="J1525" s="51" t="n">
        <v>0.0725</v>
      </c>
      <c r="K1525" s="49"/>
      <c r="L1525" s="49"/>
      <c r="M1525" s="49"/>
      <c r="N1525" s="49"/>
      <c r="O1525" s="49"/>
      <c r="P1525" s="49"/>
      <c r="Q1525" s="49"/>
      <c r="R1525" s="49"/>
      <c r="S1525" s="49" t="n">
        <v>1</v>
      </c>
      <c r="T1525" s="49" t="n">
        <v>0</v>
      </c>
      <c r="U1525" s="49" t="s">
        <v>3302</v>
      </c>
    </row>
    <row r="1526" customFormat="false" ht="15" hidden="false" customHeight="false" outlineLevel="0" collapsed="false">
      <c r="B1526" s="48" t="n">
        <v>45476.3034490741</v>
      </c>
      <c r="C1526" s="4" t="n">
        <f aca="false">YEAR(B1526)</f>
        <v>2024</v>
      </c>
      <c r="D1526" s="49" t="s">
        <v>283</v>
      </c>
      <c r="E1526" s="49" t="s">
        <v>3303</v>
      </c>
      <c r="F1526" s="50" t="n">
        <v>18</v>
      </c>
      <c r="G1526" s="49" t="s">
        <v>287</v>
      </c>
      <c r="H1526" s="51" t="n">
        <v>0.0237</v>
      </c>
      <c r="I1526" s="51" t="n">
        <v>0.2373</v>
      </c>
      <c r="J1526" s="51" t="n">
        <v>0.739</v>
      </c>
      <c r="K1526" s="49"/>
      <c r="L1526" s="49"/>
      <c r="M1526" s="49"/>
      <c r="N1526" s="49"/>
      <c r="O1526" s="49"/>
      <c r="P1526" s="49"/>
      <c r="Q1526" s="49"/>
      <c r="R1526" s="49"/>
      <c r="S1526" s="49" t="n">
        <v>0</v>
      </c>
      <c r="T1526" s="49" t="n">
        <v>0</v>
      </c>
      <c r="U1526" s="49" t="s">
        <v>3304</v>
      </c>
    </row>
    <row r="1527" customFormat="false" ht="15" hidden="false" customHeight="false" outlineLevel="0" collapsed="false">
      <c r="B1527" s="48" t="n">
        <v>45476.5431018519</v>
      </c>
      <c r="C1527" s="4" t="n">
        <f aca="false">YEAR(B1527)</f>
        <v>2024</v>
      </c>
      <c r="D1527" s="49" t="s">
        <v>283</v>
      </c>
      <c r="E1527" s="49" t="s">
        <v>3305</v>
      </c>
      <c r="F1527" s="50" t="n">
        <v>3</v>
      </c>
      <c r="G1527" s="49" t="s">
        <v>280</v>
      </c>
      <c r="H1527" s="51" t="n">
        <v>0.6825</v>
      </c>
      <c r="I1527" s="51" t="n">
        <v>0.3028</v>
      </c>
      <c r="J1527" s="51" t="n">
        <v>0.0147</v>
      </c>
      <c r="K1527" s="49"/>
      <c r="L1527" s="49"/>
      <c r="M1527" s="49"/>
      <c r="N1527" s="49"/>
      <c r="O1527" s="49" t="s">
        <v>281</v>
      </c>
      <c r="P1527" s="49"/>
      <c r="Q1527" s="49"/>
      <c r="R1527" s="49" t="s">
        <v>281</v>
      </c>
      <c r="S1527" s="49" t="n">
        <v>0</v>
      </c>
      <c r="T1527" s="49" t="n">
        <v>0</v>
      </c>
      <c r="U1527" s="49" t="s">
        <v>3306</v>
      </c>
    </row>
    <row r="1528" customFormat="false" ht="15" hidden="false" customHeight="false" outlineLevel="0" collapsed="false">
      <c r="B1528" s="48" t="n">
        <v>45476.9083564815</v>
      </c>
      <c r="C1528" s="4" t="n">
        <f aca="false">YEAR(B1528)</f>
        <v>2024</v>
      </c>
      <c r="D1528" s="49" t="s">
        <v>283</v>
      </c>
      <c r="E1528" s="49" t="s">
        <v>3307</v>
      </c>
      <c r="F1528" s="50" t="n">
        <v>3</v>
      </c>
      <c r="G1528" s="49" t="s">
        <v>280</v>
      </c>
      <c r="H1528" s="51" t="n">
        <v>0.8793</v>
      </c>
      <c r="I1528" s="51" t="n">
        <v>0.1105</v>
      </c>
      <c r="J1528" s="51" t="n">
        <v>0.0102</v>
      </c>
      <c r="K1528" s="49"/>
      <c r="L1528" s="49"/>
      <c r="M1528" s="49"/>
      <c r="N1528" s="49"/>
      <c r="O1528" s="49"/>
      <c r="P1528" s="49"/>
      <c r="Q1528" s="49"/>
      <c r="R1528" s="49"/>
      <c r="S1528" s="49" t="n">
        <v>0</v>
      </c>
      <c r="T1528" s="49" t="n">
        <v>0</v>
      </c>
      <c r="U1528" s="49" t="s">
        <v>3308</v>
      </c>
    </row>
    <row r="1529" customFormat="false" ht="15" hidden="false" customHeight="false" outlineLevel="0" collapsed="false">
      <c r="B1529" s="48" t="n">
        <v>45477.1328356482</v>
      </c>
      <c r="C1529" s="4" t="n">
        <f aca="false">YEAR(B1529)</f>
        <v>2024</v>
      </c>
      <c r="D1529" s="49" t="s">
        <v>278</v>
      </c>
      <c r="E1529" s="49" t="s">
        <v>3309</v>
      </c>
      <c r="F1529" s="50" t="n">
        <v>1</v>
      </c>
      <c r="G1529" s="49" t="s">
        <v>280</v>
      </c>
      <c r="H1529" s="51" t="n">
        <v>0.8223</v>
      </c>
      <c r="I1529" s="51" t="n">
        <v>0.1575</v>
      </c>
      <c r="J1529" s="51" t="n">
        <v>0.0203</v>
      </c>
      <c r="K1529" s="49"/>
      <c r="L1529" s="49"/>
      <c r="M1529" s="49"/>
      <c r="N1529" s="49"/>
      <c r="O1529" s="49"/>
      <c r="P1529" s="49"/>
      <c r="Q1529" s="49"/>
      <c r="R1529" s="49" t="s">
        <v>281</v>
      </c>
      <c r="S1529" s="49" t="n">
        <v>0</v>
      </c>
      <c r="T1529" s="49" t="n">
        <v>0</v>
      </c>
      <c r="U1529" s="49" t="s">
        <v>3310</v>
      </c>
    </row>
    <row r="1530" customFormat="false" ht="15" hidden="false" customHeight="false" outlineLevel="0" collapsed="false">
      <c r="B1530" s="48" t="n">
        <v>45477.3956018519</v>
      </c>
      <c r="C1530" s="4" t="n">
        <f aca="false">YEAR(B1530)</f>
        <v>2024</v>
      </c>
      <c r="D1530" s="49" t="s">
        <v>283</v>
      </c>
      <c r="E1530" s="49" t="s">
        <v>3311</v>
      </c>
      <c r="F1530" s="50" t="n">
        <v>3</v>
      </c>
      <c r="G1530" s="49" t="s">
        <v>290</v>
      </c>
      <c r="H1530" s="51" t="n">
        <v>0.0113</v>
      </c>
      <c r="I1530" s="51" t="n">
        <v>0.506</v>
      </c>
      <c r="J1530" s="51" t="n">
        <v>0.4827</v>
      </c>
      <c r="K1530" s="49"/>
      <c r="L1530" s="49"/>
      <c r="M1530" s="49"/>
      <c r="N1530" s="49"/>
      <c r="O1530" s="49"/>
      <c r="P1530" s="49"/>
      <c r="Q1530" s="49"/>
      <c r="R1530" s="49"/>
      <c r="S1530" s="49" t="n">
        <v>0</v>
      </c>
      <c r="T1530" s="49" t="n">
        <v>0</v>
      </c>
      <c r="U1530" s="49" t="s">
        <v>3312</v>
      </c>
    </row>
    <row r="1531" customFormat="false" ht="15" hidden="false" customHeight="false" outlineLevel="0" collapsed="false">
      <c r="B1531" s="48" t="n">
        <v>45477.9369444445</v>
      </c>
      <c r="C1531" s="4" t="n">
        <f aca="false">YEAR(B1531)</f>
        <v>2024</v>
      </c>
      <c r="D1531" s="49" t="s">
        <v>283</v>
      </c>
      <c r="E1531" s="49" t="s">
        <v>3313</v>
      </c>
      <c r="F1531" s="50" t="n">
        <v>0</v>
      </c>
      <c r="G1531" s="49" t="s">
        <v>287</v>
      </c>
      <c r="H1531" s="51" t="n">
        <v>0.012</v>
      </c>
      <c r="I1531" s="51" t="n">
        <v>0.3118</v>
      </c>
      <c r="J1531" s="51" t="n">
        <v>0.6762</v>
      </c>
      <c r="K1531" s="49"/>
      <c r="L1531" s="49"/>
      <c r="M1531" s="49"/>
      <c r="N1531" s="49"/>
      <c r="O1531" s="49"/>
      <c r="P1531" s="49"/>
      <c r="Q1531" s="49"/>
      <c r="R1531" s="49"/>
      <c r="S1531" s="49" t="n">
        <v>0</v>
      </c>
      <c r="T1531" s="49" t="n">
        <v>0</v>
      </c>
      <c r="U1531" s="49" t="s">
        <v>3314</v>
      </c>
    </row>
    <row r="1532" customFormat="false" ht="15" hidden="false" customHeight="false" outlineLevel="0" collapsed="false">
      <c r="B1532" s="48" t="n">
        <v>45477.9833449074</v>
      </c>
      <c r="C1532" s="4" t="n">
        <f aca="false">YEAR(B1532)</f>
        <v>2024</v>
      </c>
      <c r="D1532" s="49" t="s">
        <v>283</v>
      </c>
      <c r="E1532" s="49" t="s">
        <v>3315</v>
      </c>
      <c r="F1532" s="50" t="n">
        <v>6</v>
      </c>
      <c r="G1532" s="49" t="s">
        <v>280</v>
      </c>
      <c r="H1532" s="51" t="n">
        <v>0.7576</v>
      </c>
      <c r="I1532" s="51" t="n">
        <v>0.2174</v>
      </c>
      <c r="J1532" s="51" t="n">
        <v>0.025</v>
      </c>
      <c r="K1532" s="49" t="s">
        <v>281</v>
      </c>
      <c r="L1532" s="49"/>
      <c r="M1532" s="49"/>
      <c r="N1532" s="49"/>
      <c r="O1532" s="49"/>
      <c r="P1532" s="49"/>
      <c r="Q1532" s="49"/>
      <c r="R1532" s="49" t="s">
        <v>281</v>
      </c>
      <c r="S1532" s="49" t="n">
        <v>0</v>
      </c>
      <c r="T1532" s="49" t="n">
        <v>0</v>
      </c>
      <c r="U1532" s="49" t="s">
        <v>3316</v>
      </c>
    </row>
    <row r="1533" customFormat="false" ht="15" hidden="false" customHeight="false" outlineLevel="0" collapsed="false">
      <c r="B1533" s="48" t="n">
        <v>45478.0466550926</v>
      </c>
      <c r="C1533" s="4" t="n">
        <f aca="false">YEAR(B1533)</f>
        <v>2024</v>
      </c>
      <c r="D1533" s="49" t="s">
        <v>283</v>
      </c>
      <c r="E1533" s="49" t="s">
        <v>3317</v>
      </c>
      <c r="F1533" s="50" t="n">
        <v>3</v>
      </c>
      <c r="G1533" s="49" t="s">
        <v>290</v>
      </c>
      <c r="H1533" s="51" t="n">
        <v>0.0289</v>
      </c>
      <c r="I1533" s="51" t="n">
        <v>0.5769</v>
      </c>
      <c r="J1533" s="51" t="n">
        <v>0.3941</v>
      </c>
      <c r="K1533" s="49"/>
      <c r="L1533" s="49"/>
      <c r="M1533" s="49"/>
      <c r="N1533" s="49"/>
      <c r="O1533" s="49"/>
      <c r="P1533" s="49"/>
      <c r="Q1533" s="49"/>
      <c r="R1533" s="49"/>
      <c r="S1533" s="49" t="n">
        <v>0</v>
      </c>
      <c r="T1533" s="49" t="n">
        <v>0</v>
      </c>
      <c r="U1533" s="49" t="s">
        <v>3318</v>
      </c>
    </row>
    <row r="1534" customFormat="false" ht="15" hidden="false" customHeight="false" outlineLevel="0" collapsed="false">
      <c r="B1534" s="48" t="n">
        <v>45478.7093981481</v>
      </c>
      <c r="C1534" s="4" t="n">
        <f aca="false">YEAR(B1534)</f>
        <v>2024</v>
      </c>
      <c r="D1534" s="49" t="s">
        <v>283</v>
      </c>
      <c r="E1534" s="49" t="s">
        <v>3319</v>
      </c>
      <c r="F1534" s="50" t="n">
        <v>2</v>
      </c>
      <c r="G1534" s="49" t="s">
        <v>280</v>
      </c>
      <c r="H1534" s="51" t="n">
        <v>0.8136</v>
      </c>
      <c r="I1534" s="51" t="n">
        <v>0.1772</v>
      </c>
      <c r="J1534" s="51" t="n">
        <v>0.0092</v>
      </c>
      <c r="K1534" s="49"/>
      <c r="L1534" s="49"/>
      <c r="M1534" s="49"/>
      <c r="N1534" s="49"/>
      <c r="O1534" s="49"/>
      <c r="P1534" s="49"/>
      <c r="Q1534" s="49"/>
      <c r="R1534" s="49"/>
      <c r="S1534" s="49" t="n">
        <v>0</v>
      </c>
      <c r="T1534" s="49" t="n">
        <v>0</v>
      </c>
      <c r="U1534" s="49" t="s">
        <v>3320</v>
      </c>
    </row>
    <row r="1535" customFormat="false" ht="15" hidden="false" customHeight="false" outlineLevel="0" collapsed="false">
      <c r="B1535" s="48" t="n">
        <v>45478.7776967593</v>
      </c>
      <c r="C1535" s="4" t="n">
        <f aca="false">YEAR(B1535)</f>
        <v>2024</v>
      </c>
      <c r="D1535" s="49" t="s">
        <v>283</v>
      </c>
      <c r="E1535" s="49" t="s">
        <v>3321</v>
      </c>
      <c r="F1535" s="50" t="n">
        <v>3</v>
      </c>
      <c r="G1535" s="49" t="s">
        <v>280</v>
      </c>
      <c r="H1535" s="51" t="n">
        <v>0.8301</v>
      </c>
      <c r="I1535" s="51" t="n">
        <v>0.1604</v>
      </c>
      <c r="J1535" s="51" t="n">
        <v>0.0096</v>
      </c>
      <c r="K1535" s="49"/>
      <c r="L1535" s="49"/>
      <c r="M1535" s="49"/>
      <c r="N1535" s="49"/>
      <c r="O1535" s="49"/>
      <c r="P1535" s="49"/>
      <c r="Q1535" s="49"/>
      <c r="R1535" s="49"/>
      <c r="S1535" s="49" t="n">
        <v>0</v>
      </c>
      <c r="T1535" s="49" t="n">
        <v>0</v>
      </c>
      <c r="U1535" s="49" t="s">
        <v>3322</v>
      </c>
    </row>
    <row r="1536" customFormat="false" ht="15" hidden="false" customHeight="false" outlineLevel="0" collapsed="false">
      <c r="B1536" s="48" t="n">
        <v>45479.8718518519</v>
      </c>
      <c r="C1536" s="4" t="n">
        <f aca="false">YEAR(B1536)</f>
        <v>2024</v>
      </c>
      <c r="D1536" s="49" t="s">
        <v>283</v>
      </c>
      <c r="E1536" s="49" t="s">
        <v>3323</v>
      </c>
      <c r="F1536" s="50" t="n">
        <v>1</v>
      </c>
      <c r="G1536" s="49" t="s">
        <v>290</v>
      </c>
      <c r="H1536" s="51" t="n">
        <v>0.0547</v>
      </c>
      <c r="I1536" s="51" t="n">
        <v>0.8901</v>
      </c>
      <c r="J1536" s="51" t="n">
        <v>0.0552</v>
      </c>
      <c r="K1536" s="49"/>
      <c r="L1536" s="49"/>
      <c r="M1536" s="49"/>
      <c r="N1536" s="49"/>
      <c r="O1536" s="49"/>
      <c r="P1536" s="49"/>
      <c r="Q1536" s="49"/>
      <c r="R1536" s="49"/>
      <c r="S1536" s="49" t="n">
        <v>1</v>
      </c>
      <c r="T1536" s="49" t="n">
        <v>0</v>
      </c>
      <c r="U1536" s="49" t="s">
        <v>3324</v>
      </c>
    </row>
    <row r="1537" customFormat="false" ht="15" hidden="false" customHeight="false" outlineLevel="0" collapsed="false">
      <c r="B1537" s="48" t="n">
        <v>45480.7164467593</v>
      </c>
      <c r="C1537" s="4" t="n">
        <f aca="false">YEAR(B1537)</f>
        <v>2024</v>
      </c>
      <c r="D1537" s="49" t="s">
        <v>283</v>
      </c>
      <c r="E1537" s="49" t="s">
        <v>3325</v>
      </c>
      <c r="F1537" s="50" t="n">
        <v>1</v>
      </c>
      <c r="G1537" s="49" t="s">
        <v>290</v>
      </c>
      <c r="H1537" s="51" t="n">
        <v>0.1259</v>
      </c>
      <c r="I1537" s="51" t="n">
        <v>0.8344</v>
      </c>
      <c r="J1537" s="51" t="n">
        <v>0.0397</v>
      </c>
      <c r="K1537" s="49"/>
      <c r="L1537" s="49"/>
      <c r="M1537" s="49"/>
      <c r="N1537" s="49"/>
      <c r="O1537" s="49"/>
      <c r="P1537" s="49"/>
      <c r="Q1537" s="49"/>
      <c r="R1537" s="49" t="s">
        <v>281</v>
      </c>
      <c r="S1537" s="49" t="n">
        <v>0</v>
      </c>
      <c r="T1537" s="49" t="n">
        <v>0</v>
      </c>
      <c r="U1537" s="49" t="s">
        <v>3326</v>
      </c>
    </row>
    <row r="1538" customFormat="false" ht="15" hidden="false" customHeight="false" outlineLevel="0" collapsed="false">
      <c r="B1538" s="48" t="n">
        <v>45481.5326967593</v>
      </c>
      <c r="C1538" s="4" t="n">
        <f aca="false">YEAR(B1538)</f>
        <v>2024</v>
      </c>
      <c r="D1538" s="49" t="s">
        <v>283</v>
      </c>
      <c r="E1538" s="49" t="s">
        <v>3327</v>
      </c>
      <c r="F1538" s="50" t="n">
        <v>1</v>
      </c>
      <c r="G1538" s="49" t="s">
        <v>287</v>
      </c>
      <c r="H1538" s="51" t="n">
        <v>0.0033</v>
      </c>
      <c r="I1538" s="51" t="n">
        <v>0.3522</v>
      </c>
      <c r="J1538" s="51" t="n">
        <v>0.6445</v>
      </c>
      <c r="K1538" s="49"/>
      <c r="L1538" s="49"/>
      <c r="M1538" s="49"/>
      <c r="N1538" s="49"/>
      <c r="O1538" s="49"/>
      <c r="P1538" s="49"/>
      <c r="Q1538" s="49"/>
      <c r="R1538" s="49"/>
      <c r="S1538" s="49" t="n">
        <v>0</v>
      </c>
      <c r="T1538" s="49" t="n">
        <v>0</v>
      </c>
      <c r="U1538" s="49" t="s">
        <v>3328</v>
      </c>
    </row>
    <row r="1539" customFormat="false" ht="15" hidden="false" customHeight="false" outlineLevel="0" collapsed="false">
      <c r="B1539" s="48" t="n">
        <v>45482.5869212963</v>
      </c>
      <c r="C1539" s="4" t="n">
        <f aca="false">YEAR(B1539)</f>
        <v>2024</v>
      </c>
      <c r="D1539" s="49" t="s">
        <v>283</v>
      </c>
      <c r="E1539" s="49" t="s">
        <v>3329</v>
      </c>
      <c r="F1539" s="50" t="n">
        <v>1</v>
      </c>
      <c r="G1539" s="49" t="s">
        <v>290</v>
      </c>
      <c r="H1539" s="51" t="n">
        <v>0.0374</v>
      </c>
      <c r="I1539" s="51" t="n">
        <v>0.8852</v>
      </c>
      <c r="J1539" s="51" t="n">
        <v>0.0774</v>
      </c>
      <c r="K1539" s="49"/>
      <c r="L1539" s="49"/>
      <c r="M1539" s="49"/>
      <c r="N1539" s="49"/>
      <c r="O1539" s="49"/>
      <c r="P1539" s="49"/>
      <c r="Q1539" s="49"/>
      <c r="R1539" s="49"/>
      <c r="S1539" s="49" t="n">
        <v>1</v>
      </c>
      <c r="T1539" s="49" t="n">
        <v>0</v>
      </c>
      <c r="U1539" s="49" t="s">
        <v>3330</v>
      </c>
    </row>
    <row r="1540" customFormat="false" ht="15" hidden="false" customHeight="false" outlineLevel="0" collapsed="false">
      <c r="B1540" s="48" t="n">
        <v>45482.7674074074</v>
      </c>
      <c r="C1540" s="4" t="n">
        <f aca="false">YEAR(B1540)</f>
        <v>2024</v>
      </c>
      <c r="D1540" s="49" t="s">
        <v>283</v>
      </c>
      <c r="E1540" s="49" t="s">
        <v>3331</v>
      </c>
      <c r="F1540" s="50" t="n">
        <v>1</v>
      </c>
      <c r="G1540" s="49" t="s">
        <v>290</v>
      </c>
      <c r="H1540" s="51" t="n">
        <v>0.3247</v>
      </c>
      <c r="I1540" s="51" t="n">
        <v>0.63</v>
      </c>
      <c r="J1540" s="51" t="n">
        <v>0.0453</v>
      </c>
      <c r="K1540" s="49"/>
      <c r="L1540" s="49"/>
      <c r="M1540" s="49"/>
      <c r="N1540" s="49"/>
      <c r="O1540" s="49" t="s">
        <v>281</v>
      </c>
      <c r="P1540" s="49"/>
      <c r="Q1540" s="49"/>
      <c r="R1540" s="49"/>
      <c r="S1540" s="49" t="n">
        <v>0</v>
      </c>
      <c r="T1540" s="49" t="n">
        <v>0</v>
      </c>
      <c r="U1540" s="49" t="s">
        <v>3332</v>
      </c>
    </row>
    <row r="1541" customFormat="false" ht="15" hidden="false" customHeight="false" outlineLevel="0" collapsed="false">
      <c r="B1541" s="48" t="n">
        <v>45483.3328356482</v>
      </c>
      <c r="C1541" s="4" t="n">
        <f aca="false">YEAR(B1541)</f>
        <v>2024</v>
      </c>
      <c r="D1541" s="49" t="s">
        <v>283</v>
      </c>
      <c r="E1541" s="49" t="s">
        <v>3333</v>
      </c>
      <c r="F1541" s="50" t="n">
        <v>31</v>
      </c>
      <c r="G1541" s="49" t="s">
        <v>287</v>
      </c>
      <c r="H1541" s="51" t="n">
        <v>0.0084</v>
      </c>
      <c r="I1541" s="51" t="n">
        <v>0.3844</v>
      </c>
      <c r="J1541" s="51" t="n">
        <v>0.6072</v>
      </c>
      <c r="K1541" s="49"/>
      <c r="L1541" s="49"/>
      <c r="M1541" s="49"/>
      <c r="N1541" s="49"/>
      <c r="O1541" s="49"/>
      <c r="P1541" s="49"/>
      <c r="Q1541" s="49"/>
      <c r="R1541" s="49"/>
      <c r="S1541" s="49" t="n">
        <v>0</v>
      </c>
      <c r="T1541" s="49" t="n">
        <v>0</v>
      </c>
      <c r="U1541" s="49" t="s">
        <v>3334</v>
      </c>
    </row>
    <row r="1542" customFormat="false" ht="15" hidden="false" customHeight="false" outlineLevel="0" collapsed="false">
      <c r="B1542" s="48" t="n">
        <v>45483.7457638889</v>
      </c>
      <c r="C1542" s="4" t="n">
        <f aca="false">YEAR(B1542)</f>
        <v>2024</v>
      </c>
      <c r="D1542" s="49" t="s">
        <v>278</v>
      </c>
      <c r="E1542" s="49" t="s">
        <v>3335</v>
      </c>
      <c r="F1542" s="50" t="n">
        <v>0</v>
      </c>
      <c r="G1542" s="49" t="s">
        <v>280</v>
      </c>
      <c r="H1542" s="51" t="n">
        <v>0.5136</v>
      </c>
      <c r="I1542" s="51" t="n">
        <v>0.4559</v>
      </c>
      <c r="J1542" s="51" t="n">
        <v>0.0306</v>
      </c>
      <c r="K1542" s="49"/>
      <c r="L1542" s="49"/>
      <c r="M1542" s="49"/>
      <c r="N1542" s="49"/>
      <c r="O1542" s="49"/>
      <c r="P1542" s="49"/>
      <c r="Q1542" s="49"/>
      <c r="R1542" s="49" t="s">
        <v>281</v>
      </c>
      <c r="S1542" s="49" t="n">
        <v>0</v>
      </c>
      <c r="T1542" s="49" t="n">
        <v>0</v>
      </c>
      <c r="U1542" s="49" t="s">
        <v>3336</v>
      </c>
    </row>
    <row r="1543" customFormat="false" ht="15" hidden="false" customHeight="false" outlineLevel="0" collapsed="false">
      <c r="B1543" s="48" t="n">
        <v>45484.4683101852</v>
      </c>
      <c r="C1543" s="4" t="n">
        <f aca="false">YEAR(B1543)</f>
        <v>2024</v>
      </c>
      <c r="D1543" s="49" t="s">
        <v>278</v>
      </c>
      <c r="E1543" s="49" t="s">
        <v>3337</v>
      </c>
      <c r="F1543" s="50" t="n">
        <v>34</v>
      </c>
      <c r="G1543" s="49" t="s">
        <v>280</v>
      </c>
      <c r="H1543" s="51" t="n">
        <v>0.756</v>
      </c>
      <c r="I1543" s="51" t="n">
        <v>0.1876</v>
      </c>
      <c r="J1543" s="51" t="n">
        <v>0.0563</v>
      </c>
      <c r="K1543" s="49"/>
      <c r="L1543" s="49"/>
      <c r="M1543" s="49"/>
      <c r="N1543" s="49"/>
      <c r="O1543" s="49"/>
      <c r="P1543" s="49"/>
      <c r="Q1543" s="49" t="s">
        <v>281</v>
      </c>
      <c r="R1543" s="49"/>
      <c r="S1543" s="49" t="n">
        <v>0</v>
      </c>
      <c r="T1543" s="49" t="n">
        <v>0</v>
      </c>
      <c r="U1543" s="49" t="s">
        <v>3338</v>
      </c>
    </row>
    <row r="1544" customFormat="false" ht="15" hidden="false" customHeight="false" outlineLevel="0" collapsed="false">
      <c r="B1544" s="48" t="n">
        <v>45484.9483564815</v>
      </c>
      <c r="C1544" s="4" t="n">
        <f aca="false">YEAR(B1544)</f>
        <v>2024</v>
      </c>
      <c r="D1544" s="49" t="s">
        <v>283</v>
      </c>
      <c r="E1544" s="49" t="s">
        <v>3339</v>
      </c>
      <c r="F1544" s="50" t="n">
        <v>1</v>
      </c>
      <c r="G1544" s="49" t="s">
        <v>287</v>
      </c>
      <c r="H1544" s="51" t="n">
        <v>0.0042</v>
      </c>
      <c r="I1544" s="51" t="n">
        <v>0.0854</v>
      </c>
      <c r="J1544" s="51" t="n">
        <v>0.9104</v>
      </c>
      <c r="K1544" s="49"/>
      <c r="L1544" s="49"/>
      <c r="M1544" s="49"/>
      <c r="N1544" s="49"/>
      <c r="O1544" s="49"/>
      <c r="P1544" s="49"/>
      <c r="Q1544" s="49"/>
      <c r="R1544" s="49"/>
      <c r="S1544" s="49" t="n">
        <v>0</v>
      </c>
      <c r="T1544" s="49" t="n">
        <v>0</v>
      </c>
      <c r="U1544" s="49" t="s">
        <v>3340</v>
      </c>
    </row>
    <row r="1545" customFormat="false" ht="15" hidden="false" customHeight="false" outlineLevel="0" collapsed="false">
      <c r="B1545" s="48" t="n">
        <v>45485.4058449074</v>
      </c>
      <c r="C1545" s="4" t="n">
        <f aca="false">YEAR(B1545)</f>
        <v>2024</v>
      </c>
      <c r="D1545" s="49" t="s">
        <v>283</v>
      </c>
      <c r="E1545" s="49" t="s">
        <v>3341</v>
      </c>
      <c r="F1545" s="50" t="n">
        <v>1</v>
      </c>
      <c r="G1545" s="49" t="s">
        <v>280</v>
      </c>
      <c r="H1545" s="51" t="n">
        <v>0.6874</v>
      </c>
      <c r="I1545" s="51" t="n">
        <v>0.2855</v>
      </c>
      <c r="J1545" s="51" t="n">
        <v>0.027</v>
      </c>
      <c r="K1545" s="49"/>
      <c r="L1545" s="49"/>
      <c r="M1545" s="49"/>
      <c r="N1545" s="49"/>
      <c r="O1545" s="49"/>
      <c r="P1545" s="49"/>
      <c r="Q1545" s="49"/>
      <c r="R1545" s="49"/>
      <c r="S1545" s="49" t="n">
        <v>0</v>
      </c>
      <c r="T1545" s="49" t="n">
        <v>0</v>
      </c>
      <c r="U1545" s="49" t="s">
        <v>3342</v>
      </c>
    </row>
    <row r="1546" customFormat="false" ht="15" hidden="false" customHeight="false" outlineLevel="0" collapsed="false">
      <c r="B1546" s="48" t="n">
        <v>45485.6383680556</v>
      </c>
      <c r="C1546" s="4" t="n">
        <f aca="false">YEAR(B1546)</f>
        <v>2024</v>
      </c>
      <c r="D1546" s="49" t="s">
        <v>283</v>
      </c>
      <c r="E1546" s="49" t="s">
        <v>3343</v>
      </c>
      <c r="F1546" s="50" t="n">
        <v>5</v>
      </c>
      <c r="G1546" s="49" t="s">
        <v>287</v>
      </c>
      <c r="H1546" s="51" t="n">
        <v>0.0087</v>
      </c>
      <c r="I1546" s="51" t="n">
        <v>0.0316</v>
      </c>
      <c r="J1546" s="51" t="n">
        <v>0.9597</v>
      </c>
      <c r="K1546" s="49"/>
      <c r="L1546" s="49"/>
      <c r="M1546" s="49"/>
      <c r="N1546" s="49"/>
      <c r="O1546" s="49"/>
      <c r="P1546" s="49"/>
      <c r="Q1546" s="49"/>
      <c r="R1546" s="49"/>
      <c r="S1546" s="49" t="n">
        <v>0</v>
      </c>
      <c r="T1546" s="49" t="n">
        <v>0</v>
      </c>
      <c r="U1546" s="49" t="s">
        <v>3344</v>
      </c>
    </row>
    <row r="1547" customFormat="false" ht="15" hidden="false" customHeight="false" outlineLevel="0" collapsed="false">
      <c r="B1547" s="48" t="n">
        <v>45486.8636342593</v>
      </c>
      <c r="C1547" s="4" t="n">
        <f aca="false">YEAR(B1547)</f>
        <v>2024</v>
      </c>
      <c r="D1547" s="49" t="s">
        <v>283</v>
      </c>
      <c r="E1547" s="49" t="s">
        <v>3345</v>
      </c>
      <c r="F1547" s="50" t="n">
        <v>6</v>
      </c>
      <c r="G1547" s="49" t="s">
        <v>287</v>
      </c>
      <c r="H1547" s="51" t="n">
        <v>0.0449</v>
      </c>
      <c r="I1547" s="51" t="n">
        <v>0.4605</v>
      </c>
      <c r="J1547" s="51" t="n">
        <v>0.4946</v>
      </c>
      <c r="K1547" s="49"/>
      <c r="L1547" s="49"/>
      <c r="M1547" s="49"/>
      <c r="N1547" s="49"/>
      <c r="O1547" s="49"/>
      <c r="P1547" s="49"/>
      <c r="Q1547" s="49"/>
      <c r="R1547" s="49"/>
      <c r="S1547" s="49" t="n">
        <v>0</v>
      </c>
      <c r="T1547" s="49" t="n">
        <v>0</v>
      </c>
      <c r="U1547" s="49" t="s">
        <v>3346</v>
      </c>
    </row>
    <row r="1548" customFormat="false" ht="15" hidden="false" customHeight="false" outlineLevel="0" collapsed="false">
      <c r="B1548" s="48" t="n">
        <v>45486.9679861111</v>
      </c>
      <c r="C1548" s="4" t="n">
        <f aca="false">YEAR(B1548)</f>
        <v>2024</v>
      </c>
      <c r="D1548" s="49" t="s">
        <v>283</v>
      </c>
      <c r="E1548" s="49" t="s">
        <v>3347</v>
      </c>
      <c r="F1548" s="50" t="n">
        <v>1</v>
      </c>
      <c r="G1548" s="49" t="s">
        <v>280</v>
      </c>
      <c r="H1548" s="51" t="n">
        <v>0.7583</v>
      </c>
      <c r="I1548" s="51" t="n">
        <v>0.2293</v>
      </c>
      <c r="J1548" s="51" t="n">
        <v>0.0124</v>
      </c>
      <c r="K1548" s="49"/>
      <c r="L1548" s="49"/>
      <c r="M1548" s="49"/>
      <c r="N1548" s="49"/>
      <c r="O1548" s="49"/>
      <c r="P1548" s="49"/>
      <c r="Q1548" s="49"/>
      <c r="R1548" s="49"/>
      <c r="S1548" s="49" t="n">
        <v>1</v>
      </c>
      <c r="T1548" s="49" t="n">
        <v>0</v>
      </c>
      <c r="U1548" s="49" t="s">
        <v>3348</v>
      </c>
    </row>
    <row r="1549" customFormat="false" ht="15" hidden="false" customHeight="false" outlineLevel="0" collapsed="false">
      <c r="B1549" s="48" t="n">
        <v>45487.6020486111</v>
      </c>
      <c r="C1549" s="4" t="n">
        <f aca="false">YEAR(B1549)</f>
        <v>2024</v>
      </c>
      <c r="D1549" s="49" t="s">
        <v>278</v>
      </c>
      <c r="E1549" s="49" t="s">
        <v>3349</v>
      </c>
      <c r="F1549" s="50" t="n">
        <v>2</v>
      </c>
      <c r="G1549" s="49" t="s">
        <v>280</v>
      </c>
      <c r="H1549" s="51" t="n">
        <v>0.5903</v>
      </c>
      <c r="I1549" s="51" t="n">
        <v>0.3921</v>
      </c>
      <c r="J1549" s="51" t="n">
        <v>0.0176</v>
      </c>
      <c r="K1549" s="49"/>
      <c r="L1549" s="49"/>
      <c r="M1549" s="49"/>
      <c r="N1549" s="49"/>
      <c r="O1549" s="49"/>
      <c r="P1549" s="49"/>
      <c r="Q1549" s="49"/>
      <c r="R1549" s="49"/>
      <c r="S1549" s="49" t="n">
        <v>0</v>
      </c>
      <c r="T1549" s="49" t="n">
        <v>0</v>
      </c>
      <c r="U1549" s="49" t="s">
        <v>3350</v>
      </c>
    </row>
    <row r="1550" customFormat="false" ht="15" hidden="false" customHeight="false" outlineLevel="0" collapsed="false">
      <c r="B1550" s="48" t="n">
        <v>45487.7177546296</v>
      </c>
      <c r="C1550" s="4" t="n">
        <f aca="false">YEAR(B1550)</f>
        <v>2024</v>
      </c>
      <c r="D1550" s="49" t="s">
        <v>278</v>
      </c>
      <c r="E1550" s="49" t="s">
        <v>3351</v>
      </c>
      <c r="F1550" s="50" t="n">
        <v>1</v>
      </c>
      <c r="G1550" s="49" t="s">
        <v>280</v>
      </c>
      <c r="H1550" s="51" t="n">
        <v>0.9513</v>
      </c>
      <c r="I1550" s="51" t="n">
        <v>0.0435</v>
      </c>
      <c r="J1550" s="51" t="n">
        <v>0.0052</v>
      </c>
      <c r="K1550" s="49"/>
      <c r="L1550" s="49"/>
      <c r="M1550" s="49"/>
      <c r="N1550" s="49"/>
      <c r="O1550" s="49"/>
      <c r="P1550" s="49"/>
      <c r="Q1550" s="49"/>
      <c r="R1550" s="49" t="s">
        <v>281</v>
      </c>
      <c r="S1550" s="49" t="n">
        <v>1</v>
      </c>
      <c r="T1550" s="49" t="n">
        <v>0</v>
      </c>
      <c r="U1550" s="49" t="s">
        <v>3352</v>
      </c>
    </row>
    <row r="1551" customFormat="false" ht="15" hidden="false" customHeight="false" outlineLevel="0" collapsed="false">
      <c r="B1551" s="48" t="n">
        <v>45488.3589583333</v>
      </c>
      <c r="C1551" s="4" t="n">
        <f aca="false">YEAR(B1551)</f>
        <v>2024</v>
      </c>
      <c r="D1551" s="49" t="s">
        <v>283</v>
      </c>
      <c r="E1551" s="49" t="s">
        <v>3353</v>
      </c>
      <c r="F1551" s="50" t="n">
        <v>1</v>
      </c>
      <c r="G1551" s="49" t="s">
        <v>290</v>
      </c>
      <c r="H1551" s="51" t="n">
        <v>0.0206</v>
      </c>
      <c r="I1551" s="51" t="n">
        <v>0.8904</v>
      </c>
      <c r="J1551" s="51" t="n">
        <v>0.089</v>
      </c>
      <c r="K1551" s="49"/>
      <c r="L1551" s="49"/>
      <c r="M1551" s="49"/>
      <c r="N1551" s="49"/>
      <c r="O1551" s="49"/>
      <c r="P1551" s="49"/>
      <c r="Q1551" s="49"/>
      <c r="R1551" s="49"/>
      <c r="S1551" s="49" t="n">
        <v>0</v>
      </c>
      <c r="T1551" s="49" t="n">
        <v>0</v>
      </c>
      <c r="U1551" s="49" t="s">
        <v>3354</v>
      </c>
    </row>
    <row r="1552" customFormat="false" ht="15" hidden="false" customHeight="false" outlineLevel="0" collapsed="false">
      <c r="B1552" s="48" t="n">
        <v>45488.7088078704</v>
      </c>
      <c r="C1552" s="4" t="n">
        <f aca="false">YEAR(B1552)</f>
        <v>2024</v>
      </c>
      <c r="D1552" s="49" t="s">
        <v>283</v>
      </c>
      <c r="E1552" s="49" t="s">
        <v>3355</v>
      </c>
      <c r="F1552" s="50" t="n">
        <v>5</v>
      </c>
      <c r="G1552" s="49" t="s">
        <v>287</v>
      </c>
      <c r="H1552" s="51" t="n">
        <v>0.0019</v>
      </c>
      <c r="I1552" s="51" t="n">
        <v>0.0809</v>
      </c>
      <c r="J1552" s="51" t="n">
        <v>0.9172</v>
      </c>
      <c r="K1552" s="49"/>
      <c r="L1552" s="49"/>
      <c r="M1552" s="49"/>
      <c r="N1552" s="49"/>
      <c r="O1552" s="49"/>
      <c r="P1552" s="49"/>
      <c r="Q1552" s="49"/>
      <c r="R1552" s="49"/>
      <c r="S1552" s="49" t="n">
        <v>0</v>
      </c>
      <c r="T1552" s="49" t="n">
        <v>0</v>
      </c>
      <c r="U1552" s="49" t="s">
        <v>3356</v>
      </c>
    </row>
    <row r="1553" customFormat="false" ht="15" hidden="false" customHeight="false" outlineLevel="0" collapsed="false">
      <c r="B1553" s="48" t="n">
        <v>45488.7614583333</v>
      </c>
      <c r="C1553" s="4" t="n">
        <f aca="false">YEAR(B1553)</f>
        <v>2024</v>
      </c>
      <c r="D1553" s="49" t="s">
        <v>283</v>
      </c>
      <c r="E1553" s="49" t="s">
        <v>3357</v>
      </c>
      <c r="F1553" s="50" t="n">
        <v>1</v>
      </c>
      <c r="G1553" s="49" t="s">
        <v>290</v>
      </c>
      <c r="H1553" s="51" t="n">
        <v>0.0419</v>
      </c>
      <c r="I1553" s="51" t="n">
        <v>0.8903</v>
      </c>
      <c r="J1553" s="51" t="n">
        <v>0.0678</v>
      </c>
      <c r="K1553" s="49"/>
      <c r="L1553" s="49"/>
      <c r="M1553" s="49"/>
      <c r="N1553" s="49"/>
      <c r="O1553" s="49"/>
      <c r="P1553" s="49"/>
      <c r="Q1553" s="49"/>
      <c r="R1553" s="49"/>
      <c r="S1553" s="49" t="n">
        <v>0</v>
      </c>
      <c r="T1553" s="49" t="n">
        <v>0</v>
      </c>
      <c r="U1553" s="49" t="s">
        <v>3358</v>
      </c>
    </row>
    <row r="1554" customFormat="false" ht="15" hidden="false" customHeight="false" outlineLevel="0" collapsed="false">
      <c r="B1554" s="48" t="n">
        <v>45488.9821296296</v>
      </c>
      <c r="C1554" s="4" t="n">
        <f aca="false">YEAR(B1554)</f>
        <v>2024</v>
      </c>
      <c r="D1554" s="49" t="s">
        <v>283</v>
      </c>
      <c r="E1554" s="49" t="s">
        <v>3359</v>
      </c>
      <c r="F1554" s="50" t="n">
        <v>1</v>
      </c>
      <c r="G1554" s="49" t="s">
        <v>287</v>
      </c>
      <c r="H1554" s="51" t="n">
        <v>0.0055</v>
      </c>
      <c r="I1554" s="51" t="n">
        <v>0.297</v>
      </c>
      <c r="J1554" s="51" t="n">
        <v>0.6975</v>
      </c>
      <c r="K1554" s="49"/>
      <c r="L1554" s="49"/>
      <c r="M1554" s="49"/>
      <c r="N1554" s="49"/>
      <c r="O1554" s="49"/>
      <c r="P1554" s="49"/>
      <c r="Q1554" s="49"/>
      <c r="R1554" s="49"/>
      <c r="S1554" s="49" t="n">
        <v>0</v>
      </c>
      <c r="T1554" s="49" t="n">
        <v>0</v>
      </c>
      <c r="U1554" s="49" t="s">
        <v>3360</v>
      </c>
    </row>
    <row r="1555" customFormat="false" ht="15" hidden="false" customHeight="false" outlineLevel="0" collapsed="false">
      <c r="B1555" s="48" t="n">
        <v>45490.2992939815</v>
      </c>
      <c r="C1555" s="4" t="n">
        <f aca="false">YEAR(B1555)</f>
        <v>2024</v>
      </c>
      <c r="D1555" s="49" t="s">
        <v>283</v>
      </c>
      <c r="E1555" s="49" t="s">
        <v>3361</v>
      </c>
      <c r="F1555" s="50" t="n">
        <v>1</v>
      </c>
      <c r="G1555" s="49" t="s">
        <v>290</v>
      </c>
      <c r="H1555" s="51" t="n">
        <v>0.0166</v>
      </c>
      <c r="I1555" s="51" t="n">
        <v>0.9277</v>
      </c>
      <c r="J1555" s="51" t="n">
        <v>0.0557</v>
      </c>
      <c r="K1555" s="49"/>
      <c r="L1555" s="49"/>
      <c r="M1555" s="49"/>
      <c r="N1555" s="49"/>
      <c r="O1555" s="49"/>
      <c r="P1555" s="49"/>
      <c r="Q1555" s="49"/>
      <c r="R1555" s="49"/>
      <c r="S1555" s="49" t="n">
        <v>1</v>
      </c>
      <c r="T1555" s="49" t="n">
        <v>0</v>
      </c>
      <c r="U1555" s="49" t="s">
        <v>3362</v>
      </c>
    </row>
    <row r="1556" customFormat="false" ht="15" hidden="false" customHeight="false" outlineLevel="0" collapsed="false">
      <c r="B1556" s="48" t="n">
        <v>45490.3030092593</v>
      </c>
      <c r="C1556" s="4" t="n">
        <f aca="false">YEAR(B1556)</f>
        <v>2024</v>
      </c>
      <c r="D1556" s="49" t="s">
        <v>283</v>
      </c>
      <c r="E1556" s="49" t="s">
        <v>3363</v>
      </c>
      <c r="F1556" s="50" t="n">
        <v>6</v>
      </c>
      <c r="G1556" s="49" t="s">
        <v>287</v>
      </c>
      <c r="H1556" s="51" t="n">
        <v>0.0566</v>
      </c>
      <c r="I1556" s="51" t="n">
        <v>0.368</v>
      </c>
      <c r="J1556" s="51" t="n">
        <v>0.5754</v>
      </c>
      <c r="K1556" s="49"/>
      <c r="L1556" s="49"/>
      <c r="M1556" s="49"/>
      <c r="N1556" s="49"/>
      <c r="O1556" s="49"/>
      <c r="P1556" s="49"/>
      <c r="Q1556" s="49"/>
      <c r="R1556" s="49"/>
      <c r="S1556" s="49" t="n">
        <v>0</v>
      </c>
      <c r="T1556" s="49" t="n">
        <v>0</v>
      </c>
      <c r="U1556" s="49" t="s">
        <v>3364</v>
      </c>
    </row>
    <row r="1557" customFormat="false" ht="15" hidden="false" customHeight="false" outlineLevel="0" collapsed="false">
      <c r="B1557" s="48" t="n">
        <v>45490.8879861111</v>
      </c>
      <c r="C1557" s="4" t="n">
        <f aca="false">YEAR(B1557)</f>
        <v>2024</v>
      </c>
      <c r="D1557" s="49" t="s">
        <v>283</v>
      </c>
      <c r="E1557" s="49" t="s">
        <v>3365</v>
      </c>
      <c r="F1557" s="50" t="n">
        <v>1</v>
      </c>
      <c r="G1557" s="49" t="s">
        <v>287</v>
      </c>
      <c r="H1557" s="51" t="n">
        <v>0.0052</v>
      </c>
      <c r="I1557" s="51" t="n">
        <v>0.114</v>
      </c>
      <c r="J1557" s="51" t="n">
        <v>0.8808</v>
      </c>
      <c r="K1557" s="49"/>
      <c r="L1557" s="49"/>
      <c r="M1557" s="49"/>
      <c r="N1557" s="49"/>
      <c r="O1557" s="49"/>
      <c r="P1557" s="49"/>
      <c r="Q1557" s="49"/>
      <c r="R1557" s="49"/>
      <c r="S1557" s="49" t="n">
        <v>0</v>
      </c>
      <c r="T1557" s="49" t="n">
        <v>0</v>
      </c>
      <c r="U1557" s="49" t="s">
        <v>3366</v>
      </c>
    </row>
    <row r="1558" customFormat="false" ht="15" hidden="false" customHeight="false" outlineLevel="0" collapsed="false">
      <c r="B1558" s="48" t="n">
        <v>45491.1100694445</v>
      </c>
      <c r="C1558" s="4" t="n">
        <f aca="false">YEAR(B1558)</f>
        <v>2024</v>
      </c>
      <c r="D1558" s="49" t="s">
        <v>283</v>
      </c>
      <c r="E1558" s="49" t="s">
        <v>3367</v>
      </c>
      <c r="F1558" s="50" t="n">
        <v>17</v>
      </c>
      <c r="G1558" s="49" t="s">
        <v>290</v>
      </c>
      <c r="H1558" s="51" t="n">
        <v>0.1479</v>
      </c>
      <c r="I1558" s="51" t="n">
        <v>0.6674</v>
      </c>
      <c r="J1558" s="51" t="n">
        <v>0.1846</v>
      </c>
      <c r="K1558" s="49"/>
      <c r="L1558" s="49"/>
      <c r="M1558" s="49"/>
      <c r="N1558" s="49"/>
      <c r="O1558" s="49"/>
      <c r="P1558" s="49"/>
      <c r="Q1558" s="49"/>
      <c r="R1558" s="49"/>
      <c r="S1558" s="49" t="n">
        <v>0</v>
      </c>
      <c r="T1558" s="49" t="n">
        <v>0</v>
      </c>
      <c r="U1558" s="49" t="s">
        <v>3368</v>
      </c>
    </row>
    <row r="1559" customFormat="false" ht="15" hidden="false" customHeight="false" outlineLevel="0" collapsed="false">
      <c r="B1559" s="48" t="n">
        <v>45491.638125</v>
      </c>
      <c r="C1559" s="4" t="n">
        <f aca="false">YEAR(B1559)</f>
        <v>2024</v>
      </c>
      <c r="D1559" s="49" t="s">
        <v>283</v>
      </c>
      <c r="E1559" s="49" t="s">
        <v>3369</v>
      </c>
      <c r="F1559" s="50" t="n">
        <v>1</v>
      </c>
      <c r="G1559" s="49" t="s">
        <v>290</v>
      </c>
      <c r="H1559" s="51" t="n">
        <v>0.0028</v>
      </c>
      <c r="I1559" s="51" t="n">
        <v>0.5121</v>
      </c>
      <c r="J1559" s="51" t="n">
        <v>0.4851</v>
      </c>
      <c r="K1559" s="49"/>
      <c r="L1559" s="49"/>
      <c r="M1559" s="49"/>
      <c r="N1559" s="49"/>
      <c r="O1559" s="49"/>
      <c r="P1559" s="49"/>
      <c r="Q1559" s="49"/>
      <c r="R1559" s="49" t="s">
        <v>281</v>
      </c>
      <c r="S1559" s="49" t="n">
        <v>0</v>
      </c>
      <c r="T1559" s="49" t="n">
        <v>0</v>
      </c>
      <c r="U1559" s="49" t="s">
        <v>3370</v>
      </c>
    </row>
    <row r="1560" customFormat="false" ht="15" hidden="false" customHeight="false" outlineLevel="0" collapsed="false">
      <c r="B1560" s="48" t="n">
        <v>45491.7083912037</v>
      </c>
      <c r="C1560" s="4" t="n">
        <f aca="false">YEAR(B1560)</f>
        <v>2024</v>
      </c>
      <c r="D1560" s="49" t="s">
        <v>278</v>
      </c>
      <c r="E1560" s="49" t="s">
        <v>3371</v>
      </c>
      <c r="F1560" s="50" t="n">
        <v>3</v>
      </c>
      <c r="G1560" s="49" t="s">
        <v>290</v>
      </c>
      <c r="H1560" s="51" t="n">
        <v>0.4417</v>
      </c>
      <c r="I1560" s="51" t="n">
        <v>0.5263</v>
      </c>
      <c r="J1560" s="51" t="n">
        <v>0.0321</v>
      </c>
      <c r="K1560" s="49"/>
      <c r="L1560" s="49"/>
      <c r="M1560" s="49"/>
      <c r="N1560" s="49"/>
      <c r="O1560" s="49"/>
      <c r="P1560" s="49"/>
      <c r="Q1560" s="49"/>
      <c r="R1560" s="49" t="s">
        <v>281</v>
      </c>
      <c r="S1560" s="49" t="n">
        <v>0</v>
      </c>
      <c r="T1560" s="49" t="n">
        <v>0</v>
      </c>
      <c r="U1560" s="49" t="s">
        <v>3372</v>
      </c>
    </row>
    <row r="1561" customFormat="false" ht="15" hidden="false" customHeight="false" outlineLevel="0" collapsed="false">
      <c r="B1561" s="48" t="n">
        <v>45492.5119907407</v>
      </c>
      <c r="C1561" s="4" t="n">
        <f aca="false">YEAR(B1561)</f>
        <v>2024</v>
      </c>
      <c r="D1561" s="49" t="s">
        <v>283</v>
      </c>
      <c r="E1561" s="49" t="s">
        <v>3373</v>
      </c>
      <c r="F1561" s="50" t="n">
        <v>1</v>
      </c>
      <c r="G1561" s="49" t="s">
        <v>290</v>
      </c>
      <c r="H1561" s="51" t="n">
        <v>0.3898</v>
      </c>
      <c r="I1561" s="51" t="n">
        <v>0.5109</v>
      </c>
      <c r="J1561" s="51" t="n">
        <v>0.0993</v>
      </c>
      <c r="K1561" s="49"/>
      <c r="L1561" s="49"/>
      <c r="M1561" s="49"/>
      <c r="N1561" s="49"/>
      <c r="O1561" s="49"/>
      <c r="P1561" s="49"/>
      <c r="Q1561" s="49" t="s">
        <v>281</v>
      </c>
      <c r="R1561" s="49"/>
      <c r="S1561" s="49" t="n">
        <v>0</v>
      </c>
      <c r="T1561" s="49" t="n">
        <v>0</v>
      </c>
      <c r="U1561" s="49" t="s">
        <v>3374</v>
      </c>
    </row>
    <row r="1562" customFormat="false" ht="15" hidden="false" customHeight="false" outlineLevel="0" collapsed="false">
      <c r="B1562" s="48" t="n">
        <v>45492.5249884259</v>
      </c>
      <c r="C1562" s="4" t="n">
        <f aca="false">YEAR(B1562)</f>
        <v>2024</v>
      </c>
      <c r="D1562" s="49" t="s">
        <v>283</v>
      </c>
      <c r="E1562" s="49" t="s">
        <v>3375</v>
      </c>
      <c r="F1562" s="50" t="n">
        <v>1</v>
      </c>
      <c r="G1562" s="49" t="s">
        <v>290</v>
      </c>
      <c r="H1562" s="51" t="n">
        <v>0.4059</v>
      </c>
      <c r="I1562" s="51" t="n">
        <v>0.5708</v>
      </c>
      <c r="J1562" s="51" t="n">
        <v>0.0233</v>
      </c>
      <c r="K1562" s="49"/>
      <c r="L1562" s="49"/>
      <c r="M1562" s="49"/>
      <c r="N1562" s="49"/>
      <c r="O1562" s="49"/>
      <c r="P1562" s="49"/>
      <c r="Q1562" s="49"/>
      <c r="R1562" s="49"/>
      <c r="S1562" s="49" t="n">
        <v>1</v>
      </c>
      <c r="T1562" s="49" t="n">
        <v>0</v>
      </c>
      <c r="U1562" s="49" t="s">
        <v>3376</v>
      </c>
    </row>
    <row r="1563" customFormat="false" ht="15" hidden="false" customHeight="false" outlineLevel="0" collapsed="false">
      <c r="B1563" s="48" t="n">
        <v>45492.592962963</v>
      </c>
      <c r="C1563" s="4" t="n">
        <f aca="false">YEAR(B1563)</f>
        <v>2024</v>
      </c>
      <c r="D1563" s="49" t="s">
        <v>283</v>
      </c>
      <c r="E1563" s="49" t="s">
        <v>3377</v>
      </c>
      <c r="F1563" s="50" t="n">
        <v>1</v>
      </c>
      <c r="G1563" s="49" t="s">
        <v>287</v>
      </c>
      <c r="H1563" s="51" t="n">
        <v>0.0374</v>
      </c>
      <c r="I1563" s="51" t="n">
        <v>0.4754</v>
      </c>
      <c r="J1563" s="51" t="n">
        <v>0.4873</v>
      </c>
      <c r="K1563" s="49"/>
      <c r="L1563" s="49"/>
      <c r="M1563" s="49"/>
      <c r="N1563" s="49"/>
      <c r="O1563" s="49"/>
      <c r="P1563" s="49"/>
      <c r="Q1563" s="49"/>
      <c r="R1563" s="49"/>
      <c r="S1563" s="49" t="n">
        <v>0</v>
      </c>
      <c r="T1563" s="49" t="n">
        <v>0</v>
      </c>
      <c r="U1563" s="49" t="s">
        <v>3378</v>
      </c>
    </row>
    <row r="1564" customFormat="false" ht="15" hidden="false" customHeight="false" outlineLevel="0" collapsed="false">
      <c r="B1564" s="48" t="n">
        <v>45493.7019444444</v>
      </c>
      <c r="C1564" s="4" t="n">
        <f aca="false">YEAR(B1564)</f>
        <v>2024</v>
      </c>
      <c r="D1564" s="49" t="s">
        <v>283</v>
      </c>
      <c r="E1564" s="49" t="s">
        <v>3379</v>
      </c>
      <c r="F1564" s="50" t="n">
        <v>1</v>
      </c>
      <c r="G1564" s="49" t="s">
        <v>290</v>
      </c>
      <c r="H1564" s="51" t="n">
        <v>0.1429</v>
      </c>
      <c r="I1564" s="51" t="n">
        <v>0.7438</v>
      </c>
      <c r="J1564" s="51" t="n">
        <v>0.1133</v>
      </c>
      <c r="K1564" s="49"/>
      <c r="L1564" s="49"/>
      <c r="M1564" s="49"/>
      <c r="N1564" s="49"/>
      <c r="O1564" s="49"/>
      <c r="P1564" s="49"/>
      <c r="Q1564" s="49"/>
      <c r="R1564" s="49" t="s">
        <v>281</v>
      </c>
      <c r="S1564" s="49" t="n">
        <v>0</v>
      </c>
      <c r="T1564" s="49" t="n">
        <v>0</v>
      </c>
      <c r="U1564" s="49" t="s">
        <v>3380</v>
      </c>
    </row>
    <row r="1565" customFormat="false" ht="15" hidden="false" customHeight="false" outlineLevel="0" collapsed="false">
      <c r="B1565" s="48" t="n">
        <v>45493.9427314815</v>
      </c>
      <c r="C1565" s="4" t="n">
        <f aca="false">YEAR(B1565)</f>
        <v>2024</v>
      </c>
      <c r="D1565" s="49" t="s">
        <v>283</v>
      </c>
      <c r="E1565" s="49" t="s">
        <v>3381</v>
      </c>
      <c r="F1565" s="50" t="n">
        <v>9</v>
      </c>
      <c r="G1565" s="49" t="s">
        <v>287</v>
      </c>
      <c r="H1565" s="51" t="n">
        <v>0.0072</v>
      </c>
      <c r="I1565" s="51" t="n">
        <v>0.3455</v>
      </c>
      <c r="J1565" s="51" t="n">
        <v>0.6473</v>
      </c>
      <c r="K1565" s="49"/>
      <c r="L1565" s="49"/>
      <c r="M1565" s="49"/>
      <c r="N1565" s="49"/>
      <c r="O1565" s="49"/>
      <c r="P1565" s="49"/>
      <c r="Q1565" s="49"/>
      <c r="R1565" s="49"/>
      <c r="S1565" s="49" t="n">
        <v>0</v>
      </c>
      <c r="T1565" s="49" t="n">
        <v>0</v>
      </c>
      <c r="U1565" s="49" t="s">
        <v>3382</v>
      </c>
    </row>
    <row r="1566" customFormat="false" ht="15" hidden="false" customHeight="false" outlineLevel="0" collapsed="false">
      <c r="B1566" s="48" t="n">
        <v>45494.0533101852</v>
      </c>
      <c r="C1566" s="4" t="n">
        <f aca="false">YEAR(B1566)</f>
        <v>2024</v>
      </c>
      <c r="D1566" s="49" t="s">
        <v>283</v>
      </c>
      <c r="E1566" s="49" t="s">
        <v>3383</v>
      </c>
      <c r="F1566" s="50" t="n">
        <v>3</v>
      </c>
      <c r="G1566" s="49" t="s">
        <v>287</v>
      </c>
      <c r="H1566" s="51" t="n">
        <v>0.0109</v>
      </c>
      <c r="I1566" s="51" t="n">
        <v>0.187</v>
      </c>
      <c r="J1566" s="51" t="n">
        <v>0.802</v>
      </c>
      <c r="K1566" s="49"/>
      <c r="L1566" s="49"/>
      <c r="M1566" s="49"/>
      <c r="N1566" s="49"/>
      <c r="O1566" s="49"/>
      <c r="P1566" s="49"/>
      <c r="Q1566" s="49"/>
      <c r="R1566" s="49"/>
      <c r="S1566" s="49" t="n">
        <v>0</v>
      </c>
      <c r="T1566" s="49" t="n">
        <v>0</v>
      </c>
      <c r="U1566" s="49" t="s">
        <v>3384</v>
      </c>
    </row>
    <row r="1567" customFormat="false" ht="15" hidden="false" customHeight="false" outlineLevel="0" collapsed="false">
      <c r="B1567" s="48" t="n">
        <v>45494.1145949074</v>
      </c>
      <c r="C1567" s="4" t="n">
        <f aca="false">YEAR(B1567)</f>
        <v>2024</v>
      </c>
      <c r="D1567" s="49" t="s">
        <v>283</v>
      </c>
      <c r="E1567" s="49" t="s">
        <v>3385</v>
      </c>
      <c r="F1567" s="50" t="n">
        <v>1</v>
      </c>
      <c r="G1567" s="49" t="s">
        <v>287</v>
      </c>
      <c r="H1567" s="51" t="n">
        <v>0.005</v>
      </c>
      <c r="I1567" s="51" t="n">
        <v>0.085</v>
      </c>
      <c r="J1567" s="51" t="n">
        <v>0.9099</v>
      </c>
      <c r="K1567" s="49"/>
      <c r="L1567" s="49"/>
      <c r="M1567" s="49"/>
      <c r="N1567" s="49"/>
      <c r="O1567" s="49"/>
      <c r="P1567" s="49"/>
      <c r="Q1567" s="49"/>
      <c r="R1567" s="49"/>
      <c r="S1567" s="49" t="n">
        <v>1</v>
      </c>
      <c r="T1567" s="49" t="n">
        <v>0</v>
      </c>
      <c r="U1567" s="49" t="s">
        <v>3386</v>
      </c>
    </row>
    <row r="1568" customFormat="false" ht="15" hidden="false" customHeight="false" outlineLevel="0" collapsed="false">
      <c r="B1568" s="48" t="n">
        <v>45494.5391087963</v>
      </c>
      <c r="C1568" s="4" t="n">
        <f aca="false">YEAR(B1568)</f>
        <v>2024</v>
      </c>
      <c r="D1568" s="49" t="s">
        <v>283</v>
      </c>
      <c r="E1568" s="49" t="s">
        <v>3387</v>
      </c>
      <c r="F1568" s="50" t="n">
        <v>1</v>
      </c>
      <c r="G1568" s="49" t="s">
        <v>280</v>
      </c>
      <c r="H1568" s="51" t="n">
        <v>0.7628</v>
      </c>
      <c r="I1568" s="51" t="n">
        <v>0.2224</v>
      </c>
      <c r="J1568" s="51" t="n">
        <v>0.0148</v>
      </c>
      <c r="K1568" s="49"/>
      <c r="L1568" s="49"/>
      <c r="M1568" s="49"/>
      <c r="N1568" s="49"/>
      <c r="O1568" s="49"/>
      <c r="P1568" s="49"/>
      <c r="Q1568" s="49"/>
      <c r="R1568" s="49" t="s">
        <v>281</v>
      </c>
      <c r="S1568" s="49" t="n">
        <v>0</v>
      </c>
      <c r="T1568" s="49" t="n">
        <v>0</v>
      </c>
      <c r="U1568" s="49" t="s">
        <v>3388</v>
      </c>
    </row>
    <row r="1569" customFormat="false" ht="15" hidden="false" customHeight="false" outlineLevel="0" collapsed="false">
      <c r="B1569" s="48" t="n">
        <v>45494.668275463</v>
      </c>
      <c r="C1569" s="4" t="n">
        <f aca="false">YEAR(B1569)</f>
        <v>2024</v>
      </c>
      <c r="D1569" s="49" t="s">
        <v>283</v>
      </c>
      <c r="E1569" s="49" t="s">
        <v>3389</v>
      </c>
      <c r="F1569" s="50" t="n">
        <v>1</v>
      </c>
      <c r="G1569" s="49" t="s">
        <v>280</v>
      </c>
      <c r="H1569" s="51" t="n">
        <v>0.8877</v>
      </c>
      <c r="I1569" s="51" t="n">
        <v>0.102</v>
      </c>
      <c r="J1569" s="51" t="n">
        <v>0.0103</v>
      </c>
      <c r="K1569" s="49" t="s">
        <v>281</v>
      </c>
      <c r="L1569" s="49"/>
      <c r="M1569" s="49"/>
      <c r="N1569" s="49"/>
      <c r="O1569" s="49"/>
      <c r="P1569" s="49"/>
      <c r="Q1569" s="49"/>
      <c r="R1569" s="49"/>
      <c r="S1569" s="49" t="n">
        <v>0</v>
      </c>
      <c r="T1569" s="49" t="n">
        <v>0</v>
      </c>
      <c r="U1569" s="49" t="s">
        <v>3390</v>
      </c>
    </row>
    <row r="1570" customFormat="false" ht="15" hidden="false" customHeight="false" outlineLevel="0" collapsed="false">
      <c r="B1570" s="48" t="n">
        <v>45495.8367939815</v>
      </c>
      <c r="C1570" s="4" t="n">
        <f aca="false">YEAR(B1570)</f>
        <v>2024</v>
      </c>
      <c r="D1570" s="49" t="s">
        <v>283</v>
      </c>
      <c r="E1570" s="49" t="s">
        <v>3391</v>
      </c>
      <c r="F1570" s="50" t="n">
        <v>2</v>
      </c>
      <c r="G1570" s="49" t="s">
        <v>287</v>
      </c>
      <c r="H1570" s="51" t="n">
        <v>0.0029</v>
      </c>
      <c r="I1570" s="51" t="n">
        <v>0.0529</v>
      </c>
      <c r="J1570" s="51" t="n">
        <v>0.9441</v>
      </c>
      <c r="K1570" s="49"/>
      <c r="L1570" s="49"/>
      <c r="M1570" s="49"/>
      <c r="N1570" s="49"/>
      <c r="O1570" s="49"/>
      <c r="P1570" s="49"/>
      <c r="Q1570" s="49"/>
      <c r="R1570" s="49"/>
      <c r="S1570" s="49" t="n">
        <v>0</v>
      </c>
      <c r="T1570" s="49" t="n">
        <v>0</v>
      </c>
      <c r="U1570" s="49" t="s">
        <v>3392</v>
      </c>
    </row>
    <row r="1571" customFormat="false" ht="15" hidden="false" customHeight="false" outlineLevel="0" collapsed="false">
      <c r="B1571" s="48" t="n">
        <v>45496.0471527778</v>
      </c>
      <c r="C1571" s="4" t="n">
        <f aca="false">YEAR(B1571)</f>
        <v>2024</v>
      </c>
      <c r="D1571" s="49" t="s">
        <v>283</v>
      </c>
      <c r="E1571" s="49" t="s">
        <v>3393</v>
      </c>
      <c r="F1571" s="50" t="n">
        <v>3</v>
      </c>
      <c r="G1571" s="49" t="s">
        <v>290</v>
      </c>
      <c r="H1571" s="51" t="n">
        <v>0.0405</v>
      </c>
      <c r="I1571" s="51" t="n">
        <v>0.8282</v>
      </c>
      <c r="J1571" s="51" t="n">
        <v>0.1313</v>
      </c>
      <c r="K1571" s="49"/>
      <c r="L1571" s="49"/>
      <c r="M1571" s="49"/>
      <c r="N1571" s="49"/>
      <c r="O1571" s="49"/>
      <c r="P1571" s="49"/>
      <c r="Q1571" s="49"/>
      <c r="R1571" s="49"/>
      <c r="S1571" s="49" t="n">
        <v>0</v>
      </c>
      <c r="T1571" s="49" t="n">
        <v>0</v>
      </c>
      <c r="U1571" s="49" t="s">
        <v>3394</v>
      </c>
    </row>
    <row r="1572" customFormat="false" ht="15" hidden="false" customHeight="false" outlineLevel="0" collapsed="false">
      <c r="B1572" s="48" t="n">
        <v>45496.273900463</v>
      </c>
      <c r="C1572" s="4" t="n">
        <f aca="false">YEAR(B1572)</f>
        <v>2024</v>
      </c>
      <c r="D1572" s="49" t="s">
        <v>283</v>
      </c>
      <c r="E1572" s="49" t="s">
        <v>3395</v>
      </c>
      <c r="F1572" s="50" t="n">
        <v>1</v>
      </c>
      <c r="G1572" s="49" t="s">
        <v>290</v>
      </c>
      <c r="H1572" s="51" t="n">
        <v>0.3708</v>
      </c>
      <c r="I1572" s="51" t="n">
        <v>0.5861</v>
      </c>
      <c r="J1572" s="51" t="n">
        <v>0.0431</v>
      </c>
      <c r="K1572" s="49"/>
      <c r="L1572" s="49"/>
      <c r="M1572" s="49"/>
      <c r="N1572" s="49"/>
      <c r="O1572" s="49"/>
      <c r="P1572" s="49"/>
      <c r="Q1572" s="49"/>
      <c r="R1572" s="49"/>
      <c r="S1572" s="49" t="n">
        <v>1</v>
      </c>
      <c r="T1572" s="49" t="n">
        <v>0</v>
      </c>
      <c r="U1572" s="49" t="s">
        <v>3396</v>
      </c>
    </row>
    <row r="1573" customFormat="false" ht="15" hidden="false" customHeight="false" outlineLevel="0" collapsed="false">
      <c r="B1573" s="48" t="n">
        <v>45496.2839814815</v>
      </c>
      <c r="C1573" s="4" t="n">
        <f aca="false">YEAR(B1573)</f>
        <v>2024</v>
      </c>
      <c r="D1573" s="49" t="s">
        <v>283</v>
      </c>
      <c r="E1573" s="49" t="s">
        <v>3397</v>
      </c>
      <c r="F1573" s="50" t="n">
        <v>3</v>
      </c>
      <c r="G1573" s="49" t="s">
        <v>290</v>
      </c>
      <c r="H1573" s="51" t="n">
        <v>0.018</v>
      </c>
      <c r="I1573" s="51" t="n">
        <v>0.7698</v>
      </c>
      <c r="J1573" s="51" t="n">
        <v>0.2122</v>
      </c>
      <c r="K1573" s="49"/>
      <c r="L1573" s="49"/>
      <c r="M1573" s="49"/>
      <c r="N1573" s="49"/>
      <c r="O1573" s="49"/>
      <c r="P1573" s="49"/>
      <c r="Q1573" s="49"/>
      <c r="R1573" s="49"/>
      <c r="S1573" s="49" t="n">
        <v>0</v>
      </c>
      <c r="T1573" s="49" t="n">
        <v>0</v>
      </c>
      <c r="U1573" s="49" t="s">
        <v>3398</v>
      </c>
    </row>
    <row r="1574" customFormat="false" ht="15" hidden="false" customHeight="false" outlineLevel="0" collapsed="false">
      <c r="B1574" s="48" t="n">
        <v>45496.5958912037</v>
      </c>
      <c r="C1574" s="4" t="n">
        <f aca="false">YEAR(B1574)</f>
        <v>2024</v>
      </c>
      <c r="D1574" s="49" t="s">
        <v>283</v>
      </c>
      <c r="E1574" s="49" t="s">
        <v>3399</v>
      </c>
      <c r="F1574" s="50" t="n">
        <v>5</v>
      </c>
      <c r="G1574" s="49" t="s">
        <v>290</v>
      </c>
      <c r="H1574" s="51" t="n">
        <v>0.4094</v>
      </c>
      <c r="I1574" s="51" t="n">
        <v>0.4792</v>
      </c>
      <c r="J1574" s="51" t="n">
        <v>0.1114</v>
      </c>
      <c r="K1574" s="49"/>
      <c r="L1574" s="49"/>
      <c r="M1574" s="49"/>
      <c r="N1574" s="49"/>
      <c r="O1574" s="49"/>
      <c r="P1574" s="49"/>
      <c r="Q1574" s="49" t="s">
        <v>281</v>
      </c>
      <c r="R1574" s="49"/>
      <c r="S1574" s="49" t="n">
        <v>0</v>
      </c>
      <c r="T1574" s="49" t="n">
        <v>0</v>
      </c>
      <c r="U1574" s="49" t="s">
        <v>3400</v>
      </c>
    </row>
    <row r="1575" customFormat="false" ht="15" hidden="false" customHeight="false" outlineLevel="0" collapsed="false">
      <c r="B1575" s="48" t="n">
        <v>45497.2062037037</v>
      </c>
      <c r="C1575" s="4" t="n">
        <f aca="false">YEAR(B1575)</f>
        <v>2024</v>
      </c>
      <c r="D1575" s="49" t="s">
        <v>283</v>
      </c>
      <c r="E1575" s="49" t="s">
        <v>3401</v>
      </c>
      <c r="F1575" s="50" t="n">
        <v>1</v>
      </c>
      <c r="G1575" s="49" t="s">
        <v>290</v>
      </c>
      <c r="H1575" s="51" t="n">
        <v>0.0048</v>
      </c>
      <c r="I1575" s="51" t="n">
        <v>0.5656</v>
      </c>
      <c r="J1575" s="51" t="n">
        <v>0.4296</v>
      </c>
      <c r="K1575" s="49"/>
      <c r="L1575" s="49"/>
      <c r="M1575" s="49"/>
      <c r="N1575" s="49"/>
      <c r="O1575" s="49"/>
      <c r="P1575" s="49"/>
      <c r="Q1575" s="49"/>
      <c r="R1575" s="49"/>
      <c r="S1575" s="49" t="n">
        <v>0</v>
      </c>
      <c r="T1575" s="49" t="n">
        <v>0</v>
      </c>
      <c r="U1575" s="49" t="s">
        <v>3402</v>
      </c>
    </row>
    <row r="1576" customFormat="false" ht="15" hidden="false" customHeight="false" outlineLevel="0" collapsed="false">
      <c r="B1576" s="48" t="n">
        <v>45497.3216435185</v>
      </c>
      <c r="C1576" s="4" t="n">
        <f aca="false">YEAR(B1576)</f>
        <v>2024</v>
      </c>
      <c r="D1576" s="49" t="s">
        <v>283</v>
      </c>
      <c r="E1576" s="49" t="s">
        <v>3403</v>
      </c>
      <c r="F1576" s="50" t="n">
        <v>2</v>
      </c>
      <c r="G1576" s="49" t="s">
        <v>280</v>
      </c>
      <c r="H1576" s="51" t="n">
        <v>0.6771</v>
      </c>
      <c r="I1576" s="51" t="n">
        <v>0.308</v>
      </c>
      <c r="J1576" s="51" t="n">
        <v>0.0149</v>
      </c>
      <c r="K1576" s="49"/>
      <c r="L1576" s="49"/>
      <c r="M1576" s="49"/>
      <c r="N1576" s="49"/>
      <c r="O1576" s="49"/>
      <c r="P1576" s="49"/>
      <c r="Q1576" s="49"/>
      <c r="R1576" s="49"/>
      <c r="S1576" s="49" t="n">
        <v>0</v>
      </c>
      <c r="T1576" s="49" t="n">
        <v>0</v>
      </c>
      <c r="U1576" s="49" t="s">
        <v>3404</v>
      </c>
    </row>
    <row r="1577" customFormat="false" ht="15" hidden="false" customHeight="false" outlineLevel="0" collapsed="false">
      <c r="B1577" s="48" t="n">
        <v>45497.3715162037</v>
      </c>
      <c r="C1577" s="4" t="n">
        <f aca="false">YEAR(B1577)</f>
        <v>2024</v>
      </c>
      <c r="D1577" s="49" t="s">
        <v>283</v>
      </c>
      <c r="E1577" s="49" t="s">
        <v>3405</v>
      </c>
      <c r="F1577" s="50" t="n">
        <v>2</v>
      </c>
      <c r="G1577" s="49" t="s">
        <v>290</v>
      </c>
      <c r="H1577" s="51" t="n">
        <v>0.2068</v>
      </c>
      <c r="I1577" s="51" t="n">
        <v>0.4234</v>
      </c>
      <c r="J1577" s="51" t="n">
        <v>0.3698</v>
      </c>
      <c r="K1577" s="49"/>
      <c r="L1577" s="49"/>
      <c r="M1577" s="49"/>
      <c r="N1577" s="49"/>
      <c r="O1577" s="49"/>
      <c r="P1577" s="49"/>
      <c r="Q1577" s="49"/>
      <c r="R1577" s="49" t="s">
        <v>281</v>
      </c>
      <c r="S1577" s="49" t="n">
        <v>0</v>
      </c>
      <c r="T1577" s="49" t="n">
        <v>0</v>
      </c>
      <c r="U1577" s="49" t="s">
        <v>3406</v>
      </c>
    </row>
    <row r="1578" customFormat="false" ht="15" hidden="false" customHeight="false" outlineLevel="0" collapsed="false">
      <c r="B1578" s="48" t="n">
        <v>45497.8983912037</v>
      </c>
      <c r="C1578" s="4" t="n">
        <f aca="false">YEAR(B1578)</f>
        <v>2024</v>
      </c>
      <c r="D1578" s="49" t="s">
        <v>283</v>
      </c>
      <c r="E1578" s="49" t="s">
        <v>3407</v>
      </c>
      <c r="F1578" s="50" t="n">
        <v>8</v>
      </c>
      <c r="G1578" s="49" t="s">
        <v>290</v>
      </c>
      <c r="H1578" s="51" t="n">
        <v>0.0215</v>
      </c>
      <c r="I1578" s="51" t="n">
        <v>0.7352</v>
      </c>
      <c r="J1578" s="51" t="n">
        <v>0.2434</v>
      </c>
      <c r="K1578" s="49"/>
      <c r="L1578" s="49"/>
      <c r="M1578" s="49"/>
      <c r="N1578" s="49"/>
      <c r="O1578" s="49"/>
      <c r="P1578" s="49"/>
      <c r="Q1578" s="49"/>
      <c r="R1578" s="49"/>
      <c r="S1578" s="49" t="n">
        <v>0</v>
      </c>
      <c r="T1578" s="49" t="n">
        <v>0</v>
      </c>
      <c r="U1578" s="49" t="s">
        <v>3408</v>
      </c>
    </row>
    <row r="1579" customFormat="false" ht="15" hidden="false" customHeight="false" outlineLevel="0" collapsed="false">
      <c r="B1579" s="48" t="n">
        <v>45498.4792708333</v>
      </c>
      <c r="C1579" s="4" t="n">
        <f aca="false">YEAR(B1579)</f>
        <v>2024</v>
      </c>
      <c r="D1579" s="49" t="s">
        <v>278</v>
      </c>
      <c r="E1579" s="49" t="s">
        <v>3409</v>
      </c>
      <c r="F1579" s="50" t="n">
        <v>1</v>
      </c>
      <c r="G1579" s="49" t="s">
        <v>280</v>
      </c>
      <c r="H1579" s="51" t="n">
        <v>0.4512</v>
      </c>
      <c r="I1579" s="51" t="n">
        <v>0.4297</v>
      </c>
      <c r="J1579" s="51" t="n">
        <v>0.1192</v>
      </c>
      <c r="K1579" s="49"/>
      <c r="L1579" s="49"/>
      <c r="M1579" s="49"/>
      <c r="N1579" s="49"/>
      <c r="O1579" s="49"/>
      <c r="P1579" s="49"/>
      <c r="Q1579" s="49"/>
      <c r="R1579" s="49"/>
      <c r="S1579" s="49" t="n">
        <v>0</v>
      </c>
      <c r="T1579" s="49" t="n">
        <v>0</v>
      </c>
      <c r="U1579" s="49" t="s">
        <v>3410</v>
      </c>
    </row>
    <row r="1580" customFormat="false" ht="15" hidden="false" customHeight="false" outlineLevel="0" collapsed="false">
      <c r="B1580" s="48" t="n">
        <v>45499.6616203704</v>
      </c>
      <c r="C1580" s="4" t="n">
        <f aca="false">YEAR(B1580)</f>
        <v>2024</v>
      </c>
      <c r="D1580" s="49" t="s">
        <v>278</v>
      </c>
      <c r="E1580" s="49" t="s">
        <v>3411</v>
      </c>
      <c r="F1580" s="50" t="n">
        <v>9</v>
      </c>
      <c r="G1580" s="49" t="s">
        <v>280</v>
      </c>
      <c r="H1580" s="51" t="n">
        <v>0.9476</v>
      </c>
      <c r="I1580" s="51" t="n">
        <v>0.0465</v>
      </c>
      <c r="J1580" s="51" t="n">
        <v>0.0059</v>
      </c>
      <c r="K1580" s="49"/>
      <c r="L1580" s="49"/>
      <c r="M1580" s="49"/>
      <c r="N1580" s="49"/>
      <c r="O1580" s="49"/>
      <c r="P1580" s="49"/>
      <c r="Q1580" s="49"/>
      <c r="R1580" s="49"/>
      <c r="S1580" s="49" t="n">
        <v>0</v>
      </c>
      <c r="T1580" s="49" t="n">
        <v>0</v>
      </c>
      <c r="U1580" s="49" t="s">
        <v>3412</v>
      </c>
    </row>
    <row r="1581" customFormat="false" ht="15" hidden="false" customHeight="false" outlineLevel="0" collapsed="false">
      <c r="B1581" s="48" t="n">
        <v>45500.2163310185</v>
      </c>
      <c r="C1581" s="4" t="n">
        <f aca="false">YEAR(B1581)</f>
        <v>2024</v>
      </c>
      <c r="D1581" s="49" t="s">
        <v>283</v>
      </c>
      <c r="E1581" s="49" t="s">
        <v>3413</v>
      </c>
      <c r="F1581" s="50" t="n">
        <v>1</v>
      </c>
      <c r="G1581" s="49" t="s">
        <v>290</v>
      </c>
      <c r="H1581" s="51" t="n">
        <v>0.011</v>
      </c>
      <c r="I1581" s="51" t="n">
        <v>0.9233</v>
      </c>
      <c r="J1581" s="51" t="n">
        <v>0.0657</v>
      </c>
      <c r="K1581" s="49"/>
      <c r="L1581" s="49"/>
      <c r="M1581" s="49"/>
      <c r="N1581" s="49"/>
      <c r="O1581" s="49"/>
      <c r="P1581" s="49"/>
      <c r="Q1581" s="49"/>
      <c r="R1581" s="49"/>
      <c r="S1581" s="49" t="n">
        <v>1</v>
      </c>
      <c r="T1581" s="49" t="n">
        <v>0</v>
      </c>
      <c r="U1581" s="49" t="s">
        <v>3414</v>
      </c>
    </row>
    <row r="1582" customFormat="false" ht="15" hidden="false" customHeight="false" outlineLevel="0" collapsed="false">
      <c r="B1582" s="48" t="n">
        <v>45502.7493287037</v>
      </c>
      <c r="C1582" s="4" t="n">
        <f aca="false">YEAR(B1582)</f>
        <v>2024</v>
      </c>
      <c r="D1582" s="49" t="s">
        <v>283</v>
      </c>
      <c r="E1582" s="49" t="s">
        <v>3415</v>
      </c>
      <c r="F1582" s="50" t="n">
        <v>7</v>
      </c>
      <c r="G1582" s="49" t="s">
        <v>290</v>
      </c>
      <c r="H1582" s="51" t="n">
        <v>0.0514</v>
      </c>
      <c r="I1582" s="51" t="n">
        <v>0.8034</v>
      </c>
      <c r="J1582" s="51" t="n">
        <v>0.1452</v>
      </c>
      <c r="K1582" s="49"/>
      <c r="L1582" s="49"/>
      <c r="M1582" s="49"/>
      <c r="N1582" s="49"/>
      <c r="O1582" s="49"/>
      <c r="P1582" s="49"/>
      <c r="Q1582" s="49"/>
      <c r="R1582" s="49"/>
      <c r="S1582" s="49" t="n">
        <v>0</v>
      </c>
      <c r="T1582" s="49" t="n">
        <v>0</v>
      </c>
      <c r="U1582" s="49" t="s">
        <v>3416</v>
      </c>
    </row>
    <row r="1583" customFormat="false" ht="15" hidden="false" customHeight="false" outlineLevel="0" collapsed="false">
      <c r="B1583" s="48" t="n">
        <v>45502.8232638889</v>
      </c>
      <c r="C1583" s="4" t="n">
        <f aca="false">YEAR(B1583)</f>
        <v>2024</v>
      </c>
      <c r="D1583" s="49" t="s">
        <v>283</v>
      </c>
      <c r="E1583" s="49" t="s">
        <v>3417</v>
      </c>
      <c r="F1583" s="50" t="n">
        <v>1</v>
      </c>
      <c r="G1583" s="49" t="s">
        <v>280</v>
      </c>
      <c r="H1583" s="51" t="n">
        <v>0.9189</v>
      </c>
      <c r="I1583" s="51" t="n">
        <v>0.0723</v>
      </c>
      <c r="J1583" s="51" t="n">
        <v>0.0088</v>
      </c>
      <c r="K1583" s="49"/>
      <c r="L1583" s="49"/>
      <c r="M1583" s="49"/>
      <c r="N1583" s="49"/>
      <c r="O1583" s="49"/>
      <c r="P1583" s="49"/>
      <c r="Q1583" s="49"/>
      <c r="R1583" s="49"/>
      <c r="S1583" s="49" t="n">
        <v>0</v>
      </c>
      <c r="T1583" s="49" t="n">
        <v>0</v>
      </c>
      <c r="U1583" s="49" t="s">
        <v>3418</v>
      </c>
    </row>
    <row r="1584" customFormat="false" ht="15" hidden="false" customHeight="false" outlineLevel="0" collapsed="false">
      <c r="B1584" s="48" t="n">
        <v>45503.1977662037</v>
      </c>
      <c r="C1584" s="4" t="n">
        <f aca="false">YEAR(B1584)</f>
        <v>2024</v>
      </c>
      <c r="D1584" s="49" t="s">
        <v>283</v>
      </c>
      <c r="E1584" s="49" t="s">
        <v>3419</v>
      </c>
      <c r="F1584" s="50" t="n">
        <v>3</v>
      </c>
      <c r="G1584" s="49" t="s">
        <v>280</v>
      </c>
      <c r="H1584" s="51" t="n">
        <v>0.6721</v>
      </c>
      <c r="I1584" s="51" t="n">
        <v>0.2709</v>
      </c>
      <c r="J1584" s="51" t="n">
        <v>0.0571</v>
      </c>
      <c r="K1584" s="49"/>
      <c r="L1584" s="49"/>
      <c r="M1584" s="49"/>
      <c r="N1584" s="49"/>
      <c r="O1584" s="49"/>
      <c r="P1584" s="49"/>
      <c r="Q1584" s="49"/>
      <c r="R1584" s="49"/>
      <c r="S1584" s="49" t="n">
        <v>0</v>
      </c>
      <c r="T1584" s="49" t="n">
        <v>0</v>
      </c>
      <c r="U1584" s="49" t="s">
        <v>3420</v>
      </c>
    </row>
    <row r="1585" customFormat="false" ht="15" hidden="false" customHeight="false" outlineLevel="0" collapsed="false">
      <c r="B1585" s="48" t="n">
        <v>45503.3523842593</v>
      </c>
      <c r="C1585" s="4" t="n">
        <f aca="false">YEAR(B1585)</f>
        <v>2024</v>
      </c>
      <c r="D1585" s="49" t="s">
        <v>283</v>
      </c>
      <c r="E1585" s="49" t="s">
        <v>3421</v>
      </c>
      <c r="F1585" s="50" t="n">
        <v>2</v>
      </c>
      <c r="G1585" s="49" t="s">
        <v>287</v>
      </c>
      <c r="H1585" s="51" t="n">
        <v>0.0045</v>
      </c>
      <c r="I1585" s="51" t="n">
        <v>0.0548</v>
      </c>
      <c r="J1585" s="51" t="n">
        <v>0.9408</v>
      </c>
      <c r="K1585" s="49"/>
      <c r="L1585" s="49"/>
      <c r="M1585" s="49"/>
      <c r="N1585" s="49"/>
      <c r="O1585" s="49"/>
      <c r="P1585" s="49"/>
      <c r="Q1585" s="49"/>
      <c r="R1585" s="49" t="s">
        <v>281</v>
      </c>
      <c r="S1585" s="49" t="n">
        <v>0</v>
      </c>
      <c r="T1585" s="49" t="n">
        <v>0</v>
      </c>
      <c r="U1585" s="49" t="s">
        <v>3422</v>
      </c>
    </row>
    <row r="1586" customFormat="false" ht="15" hidden="false" customHeight="false" outlineLevel="0" collapsed="false">
      <c r="B1586" s="48" t="n">
        <v>45503.7228356482</v>
      </c>
      <c r="C1586" s="4" t="n">
        <f aca="false">YEAR(B1586)</f>
        <v>2024</v>
      </c>
      <c r="D1586" s="49" t="s">
        <v>283</v>
      </c>
      <c r="E1586" s="49" t="s">
        <v>3423</v>
      </c>
      <c r="F1586" s="50" t="n">
        <v>102</v>
      </c>
      <c r="G1586" s="49" t="s">
        <v>287</v>
      </c>
      <c r="H1586" s="51" t="n">
        <v>0.0034</v>
      </c>
      <c r="I1586" s="51" t="n">
        <v>0.0991</v>
      </c>
      <c r="J1586" s="51" t="n">
        <v>0.8975</v>
      </c>
      <c r="K1586" s="49"/>
      <c r="L1586" s="49"/>
      <c r="M1586" s="49"/>
      <c r="N1586" s="49"/>
      <c r="O1586" s="49"/>
      <c r="P1586" s="49"/>
      <c r="Q1586" s="49"/>
      <c r="R1586" s="49"/>
      <c r="S1586" s="49" t="n">
        <v>0</v>
      </c>
      <c r="T1586" s="49" t="n">
        <v>0</v>
      </c>
      <c r="U1586" s="49" t="s">
        <v>3424</v>
      </c>
    </row>
    <row r="1587" customFormat="false" ht="15" hidden="false" customHeight="false" outlineLevel="0" collapsed="false">
      <c r="B1587" s="48" t="n">
        <v>45503.7265972222</v>
      </c>
      <c r="C1587" s="4" t="n">
        <f aca="false">YEAR(B1587)</f>
        <v>2024</v>
      </c>
      <c r="D1587" s="49" t="s">
        <v>283</v>
      </c>
      <c r="E1587" s="49" t="s">
        <v>3425</v>
      </c>
      <c r="F1587" s="50" t="n">
        <v>1</v>
      </c>
      <c r="G1587" s="49" t="s">
        <v>280</v>
      </c>
      <c r="H1587" s="51" t="n">
        <v>0.5969</v>
      </c>
      <c r="I1587" s="51" t="n">
        <v>0.3887</v>
      </c>
      <c r="J1587" s="51" t="n">
        <v>0.0144</v>
      </c>
      <c r="K1587" s="49"/>
      <c r="L1587" s="49"/>
      <c r="M1587" s="49"/>
      <c r="N1587" s="49"/>
      <c r="O1587" s="49"/>
      <c r="P1587" s="49"/>
      <c r="Q1587" s="49"/>
      <c r="R1587" s="49"/>
      <c r="S1587" s="49" t="n">
        <v>0</v>
      </c>
      <c r="T1587" s="49" t="n">
        <v>0</v>
      </c>
      <c r="U1587" s="49" t="s">
        <v>3426</v>
      </c>
    </row>
    <row r="1588" customFormat="false" ht="15" hidden="false" customHeight="false" outlineLevel="0" collapsed="false">
      <c r="B1588" s="48" t="n">
        <v>45504.1035532407</v>
      </c>
      <c r="C1588" s="4" t="n">
        <f aca="false">YEAR(B1588)</f>
        <v>2024</v>
      </c>
      <c r="D1588" s="49" t="s">
        <v>283</v>
      </c>
      <c r="E1588" s="49" t="s">
        <v>3427</v>
      </c>
      <c r="F1588" s="50" t="n">
        <v>5</v>
      </c>
      <c r="G1588" s="49" t="s">
        <v>290</v>
      </c>
      <c r="H1588" s="51" t="n">
        <v>0.3851</v>
      </c>
      <c r="I1588" s="51" t="n">
        <v>0.5837</v>
      </c>
      <c r="J1588" s="51" t="n">
        <v>0.0312</v>
      </c>
      <c r="K1588" s="49"/>
      <c r="L1588" s="49"/>
      <c r="M1588" s="49"/>
      <c r="N1588" s="49"/>
      <c r="O1588" s="49"/>
      <c r="P1588" s="49"/>
      <c r="Q1588" s="49"/>
      <c r="R1588" s="49"/>
      <c r="S1588" s="49" t="n">
        <v>0</v>
      </c>
      <c r="T1588" s="49" t="n">
        <v>0</v>
      </c>
      <c r="U1588" s="49" t="s">
        <v>3428</v>
      </c>
    </row>
    <row r="1589" customFormat="false" ht="15" hidden="false" customHeight="false" outlineLevel="0" collapsed="false">
      <c r="B1589" s="48" t="n">
        <v>45504.597337963</v>
      </c>
      <c r="C1589" s="4" t="n">
        <f aca="false">YEAR(B1589)</f>
        <v>2024</v>
      </c>
      <c r="D1589" s="49" t="s">
        <v>283</v>
      </c>
      <c r="E1589" s="49" t="s">
        <v>3429</v>
      </c>
      <c r="F1589" s="50" t="n">
        <v>1</v>
      </c>
      <c r="G1589" s="49" t="s">
        <v>290</v>
      </c>
      <c r="H1589" s="51" t="n">
        <v>0.0055</v>
      </c>
      <c r="I1589" s="51" t="n">
        <v>0.8785</v>
      </c>
      <c r="J1589" s="51" t="n">
        <v>0.116</v>
      </c>
      <c r="K1589" s="49"/>
      <c r="L1589" s="49"/>
      <c r="M1589" s="49"/>
      <c r="N1589" s="49"/>
      <c r="O1589" s="49"/>
      <c r="P1589" s="49"/>
      <c r="Q1589" s="49" t="s">
        <v>281</v>
      </c>
      <c r="R1589" s="49"/>
      <c r="S1589" s="49" t="n">
        <v>1</v>
      </c>
      <c r="T1589" s="49" t="n">
        <v>0</v>
      </c>
      <c r="U1589" s="49" t="s">
        <v>3430</v>
      </c>
    </row>
    <row r="1590" customFormat="false" ht="15" hidden="false" customHeight="false" outlineLevel="0" collapsed="false">
      <c r="B1590" s="48" t="n">
        <v>45504.7363078704</v>
      </c>
      <c r="C1590" s="4" t="n">
        <f aca="false">YEAR(B1590)</f>
        <v>2024</v>
      </c>
      <c r="D1590" s="49" t="s">
        <v>283</v>
      </c>
      <c r="E1590" s="49" t="s">
        <v>3431</v>
      </c>
      <c r="F1590" s="50" t="n">
        <v>1</v>
      </c>
      <c r="G1590" s="49" t="s">
        <v>280</v>
      </c>
      <c r="H1590" s="51" t="n">
        <v>0.8612</v>
      </c>
      <c r="I1590" s="51" t="n">
        <v>0.1303</v>
      </c>
      <c r="J1590" s="51" t="n">
        <v>0.0085</v>
      </c>
      <c r="K1590" s="49"/>
      <c r="L1590" s="49"/>
      <c r="M1590" s="49"/>
      <c r="N1590" s="49"/>
      <c r="O1590" s="49"/>
      <c r="P1590" s="49"/>
      <c r="Q1590" s="49"/>
      <c r="R1590" s="49" t="s">
        <v>281</v>
      </c>
      <c r="S1590" s="49" t="n">
        <v>0</v>
      </c>
      <c r="T1590" s="49" t="n">
        <v>0</v>
      </c>
      <c r="U1590" s="49" t="s">
        <v>3432</v>
      </c>
    </row>
    <row r="1591" customFormat="false" ht="15" hidden="false" customHeight="false" outlineLevel="0" collapsed="false">
      <c r="B1591" s="48" t="n">
        <v>45504.9622453704</v>
      </c>
      <c r="C1591" s="4" t="n">
        <f aca="false">YEAR(B1591)</f>
        <v>2024</v>
      </c>
      <c r="D1591" s="49" t="s">
        <v>283</v>
      </c>
      <c r="E1591" s="49" t="s">
        <v>3433</v>
      </c>
      <c r="F1591" s="50" t="n">
        <v>1</v>
      </c>
      <c r="G1591" s="49" t="s">
        <v>290</v>
      </c>
      <c r="H1591" s="51" t="n">
        <v>0.0065</v>
      </c>
      <c r="I1591" s="51" t="n">
        <v>0.8363</v>
      </c>
      <c r="J1591" s="51" t="n">
        <v>0.1572</v>
      </c>
      <c r="K1591" s="49"/>
      <c r="L1591" s="49"/>
      <c r="M1591" s="49"/>
      <c r="N1591" s="49"/>
      <c r="O1591" s="49"/>
      <c r="P1591" s="49"/>
      <c r="Q1591" s="49"/>
      <c r="R1591" s="49"/>
      <c r="S1591" s="49" t="n">
        <v>1</v>
      </c>
      <c r="T1591" s="49" t="n">
        <v>0</v>
      </c>
      <c r="U1591" s="49" t="s">
        <v>3434</v>
      </c>
    </row>
    <row r="1592" customFormat="false" ht="15" hidden="false" customHeight="false" outlineLevel="0" collapsed="false">
      <c r="B1592" s="48" t="n">
        <v>45505.3692939815</v>
      </c>
      <c r="C1592" s="4" t="n">
        <f aca="false">YEAR(B1592)</f>
        <v>2024</v>
      </c>
      <c r="D1592" s="49" t="s">
        <v>278</v>
      </c>
      <c r="E1592" s="49" t="s">
        <v>3435</v>
      </c>
      <c r="F1592" s="50" t="n">
        <v>1</v>
      </c>
      <c r="G1592" s="49" t="s">
        <v>290</v>
      </c>
      <c r="H1592" s="51" t="n">
        <v>0.1885</v>
      </c>
      <c r="I1592" s="51" t="n">
        <v>0.7421</v>
      </c>
      <c r="J1592" s="51" t="n">
        <v>0.0694</v>
      </c>
      <c r="K1592" s="49"/>
      <c r="L1592" s="49"/>
      <c r="M1592" s="49"/>
      <c r="N1592" s="49"/>
      <c r="O1592" s="49"/>
      <c r="P1592" s="49"/>
      <c r="Q1592" s="49"/>
      <c r="R1592" s="49"/>
      <c r="S1592" s="49" t="n">
        <v>0</v>
      </c>
      <c r="T1592" s="49" t="n">
        <v>0</v>
      </c>
      <c r="U1592" s="49" t="s">
        <v>3436</v>
      </c>
    </row>
    <row r="1593" customFormat="false" ht="15" hidden="false" customHeight="false" outlineLevel="0" collapsed="false">
      <c r="B1593" s="48" t="n">
        <v>45505.5711574074</v>
      </c>
      <c r="C1593" s="4" t="n">
        <f aca="false">YEAR(B1593)</f>
        <v>2024</v>
      </c>
      <c r="D1593" s="49" t="s">
        <v>278</v>
      </c>
      <c r="E1593" s="49" t="s">
        <v>3437</v>
      </c>
      <c r="F1593" s="50" t="n">
        <v>0</v>
      </c>
      <c r="G1593" s="49" t="s">
        <v>280</v>
      </c>
      <c r="H1593" s="51" t="n">
        <v>0.7457</v>
      </c>
      <c r="I1593" s="51" t="n">
        <v>0.2378</v>
      </c>
      <c r="J1593" s="51" t="n">
        <v>0.0165</v>
      </c>
      <c r="K1593" s="49"/>
      <c r="L1593" s="49"/>
      <c r="M1593" s="49"/>
      <c r="N1593" s="49"/>
      <c r="O1593" s="49"/>
      <c r="P1593" s="49"/>
      <c r="Q1593" s="49"/>
      <c r="R1593" s="49"/>
      <c r="S1593" s="49" t="n">
        <v>0</v>
      </c>
      <c r="T1593" s="49" t="n">
        <v>0</v>
      </c>
      <c r="U1593" s="49" t="s">
        <v>3438</v>
      </c>
    </row>
    <row r="1594" customFormat="false" ht="15" hidden="false" customHeight="false" outlineLevel="0" collapsed="false">
      <c r="B1594" s="48" t="n">
        <v>45505.5725347222</v>
      </c>
      <c r="C1594" s="4" t="n">
        <f aca="false">YEAR(B1594)</f>
        <v>2024</v>
      </c>
      <c r="D1594" s="49" t="s">
        <v>283</v>
      </c>
      <c r="E1594" s="49" t="s">
        <v>3439</v>
      </c>
      <c r="F1594" s="50" t="n">
        <v>1</v>
      </c>
      <c r="G1594" s="49" t="s">
        <v>290</v>
      </c>
      <c r="H1594" s="51" t="n">
        <v>0.0909</v>
      </c>
      <c r="I1594" s="51" t="n">
        <v>0.8787</v>
      </c>
      <c r="J1594" s="51" t="n">
        <v>0.0303</v>
      </c>
      <c r="K1594" s="49"/>
      <c r="L1594" s="49"/>
      <c r="M1594" s="49"/>
      <c r="N1594" s="49"/>
      <c r="O1594" s="49"/>
      <c r="P1594" s="49"/>
      <c r="Q1594" s="49"/>
      <c r="R1594" s="49"/>
      <c r="S1594" s="49" t="n">
        <v>1</v>
      </c>
      <c r="T1594" s="49" t="n">
        <v>0</v>
      </c>
      <c r="U1594" s="49" t="s">
        <v>3440</v>
      </c>
    </row>
    <row r="1595" customFormat="false" ht="15" hidden="false" customHeight="false" outlineLevel="0" collapsed="false">
      <c r="B1595" s="48" t="n">
        <v>45506.4375115741</v>
      </c>
      <c r="C1595" s="4" t="n">
        <f aca="false">YEAR(B1595)</f>
        <v>2024</v>
      </c>
      <c r="D1595" s="49" t="s">
        <v>283</v>
      </c>
      <c r="E1595" s="49" t="s">
        <v>3441</v>
      </c>
      <c r="F1595" s="50" t="n">
        <v>1</v>
      </c>
      <c r="G1595" s="49" t="s">
        <v>287</v>
      </c>
      <c r="H1595" s="51" t="n">
        <v>0.0075</v>
      </c>
      <c r="I1595" s="51" t="n">
        <v>0.3579</v>
      </c>
      <c r="J1595" s="51" t="n">
        <v>0.6346</v>
      </c>
      <c r="K1595" s="49"/>
      <c r="L1595" s="49"/>
      <c r="M1595" s="49"/>
      <c r="N1595" s="49"/>
      <c r="O1595" s="49"/>
      <c r="P1595" s="49"/>
      <c r="Q1595" s="49"/>
      <c r="R1595" s="49"/>
      <c r="S1595" s="49" t="n">
        <v>0</v>
      </c>
      <c r="T1595" s="49" t="n">
        <v>0</v>
      </c>
      <c r="U1595" s="49" t="s">
        <v>3442</v>
      </c>
    </row>
    <row r="1596" customFormat="false" ht="15" hidden="false" customHeight="false" outlineLevel="0" collapsed="false">
      <c r="B1596" s="48" t="n">
        <v>45506.6741782407</v>
      </c>
      <c r="C1596" s="4" t="n">
        <f aca="false">YEAR(B1596)</f>
        <v>2024</v>
      </c>
      <c r="D1596" s="49" t="s">
        <v>283</v>
      </c>
      <c r="E1596" s="49" t="s">
        <v>3443</v>
      </c>
      <c r="F1596" s="50" t="n">
        <v>1</v>
      </c>
      <c r="G1596" s="49" t="s">
        <v>287</v>
      </c>
      <c r="H1596" s="51" t="n">
        <v>0.0051</v>
      </c>
      <c r="I1596" s="51" t="n">
        <v>0.0788</v>
      </c>
      <c r="J1596" s="51" t="n">
        <v>0.9161</v>
      </c>
      <c r="K1596" s="49"/>
      <c r="L1596" s="49"/>
      <c r="M1596" s="49"/>
      <c r="N1596" s="49"/>
      <c r="O1596" s="49"/>
      <c r="P1596" s="49"/>
      <c r="Q1596" s="49"/>
      <c r="R1596" s="49"/>
      <c r="S1596" s="49" t="n">
        <v>0</v>
      </c>
      <c r="T1596" s="49" t="n">
        <v>0</v>
      </c>
      <c r="U1596" s="49" t="s">
        <v>3444</v>
      </c>
    </row>
    <row r="1597" customFormat="false" ht="15" hidden="false" customHeight="false" outlineLevel="0" collapsed="false">
      <c r="B1597" s="48" t="n">
        <v>45507.8067708333</v>
      </c>
      <c r="C1597" s="4" t="n">
        <f aca="false">YEAR(B1597)</f>
        <v>2024</v>
      </c>
      <c r="D1597" s="49" t="s">
        <v>283</v>
      </c>
      <c r="E1597" s="49" t="s">
        <v>3445</v>
      </c>
      <c r="F1597" s="50" t="n">
        <v>1</v>
      </c>
      <c r="G1597" s="49" t="s">
        <v>280</v>
      </c>
      <c r="H1597" s="51" t="n">
        <v>0.6438</v>
      </c>
      <c r="I1597" s="51" t="n">
        <v>0.3277</v>
      </c>
      <c r="J1597" s="51" t="n">
        <v>0.0284</v>
      </c>
      <c r="K1597" s="49"/>
      <c r="L1597" s="49"/>
      <c r="M1597" s="49"/>
      <c r="N1597" s="49"/>
      <c r="O1597" s="49"/>
      <c r="P1597" s="49"/>
      <c r="Q1597" s="49"/>
      <c r="R1597" s="49"/>
      <c r="S1597" s="49" t="n">
        <v>0</v>
      </c>
      <c r="T1597" s="49" t="n">
        <v>0</v>
      </c>
      <c r="U1597" s="49" t="s">
        <v>3446</v>
      </c>
    </row>
    <row r="1598" customFormat="false" ht="15" hidden="false" customHeight="false" outlineLevel="0" collapsed="false">
      <c r="B1598" s="48" t="n">
        <v>45508.0462037037</v>
      </c>
      <c r="C1598" s="4" t="n">
        <f aca="false">YEAR(B1598)</f>
        <v>2024</v>
      </c>
      <c r="D1598" s="49" t="s">
        <v>283</v>
      </c>
      <c r="E1598" s="49" t="s">
        <v>3447</v>
      </c>
      <c r="F1598" s="50" t="n">
        <v>2</v>
      </c>
      <c r="G1598" s="49" t="s">
        <v>280</v>
      </c>
      <c r="H1598" s="51" t="n">
        <v>0.7502</v>
      </c>
      <c r="I1598" s="51" t="n">
        <v>0.226</v>
      </c>
      <c r="J1598" s="51" t="n">
        <v>0.0238</v>
      </c>
      <c r="K1598" s="49" t="s">
        <v>281</v>
      </c>
      <c r="L1598" s="49"/>
      <c r="M1598" s="49"/>
      <c r="N1598" s="49"/>
      <c r="O1598" s="49"/>
      <c r="P1598" s="49"/>
      <c r="Q1598" s="49"/>
      <c r="R1598" s="49"/>
      <c r="S1598" s="49" t="n">
        <v>0</v>
      </c>
      <c r="T1598" s="49" t="n">
        <v>0</v>
      </c>
      <c r="U1598" s="49" t="s">
        <v>3448</v>
      </c>
    </row>
    <row r="1599" customFormat="false" ht="15" hidden="false" customHeight="false" outlineLevel="0" collapsed="false">
      <c r="B1599" s="48" t="n">
        <v>45509.2280439815</v>
      </c>
      <c r="C1599" s="4" t="n">
        <f aca="false">YEAR(B1599)</f>
        <v>2024</v>
      </c>
      <c r="D1599" s="49" t="s">
        <v>283</v>
      </c>
      <c r="E1599" s="49" t="s">
        <v>3449</v>
      </c>
      <c r="F1599" s="50" t="n">
        <v>1</v>
      </c>
      <c r="G1599" s="49" t="s">
        <v>290</v>
      </c>
      <c r="H1599" s="51" t="n">
        <v>0.3621</v>
      </c>
      <c r="I1599" s="51" t="n">
        <v>0.5894</v>
      </c>
      <c r="J1599" s="51" t="n">
        <v>0.0485</v>
      </c>
      <c r="K1599" s="49"/>
      <c r="L1599" s="49"/>
      <c r="M1599" s="49"/>
      <c r="N1599" s="49"/>
      <c r="O1599" s="49"/>
      <c r="P1599" s="49"/>
      <c r="Q1599" s="49"/>
      <c r="R1599" s="49"/>
      <c r="S1599" s="49" t="n">
        <v>1</v>
      </c>
      <c r="T1599" s="49" t="n">
        <v>0</v>
      </c>
      <c r="U1599" s="49" t="s">
        <v>3450</v>
      </c>
    </row>
    <row r="1600" customFormat="false" ht="15" hidden="false" customHeight="false" outlineLevel="0" collapsed="false">
      <c r="B1600" s="48" t="n">
        <v>45509.6312615741</v>
      </c>
      <c r="C1600" s="4" t="n">
        <f aca="false">YEAR(B1600)</f>
        <v>2024</v>
      </c>
      <c r="D1600" s="49" t="s">
        <v>278</v>
      </c>
      <c r="E1600" s="49" t="s">
        <v>3451</v>
      </c>
      <c r="F1600" s="50" t="n">
        <v>85</v>
      </c>
      <c r="G1600" s="49" t="s">
        <v>280</v>
      </c>
      <c r="H1600" s="51" t="n">
        <v>0.5065</v>
      </c>
      <c r="I1600" s="51" t="n">
        <v>0.41</v>
      </c>
      <c r="J1600" s="51" t="n">
        <v>0.0836</v>
      </c>
      <c r="K1600" s="49"/>
      <c r="L1600" s="49"/>
      <c r="M1600" s="49"/>
      <c r="N1600" s="49"/>
      <c r="O1600" s="49"/>
      <c r="P1600" s="49"/>
      <c r="Q1600" s="49"/>
      <c r="R1600" s="49"/>
      <c r="S1600" s="49" t="n">
        <v>0</v>
      </c>
      <c r="T1600" s="49" t="n">
        <v>0</v>
      </c>
      <c r="U1600" s="49" t="s">
        <v>3452</v>
      </c>
    </row>
    <row r="1601" customFormat="false" ht="15" hidden="false" customHeight="false" outlineLevel="0" collapsed="false">
      <c r="B1601" s="48" t="n">
        <v>45509.8706944444</v>
      </c>
      <c r="C1601" s="4" t="n">
        <f aca="false">YEAR(B1601)</f>
        <v>2024</v>
      </c>
      <c r="D1601" s="49" t="s">
        <v>283</v>
      </c>
      <c r="E1601" s="49" t="s">
        <v>3453</v>
      </c>
      <c r="F1601" s="50" t="n">
        <v>9</v>
      </c>
      <c r="G1601" s="49" t="s">
        <v>287</v>
      </c>
      <c r="H1601" s="51" t="n">
        <v>0.0057</v>
      </c>
      <c r="I1601" s="51" t="n">
        <v>0.246</v>
      </c>
      <c r="J1601" s="51" t="n">
        <v>0.7484</v>
      </c>
      <c r="K1601" s="49"/>
      <c r="L1601" s="49"/>
      <c r="M1601" s="49"/>
      <c r="N1601" s="49"/>
      <c r="O1601" s="49"/>
      <c r="P1601" s="49"/>
      <c r="Q1601" s="49"/>
      <c r="R1601" s="49"/>
      <c r="S1601" s="49" t="n">
        <v>0</v>
      </c>
      <c r="T1601" s="49" t="n">
        <v>0</v>
      </c>
      <c r="U1601" s="49" t="s">
        <v>3454</v>
      </c>
    </row>
    <row r="1602" customFormat="false" ht="15" hidden="false" customHeight="false" outlineLevel="0" collapsed="false">
      <c r="B1602" s="48" t="n">
        <v>45509.9748263889</v>
      </c>
      <c r="C1602" s="4" t="n">
        <f aca="false">YEAR(B1602)</f>
        <v>2024</v>
      </c>
      <c r="D1602" s="49" t="s">
        <v>283</v>
      </c>
      <c r="E1602" s="49" t="s">
        <v>3455</v>
      </c>
      <c r="F1602" s="50" t="n">
        <v>1</v>
      </c>
      <c r="G1602" s="49" t="s">
        <v>287</v>
      </c>
      <c r="H1602" s="51" t="n">
        <v>0.0073</v>
      </c>
      <c r="I1602" s="51" t="n">
        <v>0.2856</v>
      </c>
      <c r="J1602" s="51" t="n">
        <v>0.7071</v>
      </c>
      <c r="K1602" s="49"/>
      <c r="L1602" s="49"/>
      <c r="M1602" s="49"/>
      <c r="N1602" s="49"/>
      <c r="O1602" s="49"/>
      <c r="P1602" s="49"/>
      <c r="Q1602" s="49"/>
      <c r="R1602" s="49"/>
      <c r="S1602" s="49" t="n">
        <v>0</v>
      </c>
      <c r="T1602" s="49" t="n">
        <v>0</v>
      </c>
      <c r="U1602" s="49" t="s">
        <v>3456</v>
      </c>
    </row>
    <row r="1603" customFormat="false" ht="15" hidden="false" customHeight="false" outlineLevel="0" collapsed="false">
      <c r="B1603" s="48" t="n">
        <v>45510.1632407407</v>
      </c>
      <c r="C1603" s="4" t="n">
        <f aca="false">YEAR(B1603)</f>
        <v>2024</v>
      </c>
      <c r="D1603" s="49" t="s">
        <v>278</v>
      </c>
      <c r="E1603" s="49" t="s">
        <v>3457</v>
      </c>
      <c r="F1603" s="50" t="n">
        <v>6</v>
      </c>
      <c r="G1603" s="49" t="s">
        <v>280</v>
      </c>
      <c r="H1603" s="51" t="n">
        <v>0.8956</v>
      </c>
      <c r="I1603" s="51" t="n">
        <v>0.0928</v>
      </c>
      <c r="J1603" s="51" t="n">
        <v>0.0116</v>
      </c>
      <c r="K1603" s="49"/>
      <c r="L1603" s="49"/>
      <c r="M1603" s="49"/>
      <c r="N1603" s="49"/>
      <c r="O1603" s="49"/>
      <c r="P1603" s="49"/>
      <c r="Q1603" s="49" t="s">
        <v>281</v>
      </c>
      <c r="R1603" s="49"/>
      <c r="S1603" s="49" t="n">
        <v>0</v>
      </c>
      <c r="T1603" s="49" t="n">
        <v>0</v>
      </c>
      <c r="U1603" s="49" t="s">
        <v>3458</v>
      </c>
    </row>
    <row r="1604" customFormat="false" ht="15" hidden="false" customHeight="false" outlineLevel="0" collapsed="false">
      <c r="B1604" s="48" t="n">
        <v>45510.7757407407</v>
      </c>
      <c r="C1604" s="4" t="n">
        <f aca="false">YEAR(B1604)</f>
        <v>2024</v>
      </c>
      <c r="D1604" s="49" t="s">
        <v>283</v>
      </c>
      <c r="E1604" s="49" t="s">
        <v>3459</v>
      </c>
      <c r="F1604" s="50" t="n">
        <v>16</v>
      </c>
      <c r="G1604" s="49" t="s">
        <v>287</v>
      </c>
      <c r="H1604" s="51" t="n">
        <v>0.0026</v>
      </c>
      <c r="I1604" s="51" t="n">
        <v>0.0258</v>
      </c>
      <c r="J1604" s="51" t="n">
        <v>0.9716</v>
      </c>
      <c r="K1604" s="49"/>
      <c r="L1604" s="49"/>
      <c r="M1604" s="49"/>
      <c r="N1604" s="49"/>
      <c r="O1604" s="49"/>
      <c r="P1604" s="49"/>
      <c r="Q1604" s="49"/>
      <c r="R1604" s="49"/>
      <c r="S1604" s="49" t="n">
        <v>0</v>
      </c>
      <c r="T1604" s="49" t="n">
        <v>0</v>
      </c>
      <c r="U1604" s="49" t="s">
        <v>3460</v>
      </c>
    </row>
    <row r="1605" customFormat="false" ht="15" hidden="false" customHeight="false" outlineLevel="0" collapsed="false">
      <c r="B1605" s="48" t="n">
        <v>45511.020787037</v>
      </c>
      <c r="C1605" s="4" t="n">
        <f aca="false">YEAR(B1605)</f>
        <v>2024</v>
      </c>
      <c r="D1605" s="49" t="s">
        <v>278</v>
      </c>
      <c r="E1605" s="49" t="s">
        <v>3461</v>
      </c>
      <c r="F1605" s="50" t="n">
        <v>2</v>
      </c>
      <c r="G1605" s="49" t="s">
        <v>280</v>
      </c>
      <c r="H1605" s="51" t="n">
        <v>0.717</v>
      </c>
      <c r="I1605" s="51" t="n">
        <v>0.2699</v>
      </c>
      <c r="J1605" s="51" t="n">
        <v>0.013</v>
      </c>
      <c r="K1605" s="49"/>
      <c r="L1605" s="49"/>
      <c r="M1605" s="49"/>
      <c r="N1605" s="49"/>
      <c r="O1605" s="49"/>
      <c r="P1605" s="49"/>
      <c r="Q1605" s="49"/>
      <c r="R1605" s="49" t="s">
        <v>281</v>
      </c>
      <c r="S1605" s="49" t="n">
        <v>0</v>
      </c>
      <c r="T1605" s="49" t="n">
        <v>0</v>
      </c>
      <c r="U1605" s="49" t="s">
        <v>3462</v>
      </c>
    </row>
    <row r="1606" customFormat="false" ht="15" hidden="false" customHeight="false" outlineLevel="0" collapsed="false">
      <c r="B1606" s="48" t="n">
        <v>45511.1391087963</v>
      </c>
      <c r="C1606" s="4" t="n">
        <f aca="false">YEAR(B1606)</f>
        <v>2024</v>
      </c>
      <c r="D1606" s="49" t="s">
        <v>283</v>
      </c>
      <c r="E1606" s="49" t="s">
        <v>3463</v>
      </c>
      <c r="F1606" s="50" t="n">
        <v>1</v>
      </c>
      <c r="G1606" s="49" t="s">
        <v>287</v>
      </c>
      <c r="H1606" s="51" t="n">
        <v>0.013</v>
      </c>
      <c r="I1606" s="51" t="n">
        <v>0.3033</v>
      </c>
      <c r="J1606" s="51" t="n">
        <v>0.6837</v>
      </c>
      <c r="K1606" s="49"/>
      <c r="L1606" s="49"/>
      <c r="M1606" s="49"/>
      <c r="N1606" s="49"/>
      <c r="O1606" s="49"/>
      <c r="P1606" s="49"/>
      <c r="Q1606" s="49"/>
      <c r="R1606" s="49"/>
      <c r="S1606" s="49" t="n">
        <v>0</v>
      </c>
      <c r="T1606" s="49" t="n">
        <v>0</v>
      </c>
      <c r="U1606" s="49" t="s">
        <v>3464</v>
      </c>
    </row>
    <row r="1607" customFormat="false" ht="15" hidden="false" customHeight="false" outlineLevel="0" collapsed="false">
      <c r="B1607" s="48" t="n">
        <v>45511.3246990741</v>
      </c>
      <c r="C1607" s="4" t="n">
        <f aca="false">YEAR(B1607)</f>
        <v>2024</v>
      </c>
      <c r="D1607" s="49" t="s">
        <v>278</v>
      </c>
      <c r="E1607" s="49" t="s">
        <v>3465</v>
      </c>
      <c r="F1607" s="50" t="n">
        <v>1</v>
      </c>
      <c r="G1607" s="49" t="s">
        <v>290</v>
      </c>
      <c r="H1607" s="51" t="n">
        <v>0.1327</v>
      </c>
      <c r="I1607" s="51" t="n">
        <v>0.6957</v>
      </c>
      <c r="J1607" s="51" t="n">
        <v>0.1716</v>
      </c>
      <c r="K1607" s="49" t="s">
        <v>281</v>
      </c>
      <c r="L1607" s="49"/>
      <c r="M1607" s="49"/>
      <c r="N1607" s="49"/>
      <c r="O1607" s="49"/>
      <c r="P1607" s="49"/>
      <c r="Q1607" s="49"/>
      <c r="R1607" s="49" t="s">
        <v>281</v>
      </c>
      <c r="S1607" s="49" t="n">
        <v>0</v>
      </c>
      <c r="T1607" s="49" t="n">
        <v>0</v>
      </c>
      <c r="U1607" s="49" t="s">
        <v>3466</v>
      </c>
    </row>
    <row r="1608" customFormat="false" ht="15" hidden="false" customHeight="false" outlineLevel="0" collapsed="false">
      <c r="B1608" s="48" t="n">
        <v>45511.7217476852</v>
      </c>
      <c r="C1608" s="4" t="n">
        <f aca="false">YEAR(B1608)</f>
        <v>2024</v>
      </c>
      <c r="D1608" s="49" t="s">
        <v>283</v>
      </c>
      <c r="E1608" s="49" t="s">
        <v>3467</v>
      </c>
      <c r="F1608" s="50" t="n">
        <v>2</v>
      </c>
      <c r="G1608" s="49" t="s">
        <v>280</v>
      </c>
      <c r="H1608" s="51" t="n">
        <v>0.7094</v>
      </c>
      <c r="I1608" s="51" t="n">
        <v>0.2782</v>
      </c>
      <c r="J1608" s="51" t="n">
        <v>0.0124</v>
      </c>
      <c r="K1608" s="49"/>
      <c r="L1608" s="49"/>
      <c r="M1608" s="49"/>
      <c r="N1608" s="49"/>
      <c r="O1608" s="49"/>
      <c r="P1608" s="49"/>
      <c r="Q1608" s="49"/>
      <c r="R1608" s="49" t="s">
        <v>281</v>
      </c>
      <c r="S1608" s="49" t="n">
        <v>0</v>
      </c>
      <c r="T1608" s="49" t="n">
        <v>0</v>
      </c>
      <c r="U1608" s="49" t="s">
        <v>3468</v>
      </c>
    </row>
    <row r="1609" customFormat="false" ht="15" hidden="false" customHeight="false" outlineLevel="0" collapsed="false">
      <c r="B1609" s="48" t="n">
        <v>45511.9517013889</v>
      </c>
      <c r="C1609" s="4" t="n">
        <f aca="false">YEAR(B1609)</f>
        <v>2024</v>
      </c>
      <c r="D1609" s="49" t="s">
        <v>278</v>
      </c>
      <c r="E1609" s="49" t="s">
        <v>3469</v>
      </c>
      <c r="F1609" s="50" t="n">
        <v>1</v>
      </c>
      <c r="G1609" s="49" t="s">
        <v>290</v>
      </c>
      <c r="H1609" s="51" t="n">
        <v>0.3333</v>
      </c>
      <c r="I1609" s="51" t="n">
        <v>0.6299</v>
      </c>
      <c r="J1609" s="51" t="n">
        <v>0.0368</v>
      </c>
      <c r="K1609" s="49"/>
      <c r="L1609" s="49"/>
      <c r="M1609" s="49"/>
      <c r="N1609" s="49"/>
      <c r="O1609" s="49"/>
      <c r="P1609" s="49"/>
      <c r="Q1609" s="49"/>
      <c r="R1609" s="49" t="s">
        <v>281</v>
      </c>
      <c r="S1609" s="49" t="n">
        <v>0</v>
      </c>
      <c r="T1609" s="49" t="n">
        <v>0</v>
      </c>
      <c r="U1609" s="49" t="s">
        <v>3470</v>
      </c>
    </row>
    <row r="1610" customFormat="false" ht="15" hidden="false" customHeight="false" outlineLevel="0" collapsed="false">
      <c r="B1610" s="48" t="n">
        <v>45512.4580324074</v>
      </c>
      <c r="C1610" s="4" t="n">
        <f aca="false">YEAR(B1610)</f>
        <v>2024</v>
      </c>
      <c r="D1610" s="49" t="s">
        <v>283</v>
      </c>
      <c r="E1610" s="49" t="s">
        <v>3471</v>
      </c>
      <c r="F1610" s="50" t="n">
        <v>1</v>
      </c>
      <c r="G1610" s="49" t="s">
        <v>290</v>
      </c>
      <c r="H1610" s="51" t="n">
        <v>0.0277</v>
      </c>
      <c r="I1610" s="51" t="n">
        <v>0.8916</v>
      </c>
      <c r="J1610" s="51" t="n">
        <v>0.0806</v>
      </c>
      <c r="K1610" s="49"/>
      <c r="L1610" s="49"/>
      <c r="M1610" s="49"/>
      <c r="N1610" s="49"/>
      <c r="O1610" s="49"/>
      <c r="P1610" s="49"/>
      <c r="Q1610" s="49"/>
      <c r="R1610" s="49"/>
      <c r="S1610" s="49" t="n">
        <v>1</v>
      </c>
      <c r="T1610" s="49" t="n">
        <v>0</v>
      </c>
      <c r="U1610" s="49" t="s">
        <v>3472</v>
      </c>
    </row>
    <row r="1611" customFormat="false" ht="15" hidden="false" customHeight="false" outlineLevel="0" collapsed="false">
      <c r="B1611" s="48" t="n">
        <v>45512.5043981482</v>
      </c>
      <c r="C1611" s="4" t="n">
        <f aca="false">YEAR(B1611)</f>
        <v>2024</v>
      </c>
      <c r="D1611" s="49" t="s">
        <v>283</v>
      </c>
      <c r="E1611" s="49" t="s">
        <v>3473</v>
      </c>
      <c r="F1611" s="50" t="n">
        <v>5</v>
      </c>
      <c r="G1611" s="49" t="s">
        <v>287</v>
      </c>
      <c r="H1611" s="51" t="n">
        <v>0.0128</v>
      </c>
      <c r="I1611" s="51" t="n">
        <v>0.2982</v>
      </c>
      <c r="J1611" s="51" t="n">
        <v>0.6891</v>
      </c>
      <c r="K1611" s="49"/>
      <c r="L1611" s="49"/>
      <c r="M1611" s="49"/>
      <c r="N1611" s="49"/>
      <c r="O1611" s="49"/>
      <c r="P1611" s="49"/>
      <c r="Q1611" s="49"/>
      <c r="R1611" s="49"/>
      <c r="S1611" s="49" t="n">
        <v>0</v>
      </c>
      <c r="T1611" s="49" t="n">
        <v>0</v>
      </c>
      <c r="U1611" s="49" t="s">
        <v>3474</v>
      </c>
    </row>
    <row r="1612" customFormat="false" ht="15" hidden="false" customHeight="false" outlineLevel="0" collapsed="false">
      <c r="B1612" s="48" t="n">
        <v>45512.7756828704</v>
      </c>
      <c r="C1612" s="4" t="n">
        <f aca="false">YEAR(B1612)</f>
        <v>2024</v>
      </c>
      <c r="D1612" s="49" t="s">
        <v>283</v>
      </c>
      <c r="E1612" s="49" t="s">
        <v>3475</v>
      </c>
      <c r="F1612" s="50" t="n">
        <v>1</v>
      </c>
      <c r="G1612" s="49" t="s">
        <v>280</v>
      </c>
      <c r="H1612" s="51" t="n">
        <v>0.7342</v>
      </c>
      <c r="I1612" s="51" t="n">
        <v>0.2575</v>
      </c>
      <c r="J1612" s="51" t="n">
        <v>0.0083</v>
      </c>
      <c r="K1612" s="49"/>
      <c r="L1612" s="49"/>
      <c r="M1612" s="49"/>
      <c r="N1612" s="49"/>
      <c r="O1612" s="49"/>
      <c r="P1612" s="49"/>
      <c r="Q1612" s="49"/>
      <c r="R1612" s="49" t="s">
        <v>281</v>
      </c>
      <c r="S1612" s="49" t="n">
        <v>1</v>
      </c>
      <c r="T1612" s="49" t="n">
        <v>0</v>
      </c>
      <c r="U1612" s="49" t="s">
        <v>3476</v>
      </c>
    </row>
    <row r="1613" customFormat="false" ht="15" hidden="false" customHeight="false" outlineLevel="0" collapsed="false">
      <c r="B1613" s="48" t="n">
        <v>45512.7762962963</v>
      </c>
      <c r="C1613" s="4" t="n">
        <f aca="false">YEAR(B1613)</f>
        <v>2024</v>
      </c>
      <c r="D1613" s="49" t="s">
        <v>283</v>
      </c>
      <c r="E1613" s="49" t="s">
        <v>3477</v>
      </c>
      <c r="F1613" s="50" t="n">
        <v>10</v>
      </c>
      <c r="G1613" s="49" t="s">
        <v>280</v>
      </c>
      <c r="H1613" s="51" t="n">
        <v>0.659</v>
      </c>
      <c r="I1613" s="51" t="n">
        <v>0.3043</v>
      </c>
      <c r="J1613" s="51" t="n">
        <v>0.0366</v>
      </c>
      <c r="K1613" s="49"/>
      <c r="L1613" s="49"/>
      <c r="M1613" s="49"/>
      <c r="N1613" s="49"/>
      <c r="O1613" s="49"/>
      <c r="P1613" s="49"/>
      <c r="Q1613" s="49"/>
      <c r="R1613" s="49" t="s">
        <v>281</v>
      </c>
      <c r="S1613" s="49" t="n">
        <v>0</v>
      </c>
      <c r="T1613" s="49" t="n">
        <v>0</v>
      </c>
      <c r="U1613" s="49" t="s">
        <v>3478</v>
      </c>
    </row>
    <row r="1614" customFormat="false" ht="15" hidden="false" customHeight="false" outlineLevel="0" collapsed="false">
      <c r="B1614" s="48" t="n">
        <v>45512.8251851852</v>
      </c>
      <c r="C1614" s="4" t="n">
        <f aca="false">YEAR(B1614)</f>
        <v>2024</v>
      </c>
      <c r="D1614" s="49" t="s">
        <v>283</v>
      </c>
      <c r="E1614" s="49" t="s">
        <v>575</v>
      </c>
      <c r="F1614" s="50" t="n">
        <v>1</v>
      </c>
      <c r="G1614" s="49" t="s">
        <v>290</v>
      </c>
      <c r="H1614" s="51" t="n">
        <v>0.0155</v>
      </c>
      <c r="I1614" s="51" t="n">
        <v>0.9468</v>
      </c>
      <c r="J1614" s="51" t="n">
        <v>0.0377</v>
      </c>
      <c r="K1614" s="49"/>
      <c r="L1614" s="49"/>
      <c r="M1614" s="49"/>
      <c r="N1614" s="49"/>
      <c r="O1614" s="49"/>
      <c r="P1614" s="49"/>
      <c r="Q1614" s="49"/>
      <c r="R1614" s="49" t="s">
        <v>281</v>
      </c>
      <c r="S1614" s="49" t="n">
        <v>1</v>
      </c>
      <c r="T1614" s="49" t="n">
        <v>0</v>
      </c>
      <c r="U1614" s="49" t="s">
        <v>3479</v>
      </c>
    </row>
    <row r="1615" customFormat="false" ht="15" hidden="false" customHeight="false" outlineLevel="0" collapsed="false">
      <c r="B1615" s="48" t="n">
        <v>45512.8516203704</v>
      </c>
      <c r="C1615" s="4" t="n">
        <f aca="false">YEAR(B1615)</f>
        <v>2024</v>
      </c>
      <c r="D1615" s="49" t="s">
        <v>283</v>
      </c>
      <c r="E1615" s="49" t="s">
        <v>3480</v>
      </c>
      <c r="F1615" s="50" t="n">
        <v>1</v>
      </c>
      <c r="G1615" s="49" t="s">
        <v>290</v>
      </c>
      <c r="H1615" s="51" t="n">
        <v>0.0368</v>
      </c>
      <c r="I1615" s="51" t="n">
        <v>0.6257</v>
      </c>
      <c r="J1615" s="51" t="n">
        <v>0.3375</v>
      </c>
      <c r="K1615" s="49"/>
      <c r="L1615" s="49"/>
      <c r="M1615" s="49"/>
      <c r="N1615" s="49"/>
      <c r="O1615" s="49"/>
      <c r="P1615" s="49"/>
      <c r="Q1615" s="49"/>
      <c r="R1615" s="49"/>
      <c r="S1615" s="49" t="n">
        <v>1</v>
      </c>
      <c r="T1615" s="49" t="n">
        <v>0</v>
      </c>
      <c r="U1615" s="49" t="s">
        <v>3481</v>
      </c>
    </row>
    <row r="1616" customFormat="false" ht="15" hidden="false" customHeight="false" outlineLevel="0" collapsed="false">
      <c r="B1616" s="48" t="n">
        <v>45513.0326967593</v>
      </c>
      <c r="C1616" s="4" t="n">
        <f aca="false">YEAR(B1616)</f>
        <v>2024</v>
      </c>
      <c r="D1616" s="49" t="s">
        <v>283</v>
      </c>
      <c r="E1616" s="49" t="s">
        <v>3482</v>
      </c>
      <c r="F1616" s="50" t="n">
        <v>1</v>
      </c>
      <c r="G1616" s="49" t="s">
        <v>287</v>
      </c>
      <c r="H1616" s="51" t="n">
        <v>0.0089</v>
      </c>
      <c r="I1616" s="51" t="n">
        <v>0.1038</v>
      </c>
      <c r="J1616" s="51" t="n">
        <v>0.8873</v>
      </c>
      <c r="K1616" s="49"/>
      <c r="L1616" s="49"/>
      <c r="M1616" s="49"/>
      <c r="N1616" s="49"/>
      <c r="O1616" s="49"/>
      <c r="P1616" s="49"/>
      <c r="Q1616" s="49"/>
      <c r="R1616" s="49"/>
      <c r="S1616" s="49" t="n">
        <v>1</v>
      </c>
      <c r="T1616" s="49" t="n">
        <v>0</v>
      </c>
      <c r="U1616" s="49" t="s">
        <v>3483</v>
      </c>
    </row>
    <row r="1617" customFormat="false" ht="15" hidden="false" customHeight="false" outlineLevel="0" collapsed="false">
      <c r="B1617" s="48" t="n">
        <v>45513.4612268519</v>
      </c>
      <c r="C1617" s="4" t="n">
        <f aca="false">YEAR(B1617)</f>
        <v>2024</v>
      </c>
      <c r="D1617" s="49" t="s">
        <v>283</v>
      </c>
      <c r="E1617" s="49" t="s">
        <v>3484</v>
      </c>
      <c r="F1617" s="50" t="n">
        <v>12</v>
      </c>
      <c r="G1617" s="49" t="s">
        <v>287</v>
      </c>
      <c r="H1617" s="51" t="n">
        <v>0.0139</v>
      </c>
      <c r="I1617" s="51" t="n">
        <v>0.2013</v>
      </c>
      <c r="J1617" s="51" t="n">
        <v>0.7848</v>
      </c>
      <c r="K1617" s="49"/>
      <c r="L1617" s="49"/>
      <c r="M1617" s="49"/>
      <c r="N1617" s="49"/>
      <c r="O1617" s="49"/>
      <c r="P1617" s="49"/>
      <c r="Q1617" s="49"/>
      <c r="R1617" s="49"/>
      <c r="S1617" s="49" t="n">
        <v>0</v>
      </c>
      <c r="T1617" s="49" t="n">
        <v>0</v>
      </c>
      <c r="U1617" s="49" t="s">
        <v>3485</v>
      </c>
    </row>
    <row r="1618" customFormat="false" ht="15" hidden="false" customHeight="false" outlineLevel="0" collapsed="false">
      <c r="B1618" s="48" t="n">
        <v>45513.5123611111</v>
      </c>
      <c r="C1618" s="4" t="n">
        <f aca="false">YEAR(B1618)</f>
        <v>2024</v>
      </c>
      <c r="D1618" s="49" t="s">
        <v>278</v>
      </c>
      <c r="E1618" s="49" t="s">
        <v>3486</v>
      </c>
      <c r="F1618" s="50" t="n">
        <v>5</v>
      </c>
      <c r="G1618" s="49" t="s">
        <v>290</v>
      </c>
      <c r="H1618" s="51" t="n">
        <v>0.0958</v>
      </c>
      <c r="I1618" s="51" t="n">
        <v>0.668</v>
      </c>
      <c r="J1618" s="51" t="n">
        <v>0.2362</v>
      </c>
      <c r="K1618" s="49"/>
      <c r="L1618" s="49"/>
      <c r="M1618" s="49"/>
      <c r="N1618" s="49"/>
      <c r="O1618" s="49"/>
      <c r="P1618" s="49"/>
      <c r="Q1618" s="49" t="s">
        <v>281</v>
      </c>
      <c r="R1618" s="49" t="s">
        <v>281</v>
      </c>
      <c r="S1618" s="49" t="n">
        <v>0</v>
      </c>
      <c r="T1618" s="49" t="n">
        <v>0</v>
      </c>
      <c r="U1618" s="49" t="s">
        <v>3487</v>
      </c>
    </row>
    <row r="1619" customFormat="false" ht="15" hidden="false" customHeight="false" outlineLevel="0" collapsed="false">
      <c r="B1619" s="48" t="n">
        <v>45513.7092013889</v>
      </c>
      <c r="C1619" s="4" t="n">
        <f aca="false">YEAR(B1619)</f>
        <v>2024</v>
      </c>
      <c r="D1619" s="49" t="s">
        <v>283</v>
      </c>
      <c r="E1619" s="49" t="s">
        <v>3488</v>
      </c>
      <c r="F1619" s="50" t="n">
        <v>3</v>
      </c>
      <c r="G1619" s="49" t="s">
        <v>290</v>
      </c>
      <c r="H1619" s="51" t="n">
        <v>0.0058</v>
      </c>
      <c r="I1619" s="51" t="n">
        <v>0.8988</v>
      </c>
      <c r="J1619" s="51" t="n">
        <v>0.0954</v>
      </c>
      <c r="K1619" s="49"/>
      <c r="L1619" s="49"/>
      <c r="M1619" s="49"/>
      <c r="N1619" s="49"/>
      <c r="O1619" s="49"/>
      <c r="P1619" s="49"/>
      <c r="Q1619" s="49"/>
      <c r="R1619" s="49"/>
      <c r="S1619" s="49" t="n">
        <v>0</v>
      </c>
      <c r="T1619" s="49" t="n">
        <v>0</v>
      </c>
      <c r="U1619" s="49" t="s">
        <v>3489</v>
      </c>
    </row>
    <row r="1620" customFormat="false" ht="15" hidden="false" customHeight="false" outlineLevel="0" collapsed="false">
      <c r="B1620" s="48" t="n">
        <v>45513.9963888889</v>
      </c>
      <c r="C1620" s="4" t="n">
        <f aca="false">YEAR(B1620)</f>
        <v>2024</v>
      </c>
      <c r="D1620" s="49" t="s">
        <v>283</v>
      </c>
      <c r="E1620" s="49" t="s">
        <v>3490</v>
      </c>
      <c r="F1620" s="50" t="n">
        <v>1</v>
      </c>
      <c r="G1620" s="49" t="s">
        <v>280</v>
      </c>
      <c r="H1620" s="51" t="n">
        <v>0.6857</v>
      </c>
      <c r="I1620" s="51" t="n">
        <v>0.2925</v>
      </c>
      <c r="J1620" s="51" t="n">
        <v>0.0218</v>
      </c>
      <c r="K1620" s="49"/>
      <c r="L1620" s="49"/>
      <c r="M1620" s="49"/>
      <c r="N1620" s="49"/>
      <c r="O1620" s="49"/>
      <c r="P1620" s="49"/>
      <c r="Q1620" s="49" t="s">
        <v>281</v>
      </c>
      <c r="R1620" s="49"/>
      <c r="S1620" s="49" t="n">
        <v>0</v>
      </c>
      <c r="T1620" s="49" t="n">
        <v>0</v>
      </c>
      <c r="U1620" s="49" t="s">
        <v>3491</v>
      </c>
    </row>
    <row r="1621" customFormat="false" ht="15" hidden="false" customHeight="false" outlineLevel="0" collapsed="false">
      <c r="B1621" s="48" t="n">
        <v>45514.3837615741</v>
      </c>
      <c r="C1621" s="4" t="n">
        <f aca="false">YEAR(B1621)</f>
        <v>2024</v>
      </c>
      <c r="D1621" s="49" t="s">
        <v>283</v>
      </c>
      <c r="E1621" s="49" t="s">
        <v>3492</v>
      </c>
      <c r="F1621" s="50" t="n">
        <v>1</v>
      </c>
      <c r="G1621" s="49" t="s">
        <v>290</v>
      </c>
      <c r="H1621" s="51" t="n">
        <v>0.0108</v>
      </c>
      <c r="I1621" s="51" t="n">
        <v>0.7279</v>
      </c>
      <c r="J1621" s="51" t="n">
        <v>0.2613</v>
      </c>
      <c r="K1621" s="49"/>
      <c r="L1621" s="49"/>
      <c r="M1621" s="49"/>
      <c r="N1621" s="49"/>
      <c r="O1621" s="49"/>
      <c r="P1621" s="49"/>
      <c r="Q1621" s="49"/>
      <c r="R1621" s="49"/>
      <c r="S1621" s="49" t="n">
        <v>0</v>
      </c>
      <c r="T1621" s="49" t="n">
        <v>0</v>
      </c>
      <c r="U1621" s="49" t="s">
        <v>3493</v>
      </c>
    </row>
    <row r="1622" customFormat="false" ht="15" hidden="false" customHeight="false" outlineLevel="0" collapsed="false">
      <c r="B1622" s="48" t="n">
        <v>45514.8816319444</v>
      </c>
      <c r="C1622" s="4" t="n">
        <f aca="false">YEAR(B1622)</f>
        <v>2024</v>
      </c>
      <c r="D1622" s="49" t="s">
        <v>283</v>
      </c>
      <c r="E1622" s="49" t="s">
        <v>3494</v>
      </c>
      <c r="F1622" s="50" t="n">
        <v>1</v>
      </c>
      <c r="G1622" s="49" t="s">
        <v>290</v>
      </c>
      <c r="H1622" s="51" t="n">
        <v>0.0166</v>
      </c>
      <c r="I1622" s="51" t="n">
        <v>0.8441</v>
      </c>
      <c r="J1622" s="51" t="n">
        <v>0.1394</v>
      </c>
      <c r="K1622" s="49"/>
      <c r="L1622" s="49"/>
      <c r="M1622" s="49"/>
      <c r="N1622" s="49"/>
      <c r="O1622" s="49"/>
      <c r="P1622" s="49"/>
      <c r="Q1622" s="49"/>
      <c r="R1622" s="49"/>
      <c r="S1622" s="49" t="n">
        <v>0</v>
      </c>
      <c r="T1622" s="49" t="n">
        <v>0</v>
      </c>
      <c r="U1622" s="49" t="s">
        <v>3495</v>
      </c>
    </row>
    <row r="1623" customFormat="false" ht="15" hidden="false" customHeight="false" outlineLevel="0" collapsed="false">
      <c r="B1623" s="48" t="n">
        <v>45515.6056597222</v>
      </c>
      <c r="C1623" s="4" t="n">
        <f aca="false">YEAR(B1623)</f>
        <v>2024</v>
      </c>
      <c r="D1623" s="49" t="s">
        <v>278</v>
      </c>
      <c r="E1623" s="49" t="s">
        <v>3496</v>
      </c>
      <c r="F1623" s="50" t="n">
        <v>2</v>
      </c>
      <c r="G1623" s="49" t="s">
        <v>280</v>
      </c>
      <c r="H1623" s="51" t="n">
        <v>0.8664</v>
      </c>
      <c r="I1623" s="51" t="n">
        <v>0.1214</v>
      </c>
      <c r="J1623" s="51" t="n">
        <v>0.0123</v>
      </c>
      <c r="K1623" s="49"/>
      <c r="L1623" s="49"/>
      <c r="M1623" s="49"/>
      <c r="N1623" s="49"/>
      <c r="O1623" s="49"/>
      <c r="P1623" s="49"/>
      <c r="Q1623" s="49"/>
      <c r="R1623" s="49"/>
      <c r="S1623" s="49" t="n">
        <v>0</v>
      </c>
      <c r="T1623" s="49" t="n">
        <v>0</v>
      </c>
      <c r="U1623" s="49" t="s">
        <v>3497</v>
      </c>
    </row>
    <row r="1624" customFormat="false" ht="15" hidden="false" customHeight="false" outlineLevel="0" collapsed="false">
      <c r="B1624" s="48" t="n">
        <v>45516.4410763889</v>
      </c>
      <c r="C1624" s="4" t="n">
        <f aca="false">YEAR(B1624)</f>
        <v>2024</v>
      </c>
      <c r="D1624" s="49" t="s">
        <v>283</v>
      </c>
      <c r="E1624" s="49" t="s">
        <v>3498</v>
      </c>
      <c r="F1624" s="50" t="n">
        <v>2</v>
      </c>
      <c r="G1624" s="49" t="s">
        <v>287</v>
      </c>
      <c r="H1624" s="51" t="n">
        <v>0.007</v>
      </c>
      <c r="I1624" s="51" t="n">
        <v>0.4813</v>
      </c>
      <c r="J1624" s="51" t="n">
        <v>0.5117</v>
      </c>
      <c r="K1624" s="49"/>
      <c r="L1624" s="49"/>
      <c r="M1624" s="49"/>
      <c r="N1624" s="49"/>
      <c r="O1624" s="49"/>
      <c r="P1624" s="49"/>
      <c r="Q1624" s="49"/>
      <c r="R1624" s="49"/>
      <c r="S1624" s="49" t="n">
        <v>0</v>
      </c>
      <c r="T1624" s="49" t="n">
        <v>0</v>
      </c>
      <c r="U1624" s="49" t="s">
        <v>3499</v>
      </c>
    </row>
    <row r="1625" customFormat="false" ht="15" hidden="false" customHeight="false" outlineLevel="0" collapsed="false">
      <c r="B1625" s="48" t="n">
        <v>45516.8590277778</v>
      </c>
      <c r="C1625" s="4" t="n">
        <f aca="false">YEAR(B1625)</f>
        <v>2024</v>
      </c>
      <c r="D1625" s="49" t="s">
        <v>278</v>
      </c>
      <c r="E1625" s="49" t="s">
        <v>3500</v>
      </c>
      <c r="F1625" s="50" t="n">
        <v>35</v>
      </c>
      <c r="G1625" s="49" t="s">
        <v>280</v>
      </c>
      <c r="H1625" s="51" t="n">
        <v>0.8317</v>
      </c>
      <c r="I1625" s="51" t="n">
        <v>0.156</v>
      </c>
      <c r="J1625" s="51" t="n">
        <v>0.0123</v>
      </c>
      <c r="K1625" s="49"/>
      <c r="L1625" s="49"/>
      <c r="M1625" s="49"/>
      <c r="N1625" s="49"/>
      <c r="O1625" s="49"/>
      <c r="P1625" s="49"/>
      <c r="Q1625" s="49"/>
      <c r="R1625" s="49" t="s">
        <v>281</v>
      </c>
      <c r="S1625" s="49" t="n">
        <v>0</v>
      </c>
      <c r="T1625" s="49" t="n">
        <v>0</v>
      </c>
      <c r="U1625" s="49" t="s">
        <v>3501</v>
      </c>
    </row>
    <row r="1626" customFormat="false" ht="15" hidden="false" customHeight="false" outlineLevel="0" collapsed="false">
      <c r="B1626" s="48" t="n">
        <v>45517.1690509259</v>
      </c>
      <c r="C1626" s="4" t="n">
        <f aca="false">YEAR(B1626)</f>
        <v>2024</v>
      </c>
      <c r="D1626" s="49" t="s">
        <v>283</v>
      </c>
      <c r="E1626" s="49" t="s">
        <v>3502</v>
      </c>
      <c r="F1626" s="50" t="n">
        <v>1</v>
      </c>
      <c r="G1626" s="49" t="s">
        <v>280</v>
      </c>
      <c r="H1626" s="51" t="n">
        <v>0.8267</v>
      </c>
      <c r="I1626" s="51" t="n">
        <v>0.1652</v>
      </c>
      <c r="J1626" s="51" t="n">
        <v>0.0081</v>
      </c>
      <c r="K1626" s="49"/>
      <c r="L1626" s="49"/>
      <c r="M1626" s="49"/>
      <c r="N1626" s="49"/>
      <c r="O1626" s="49"/>
      <c r="P1626" s="49"/>
      <c r="Q1626" s="49"/>
      <c r="R1626" s="49"/>
      <c r="S1626" s="49" t="n">
        <v>1</v>
      </c>
      <c r="T1626" s="49" t="n">
        <v>0</v>
      </c>
      <c r="U1626" s="49" t="s">
        <v>3503</v>
      </c>
    </row>
    <row r="1627" customFormat="false" ht="15" hidden="false" customHeight="false" outlineLevel="0" collapsed="false">
      <c r="B1627" s="48" t="n">
        <v>45517.7179861111</v>
      </c>
      <c r="C1627" s="4" t="n">
        <f aca="false">YEAR(B1627)</f>
        <v>2024</v>
      </c>
      <c r="D1627" s="49" t="s">
        <v>283</v>
      </c>
      <c r="E1627" s="49" t="s">
        <v>3504</v>
      </c>
      <c r="F1627" s="50" t="n">
        <v>2</v>
      </c>
      <c r="G1627" s="49" t="s">
        <v>290</v>
      </c>
      <c r="H1627" s="51" t="n">
        <v>0.0099</v>
      </c>
      <c r="I1627" s="51" t="n">
        <v>0.7837</v>
      </c>
      <c r="J1627" s="51" t="n">
        <v>0.2064</v>
      </c>
      <c r="K1627" s="49"/>
      <c r="L1627" s="49"/>
      <c r="M1627" s="49"/>
      <c r="N1627" s="49"/>
      <c r="O1627" s="49"/>
      <c r="P1627" s="49"/>
      <c r="Q1627" s="49"/>
      <c r="R1627" s="49"/>
      <c r="S1627" s="49" t="n">
        <v>0</v>
      </c>
      <c r="T1627" s="49" t="n">
        <v>0</v>
      </c>
      <c r="U1627" s="49" t="s">
        <v>3505</v>
      </c>
    </row>
    <row r="1628" customFormat="false" ht="15" hidden="false" customHeight="false" outlineLevel="0" collapsed="false">
      <c r="B1628" s="48" t="n">
        <v>45517.854525463</v>
      </c>
      <c r="C1628" s="4" t="n">
        <f aca="false">YEAR(B1628)</f>
        <v>2024</v>
      </c>
      <c r="D1628" s="49" t="s">
        <v>283</v>
      </c>
      <c r="E1628" s="49" t="s">
        <v>3506</v>
      </c>
      <c r="F1628" s="50" t="n">
        <v>2</v>
      </c>
      <c r="G1628" s="49" t="s">
        <v>287</v>
      </c>
      <c r="H1628" s="51" t="n">
        <v>0.032</v>
      </c>
      <c r="I1628" s="51" t="n">
        <v>0.4577</v>
      </c>
      <c r="J1628" s="51" t="n">
        <v>0.5103</v>
      </c>
      <c r="K1628" s="49"/>
      <c r="L1628" s="49"/>
      <c r="M1628" s="49"/>
      <c r="N1628" s="49"/>
      <c r="O1628" s="49"/>
      <c r="P1628" s="49"/>
      <c r="Q1628" s="49"/>
      <c r="R1628" s="49"/>
      <c r="S1628" s="49" t="n">
        <v>0</v>
      </c>
      <c r="T1628" s="49" t="n">
        <v>0</v>
      </c>
      <c r="U1628" s="49" t="s">
        <v>3507</v>
      </c>
    </row>
    <row r="1629" customFormat="false" ht="15" hidden="false" customHeight="false" outlineLevel="0" collapsed="false">
      <c r="B1629" s="48" t="n">
        <v>45517.8716203704</v>
      </c>
      <c r="C1629" s="4" t="n">
        <f aca="false">YEAR(B1629)</f>
        <v>2024</v>
      </c>
      <c r="D1629" s="49" t="s">
        <v>283</v>
      </c>
      <c r="E1629" s="49" t="s">
        <v>3508</v>
      </c>
      <c r="F1629" s="50" t="n">
        <v>9</v>
      </c>
      <c r="G1629" s="49" t="s">
        <v>290</v>
      </c>
      <c r="H1629" s="51" t="n">
        <v>0.0414</v>
      </c>
      <c r="I1629" s="51" t="n">
        <v>0.6467</v>
      </c>
      <c r="J1629" s="51" t="n">
        <v>0.3119</v>
      </c>
      <c r="K1629" s="49"/>
      <c r="L1629" s="49"/>
      <c r="M1629" s="49"/>
      <c r="N1629" s="49"/>
      <c r="O1629" s="49"/>
      <c r="P1629" s="49"/>
      <c r="Q1629" s="49"/>
      <c r="R1629" s="49"/>
      <c r="S1629" s="49" t="n">
        <v>0</v>
      </c>
      <c r="T1629" s="49" t="n">
        <v>0</v>
      </c>
      <c r="U1629" s="49" t="s">
        <v>3509</v>
      </c>
    </row>
    <row r="1630" customFormat="false" ht="15" hidden="false" customHeight="false" outlineLevel="0" collapsed="false">
      <c r="B1630" s="48" t="n">
        <v>45518.0222337963</v>
      </c>
      <c r="C1630" s="4" t="n">
        <f aca="false">YEAR(B1630)</f>
        <v>2024</v>
      </c>
      <c r="D1630" s="49" t="s">
        <v>283</v>
      </c>
      <c r="E1630" s="49" t="s">
        <v>3510</v>
      </c>
      <c r="F1630" s="50" t="n">
        <v>1</v>
      </c>
      <c r="G1630" s="49" t="s">
        <v>290</v>
      </c>
      <c r="H1630" s="51" t="n">
        <v>0.0136</v>
      </c>
      <c r="I1630" s="51" t="n">
        <v>0.9223</v>
      </c>
      <c r="J1630" s="51" t="n">
        <v>0.0641</v>
      </c>
      <c r="K1630" s="49"/>
      <c r="L1630" s="49"/>
      <c r="M1630" s="49"/>
      <c r="N1630" s="49"/>
      <c r="O1630" s="49"/>
      <c r="P1630" s="49"/>
      <c r="Q1630" s="49"/>
      <c r="R1630" s="49"/>
      <c r="S1630" s="49" t="n">
        <v>1</v>
      </c>
      <c r="T1630" s="49" t="n">
        <v>0</v>
      </c>
      <c r="U1630" s="49" t="s">
        <v>3511</v>
      </c>
    </row>
    <row r="1631" customFormat="false" ht="15" hidden="false" customHeight="false" outlineLevel="0" collapsed="false">
      <c r="B1631" s="48" t="n">
        <v>45518.0431018519</v>
      </c>
      <c r="C1631" s="4" t="n">
        <f aca="false">YEAR(B1631)</f>
        <v>2024</v>
      </c>
      <c r="D1631" s="49" t="s">
        <v>283</v>
      </c>
      <c r="E1631" s="49" t="s">
        <v>3512</v>
      </c>
      <c r="F1631" s="50" t="n">
        <v>1</v>
      </c>
      <c r="G1631" s="49" t="s">
        <v>290</v>
      </c>
      <c r="H1631" s="51" t="n">
        <v>0.148</v>
      </c>
      <c r="I1631" s="51" t="n">
        <v>0.7634</v>
      </c>
      <c r="J1631" s="51" t="n">
        <v>0.0886</v>
      </c>
      <c r="K1631" s="49"/>
      <c r="L1631" s="49"/>
      <c r="M1631" s="49"/>
      <c r="N1631" s="49"/>
      <c r="O1631" s="49"/>
      <c r="P1631" s="49"/>
      <c r="Q1631" s="49"/>
      <c r="R1631" s="49"/>
      <c r="S1631" s="49" t="n">
        <v>0</v>
      </c>
      <c r="T1631" s="49" t="n">
        <v>0</v>
      </c>
      <c r="U1631" s="49" t="s">
        <v>3513</v>
      </c>
    </row>
    <row r="1632" customFormat="false" ht="15" hidden="false" customHeight="false" outlineLevel="0" collapsed="false">
      <c r="B1632" s="48" t="n">
        <v>45518.2641203704</v>
      </c>
      <c r="C1632" s="4" t="n">
        <f aca="false">YEAR(B1632)</f>
        <v>2024</v>
      </c>
      <c r="D1632" s="49" t="s">
        <v>283</v>
      </c>
      <c r="E1632" s="49" t="s">
        <v>3514</v>
      </c>
      <c r="F1632" s="50" t="n">
        <v>0</v>
      </c>
      <c r="G1632" s="49" t="s">
        <v>280</v>
      </c>
      <c r="H1632" s="51" t="n">
        <v>0.8391</v>
      </c>
      <c r="I1632" s="51" t="n">
        <v>0.1534</v>
      </c>
      <c r="J1632" s="51" t="n">
        <v>0.0075</v>
      </c>
      <c r="K1632" s="49"/>
      <c r="L1632" s="49"/>
      <c r="M1632" s="49"/>
      <c r="N1632" s="49" t="s">
        <v>281</v>
      </c>
      <c r="O1632" s="49"/>
      <c r="P1632" s="49"/>
      <c r="Q1632" s="49"/>
      <c r="R1632" s="49"/>
      <c r="S1632" s="49" t="n">
        <v>0</v>
      </c>
      <c r="T1632" s="49" t="n">
        <v>0</v>
      </c>
      <c r="U1632" s="49" t="s">
        <v>3515</v>
      </c>
    </row>
    <row r="1633" customFormat="false" ht="15" hidden="false" customHeight="false" outlineLevel="0" collapsed="false">
      <c r="B1633" s="48" t="n">
        <v>45518.5400578704</v>
      </c>
      <c r="C1633" s="4" t="n">
        <f aca="false">YEAR(B1633)</f>
        <v>2024</v>
      </c>
      <c r="D1633" s="49" t="s">
        <v>283</v>
      </c>
      <c r="E1633" s="49" t="s">
        <v>3516</v>
      </c>
      <c r="F1633" s="50" t="n">
        <v>4</v>
      </c>
      <c r="G1633" s="49" t="s">
        <v>287</v>
      </c>
      <c r="H1633" s="51" t="n">
        <v>0.0073</v>
      </c>
      <c r="I1633" s="51" t="n">
        <v>0.2592</v>
      </c>
      <c r="J1633" s="51" t="n">
        <v>0.7336</v>
      </c>
      <c r="K1633" s="49"/>
      <c r="L1633" s="49"/>
      <c r="M1633" s="49"/>
      <c r="N1633" s="49"/>
      <c r="O1633" s="49"/>
      <c r="P1633" s="49"/>
      <c r="Q1633" s="49"/>
      <c r="R1633" s="49"/>
      <c r="S1633" s="49" t="n">
        <v>0</v>
      </c>
      <c r="T1633" s="49" t="n">
        <v>0</v>
      </c>
      <c r="U1633" s="49" t="s">
        <v>3517</v>
      </c>
    </row>
    <row r="1634" customFormat="false" ht="15" hidden="false" customHeight="false" outlineLevel="0" collapsed="false">
      <c r="B1634" s="48" t="n">
        <v>45518.93625</v>
      </c>
      <c r="C1634" s="4" t="n">
        <f aca="false">YEAR(B1634)</f>
        <v>2024</v>
      </c>
      <c r="D1634" s="49" t="s">
        <v>283</v>
      </c>
      <c r="E1634" s="49" t="s">
        <v>3518</v>
      </c>
      <c r="F1634" s="50" t="n">
        <v>1</v>
      </c>
      <c r="G1634" s="49" t="s">
        <v>290</v>
      </c>
      <c r="H1634" s="51" t="n">
        <v>0.0066</v>
      </c>
      <c r="I1634" s="51" t="n">
        <v>0.8071</v>
      </c>
      <c r="J1634" s="51" t="n">
        <v>0.1864</v>
      </c>
      <c r="K1634" s="49"/>
      <c r="L1634" s="49"/>
      <c r="M1634" s="49"/>
      <c r="N1634" s="49"/>
      <c r="O1634" s="49"/>
      <c r="P1634" s="49"/>
      <c r="Q1634" s="49" t="s">
        <v>281</v>
      </c>
      <c r="R1634" s="49"/>
      <c r="S1634" s="49" t="n">
        <v>1</v>
      </c>
      <c r="T1634" s="49" t="n">
        <v>0</v>
      </c>
      <c r="U1634" s="49" t="s">
        <v>3519</v>
      </c>
    </row>
    <row r="1635" customFormat="false" ht="15" hidden="false" customHeight="false" outlineLevel="0" collapsed="false">
      <c r="B1635" s="48" t="n">
        <v>45519.3412615741</v>
      </c>
      <c r="C1635" s="4" t="n">
        <f aca="false">YEAR(B1635)</f>
        <v>2024</v>
      </c>
      <c r="D1635" s="49" t="s">
        <v>278</v>
      </c>
      <c r="E1635" s="49" t="s">
        <v>3520</v>
      </c>
      <c r="F1635" s="50" t="n">
        <v>6</v>
      </c>
      <c r="G1635" s="49" t="s">
        <v>280</v>
      </c>
      <c r="H1635" s="51" t="n">
        <v>0.8415</v>
      </c>
      <c r="I1635" s="51" t="n">
        <v>0.1404</v>
      </c>
      <c r="J1635" s="51" t="n">
        <v>0.0181</v>
      </c>
      <c r="K1635" s="49"/>
      <c r="L1635" s="49"/>
      <c r="M1635" s="49"/>
      <c r="N1635" s="49"/>
      <c r="O1635" s="49"/>
      <c r="P1635" s="49"/>
      <c r="Q1635" s="49"/>
      <c r="R1635" s="49"/>
      <c r="S1635" s="49" t="n">
        <v>0</v>
      </c>
      <c r="T1635" s="49" t="n">
        <v>0</v>
      </c>
      <c r="U1635" s="49" t="s">
        <v>3521</v>
      </c>
    </row>
    <row r="1636" customFormat="false" ht="15" hidden="false" customHeight="false" outlineLevel="0" collapsed="false">
      <c r="B1636" s="48" t="n">
        <v>45519.390162037</v>
      </c>
      <c r="C1636" s="4" t="n">
        <f aca="false">YEAR(B1636)</f>
        <v>2024</v>
      </c>
      <c r="D1636" s="49" t="s">
        <v>278</v>
      </c>
      <c r="E1636" s="49" t="s">
        <v>3522</v>
      </c>
      <c r="F1636" s="50" t="n">
        <v>2</v>
      </c>
      <c r="G1636" s="49" t="s">
        <v>280</v>
      </c>
      <c r="H1636" s="51" t="n">
        <v>0.749</v>
      </c>
      <c r="I1636" s="51" t="n">
        <v>0.2183</v>
      </c>
      <c r="J1636" s="51" t="n">
        <v>0.0326</v>
      </c>
      <c r="K1636" s="49"/>
      <c r="L1636" s="49"/>
      <c r="M1636" s="49"/>
      <c r="N1636" s="49"/>
      <c r="O1636" s="49"/>
      <c r="P1636" s="49"/>
      <c r="Q1636" s="49"/>
      <c r="R1636" s="49" t="s">
        <v>281</v>
      </c>
      <c r="S1636" s="49" t="n">
        <v>0</v>
      </c>
      <c r="T1636" s="49" t="n">
        <v>0</v>
      </c>
      <c r="U1636" s="49" t="s">
        <v>3523</v>
      </c>
    </row>
    <row r="1637" customFormat="false" ht="15" hidden="false" customHeight="false" outlineLevel="0" collapsed="false">
      <c r="B1637" s="48" t="n">
        <v>45520.1316782407</v>
      </c>
      <c r="C1637" s="4" t="n">
        <f aca="false">YEAR(B1637)</f>
        <v>2024</v>
      </c>
      <c r="D1637" s="49" t="s">
        <v>283</v>
      </c>
      <c r="E1637" s="49" t="s">
        <v>3524</v>
      </c>
      <c r="F1637" s="50" t="n">
        <v>0</v>
      </c>
      <c r="G1637" s="49" t="s">
        <v>280</v>
      </c>
      <c r="H1637" s="51" t="n">
        <v>0.8024</v>
      </c>
      <c r="I1637" s="51" t="n">
        <v>0.1894</v>
      </c>
      <c r="J1637" s="51" t="n">
        <v>0.0082</v>
      </c>
      <c r="K1637" s="49"/>
      <c r="L1637" s="49"/>
      <c r="M1637" s="49"/>
      <c r="N1637" s="49"/>
      <c r="O1637" s="49"/>
      <c r="P1637" s="49"/>
      <c r="Q1637" s="49"/>
      <c r="R1637" s="49"/>
      <c r="S1637" s="49" t="n">
        <v>0</v>
      </c>
      <c r="T1637" s="49" t="n">
        <v>0</v>
      </c>
      <c r="U1637" s="49" t="s">
        <v>3525</v>
      </c>
    </row>
    <row r="1638" customFormat="false" ht="15" hidden="false" customHeight="false" outlineLevel="0" collapsed="false">
      <c r="B1638" s="48" t="n">
        <v>45520.602650463</v>
      </c>
      <c r="C1638" s="4" t="n">
        <f aca="false">YEAR(B1638)</f>
        <v>2024</v>
      </c>
      <c r="D1638" s="49" t="s">
        <v>283</v>
      </c>
      <c r="E1638" s="49" t="s">
        <v>3526</v>
      </c>
      <c r="F1638" s="50" t="n">
        <v>1</v>
      </c>
      <c r="G1638" s="49" t="s">
        <v>280</v>
      </c>
      <c r="H1638" s="51" t="n">
        <v>0.6891</v>
      </c>
      <c r="I1638" s="51" t="n">
        <v>0.2967</v>
      </c>
      <c r="J1638" s="51" t="n">
        <v>0.0142</v>
      </c>
      <c r="K1638" s="49"/>
      <c r="L1638" s="49"/>
      <c r="M1638" s="49"/>
      <c r="N1638" s="49"/>
      <c r="O1638" s="49"/>
      <c r="P1638" s="49"/>
      <c r="Q1638" s="49"/>
      <c r="R1638" s="49"/>
      <c r="S1638" s="49" t="n">
        <v>0</v>
      </c>
      <c r="T1638" s="49" t="n">
        <v>0</v>
      </c>
      <c r="U1638" s="49" t="s">
        <v>3527</v>
      </c>
    </row>
    <row r="1639" customFormat="false" ht="15" hidden="false" customHeight="false" outlineLevel="0" collapsed="false">
      <c r="B1639" s="48" t="n">
        <v>45520.8533101852</v>
      </c>
      <c r="C1639" s="4" t="n">
        <f aca="false">YEAR(B1639)</f>
        <v>2024</v>
      </c>
      <c r="D1639" s="49" t="s">
        <v>283</v>
      </c>
      <c r="E1639" s="49" t="s">
        <v>3528</v>
      </c>
      <c r="F1639" s="50" t="n">
        <v>0</v>
      </c>
      <c r="G1639" s="49" t="s">
        <v>290</v>
      </c>
      <c r="H1639" s="51" t="n">
        <v>0.1279</v>
      </c>
      <c r="I1639" s="51" t="n">
        <v>0.8472</v>
      </c>
      <c r="J1639" s="51" t="n">
        <v>0.0248</v>
      </c>
      <c r="K1639" s="49"/>
      <c r="L1639" s="49"/>
      <c r="M1639" s="49"/>
      <c r="N1639" s="49"/>
      <c r="O1639" s="49"/>
      <c r="P1639" s="49"/>
      <c r="Q1639" s="49" t="s">
        <v>281</v>
      </c>
      <c r="R1639" s="49"/>
      <c r="S1639" s="49" t="n">
        <v>0</v>
      </c>
      <c r="T1639" s="49" t="n">
        <v>0</v>
      </c>
      <c r="U1639" s="49" t="s">
        <v>3529</v>
      </c>
    </row>
    <row r="1640" customFormat="false" ht="15" hidden="false" customHeight="false" outlineLevel="0" collapsed="false">
      <c r="B1640" s="48" t="n">
        <v>45520.9891782407</v>
      </c>
      <c r="C1640" s="4" t="n">
        <f aca="false">YEAR(B1640)</f>
        <v>2024</v>
      </c>
      <c r="D1640" s="49" t="s">
        <v>283</v>
      </c>
      <c r="E1640" s="49" t="s">
        <v>3530</v>
      </c>
      <c r="F1640" s="50" t="n">
        <v>1</v>
      </c>
      <c r="G1640" s="49" t="s">
        <v>290</v>
      </c>
      <c r="H1640" s="51" t="n">
        <v>0.0105</v>
      </c>
      <c r="I1640" s="51" t="n">
        <v>0.5296</v>
      </c>
      <c r="J1640" s="51" t="n">
        <v>0.4599</v>
      </c>
      <c r="K1640" s="49"/>
      <c r="L1640" s="49"/>
      <c r="M1640" s="49"/>
      <c r="N1640" s="49"/>
      <c r="O1640" s="49"/>
      <c r="P1640" s="49"/>
      <c r="Q1640" s="49"/>
      <c r="R1640" s="49"/>
      <c r="S1640" s="49" t="n">
        <v>0</v>
      </c>
      <c r="T1640" s="49" t="n">
        <v>0</v>
      </c>
      <c r="U1640" s="49" t="s">
        <v>3531</v>
      </c>
    </row>
    <row r="1641" customFormat="false" ht="15" hidden="false" customHeight="false" outlineLevel="0" collapsed="false">
      <c r="B1641" s="48" t="n">
        <v>45521.7243634259</v>
      </c>
      <c r="C1641" s="4" t="n">
        <f aca="false">YEAR(B1641)</f>
        <v>2024</v>
      </c>
      <c r="D1641" s="49" t="s">
        <v>283</v>
      </c>
      <c r="E1641" s="49" t="s">
        <v>3532</v>
      </c>
      <c r="F1641" s="50" t="n">
        <v>4</v>
      </c>
      <c r="G1641" s="49" t="s">
        <v>287</v>
      </c>
      <c r="H1641" s="51" t="n">
        <v>0.0034</v>
      </c>
      <c r="I1641" s="51" t="n">
        <v>0.1129</v>
      </c>
      <c r="J1641" s="51" t="n">
        <v>0.8838</v>
      </c>
      <c r="K1641" s="49"/>
      <c r="L1641" s="49"/>
      <c r="M1641" s="49"/>
      <c r="N1641" s="49"/>
      <c r="O1641" s="49"/>
      <c r="P1641" s="49"/>
      <c r="Q1641" s="49"/>
      <c r="R1641" s="49"/>
      <c r="S1641" s="49" t="n">
        <v>0</v>
      </c>
      <c r="T1641" s="49" t="n">
        <v>0</v>
      </c>
      <c r="U1641" s="49" t="s">
        <v>3533</v>
      </c>
    </row>
    <row r="1642" customFormat="false" ht="15" hidden="false" customHeight="false" outlineLevel="0" collapsed="false">
      <c r="B1642" s="48" t="n">
        <v>45522.4446527778</v>
      </c>
      <c r="C1642" s="4" t="n">
        <f aca="false">YEAR(B1642)</f>
        <v>2024</v>
      </c>
      <c r="D1642" s="49" t="s">
        <v>283</v>
      </c>
      <c r="E1642" s="49" t="s">
        <v>3534</v>
      </c>
      <c r="F1642" s="50" t="n">
        <v>2</v>
      </c>
      <c r="G1642" s="49" t="s">
        <v>280</v>
      </c>
      <c r="H1642" s="51" t="n">
        <v>0.6532</v>
      </c>
      <c r="I1642" s="51" t="n">
        <v>0.3305</v>
      </c>
      <c r="J1642" s="51" t="n">
        <v>0.0163</v>
      </c>
      <c r="K1642" s="49"/>
      <c r="L1642" s="49"/>
      <c r="M1642" s="49"/>
      <c r="N1642" s="49"/>
      <c r="O1642" s="49"/>
      <c r="P1642" s="49"/>
      <c r="Q1642" s="49" t="s">
        <v>281</v>
      </c>
      <c r="R1642" s="49"/>
      <c r="S1642" s="49" t="n">
        <v>0</v>
      </c>
      <c r="T1642" s="49" t="n">
        <v>0</v>
      </c>
      <c r="U1642" s="49" t="s">
        <v>3535</v>
      </c>
    </row>
    <row r="1643" customFormat="false" ht="15" hidden="false" customHeight="false" outlineLevel="0" collapsed="false">
      <c r="B1643" s="48" t="n">
        <v>45522.5183912037</v>
      </c>
      <c r="C1643" s="4" t="n">
        <f aca="false">YEAR(B1643)</f>
        <v>2024</v>
      </c>
      <c r="D1643" s="49" t="s">
        <v>283</v>
      </c>
      <c r="E1643" s="49" t="s">
        <v>3536</v>
      </c>
      <c r="F1643" s="50" t="n">
        <v>1</v>
      </c>
      <c r="G1643" s="49" t="s">
        <v>290</v>
      </c>
      <c r="H1643" s="51" t="n">
        <v>0.0111</v>
      </c>
      <c r="I1643" s="51" t="n">
        <v>0.8777</v>
      </c>
      <c r="J1643" s="51" t="n">
        <v>0.1112</v>
      </c>
      <c r="K1643" s="49"/>
      <c r="L1643" s="49"/>
      <c r="M1643" s="49"/>
      <c r="N1643" s="49"/>
      <c r="O1643" s="49"/>
      <c r="P1643" s="49"/>
      <c r="Q1643" s="49"/>
      <c r="R1643" s="49"/>
      <c r="S1643" s="49" t="n">
        <v>0</v>
      </c>
      <c r="T1643" s="49" t="n">
        <v>0</v>
      </c>
      <c r="U1643" s="49" t="s">
        <v>3537</v>
      </c>
    </row>
    <row r="1644" customFormat="false" ht="15" hidden="false" customHeight="false" outlineLevel="0" collapsed="false">
      <c r="B1644" s="48" t="n">
        <v>45522.6885300926</v>
      </c>
      <c r="C1644" s="4" t="n">
        <f aca="false">YEAR(B1644)</f>
        <v>2024</v>
      </c>
      <c r="D1644" s="49" t="s">
        <v>283</v>
      </c>
      <c r="E1644" s="49" t="s">
        <v>3538</v>
      </c>
      <c r="F1644" s="50" t="n">
        <v>1</v>
      </c>
      <c r="G1644" s="49" t="s">
        <v>280</v>
      </c>
      <c r="H1644" s="51" t="n">
        <v>0.5992</v>
      </c>
      <c r="I1644" s="51" t="n">
        <v>0.3906</v>
      </c>
      <c r="J1644" s="51" t="n">
        <v>0.0103</v>
      </c>
      <c r="K1644" s="49"/>
      <c r="L1644" s="49"/>
      <c r="M1644" s="49"/>
      <c r="N1644" s="49"/>
      <c r="O1644" s="49"/>
      <c r="P1644" s="49"/>
      <c r="Q1644" s="49"/>
      <c r="R1644" s="49"/>
      <c r="S1644" s="49" t="n">
        <v>1</v>
      </c>
      <c r="T1644" s="49" t="n">
        <v>0</v>
      </c>
      <c r="U1644" s="49" t="s">
        <v>3539</v>
      </c>
    </row>
    <row r="1645" customFormat="false" ht="15" hidden="false" customHeight="false" outlineLevel="0" collapsed="false">
      <c r="B1645" s="48" t="n">
        <v>45523.2967939815</v>
      </c>
      <c r="C1645" s="4" t="n">
        <f aca="false">YEAR(B1645)</f>
        <v>2024</v>
      </c>
      <c r="D1645" s="49" t="s">
        <v>283</v>
      </c>
      <c r="E1645" s="49" t="s">
        <v>3540</v>
      </c>
      <c r="F1645" s="50" t="n">
        <v>1</v>
      </c>
      <c r="G1645" s="49" t="s">
        <v>280</v>
      </c>
      <c r="H1645" s="51" t="n">
        <v>0.7765</v>
      </c>
      <c r="I1645" s="51" t="n">
        <v>0.213</v>
      </c>
      <c r="J1645" s="51" t="n">
        <v>0.0105</v>
      </c>
      <c r="K1645" s="49"/>
      <c r="L1645" s="49"/>
      <c r="M1645" s="49"/>
      <c r="N1645" s="49"/>
      <c r="O1645" s="49"/>
      <c r="P1645" s="49"/>
      <c r="Q1645" s="49"/>
      <c r="R1645" s="49"/>
      <c r="S1645" s="49" t="n">
        <v>0</v>
      </c>
      <c r="T1645" s="49" t="n">
        <v>0</v>
      </c>
      <c r="U1645" s="49" t="s">
        <v>3541</v>
      </c>
    </row>
    <row r="1646" customFormat="false" ht="15" hidden="false" customHeight="false" outlineLevel="0" collapsed="false">
      <c r="B1646" s="48" t="n">
        <v>45523.4604976852</v>
      </c>
      <c r="C1646" s="4" t="n">
        <f aca="false">YEAR(B1646)</f>
        <v>2024</v>
      </c>
      <c r="D1646" s="49" t="s">
        <v>283</v>
      </c>
      <c r="E1646" s="49" t="s">
        <v>3542</v>
      </c>
      <c r="F1646" s="50" t="n">
        <v>5</v>
      </c>
      <c r="G1646" s="49" t="s">
        <v>280</v>
      </c>
      <c r="H1646" s="51" t="n">
        <v>0.5409</v>
      </c>
      <c r="I1646" s="51" t="n">
        <v>0.419</v>
      </c>
      <c r="J1646" s="51" t="n">
        <v>0.04</v>
      </c>
      <c r="K1646" s="49"/>
      <c r="L1646" s="49"/>
      <c r="M1646" s="49"/>
      <c r="N1646" s="49"/>
      <c r="O1646" s="49"/>
      <c r="P1646" s="49"/>
      <c r="Q1646" s="49" t="s">
        <v>281</v>
      </c>
      <c r="R1646" s="49"/>
      <c r="S1646" s="49" t="n">
        <v>0</v>
      </c>
      <c r="T1646" s="49" t="n">
        <v>0</v>
      </c>
      <c r="U1646" s="49" t="s">
        <v>3543</v>
      </c>
    </row>
    <row r="1647" customFormat="false" ht="15" hidden="false" customHeight="false" outlineLevel="0" collapsed="false">
      <c r="B1647" s="48" t="n">
        <v>45523.6548958333</v>
      </c>
      <c r="C1647" s="4" t="n">
        <f aca="false">YEAR(B1647)</f>
        <v>2024</v>
      </c>
      <c r="D1647" s="49" t="s">
        <v>283</v>
      </c>
      <c r="E1647" s="49" t="s">
        <v>3544</v>
      </c>
      <c r="F1647" s="50" t="n">
        <v>10</v>
      </c>
      <c r="G1647" s="49" t="s">
        <v>287</v>
      </c>
      <c r="H1647" s="51" t="n">
        <v>0.0112</v>
      </c>
      <c r="I1647" s="51" t="n">
        <v>0.193</v>
      </c>
      <c r="J1647" s="51" t="n">
        <v>0.7958</v>
      </c>
      <c r="K1647" s="49"/>
      <c r="L1647" s="49"/>
      <c r="M1647" s="49"/>
      <c r="N1647" s="49"/>
      <c r="O1647" s="49"/>
      <c r="P1647" s="49"/>
      <c r="Q1647" s="49"/>
      <c r="R1647" s="49"/>
      <c r="S1647" s="49" t="n">
        <v>0</v>
      </c>
      <c r="T1647" s="49" t="n">
        <v>0</v>
      </c>
      <c r="U1647" s="49" t="s">
        <v>3545</v>
      </c>
    </row>
    <row r="1648" customFormat="false" ht="15" hidden="false" customHeight="false" outlineLevel="0" collapsed="false">
      <c r="B1648" s="48" t="n">
        <v>45524.219212963</v>
      </c>
      <c r="C1648" s="4" t="n">
        <f aca="false">YEAR(B1648)</f>
        <v>2024</v>
      </c>
      <c r="D1648" s="49" t="s">
        <v>283</v>
      </c>
      <c r="E1648" s="49" t="s">
        <v>3546</v>
      </c>
      <c r="F1648" s="50" t="n">
        <v>1</v>
      </c>
      <c r="G1648" s="49" t="s">
        <v>287</v>
      </c>
      <c r="H1648" s="51" t="n">
        <v>0.013</v>
      </c>
      <c r="I1648" s="51" t="n">
        <v>0.0892</v>
      </c>
      <c r="J1648" s="51" t="n">
        <v>0.8978</v>
      </c>
      <c r="K1648" s="49"/>
      <c r="L1648" s="49"/>
      <c r="M1648" s="49"/>
      <c r="N1648" s="49"/>
      <c r="O1648" s="49"/>
      <c r="P1648" s="49"/>
      <c r="Q1648" s="49"/>
      <c r="R1648" s="49" t="s">
        <v>281</v>
      </c>
      <c r="S1648" s="49" t="n">
        <v>0</v>
      </c>
      <c r="T1648" s="49" t="n">
        <v>0</v>
      </c>
      <c r="U1648" s="49" t="s">
        <v>3547</v>
      </c>
    </row>
    <row r="1649" customFormat="false" ht="15" hidden="false" customHeight="false" outlineLevel="0" collapsed="false">
      <c r="B1649" s="48" t="n">
        <v>45524.5331597222</v>
      </c>
      <c r="C1649" s="4" t="n">
        <f aca="false">YEAR(B1649)</f>
        <v>2024</v>
      </c>
      <c r="D1649" s="49" t="s">
        <v>283</v>
      </c>
      <c r="E1649" s="49" t="s">
        <v>3548</v>
      </c>
      <c r="F1649" s="50" t="n">
        <v>1</v>
      </c>
      <c r="G1649" s="49" t="s">
        <v>290</v>
      </c>
      <c r="H1649" s="51" t="n">
        <v>0.2894</v>
      </c>
      <c r="I1649" s="51" t="n">
        <v>0.6864</v>
      </c>
      <c r="J1649" s="51" t="n">
        <v>0.0242</v>
      </c>
      <c r="K1649" s="49"/>
      <c r="L1649" s="49"/>
      <c r="M1649" s="49"/>
      <c r="N1649" s="49"/>
      <c r="O1649" s="49"/>
      <c r="P1649" s="49"/>
      <c r="Q1649" s="49" t="s">
        <v>281</v>
      </c>
      <c r="R1649" s="49"/>
      <c r="S1649" s="49" t="n">
        <v>0</v>
      </c>
      <c r="T1649" s="49" t="n">
        <v>0</v>
      </c>
      <c r="U1649" s="49" t="s">
        <v>3549</v>
      </c>
    </row>
    <row r="1650" customFormat="false" ht="15" hidden="false" customHeight="false" outlineLevel="0" collapsed="false">
      <c r="B1650" s="48" t="n">
        <v>45524.5639699074</v>
      </c>
      <c r="C1650" s="4" t="n">
        <f aca="false">YEAR(B1650)</f>
        <v>2024</v>
      </c>
      <c r="D1650" s="49" t="s">
        <v>283</v>
      </c>
      <c r="E1650" s="49" t="s">
        <v>3550</v>
      </c>
      <c r="F1650" s="50" t="n">
        <v>1</v>
      </c>
      <c r="G1650" s="49" t="s">
        <v>280</v>
      </c>
      <c r="H1650" s="51" t="n">
        <v>0.8176</v>
      </c>
      <c r="I1650" s="51" t="n">
        <v>0.1694</v>
      </c>
      <c r="J1650" s="51" t="n">
        <v>0.013</v>
      </c>
      <c r="K1650" s="49"/>
      <c r="L1650" s="49"/>
      <c r="M1650" s="49"/>
      <c r="N1650" s="49"/>
      <c r="O1650" s="49"/>
      <c r="P1650" s="49"/>
      <c r="Q1650" s="49"/>
      <c r="R1650" s="49" t="s">
        <v>281</v>
      </c>
      <c r="S1650" s="49" t="n">
        <v>0</v>
      </c>
      <c r="T1650" s="49" t="n">
        <v>0</v>
      </c>
      <c r="U1650" s="49" t="s">
        <v>3551</v>
      </c>
    </row>
    <row r="1651" customFormat="false" ht="15" hidden="false" customHeight="false" outlineLevel="0" collapsed="false">
      <c r="B1651" s="48" t="n">
        <v>45524.7592824074</v>
      </c>
      <c r="C1651" s="4" t="n">
        <f aca="false">YEAR(B1651)</f>
        <v>2024</v>
      </c>
      <c r="D1651" s="49" t="s">
        <v>283</v>
      </c>
      <c r="E1651" s="49" t="s">
        <v>3552</v>
      </c>
      <c r="F1651" s="50" t="n">
        <v>1</v>
      </c>
      <c r="G1651" s="49" t="s">
        <v>287</v>
      </c>
      <c r="H1651" s="51" t="n">
        <v>0.0112</v>
      </c>
      <c r="I1651" s="51" t="n">
        <v>0.3807</v>
      </c>
      <c r="J1651" s="51" t="n">
        <v>0.6081</v>
      </c>
      <c r="K1651" s="49"/>
      <c r="L1651" s="49"/>
      <c r="M1651" s="49"/>
      <c r="N1651" s="49"/>
      <c r="O1651" s="49"/>
      <c r="P1651" s="49"/>
      <c r="Q1651" s="49"/>
      <c r="R1651" s="49"/>
      <c r="S1651" s="49" t="n">
        <v>0</v>
      </c>
      <c r="T1651" s="49" t="n">
        <v>0</v>
      </c>
      <c r="U1651" s="49" t="s">
        <v>3553</v>
      </c>
    </row>
    <row r="1652" customFormat="false" ht="15" hidden="false" customHeight="false" outlineLevel="0" collapsed="false">
      <c r="B1652" s="48" t="n">
        <v>45524.794537037</v>
      </c>
      <c r="C1652" s="4" t="n">
        <f aca="false">YEAR(B1652)</f>
        <v>2024</v>
      </c>
      <c r="D1652" s="49" t="s">
        <v>283</v>
      </c>
      <c r="E1652" s="49" t="s">
        <v>3554</v>
      </c>
      <c r="F1652" s="50" t="n">
        <v>1</v>
      </c>
      <c r="G1652" s="49" t="s">
        <v>280</v>
      </c>
      <c r="H1652" s="51" t="n">
        <v>0.5224</v>
      </c>
      <c r="I1652" s="51" t="n">
        <v>0.4558</v>
      </c>
      <c r="J1652" s="51" t="n">
        <v>0.0218</v>
      </c>
      <c r="K1652" s="49"/>
      <c r="L1652" s="49"/>
      <c r="M1652" s="49"/>
      <c r="N1652" s="49"/>
      <c r="O1652" s="49"/>
      <c r="P1652" s="49"/>
      <c r="Q1652" s="49"/>
      <c r="R1652" s="49"/>
      <c r="S1652" s="49" t="n">
        <v>1</v>
      </c>
      <c r="T1652" s="49" t="n">
        <v>0</v>
      </c>
      <c r="U1652" s="49" t="s">
        <v>3555</v>
      </c>
    </row>
    <row r="1653" customFormat="false" ht="15" hidden="false" customHeight="false" outlineLevel="0" collapsed="false">
      <c r="B1653" s="48" t="n">
        <v>45524.984849537</v>
      </c>
      <c r="C1653" s="4" t="n">
        <f aca="false">YEAR(B1653)</f>
        <v>2024</v>
      </c>
      <c r="D1653" s="49" t="s">
        <v>278</v>
      </c>
      <c r="E1653" s="49" t="s">
        <v>3556</v>
      </c>
      <c r="F1653" s="50" t="n">
        <v>1</v>
      </c>
      <c r="G1653" s="49" t="s">
        <v>280</v>
      </c>
      <c r="H1653" s="51" t="n">
        <v>0.5171</v>
      </c>
      <c r="I1653" s="51" t="n">
        <v>0.4536</v>
      </c>
      <c r="J1653" s="51" t="n">
        <v>0.0293</v>
      </c>
      <c r="K1653" s="49"/>
      <c r="L1653" s="49"/>
      <c r="M1653" s="49"/>
      <c r="N1653" s="49"/>
      <c r="O1653" s="49"/>
      <c r="P1653" s="49"/>
      <c r="Q1653" s="49"/>
      <c r="R1653" s="49" t="s">
        <v>281</v>
      </c>
      <c r="S1653" s="49" t="n">
        <v>0</v>
      </c>
      <c r="T1653" s="49" t="n">
        <v>0</v>
      </c>
      <c r="U1653" s="49" t="s">
        <v>3557</v>
      </c>
    </row>
    <row r="1654" customFormat="false" ht="15" hidden="false" customHeight="false" outlineLevel="0" collapsed="false">
      <c r="B1654" s="48" t="n">
        <v>45525.6616782407</v>
      </c>
      <c r="C1654" s="4" t="n">
        <f aca="false">YEAR(B1654)</f>
        <v>2024</v>
      </c>
      <c r="D1654" s="49" t="s">
        <v>283</v>
      </c>
      <c r="E1654" s="49" t="s">
        <v>3558</v>
      </c>
      <c r="F1654" s="50" t="n">
        <v>1</v>
      </c>
      <c r="G1654" s="49" t="s">
        <v>280</v>
      </c>
      <c r="H1654" s="51" t="n">
        <v>0.7921</v>
      </c>
      <c r="I1654" s="51" t="n">
        <v>0.1824</v>
      </c>
      <c r="J1654" s="51" t="n">
        <v>0.0255</v>
      </c>
      <c r="K1654" s="49"/>
      <c r="L1654" s="49"/>
      <c r="M1654" s="49"/>
      <c r="N1654" s="49"/>
      <c r="O1654" s="49"/>
      <c r="P1654" s="49"/>
      <c r="Q1654" s="49"/>
      <c r="R1654" s="49"/>
      <c r="S1654" s="49" t="n">
        <v>0</v>
      </c>
      <c r="T1654" s="49" t="n">
        <v>0</v>
      </c>
      <c r="U1654" s="49" t="s">
        <v>3559</v>
      </c>
    </row>
    <row r="1655" customFormat="false" ht="15" hidden="false" customHeight="false" outlineLevel="0" collapsed="false">
      <c r="B1655" s="48" t="n">
        <v>45525.8540277778</v>
      </c>
      <c r="C1655" s="4" t="n">
        <f aca="false">YEAR(B1655)</f>
        <v>2024</v>
      </c>
      <c r="D1655" s="49" t="s">
        <v>283</v>
      </c>
      <c r="E1655" s="49" t="s">
        <v>3560</v>
      </c>
      <c r="F1655" s="50" t="n">
        <v>1</v>
      </c>
      <c r="G1655" s="49" t="s">
        <v>287</v>
      </c>
      <c r="H1655" s="51" t="n">
        <v>0.0037</v>
      </c>
      <c r="I1655" s="51" t="n">
        <v>0.0539</v>
      </c>
      <c r="J1655" s="51" t="n">
        <v>0.9424</v>
      </c>
      <c r="K1655" s="49"/>
      <c r="L1655" s="49"/>
      <c r="M1655" s="49"/>
      <c r="N1655" s="49"/>
      <c r="O1655" s="49"/>
      <c r="P1655" s="49"/>
      <c r="Q1655" s="49"/>
      <c r="R1655" s="49"/>
      <c r="S1655" s="49" t="n">
        <v>0</v>
      </c>
      <c r="T1655" s="49" t="n">
        <v>0</v>
      </c>
      <c r="U1655" s="49" t="s">
        <v>3561</v>
      </c>
    </row>
    <row r="1656" customFormat="false" ht="15" hidden="false" customHeight="false" outlineLevel="0" collapsed="false">
      <c r="B1656" s="48" t="n">
        <v>45526.2640393519</v>
      </c>
      <c r="C1656" s="4" t="n">
        <f aca="false">YEAR(B1656)</f>
        <v>2024</v>
      </c>
      <c r="D1656" s="49" t="s">
        <v>283</v>
      </c>
      <c r="E1656" s="49" t="s">
        <v>3562</v>
      </c>
      <c r="F1656" s="50" t="n">
        <v>1</v>
      </c>
      <c r="G1656" s="49" t="s">
        <v>290</v>
      </c>
      <c r="H1656" s="51" t="n">
        <v>0.0422</v>
      </c>
      <c r="I1656" s="51" t="n">
        <v>0.8823</v>
      </c>
      <c r="J1656" s="51" t="n">
        <v>0.0754</v>
      </c>
      <c r="K1656" s="49"/>
      <c r="L1656" s="49"/>
      <c r="M1656" s="49" t="s">
        <v>281</v>
      </c>
      <c r="N1656" s="49"/>
      <c r="O1656" s="49"/>
      <c r="P1656" s="49"/>
      <c r="Q1656" s="49"/>
      <c r="R1656" s="49"/>
      <c r="S1656" s="49" t="n">
        <v>1</v>
      </c>
      <c r="T1656" s="49" t="n">
        <v>0</v>
      </c>
      <c r="U1656" s="49" t="s">
        <v>3563</v>
      </c>
    </row>
    <row r="1657" customFormat="false" ht="15" hidden="false" customHeight="false" outlineLevel="0" collapsed="false">
      <c r="B1657" s="48" t="n">
        <v>45526.7377662037</v>
      </c>
      <c r="C1657" s="4" t="n">
        <f aca="false">YEAR(B1657)</f>
        <v>2024</v>
      </c>
      <c r="D1657" s="49" t="s">
        <v>278</v>
      </c>
      <c r="E1657" s="49" t="s">
        <v>3564</v>
      </c>
      <c r="F1657" s="50" t="n">
        <v>1</v>
      </c>
      <c r="G1657" s="49" t="s">
        <v>280</v>
      </c>
      <c r="H1657" s="51" t="n">
        <v>0.8584</v>
      </c>
      <c r="I1657" s="51" t="n">
        <v>0.1279</v>
      </c>
      <c r="J1657" s="51" t="n">
        <v>0.0137</v>
      </c>
      <c r="K1657" s="49"/>
      <c r="L1657" s="49"/>
      <c r="M1657" s="49"/>
      <c r="N1657" s="49" t="s">
        <v>281</v>
      </c>
      <c r="O1657" s="49"/>
      <c r="P1657" s="49"/>
      <c r="Q1657" s="49"/>
      <c r="R1657" s="49" t="s">
        <v>281</v>
      </c>
      <c r="S1657" s="49" t="n">
        <v>0</v>
      </c>
      <c r="T1657" s="49" t="n">
        <v>0</v>
      </c>
      <c r="U1657" s="49" t="s">
        <v>3565</v>
      </c>
    </row>
    <row r="1658" customFormat="false" ht="15" hidden="false" customHeight="false" outlineLevel="0" collapsed="false">
      <c r="B1658" s="48" t="n">
        <v>45526.9968865741</v>
      </c>
      <c r="C1658" s="4" t="n">
        <f aca="false">YEAR(B1658)</f>
        <v>2024</v>
      </c>
      <c r="D1658" s="49" t="s">
        <v>283</v>
      </c>
      <c r="E1658" s="49" t="s">
        <v>3566</v>
      </c>
      <c r="F1658" s="50" t="n">
        <v>3</v>
      </c>
      <c r="G1658" s="49" t="s">
        <v>290</v>
      </c>
      <c r="H1658" s="51" t="n">
        <v>0.0211</v>
      </c>
      <c r="I1658" s="51" t="n">
        <v>0.7836</v>
      </c>
      <c r="J1658" s="51" t="n">
        <v>0.1954</v>
      </c>
      <c r="K1658" s="49"/>
      <c r="L1658" s="49"/>
      <c r="M1658" s="49"/>
      <c r="N1658" s="49"/>
      <c r="O1658" s="49"/>
      <c r="P1658" s="49"/>
      <c r="Q1658" s="49" t="s">
        <v>281</v>
      </c>
      <c r="R1658" s="49"/>
      <c r="S1658" s="49" t="n">
        <v>0</v>
      </c>
      <c r="T1658" s="49" t="n">
        <v>0</v>
      </c>
      <c r="U1658" s="49" t="s">
        <v>3567</v>
      </c>
    </row>
    <row r="1659" customFormat="false" ht="15" hidden="false" customHeight="false" outlineLevel="0" collapsed="false">
      <c r="B1659" s="48" t="n">
        <v>45527.6442824074</v>
      </c>
      <c r="C1659" s="4" t="n">
        <f aca="false">YEAR(B1659)</f>
        <v>2024</v>
      </c>
      <c r="D1659" s="49" t="s">
        <v>283</v>
      </c>
      <c r="E1659" s="49" t="s">
        <v>3568</v>
      </c>
      <c r="F1659" s="50" t="n">
        <v>1</v>
      </c>
      <c r="G1659" s="49" t="s">
        <v>290</v>
      </c>
      <c r="H1659" s="51" t="n">
        <v>0.1367</v>
      </c>
      <c r="I1659" s="51" t="n">
        <v>0.5343</v>
      </c>
      <c r="J1659" s="51" t="n">
        <v>0.329</v>
      </c>
      <c r="K1659" s="49"/>
      <c r="L1659" s="49"/>
      <c r="M1659" s="49"/>
      <c r="N1659" s="49"/>
      <c r="O1659" s="49"/>
      <c r="P1659" s="49" t="s">
        <v>281</v>
      </c>
      <c r="Q1659" s="49"/>
      <c r="R1659" s="49" t="s">
        <v>281</v>
      </c>
      <c r="S1659" s="49" t="n">
        <v>0</v>
      </c>
      <c r="T1659" s="49" t="n">
        <v>0</v>
      </c>
      <c r="U1659" s="49" t="s">
        <v>3569</v>
      </c>
    </row>
    <row r="1660" customFormat="false" ht="15" hidden="false" customHeight="false" outlineLevel="0" collapsed="false">
      <c r="B1660" s="48" t="n">
        <v>45527.7151157407</v>
      </c>
      <c r="C1660" s="4" t="n">
        <f aca="false">YEAR(B1660)</f>
        <v>2024</v>
      </c>
      <c r="D1660" s="49" t="s">
        <v>283</v>
      </c>
      <c r="E1660" s="49" t="s">
        <v>3570</v>
      </c>
      <c r="F1660" s="50" t="n">
        <v>1</v>
      </c>
      <c r="G1660" s="49" t="s">
        <v>280</v>
      </c>
      <c r="H1660" s="51" t="n">
        <v>0.7878</v>
      </c>
      <c r="I1660" s="51" t="n">
        <v>0.202</v>
      </c>
      <c r="J1660" s="51" t="n">
        <v>0.0103</v>
      </c>
      <c r="K1660" s="49"/>
      <c r="L1660" s="49"/>
      <c r="M1660" s="49"/>
      <c r="N1660" s="49"/>
      <c r="O1660" s="49"/>
      <c r="P1660" s="49"/>
      <c r="Q1660" s="49" t="s">
        <v>281</v>
      </c>
      <c r="R1660" s="49"/>
      <c r="S1660" s="49" t="n">
        <v>0</v>
      </c>
      <c r="T1660" s="49" t="n">
        <v>0</v>
      </c>
      <c r="U1660" s="49" t="s">
        <v>3571</v>
      </c>
    </row>
    <row r="1661" customFormat="false" ht="15" hidden="false" customHeight="false" outlineLevel="0" collapsed="false">
      <c r="B1661" s="48" t="n">
        <v>45527.9868634259</v>
      </c>
      <c r="C1661" s="4" t="n">
        <f aca="false">YEAR(B1661)</f>
        <v>2024</v>
      </c>
      <c r="D1661" s="49" t="s">
        <v>283</v>
      </c>
      <c r="E1661" s="49" t="s">
        <v>3572</v>
      </c>
      <c r="F1661" s="50" t="n">
        <v>2</v>
      </c>
      <c r="G1661" s="49" t="s">
        <v>287</v>
      </c>
      <c r="H1661" s="51" t="n">
        <v>0.0058</v>
      </c>
      <c r="I1661" s="51" t="n">
        <v>0.3076</v>
      </c>
      <c r="J1661" s="51" t="n">
        <v>0.6866</v>
      </c>
      <c r="K1661" s="49"/>
      <c r="L1661" s="49"/>
      <c r="M1661" s="49"/>
      <c r="N1661" s="49"/>
      <c r="O1661" s="49"/>
      <c r="P1661" s="49"/>
      <c r="Q1661" s="49"/>
      <c r="R1661" s="49"/>
      <c r="S1661" s="49" t="n">
        <v>0</v>
      </c>
      <c r="T1661" s="49" t="n">
        <v>0</v>
      </c>
      <c r="U1661" s="49" t="s">
        <v>3573</v>
      </c>
    </row>
    <row r="1662" customFormat="false" ht="15" hidden="false" customHeight="false" outlineLevel="0" collapsed="false">
      <c r="B1662" s="48" t="n">
        <v>45528.5189351852</v>
      </c>
      <c r="C1662" s="4" t="n">
        <f aca="false">YEAR(B1662)</f>
        <v>2024</v>
      </c>
      <c r="D1662" s="49" t="s">
        <v>283</v>
      </c>
      <c r="E1662" s="49" t="s">
        <v>3574</v>
      </c>
      <c r="F1662" s="50" t="n">
        <v>1</v>
      </c>
      <c r="G1662" s="49" t="s">
        <v>280</v>
      </c>
      <c r="H1662" s="51" t="n">
        <v>0.8527</v>
      </c>
      <c r="I1662" s="51" t="n">
        <v>0.1364</v>
      </c>
      <c r="J1662" s="51" t="n">
        <v>0.0109</v>
      </c>
      <c r="K1662" s="49"/>
      <c r="L1662" s="49"/>
      <c r="M1662" s="49"/>
      <c r="N1662" s="49"/>
      <c r="O1662" s="49"/>
      <c r="P1662" s="49"/>
      <c r="Q1662" s="49"/>
      <c r="R1662" s="49"/>
      <c r="S1662" s="49" t="n">
        <v>0</v>
      </c>
      <c r="T1662" s="49" t="n">
        <v>0</v>
      </c>
      <c r="U1662" s="49" t="s">
        <v>3575</v>
      </c>
    </row>
    <row r="1663" customFormat="false" ht="15" hidden="false" customHeight="false" outlineLevel="0" collapsed="false">
      <c r="B1663" s="48" t="n">
        <v>45528.5832175926</v>
      </c>
      <c r="C1663" s="4" t="n">
        <f aca="false">YEAR(B1663)</f>
        <v>2024</v>
      </c>
      <c r="D1663" s="49" t="s">
        <v>283</v>
      </c>
      <c r="E1663" s="49" t="s">
        <v>3576</v>
      </c>
      <c r="F1663" s="50" t="n">
        <v>1</v>
      </c>
      <c r="G1663" s="49" t="s">
        <v>290</v>
      </c>
      <c r="H1663" s="51" t="n">
        <v>0.1059</v>
      </c>
      <c r="I1663" s="51" t="n">
        <v>0.8744</v>
      </c>
      <c r="J1663" s="51" t="n">
        <v>0.0197</v>
      </c>
      <c r="K1663" s="49"/>
      <c r="L1663" s="49"/>
      <c r="M1663" s="49"/>
      <c r="N1663" s="49"/>
      <c r="O1663" s="49"/>
      <c r="P1663" s="49"/>
      <c r="Q1663" s="49" t="s">
        <v>281</v>
      </c>
      <c r="R1663" s="49"/>
      <c r="S1663" s="49" t="n">
        <v>1</v>
      </c>
      <c r="T1663" s="49" t="n">
        <v>0</v>
      </c>
      <c r="U1663" s="49" t="s">
        <v>3577</v>
      </c>
    </row>
    <row r="1664" customFormat="false" ht="15" hidden="false" customHeight="false" outlineLevel="0" collapsed="false">
      <c r="B1664" s="48" t="n">
        <v>45528.5840972222</v>
      </c>
      <c r="C1664" s="4" t="n">
        <f aca="false">YEAR(B1664)</f>
        <v>2024</v>
      </c>
      <c r="D1664" s="49" t="s">
        <v>283</v>
      </c>
      <c r="E1664" s="49" t="s">
        <v>3578</v>
      </c>
      <c r="F1664" s="50" t="n">
        <v>3</v>
      </c>
      <c r="G1664" s="49" t="s">
        <v>280</v>
      </c>
      <c r="H1664" s="51" t="n">
        <v>0.567</v>
      </c>
      <c r="I1664" s="51" t="n">
        <v>0.4172</v>
      </c>
      <c r="J1664" s="51" t="n">
        <v>0.0158</v>
      </c>
      <c r="K1664" s="49"/>
      <c r="L1664" s="49"/>
      <c r="M1664" s="49"/>
      <c r="N1664" s="49"/>
      <c r="O1664" s="49"/>
      <c r="P1664" s="49"/>
      <c r="Q1664" s="49" t="s">
        <v>281</v>
      </c>
      <c r="R1664" s="49"/>
      <c r="S1664" s="49" t="n">
        <v>0</v>
      </c>
      <c r="T1664" s="49" t="n">
        <v>0</v>
      </c>
      <c r="U1664" s="49" t="s">
        <v>3579</v>
      </c>
    </row>
    <row r="1665" customFormat="false" ht="15" hidden="false" customHeight="false" outlineLevel="0" collapsed="false">
      <c r="B1665" s="48" t="n">
        <v>45528.6959606482</v>
      </c>
      <c r="C1665" s="4" t="n">
        <f aca="false">YEAR(B1665)</f>
        <v>2024</v>
      </c>
      <c r="D1665" s="49" t="s">
        <v>278</v>
      </c>
      <c r="E1665" s="49" t="s">
        <v>3580</v>
      </c>
      <c r="F1665" s="50" t="n">
        <v>1</v>
      </c>
      <c r="G1665" s="49" t="s">
        <v>280</v>
      </c>
      <c r="H1665" s="51" t="n">
        <v>0.8262</v>
      </c>
      <c r="I1665" s="51" t="n">
        <v>0.1649</v>
      </c>
      <c r="J1665" s="51" t="n">
        <v>0.0089</v>
      </c>
      <c r="K1665" s="49"/>
      <c r="L1665" s="49"/>
      <c r="M1665" s="49"/>
      <c r="N1665" s="49"/>
      <c r="O1665" s="49" t="s">
        <v>281</v>
      </c>
      <c r="P1665" s="49"/>
      <c r="Q1665" s="49"/>
      <c r="R1665" s="49"/>
      <c r="S1665" s="49" t="n">
        <v>0</v>
      </c>
      <c r="T1665" s="49" t="n">
        <v>0</v>
      </c>
      <c r="U1665" s="49" t="s">
        <v>3581</v>
      </c>
    </row>
    <row r="1666" customFormat="false" ht="15" hidden="false" customHeight="false" outlineLevel="0" collapsed="false">
      <c r="B1666" s="48" t="n">
        <v>45529.036724537</v>
      </c>
      <c r="C1666" s="4" t="n">
        <f aca="false">YEAR(B1666)</f>
        <v>2024</v>
      </c>
      <c r="D1666" s="49" t="s">
        <v>283</v>
      </c>
      <c r="E1666" s="49" t="s">
        <v>3582</v>
      </c>
      <c r="F1666" s="50" t="n">
        <v>2</v>
      </c>
      <c r="G1666" s="49" t="s">
        <v>290</v>
      </c>
      <c r="H1666" s="51" t="n">
        <v>0.0274</v>
      </c>
      <c r="I1666" s="51" t="n">
        <v>0.7282</v>
      </c>
      <c r="J1666" s="51" t="n">
        <v>0.2444</v>
      </c>
      <c r="K1666" s="49"/>
      <c r="L1666" s="49"/>
      <c r="M1666" s="49"/>
      <c r="N1666" s="49"/>
      <c r="O1666" s="49"/>
      <c r="P1666" s="49"/>
      <c r="Q1666" s="49"/>
      <c r="R1666" s="49"/>
      <c r="S1666" s="49" t="n">
        <v>0</v>
      </c>
      <c r="T1666" s="49" t="n">
        <v>0</v>
      </c>
      <c r="U1666" s="49" t="s">
        <v>3583</v>
      </c>
    </row>
    <row r="1667" customFormat="false" ht="15" hidden="false" customHeight="false" outlineLevel="0" collapsed="false">
      <c r="B1667" s="48" t="n">
        <v>45529.2641666667</v>
      </c>
      <c r="C1667" s="4" t="n">
        <f aca="false">YEAR(B1667)</f>
        <v>2024</v>
      </c>
      <c r="D1667" s="49" t="s">
        <v>283</v>
      </c>
      <c r="E1667" s="49" t="s">
        <v>3584</v>
      </c>
      <c r="F1667" s="50" t="n">
        <v>1</v>
      </c>
      <c r="G1667" s="49" t="s">
        <v>280</v>
      </c>
      <c r="H1667" s="51" t="n">
        <v>0.8783</v>
      </c>
      <c r="I1667" s="51" t="n">
        <v>0.1117</v>
      </c>
      <c r="J1667" s="51" t="n">
        <v>0.01</v>
      </c>
      <c r="K1667" s="49"/>
      <c r="L1667" s="49"/>
      <c r="M1667" s="49"/>
      <c r="N1667" s="49"/>
      <c r="O1667" s="49"/>
      <c r="P1667" s="49"/>
      <c r="Q1667" s="49"/>
      <c r="R1667" s="49" t="s">
        <v>281</v>
      </c>
      <c r="S1667" s="49" t="n">
        <v>0</v>
      </c>
      <c r="T1667" s="49" t="n">
        <v>0</v>
      </c>
      <c r="U1667" s="49" t="s">
        <v>3585</v>
      </c>
    </row>
    <row r="1668" customFormat="false" ht="15" hidden="false" customHeight="false" outlineLevel="0" collapsed="false">
      <c r="B1668" s="48" t="n">
        <v>45529.4507638889</v>
      </c>
      <c r="C1668" s="4" t="n">
        <f aca="false">YEAR(B1668)</f>
        <v>2024</v>
      </c>
      <c r="D1668" s="49" t="s">
        <v>283</v>
      </c>
      <c r="E1668" s="49" t="s">
        <v>3586</v>
      </c>
      <c r="F1668" s="50" t="n">
        <v>3</v>
      </c>
      <c r="G1668" s="49" t="s">
        <v>290</v>
      </c>
      <c r="H1668" s="51" t="n">
        <v>0.0998</v>
      </c>
      <c r="I1668" s="51" t="n">
        <v>0.6163</v>
      </c>
      <c r="J1668" s="51" t="n">
        <v>0.2839</v>
      </c>
      <c r="K1668" s="49" t="s">
        <v>281</v>
      </c>
      <c r="L1668" s="49"/>
      <c r="M1668" s="49"/>
      <c r="N1668" s="49"/>
      <c r="O1668" s="49"/>
      <c r="P1668" s="49"/>
      <c r="Q1668" s="49"/>
      <c r="R1668" s="49"/>
      <c r="S1668" s="49" t="n">
        <v>0</v>
      </c>
      <c r="T1668" s="49" t="n">
        <v>0</v>
      </c>
      <c r="U1668" s="49" t="s">
        <v>3587</v>
      </c>
    </row>
    <row r="1669" customFormat="false" ht="15" hidden="false" customHeight="false" outlineLevel="0" collapsed="false">
      <c r="B1669" s="48" t="n">
        <v>45530.0476273148</v>
      </c>
      <c r="C1669" s="4" t="n">
        <f aca="false">YEAR(B1669)</f>
        <v>2024</v>
      </c>
      <c r="D1669" s="49" t="s">
        <v>283</v>
      </c>
      <c r="E1669" s="49" t="s">
        <v>3588</v>
      </c>
      <c r="F1669" s="50" t="n">
        <v>5</v>
      </c>
      <c r="G1669" s="49" t="s">
        <v>290</v>
      </c>
      <c r="H1669" s="51" t="n">
        <v>0.0139</v>
      </c>
      <c r="I1669" s="51" t="n">
        <v>0.631</v>
      </c>
      <c r="J1669" s="51" t="n">
        <v>0.3551</v>
      </c>
      <c r="K1669" s="49"/>
      <c r="L1669" s="49"/>
      <c r="M1669" s="49"/>
      <c r="N1669" s="49"/>
      <c r="O1669" s="49"/>
      <c r="P1669" s="49"/>
      <c r="Q1669" s="49"/>
      <c r="R1669" s="49"/>
      <c r="S1669" s="49" t="n">
        <v>0</v>
      </c>
      <c r="T1669" s="49" t="n">
        <v>0</v>
      </c>
      <c r="U1669" s="49" t="s">
        <v>3589</v>
      </c>
    </row>
    <row r="1670" customFormat="false" ht="15" hidden="false" customHeight="false" outlineLevel="0" collapsed="false">
      <c r="B1670" s="48" t="n">
        <v>45530.5009606482</v>
      </c>
      <c r="C1670" s="4" t="n">
        <f aca="false">YEAR(B1670)</f>
        <v>2024</v>
      </c>
      <c r="D1670" s="49" t="s">
        <v>283</v>
      </c>
      <c r="E1670" s="49" t="s">
        <v>3590</v>
      </c>
      <c r="F1670" s="50" t="n">
        <v>1</v>
      </c>
      <c r="G1670" s="49" t="s">
        <v>280</v>
      </c>
      <c r="H1670" s="51" t="n">
        <v>0.7124</v>
      </c>
      <c r="I1670" s="51" t="n">
        <v>0.2733</v>
      </c>
      <c r="J1670" s="51" t="n">
        <v>0.0143</v>
      </c>
      <c r="K1670" s="49"/>
      <c r="L1670" s="49"/>
      <c r="M1670" s="49"/>
      <c r="N1670" s="49"/>
      <c r="O1670" s="49"/>
      <c r="P1670" s="49"/>
      <c r="Q1670" s="49" t="s">
        <v>281</v>
      </c>
      <c r="R1670" s="49"/>
      <c r="S1670" s="49" t="n">
        <v>0</v>
      </c>
      <c r="T1670" s="49" t="n">
        <v>0</v>
      </c>
      <c r="U1670" s="49" t="s">
        <v>3591</v>
      </c>
    </row>
    <row r="1671" customFormat="false" ht="15" hidden="false" customHeight="false" outlineLevel="0" collapsed="false">
      <c r="B1671" s="48" t="n">
        <v>45531.1603587963</v>
      </c>
      <c r="C1671" s="4" t="n">
        <f aca="false">YEAR(B1671)</f>
        <v>2024</v>
      </c>
      <c r="D1671" s="49" t="s">
        <v>283</v>
      </c>
      <c r="E1671" s="49" t="s">
        <v>3592</v>
      </c>
      <c r="F1671" s="50" t="n">
        <v>0</v>
      </c>
      <c r="G1671" s="49" t="s">
        <v>280</v>
      </c>
      <c r="H1671" s="51" t="n">
        <v>0.828</v>
      </c>
      <c r="I1671" s="51" t="n">
        <v>0.1583</v>
      </c>
      <c r="J1671" s="51" t="n">
        <v>0.0137</v>
      </c>
      <c r="K1671" s="49"/>
      <c r="L1671" s="49"/>
      <c r="M1671" s="49"/>
      <c r="N1671" s="49"/>
      <c r="O1671" s="49"/>
      <c r="P1671" s="49"/>
      <c r="Q1671" s="49"/>
      <c r="R1671" s="49"/>
      <c r="S1671" s="49" t="n">
        <v>0</v>
      </c>
      <c r="T1671" s="49" t="n">
        <v>0</v>
      </c>
      <c r="U1671" s="49" t="s">
        <v>3593</v>
      </c>
    </row>
    <row r="1672" customFormat="false" ht="15" hidden="false" customHeight="false" outlineLevel="0" collapsed="false">
      <c r="B1672" s="48" t="n">
        <v>45531.9561111111</v>
      </c>
      <c r="C1672" s="4" t="n">
        <f aca="false">YEAR(B1672)</f>
        <v>2024</v>
      </c>
      <c r="D1672" s="49" t="s">
        <v>283</v>
      </c>
      <c r="E1672" s="49" t="s">
        <v>3594</v>
      </c>
      <c r="F1672" s="50" t="n">
        <v>1</v>
      </c>
      <c r="G1672" s="49" t="s">
        <v>290</v>
      </c>
      <c r="H1672" s="51" t="n">
        <v>0.0133</v>
      </c>
      <c r="I1672" s="51" t="n">
        <v>0.9517</v>
      </c>
      <c r="J1672" s="51" t="n">
        <v>0.035</v>
      </c>
      <c r="K1672" s="49"/>
      <c r="L1672" s="49"/>
      <c r="M1672" s="49"/>
      <c r="N1672" s="49"/>
      <c r="O1672" s="49"/>
      <c r="P1672" s="49"/>
      <c r="Q1672" s="49"/>
      <c r="R1672" s="49"/>
      <c r="S1672" s="49" t="n">
        <v>1</v>
      </c>
      <c r="T1672" s="49" t="n">
        <v>0</v>
      </c>
      <c r="U1672" s="49" t="s">
        <v>3595</v>
      </c>
    </row>
    <row r="1673" customFormat="false" ht="15" hidden="false" customHeight="false" outlineLevel="0" collapsed="false">
      <c r="B1673" s="48" t="n">
        <v>45532.1408449074</v>
      </c>
      <c r="C1673" s="4" t="n">
        <f aca="false">YEAR(B1673)</f>
        <v>2024</v>
      </c>
      <c r="D1673" s="49" t="s">
        <v>283</v>
      </c>
      <c r="E1673" s="49" t="s">
        <v>3596</v>
      </c>
      <c r="F1673" s="50" t="n">
        <v>1</v>
      </c>
      <c r="G1673" s="49" t="s">
        <v>290</v>
      </c>
      <c r="H1673" s="51" t="n">
        <v>0.0243</v>
      </c>
      <c r="I1673" s="51" t="n">
        <v>0.9108</v>
      </c>
      <c r="J1673" s="51" t="n">
        <v>0.0649</v>
      </c>
      <c r="K1673" s="49"/>
      <c r="L1673" s="49"/>
      <c r="M1673" s="49"/>
      <c r="N1673" s="49"/>
      <c r="O1673" s="49"/>
      <c r="P1673" s="49"/>
      <c r="Q1673" s="49"/>
      <c r="R1673" s="49"/>
      <c r="S1673" s="49" t="n">
        <v>1</v>
      </c>
      <c r="T1673" s="49" t="n">
        <v>0</v>
      </c>
      <c r="U1673" s="49" t="s">
        <v>3597</v>
      </c>
    </row>
    <row r="1674" customFormat="false" ht="15" hidden="false" customHeight="false" outlineLevel="0" collapsed="false">
      <c r="B1674" s="48" t="n">
        <v>45532.8032060185</v>
      </c>
      <c r="C1674" s="4" t="n">
        <f aca="false">YEAR(B1674)</f>
        <v>2024</v>
      </c>
      <c r="D1674" s="49" t="s">
        <v>283</v>
      </c>
      <c r="E1674" s="49" t="s">
        <v>3598</v>
      </c>
      <c r="F1674" s="50" t="n">
        <v>5</v>
      </c>
      <c r="G1674" s="49" t="s">
        <v>287</v>
      </c>
      <c r="H1674" s="51" t="n">
        <v>0.0924</v>
      </c>
      <c r="I1674" s="51" t="n">
        <v>0.4508</v>
      </c>
      <c r="J1674" s="51" t="n">
        <v>0.4568</v>
      </c>
      <c r="K1674" s="49"/>
      <c r="L1674" s="49" t="s">
        <v>281</v>
      </c>
      <c r="M1674" s="49"/>
      <c r="N1674" s="49"/>
      <c r="O1674" s="49"/>
      <c r="P1674" s="49"/>
      <c r="Q1674" s="49"/>
      <c r="R1674" s="49"/>
      <c r="S1674" s="49" t="n">
        <v>0</v>
      </c>
      <c r="T1674" s="49" t="n">
        <v>0</v>
      </c>
      <c r="U1674" s="49" t="s">
        <v>3599</v>
      </c>
    </row>
    <row r="1675" customFormat="false" ht="15" hidden="false" customHeight="false" outlineLevel="0" collapsed="false">
      <c r="B1675" s="48" t="n">
        <v>45532.8189699074</v>
      </c>
      <c r="C1675" s="4" t="n">
        <f aca="false">YEAR(B1675)</f>
        <v>2024</v>
      </c>
      <c r="D1675" s="49" t="s">
        <v>283</v>
      </c>
      <c r="E1675" s="49" t="s">
        <v>3600</v>
      </c>
      <c r="F1675" s="50" t="n">
        <v>17</v>
      </c>
      <c r="G1675" s="49" t="s">
        <v>280</v>
      </c>
      <c r="H1675" s="51" t="n">
        <v>0.9005</v>
      </c>
      <c r="I1675" s="51" t="n">
        <v>0.0912</v>
      </c>
      <c r="J1675" s="51" t="n">
        <v>0.0083</v>
      </c>
      <c r="K1675" s="49"/>
      <c r="L1675" s="49"/>
      <c r="M1675" s="49"/>
      <c r="N1675" s="49"/>
      <c r="O1675" s="49"/>
      <c r="P1675" s="49"/>
      <c r="Q1675" s="49"/>
      <c r="R1675" s="49" t="s">
        <v>281</v>
      </c>
      <c r="S1675" s="49" t="n">
        <v>0</v>
      </c>
      <c r="T1675" s="49" t="n">
        <v>0</v>
      </c>
      <c r="U1675" s="49" t="s">
        <v>3601</v>
      </c>
    </row>
    <row r="1676" customFormat="false" ht="15" hidden="false" customHeight="false" outlineLevel="0" collapsed="false">
      <c r="B1676" s="48" t="n">
        <v>45533.307650463</v>
      </c>
      <c r="C1676" s="4" t="n">
        <f aca="false">YEAR(B1676)</f>
        <v>2024</v>
      </c>
      <c r="D1676" s="49" t="s">
        <v>283</v>
      </c>
      <c r="E1676" s="49" t="s">
        <v>3602</v>
      </c>
      <c r="F1676" s="50" t="n">
        <v>1</v>
      </c>
      <c r="G1676" s="49" t="s">
        <v>290</v>
      </c>
      <c r="H1676" s="51" t="n">
        <v>0.3493</v>
      </c>
      <c r="I1676" s="51" t="n">
        <v>0.5943</v>
      </c>
      <c r="J1676" s="51" t="n">
        <v>0.0564</v>
      </c>
      <c r="K1676" s="49" t="s">
        <v>281</v>
      </c>
      <c r="L1676" s="49"/>
      <c r="M1676" s="49"/>
      <c r="N1676" s="49"/>
      <c r="O1676" s="49"/>
      <c r="P1676" s="49"/>
      <c r="Q1676" s="49"/>
      <c r="R1676" s="49"/>
      <c r="S1676" s="49" t="n">
        <v>0</v>
      </c>
      <c r="T1676" s="49" t="n">
        <v>0</v>
      </c>
      <c r="U1676" s="49" t="s">
        <v>3603</v>
      </c>
    </row>
    <row r="1677" customFormat="false" ht="15" hidden="false" customHeight="false" outlineLevel="0" collapsed="false">
      <c r="B1677" s="48" t="n">
        <v>45533.4502083333</v>
      </c>
      <c r="C1677" s="4" t="n">
        <f aca="false">YEAR(B1677)</f>
        <v>2024</v>
      </c>
      <c r="D1677" s="49" t="s">
        <v>278</v>
      </c>
      <c r="E1677" s="49" t="s">
        <v>3604</v>
      </c>
      <c r="F1677" s="50" t="n">
        <v>0</v>
      </c>
      <c r="G1677" s="49" t="s">
        <v>290</v>
      </c>
      <c r="H1677" s="51" t="n">
        <v>0.0986</v>
      </c>
      <c r="I1677" s="51" t="n">
        <v>0.7719</v>
      </c>
      <c r="J1677" s="51" t="n">
        <v>0.1295</v>
      </c>
      <c r="K1677" s="49"/>
      <c r="L1677" s="49"/>
      <c r="M1677" s="49"/>
      <c r="N1677" s="49"/>
      <c r="O1677" s="49"/>
      <c r="P1677" s="49"/>
      <c r="Q1677" s="49"/>
      <c r="R1677" s="49"/>
      <c r="S1677" s="49" t="n">
        <v>0</v>
      </c>
      <c r="T1677" s="49" t="n">
        <v>1</v>
      </c>
      <c r="U1677" s="49" t="s">
        <v>3605</v>
      </c>
    </row>
    <row r="1678" customFormat="false" ht="15" hidden="false" customHeight="false" outlineLevel="0" collapsed="false">
      <c r="B1678" s="48" t="n">
        <v>45533.6147685185</v>
      </c>
      <c r="C1678" s="4" t="n">
        <f aca="false">YEAR(B1678)</f>
        <v>2024</v>
      </c>
      <c r="D1678" s="49" t="s">
        <v>283</v>
      </c>
      <c r="E1678" s="49" t="s">
        <v>3606</v>
      </c>
      <c r="F1678" s="50" t="n">
        <v>0</v>
      </c>
      <c r="G1678" s="49" t="s">
        <v>287</v>
      </c>
      <c r="H1678" s="51" t="n">
        <v>0.0062</v>
      </c>
      <c r="I1678" s="51" t="n">
        <v>0.0671</v>
      </c>
      <c r="J1678" s="51" t="n">
        <v>0.9267</v>
      </c>
      <c r="K1678" s="49"/>
      <c r="L1678" s="49"/>
      <c r="M1678" s="49"/>
      <c r="N1678" s="49"/>
      <c r="O1678" s="49"/>
      <c r="P1678" s="49"/>
      <c r="Q1678" s="49"/>
      <c r="R1678" s="49"/>
      <c r="S1678" s="49" t="n">
        <v>0</v>
      </c>
      <c r="T1678" s="49" t="n">
        <v>0</v>
      </c>
      <c r="U1678" s="49" t="s">
        <v>3607</v>
      </c>
    </row>
    <row r="1679" customFormat="false" ht="15" hidden="false" customHeight="false" outlineLevel="0" collapsed="false">
      <c r="B1679" s="48" t="n">
        <v>45534.7358449074</v>
      </c>
      <c r="C1679" s="4" t="n">
        <f aca="false">YEAR(B1679)</f>
        <v>2024</v>
      </c>
      <c r="D1679" s="49" t="s">
        <v>283</v>
      </c>
      <c r="E1679" s="49" t="s">
        <v>3608</v>
      </c>
      <c r="F1679" s="50" t="n">
        <v>0</v>
      </c>
      <c r="G1679" s="49" t="s">
        <v>280</v>
      </c>
      <c r="H1679" s="51" t="n">
        <v>0.8617</v>
      </c>
      <c r="I1679" s="51" t="n">
        <v>0.1242</v>
      </c>
      <c r="J1679" s="51" t="n">
        <v>0.014</v>
      </c>
      <c r="K1679" s="49" t="s">
        <v>281</v>
      </c>
      <c r="L1679" s="49"/>
      <c r="M1679" s="49"/>
      <c r="N1679" s="49"/>
      <c r="O1679" s="49"/>
      <c r="P1679" s="49"/>
      <c r="Q1679" s="49"/>
      <c r="R1679" s="49"/>
      <c r="S1679" s="49" t="n">
        <v>0</v>
      </c>
      <c r="T1679" s="49" t="n">
        <v>0</v>
      </c>
      <c r="U1679" s="49" t="s">
        <v>3609</v>
      </c>
    </row>
    <row r="1680" customFormat="false" ht="15" hidden="false" customHeight="false" outlineLevel="0" collapsed="false">
      <c r="B1680" s="48" t="n">
        <v>45534.7964583333</v>
      </c>
      <c r="C1680" s="4" t="n">
        <f aca="false">YEAR(B1680)</f>
        <v>2024</v>
      </c>
      <c r="D1680" s="49" t="s">
        <v>283</v>
      </c>
      <c r="E1680" s="49" t="s">
        <v>3610</v>
      </c>
      <c r="F1680" s="50" t="n">
        <v>0</v>
      </c>
      <c r="G1680" s="49" t="s">
        <v>280</v>
      </c>
      <c r="H1680" s="51" t="n">
        <v>0.8768</v>
      </c>
      <c r="I1680" s="51" t="n">
        <v>0.1156</v>
      </c>
      <c r="J1680" s="51" t="n">
        <v>0.0077</v>
      </c>
      <c r="K1680" s="49"/>
      <c r="L1680" s="49"/>
      <c r="M1680" s="49"/>
      <c r="N1680" s="49"/>
      <c r="O1680" s="49"/>
      <c r="P1680" s="49"/>
      <c r="Q1680" s="49"/>
      <c r="R1680" s="49"/>
      <c r="S1680" s="49" t="n">
        <v>0</v>
      </c>
      <c r="T1680" s="49" t="n">
        <v>1</v>
      </c>
      <c r="U1680" s="49" t="s">
        <v>3611</v>
      </c>
    </row>
    <row r="1681" customFormat="false" ht="15" hidden="false" customHeight="false" outlineLevel="0" collapsed="false">
      <c r="B1681" s="48" t="n">
        <v>45535.5653587963</v>
      </c>
      <c r="C1681" s="4" t="n">
        <f aca="false">YEAR(B1681)</f>
        <v>2024</v>
      </c>
      <c r="D1681" s="49" t="s">
        <v>283</v>
      </c>
      <c r="E1681" s="49" t="s">
        <v>3612</v>
      </c>
      <c r="F1681" s="50" t="n">
        <v>1</v>
      </c>
      <c r="G1681" s="49" t="s">
        <v>287</v>
      </c>
      <c r="H1681" s="51" t="n">
        <v>0.0025</v>
      </c>
      <c r="I1681" s="51" t="n">
        <v>0.0599</v>
      </c>
      <c r="J1681" s="51" t="n">
        <v>0.9376</v>
      </c>
      <c r="K1681" s="49"/>
      <c r="L1681" s="49"/>
      <c r="M1681" s="49"/>
      <c r="N1681" s="49"/>
      <c r="O1681" s="49"/>
      <c r="P1681" s="49"/>
      <c r="Q1681" s="49"/>
      <c r="R1681" s="49"/>
      <c r="S1681" s="49" t="n">
        <v>0</v>
      </c>
      <c r="T1681" s="49" t="n">
        <v>0</v>
      </c>
      <c r="U1681" s="49" t="s">
        <v>3613</v>
      </c>
    </row>
    <row r="1682" customFormat="false" ht="15" hidden="false" customHeight="false" outlineLevel="0" collapsed="false">
      <c r="B1682" s="48" t="n">
        <v>45535.7762847222</v>
      </c>
      <c r="C1682" s="4" t="n">
        <f aca="false">YEAR(B1682)</f>
        <v>2024</v>
      </c>
      <c r="D1682" s="49" t="s">
        <v>283</v>
      </c>
      <c r="E1682" s="49" t="s">
        <v>3614</v>
      </c>
      <c r="F1682" s="50" t="n">
        <v>1</v>
      </c>
      <c r="G1682" s="49" t="s">
        <v>290</v>
      </c>
      <c r="H1682" s="51" t="n">
        <v>0.124</v>
      </c>
      <c r="I1682" s="51" t="n">
        <v>0.832</v>
      </c>
      <c r="J1682" s="51" t="n">
        <v>0.044</v>
      </c>
      <c r="K1682" s="49"/>
      <c r="L1682" s="49"/>
      <c r="M1682" s="49"/>
      <c r="N1682" s="49"/>
      <c r="O1682" s="49"/>
      <c r="P1682" s="49"/>
      <c r="Q1682" s="49"/>
      <c r="R1682" s="49"/>
      <c r="S1682" s="49" t="n">
        <v>0</v>
      </c>
      <c r="T1682" s="49" t="n">
        <v>0</v>
      </c>
      <c r="U1682" s="49" t="s">
        <v>3615</v>
      </c>
    </row>
    <row r="1683" customFormat="false" ht="15" hidden="false" customHeight="false" outlineLevel="0" collapsed="false">
      <c r="B1683" s="48" t="n">
        <v>45535.7774537037</v>
      </c>
      <c r="C1683" s="4" t="n">
        <f aca="false">YEAR(B1683)</f>
        <v>2024</v>
      </c>
      <c r="D1683" s="49" t="s">
        <v>283</v>
      </c>
      <c r="E1683" s="49" t="s">
        <v>3616</v>
      </c>
      <c r="F1683" s="50" t="n">
        <v>2</v>
      </c>
      <c r="G1683" s="49" t="s">
        <v>290</v>
      </c>
      <c r="H1683" s="51" t="n">
        <v>0.1524</v>
      </c>
      <c r="I1683" s="51" t="n">
        <v>0.7811</v>
      </c>
      <c r="J1683" s="51" t="n">
        <v>0.0665</v>
      </c>
      <c r="K1683" s="49"/>
      <c r="L1683" s="49"/>
      <c r="M1683" s="49"/>
      <c r="N1683" s="49"/>
      <c r="O1683" s="49"/>
      <c r="P1683" s="49"/>
      <c r="Q1683" s="49"/>
      <c r="R1683" s="49"/>
      <c r="S1683" s="49" t="n">
        <v>0</v>
      </c>
      <c r="T1683" s="49" t="n">
        <v>0</v>
      </c>
      <c r="U1683" s="49" t="s">
        <v>3617</v>
      </c>
    </row>
    <row r="1684" customFormat="false" ht="15" hidden="false" customHeight="false" outlineLevel="0" collapsed="false">
      <c r="B1684" s="48" t="n">
        <v>45535.9140393519</v>
      </c>
      <c r="C1684" s="4" t="n">
        <f aca="false">YEAR(B1684)</f>
        <v>2024</v>
      </c>
      <c r="D1684" s="49" t="s">
        <v>283</v>
      </c>
      <c r="E1684" s="49" t="s">
        <v>3618</v>
      </c>
      <c r="F1684" s="50" t="n">
        <v>1</v>
      </c>
      <c r="G1684" s="49" t="s">
        <v>290</v>
      </c>
      <c r="H1684" s="51" t="n">
        <v>0.1565</v>
      </c>
      <c r="I1684" s="51" t="n">
        <v>0.7874</v>
      </c>
      <c r="J1684" s="51" t="n">
        <v>0.0561</v>
      </c>
      <c r="K1684" s="49"/>
      <c r="L1684" s="49"/>
      <c r="M1684" s="49"/>
      <c r="N1684" s="49"/>
      <c r="O1684" s="49"/>
      <c r="P1684" s="49"/>
      <c r="Q1684" s="49" t="s">
        <v>281</v>
      </c>
      <c r="R1684" s="49"/>
      <c r="S1684" s="49" t="n">
        <v>0</v>
      </c>
      <c r="T1684" s="49" t="n">
        <v>0</v>
      </c>
      <c r="U1684" s="49" t="s">
        <v>3619</v>
      </c>
    </row>
    <row r="1685" customFormat="false" ht="15" hidden="false" customHeight="false" outlineLevel="0" collapsed="false">
      <c r="B1685" s="48" t="n">
        <v>45537.0344675926</v>
      </c>
      <c r="C1685" s="4" t="n">
        <f aca="false">YEAR(B1685)</f>
        <v>2024</v>
      </c>
      <c r="D1685" s="49" t="s">
        <v>283</v>
      </c>
      <c r="E1685" s="49" t="s">
        <v>3620</v>
      </c>
      <c r="F1685" s="50" t="n">
        <v>2</v>
      </c>
      <c r="G1685" s="49" t="s">
        <v>290</v>
      </c>
      <c r="H1685" s="51" t="n">
        <v>0.1313</v>
      </c>
      <c r="I1685" s="51" t="n">
        <v>0.541</v>
      </c>
      <c r="J1685" s="51" t="n">
        <v>0.3277</v>
      </c>
      <c r="K1685" s="49"/>
      <c r="L1685" s="49"/>
      <c r="M1685" s="49"/>
      <c r="N1685" s="49"/>
      <c r="O1685" s="49"/>
      <c r="P1685" s="49"/>
      <c r="Q1685" s="49"/>
      <c r="R1685" s="49"/>
      <c r="S1685" s="49" t="n">
        <v>0</v>
      </c>
      <c r="T1685" s="49" t="n">
        <v>0</v>
      </c>
      <c r="U1685" s="49" t="s">
        <v>3621</v>
      </c>
    </row>
    <row r="1686" customFormat="false" ht="15" hidden="false" customHeight="false" outlineLevel="0" collapsed="false">
      <c r="B1686" s="48" t="n">
        <v>45537.191412037</v>
      </c>
      <c r="C1686" s="4" t="n">
        <f aca="false">YEAR(B1686)</f>
        <v>2024</v>
      </c>
      <c r="D1686" s="49" t="s">
        <v>283</v>
      </c>
      <c r="E1686" s="49" t="s">
        <v>3622</v>
      </c>
      <c r="F1686" s="50" t="n">
        <v>1</v>
      </c>
      <c r="G1686" s="49" t="s">
        <v>290</v>
      </c>
      <c r="H1686" s="51" t="n">
        <v>0.2933</v>
      </c>
      <c r="I1686" s="51" t="n">
        <v>0.6774</v>
      </c>
      <c r="J1686" s="51" t="n">
        <v>0.0292</v>
      </c>
      <c r="K1686" s="49"/>
      <c r="L1686" s="49"/>
      <c r="M1686" s="49"/>
      <c r="N1686" s="49"/>
      <c r="O1686" s="49"/>
      <c r="P1686" s="49"/>
      <c r="Q1686" s="49"/>
      <c r="R1686" s="49"/>
      <c r="S1686" s="49" t="n">
        <v>0</v>
      </c>
      <c r="T1686" s="49" t="n">
        <v>0</v>
      </c>
      <c r="U1686" s="49" t="s">
        <v>3623</v>
      </c>
    </row>
    <row r="1687" customFormat="false" ht="15" hidden="false" customHeight="false" outlineLevel="0" collapsed="false">
      <c r="B1687" s="48" t="n">
        <v>45537.4517476852</v>
      </c>
      <c r="C1687" s="4" t="n">
        <f aca="false">YEAR(B1687)</f>
        <v>2024</v>
      </c>
      <c r="D1687" s="49" t="s">
        <v>283</v>
      </c>
      <c r="E1687" s="49" t="s">
        <v>3624</v>
      </c>
      <c r="F1687" s="50" t="n">
        <v>1</v>
      </c>
      <c r="G1687" s="49" t="s">
        <v>290</v>
      </c>
      <c r="H1687" s="51" t="n">
        <v>0.4015</v>
      </c>
      <c r="I1687" s="51" t="n">
        <v>0.5475</v>
      </c>
      <c r="J1687" s="51" t="n">
        <v>0.051</v>
      </c>
      <c r="K1687" s="49"/>
      <c r="L1687" s="49"/>
      <c r="M1687" s="49"/>
      <c r="N1687" s="49"/>
      <c r="O1687" s="49"/>
      <c r="P1687" s="49"/>
      <c r="Q1687" s="49"/>
      <c r="R1687" s="49"/>
      <c r="S1687" s="49" t="n">
        <v>0</v>
      </c>
      <c r="T1687" s="49" t="n">
        <v>0</v>
      </c>
      <c r="U1687" s="49" t="s">
        <v>3625</v>
      </c>
    </row>
    <row r="1688" customFormat="false" ht="15" hidden="false" customHeight="false" outlineLevel="0" collapsed="false">
      <c r="B1688" s="48" t="n">
        <v>45537.8624189815</v>
      </c>
      <c r="C1688" s="4" t="n">
        <f aca="false">YEAR(B1688)</f>
        <v>2024</v>
      </c>
      <c r="D1688" s="49" t="s">
        <v>283</v>
      </c>
      <c r="E1688" s="49" t="s">
        <v>3626</v>
      </c>
      <c r="F1688" s="50" t="n">
        <v>1</v>
      </c>
      <c r="G1688" s="49" t="s">
        <v>280</v>
      </c>
      <c r="H1688" s="51" t="n">
        <v>0.7886</v>
      </c>
      <c r="I1688" s="51" t="n">
        <v>0.2005</v>
      </c>
      <c r="J1688" s="51" t="n">
        <v>0.0108</v>
      </c>
      <c r="K1688" s="49"/>
      <c r="L1688" s="49"/>
      <c r="M1688" s="49"/>
      <c r="N1688" s="49"/>
      <c r="O1688" s="49"/>
      <c r="P1688" s="49"/>
      <c r="Q1688" s="49"/>
      <c r="R1688" s="49"/>
      <c r="S1688" s="49" t="n">
        <v>0</v>
      </c>
      <c r="T1688" s="49" t="n">
        <v>0</v>
      </c>
      <c r="U1688" s="49" t="s">
        <v>3627</v>
      </c>
    </row>
    <row r="1689" customFormat="false" ht="15" hidden="false" customHeight="false" outlineLevel="0" collapsed="false">
      <c r="B1689" s="48" t="n">
        <v>45539.0016203704</v>
      </c>
      <c r="C1689" s="4" t="n">
        <f aca="false">YEAR(B1689)</f>
        <v>2024</v>
      </c>
      <c r="D1689" s="49" t="s">
        <v>283</v>
      </c>
      <c r="E1689" s="49" t="s">
        <v>3628</v>
      </c>
      <c r="F1689" s="50" t="n">
        <v>2</v>
      </c>
      <c r="G1689" s="49" t="s">
        <v>287</v>
      </c>
      <c r="H1689" s="51" t="n">
        <v>0.1692</v>
      </c>
      <c r="I1689" s="51" t="n">
        <v>0.3828</v>
      </c>
      <c r="J1689" s="51" t="n">
        <v>0.448</v>
      </c>
      <c r="K1689" s="49"/>
      <c r="L1689" s="49"/>
      <c r="M1689" s="49"/>
      <c r="N1689" s="49"/>
      <c r="O1689" s="49"/>
      <c r="P1689" s="49"/>
      <c r="Q1689" s="49"/>
      <c r="R1689" s="49"/>
      <c r="S1689" s="49" t="n">
        <v>0</v>
      </c>
      <c r="T1689" s="49" t="n">
        <v>0</v>
      </c>
      <c r="U1689" s="49" t="s">
        <v>3629</v>
      </c>
    </row>
    <row r="1690" customFormat="false" ht="15" hidden="false" customHeight="false" outlineLevel="0" collapsed="false">
      <c r="B1690" s="48" t="n">
        <v>45539.2268518519</v>
      </c>
      <c r="C1690" s="4" t="n">
        <f aca="false">YEAR(B1690)</f>
        <v>2024</v>
      </c>
      <c r="D1690" s="49" t="s">
        <v>283</v>
      </c>
      <c r="E1690" s="49" t="s">
        <v>3630</v>
      </c>
      <c r="F1690" s="50" t="n">
        <v>1</v>
      </c>
      <c r="G1690" s="49" t="s">
        <v>280</v>
      </c>
      <c r="H1690" s="51" t="n">
        <v>0.7461</v>
      </c>
      <c r="I1690" s="51" t="n">
        <v>0.2423</v>
      </c>
      <c r="J1690" s="51" t="n">
        <v>0.0116</v>
      </c>
      <c r="K1690" s="49"/>
      <c r="L1690" s="49"/>
      <c r="M1690" s="49"/>
      <c r="N1690" s="49"/>
      <c r="O1690" s="49"/>
      <c r="P1690" s="49"/>
      <c r="Q1690" s="49"/>
      <c r="R1690" s="49"/>
      <c r="S1690" s="49" t="n">
        <v>0</v>
      </c>
      <c r="T1690" s="49" t="n">
        <v>0</v>
      </c>
      <c r="U1690" s="49" t="s">
        <v>3631</v>
      </c>
    </row>
    <row r="1691" customFormat="false" ht="15" hidden="false" customHeight="false" outlineLevel="0" collapsed="false">
      <c r="B1691" s="48" t="n">
        <v>45539.2414467593</v>
      </c>
      <c r="C1691" s="4" t="n">
        <f aca="false">YEAR(B1691)</f>
        <v>2024</v>
      </c>
      <c r="D1691" s="49" t="s">
        <v>283</v>
      </c>
      <c r="E1691" s="49" t="s">
        <v>3632</v>
      </c>
      <c r="F1691" s="50" t="n">
        <v>1</v>
      </c>
      <c r="G1691" s="49" t="s">
        <v>290</v>
      </c>
      <c r="H1691" s="51" t="n">
        <v>0.0406</v>
      </c>
      <c r="I1691" s="51" t="n">
        <v>0.9262</v>
      </c>
      <c r="J1691" s="51" t="n">
        <v>0.0332</v>
      </c>
      <c r="K1691" s="49"/>
      <c r="L1691" s="49"/>
      <c r="M1691" s="49"/>
      <c r="N1691" s="49"/>
      <c r="O1691" s="49"/>
      <c r="P1691" s="49"/>
      <c r="Q1691" s="49"/>
      <c r="R1691" s="49"/>
      <c r="S1691" s="49" t="n">
        <v>1</v>
      </c>
      <c r="T1691" s="49" t="n">
        <v>0</v>
      </c>
      <c r="U1691" s="49" t="s">
        <v>3633</v>
      </c>
    </row>
    <row r="1692" customFormat="false" ht="15" hidden="false" customHeight="false" outlineLevel="0" collapsed="false">
      <c r="B1692" s="48" t="n">
        <v>45539.3638310185</v>
      </c>
      <c r="C1692" s="4" t="n">
        <f aca="false">YEAR(B1692)</f>
        <v>2024</v>
      </c>
      <c r="D1692" s="49" t="s">
        <v>283</v>
      </c>
      <c r="E1692" s="49" t="s">
        <v>3634</v>
      </c>
      <c r="F1692" s="50" t="n">
        <v>41</v>
      </c>
      <c r="G1692" s="49" t="s">
        <v>290</v>
      </c>
      <c r="H1692" s="51" t="n">
        <v>0.2246</v>
      </c>
      <c r="I1692" s="51" t="n">
        <v>0.6089</v>
      </c>
      <c r="J1692" s="51" t="n">
        <v>0.1666</v>
      </c>
      <c r="K1692" s="49"/>
      <c r="L1692" s="49"/>
      <c r="M1692" s="49"/>
      <c r="N1692" s="49"/>
      <c r="O1692" s="49"/>
      <c r="P1692" s="49"/>
      <c r="Q1692" s="49"/>
      <c r="R1692" s="49"/>
      <c r="S1692" s="49" t="n">
        <v>0</v>
      </c>
      <c r="T1692" s="49" t="n">
        <v>0</v>
      </c>
      <c r="U1692" s="49" t="s">
        <v>3635</v>
      </c>
    </row>
    <row r="1693" customFormat="false" ht="15" hidden="false" customHeight="false" outlineLevel="0" collapsed="false">
      <c r="B1693" s="48" t="n">
        <v>45540.5395601852</v>
      </c>
      <c r="C1693" s="4" t="n">
        <f aca="false">YEAR(B1693)</f>
        <v>2024</v>
      </c>
      <c r="D1693" s="49" t="s">
        <v>278</v>
      </c>
      <c r="E1693" s="49" t="s">
        <v>3636</v>
      </c>
      <c r="F1693" s="50" t="n">
        <v>1</v>
      </c>
      <c r="G1693" s="49" t="s">
        <v>280</v>
      </c>
      <c r="H1693" s="51" t="n">
        <v>0.7902</v>
      </c>
      <c r="I1693" s="51" t="n">
        <v>0.2001</v>
      </c>
      <c r="J1693" s="51" t="n">
        <v>0.0097</v>
      </c>
      <c r="K1693" s="49"/>
      <c r="L1693" s="49"/>
      <c r="M1693" s="49"/>
      <c r="N1693" s="49"/>
      <c r="O1693" s="49"/>
      <c r="P1693" s="49"/>
      <c r="Q1693" s="49"/>
      <c r="R1693" s="49"/>
      <c r="S1693" s="49" t="n">
        <v>0</v>
      </c>
      <c r="T1693" s="49" t="n">
        <v>0</v>
      </c>
      <c r="U1693" s="49" t="s">
        <v>3637</v>
      </c>
    </row>
    <row r="1694" customFormat="false" ht="15" hidden="false" customHeight="false" outlineLevel="0" collapsed="false">
      <c r="B1694" s="48" t="n">
        <v>45540.5736805556</v>
      </c>
      <c r="C1694" s="4" t="n">
        <f aca="false">YEAR(B1694)</f>
        <v>2024</v>
      </c>
      <c r="D1694" s="49" t="s">
        <v>283</v>
      </c>
      <c r="E1694" s="49" t="s">
        <v>3638</v>
      </c>
      <c r="F1694" s="50" t="n">
        <v>2</v>
      </c>
      <c r="G1694" s="49" t="s">
        <v>280</v>
      </c>
      <c r="H1694" s="51" t="n">
        <v>0.774</v>
      </c>
      <c r="I1694" s="51" t="n">
        <v>0.2164</v>
      </c>
      <c r="J1694" s="51" t="n">
        <v>0.0095</v>
      </c>
      <c r="K1694" s="49"/>
      <c r="L1694" s="49"/>
      <c r="M1694" s="49"/>
      <c r="N1694" s="49"/>
      <c r="O1694" s="49"/>
      <c r="P1694" s="49"/>
      <c r="Q1694" s="49"/>
      <c r="R1694" s="49" t="s">
        <v>281</v>
      </c>
      <c r="S1694" s="49" t="n">
        <v>0</v>
      </c>
      <c r="T1694" s="49" t="n">
        <v>0</v>
      </c>
      <c r="U1694" s="49" t="s">
        <v>3639</v>
      </c>
    </row>
    <row r="1695" customFormat="false" ht="15" hidden="false" customHeight="false" outlineLevel="0" collapsed="false">
      <c r="B1695" s="48" t="n">
        <v>45540.5743634259</v>
      </c>
      <c r="C1695" s="4" t="n">
        <f aca="false">YEAR(B1695)</f>
        <v>2024</v>
      </c>
      <c r="D1695" s="49" t="s">
        <v>278</v>
      </c>
      <c r="E1695" s="49" t="s">
        <v>3640</v>
      </c>
      <c r="F1695" s="50" t="n">
        <v>2</v>
      </c>
      <c r="G1695" s="49" t="s">
        <v>280</v>
      </c>
      <c r="H1695" s="51" t="n">
        <v>0.8448</v>
      </c>
      <c r="I1695" s="51" t="n">
        <v>0.1481</v>
      </c>
      <c r="J1695" s="51" t="n">
        <v>0.0071</v>
      </c>
      <c r="K1695" s="49"/>
      <c r="L1695" s="49" t="s">
        <v>281</v>
      </c>
      <c r="M1695" s="49"/>
      <c r="N1695" s="49"/>
      <c r="O1695" s="49"/>
      <c r="P1695" s="49"/>
      <c r="Q1695" s="49"/>
      <c r="R1695" s="49"/>
      <c r="S1695" s="49" t="n">
        <v>0</v>
      </c>
      <c r="T1695" s="49" t="n">
        <v>0</v>
      </c>
      <c r="U1695" s="49" t="s">
        <v>3641</v>
      </c>
    </row>
    <row r="1696" customFormat="false" ht="15" hidden="false" customHeight="false" outlineLevel="0" collapsed="false">
      <c r="B1696" s="48" t="n">
        <v>45540.7226388889</v>
      </c>
      <c r="C1696" s="4" t="n">
        <f aca="false">YEAR(B1696)</f>
        <v>2024</v>
      </c>
      <c r="D1696" s="49" t="s">
        <v>283</v>
      </c>
      <c r="E1696" s="49" t="s">
        <v>3642</v>
      </c>
      <c r="F1696" s="50" t="n">
        <v>0</v>
      </c>
      <c r="G1696" s="49" t="s">
        <v>287</v>
      </c>
      <c r="H1696" s="51" t="n">
        <v>0.004</v>
      </c>
      <c r="I1696" s="51" t="n">
        <v>0.1521</v>
      </c>
      <c r="J1696" s="51" t="n">
        <v>0.844</v>
      </c>
      <c r="K1696" s="49"/>
      <c r="L1696" s="49"/>
      <c r="M1696" s="49"/>
      <c r="N1696" s="49"/>
      <c r="O1696" s="49"/>
      <c r="P1696" s="49"/>
      <c r="Q1696" s="49"/>
      <c r="R1696" s="49"/>
      <c r="S1696" s="49" t="n">
        <v>0</v>
      </c>
      <c r="T1696" s="49" t="n">
        <v>0</v>
      </c>
      <c r="U1696" s="49" t="s">
        <v>3643</v>
      </c>
    </row>
    <row r="1697" customFormat="false" ht="15" hidden="false" customHeight="false" outlineLevel="0" collapsed="false">
      <c r="B1697" s="48" t="n">
        <v>45540.7354861111</v>
      </c>
      <c r="C1697" s="4" t="n">
        <f aca="false">YEAR(B1697)</f>
        <v>2024</v>
      </c>
      <c r="D1697" s="49" t="s">
        <v>278</v>
      </c>
      <c r="E1697" s="49" t="s">
        <v>3644</v>
      </c>
      <c r="F1697" s="50" t="n">
        <v>1</v>
      </c>
      <c r="G1697" s="49" t="s">
        <v>290</v>
      </c>
      <c r="H1697" s="51" t="n">
        <v>0.0451</v>
      </c>
      <c r="I1697" s="51" t="n">
        <v>0.7211</v>
      </c>
      <c r="J1697" s="51" t="n">
        <v>0.2337</v>
      </c>
      <c r="K1697" s="49"/>
      <c r="L1697" s="49"/>
      <c r="M1697" s="49"/>
      <c r="N1697" s="49"/>
      <c r="O1697" s="49"/>
      <c r="P1697" s="49"/>
      <c r="Q1697" s="49"/>
      <c r="R1697" s="49" t="s">
        <v>281</v>
      </c>
      <c r="S1697" s="49" t="n">
        <v>0</v>
      </c>
      <c r="T1697" s="49" t="n">
        <v>0</v>
      </c>
      <c r="U1697" s="49" t="s">
        <v>3645</v>
      </c>
    </row>
    <row r="1698" customFormat="false" ht="15" hidden="false" customHeight="false" outlineLevel="0" collapsed="false">
      <c r="B1698" s="48" t="n">
        <v>45541.6272222222</v>
      </c>
      <c r="C1698" s="4" t="n">
        <f aca="false">YEAR(B1698)</f>
        <v>2024</v>
      </c>
      <c r="D1698" s="49" t="s">
        <v>278</v>
      </c>
      <c r="E1698" s="49" t="s">
        <v>3646</v>
      </c>
      <c r="F1698" s="50" t="n">
        <v>6</v>
      </c>
      <c r="G1698" s="49" t="s">
        <v>280</v>
      </c>
      <c r="H1698" s="51" t="n">
        <v>0.6877</v>
      </c>
      <c r="I1698" s="51" t="n">
        <v>0.2577</v>
      </c>
      <c r="J1698" s="51" t="n">
        <v>0.0546</v>
      </c>
      <c r="K1698" s="49"/>
      <c r="L1698" s="49"/>
      <c r="M1698" s="49"/>
      <c r="N1698" s="49"/>
      <c r="O1698" s="49"/>
      <c r="P1698" s="49"/>
      <c r="Q1698" s="49"/>
      <c r="R1698" s="49"/>
      <c r="S1698" s="49" t="n">
        <v>0</v>
      </c>
      <c r="T1698" s="49" t="n">
        <v>0</v>
      </c>
      <c r="U1698" s="49" t="s">
        <v>3647</v>
      </c>
    </row>
    <row r="1699" customFormat="false" ht="15" hidden="false" customHeight="false" outlineLevel="0" collapsed="false">
      <c r="B1699" s="48" t="n">
        <v>45542.2956597222</v>
      </c>
      <c r="C1699" s="4" t="n">
        <f aca="false">YEAR(B1699)</f>
        <v>2024</v>
      </c>
      <c r="D1699" s="49" t="s">
        <v>283</v>
      </c>
      <c r="E1699" s="49" t="s">
        <v>3648</v>
      </c>
      <c r="F1699" s="50" t="n">
        <v>1</v>
      </c>
      <c r="G1699" s="49" t="s">
        <v>280</v>
      </c>
      <c r="H1699" s="51" t="n">
        <v>0.939</v>
      </c>
      <c r="I1699" s="51" t="n">
        <v>0.0542</v>
      </c>
      <c r="J1699" s="51" t="n">
        <v>0.0068</v>
      </c>
      <c r="K1699" s="49"/>
      <c r="L1699" s="49"/>
      <c r="M1699" s="49"/>
      <c r="N1699" s="49"/>
      <c r="O1699" s="49"/>
      <c r="P1699" s="49"/>
      <c r="Q1699" s="49"/>
      <c r="R1699" s="49" t="s">
        <v>281</v>
      </c>
      <c r="S1699" s="49" t="n">
        <v>0</v>
      </c>
      <c r="T1699" s="49" t="n">
        <v>0</v>
      </c>
      <c r="U1699" s="49" t="s">
        <v>3649</v>
      </c>
    </row>
    <row r="1700" customFormat="false" ht="15" hidden="false" customHeight="false" outlineLevel="0" collapsed="false">
      <c r="B1700" s="48" t="n">
        <v>45542.4092013889</v>
      </c>
      <c r="C1700" s="4" t="n">
        <f aca="false">YEAR(B1700)</f>
        <v>2024</v>
      </c>
      <c r="D1700" s="49" t="s">
        <v>283</v>
      </c>
      <c r="E1700" s="49" t="s">
        <v>3650</v>
      </c>
      <c r="F1700" s="50" t="n">
        <v>1</v>
      </c>
      <c r="G1700" s="49" t="s">
        <v>290</v>
      </c>
      <c r="H1700" s="51" t="n">
        <v>0.1555</v>
      </c>
      <c r="I1700" s="51" t="n">
        <v>0.8307</v>
      </c>
      <c r="J1700" s="51" t="n">
        <v>0.0138</v>
      </c>
      <c r="K1700" s="49"/>
      <c r="L1700" s="49"/>
      <c r="M1700" s="49"/>
      <c r="N1700" s="49"/>
      <c r="O1700" s="49"/>
      <c r="P1700" s="49"/>
      <c r="Q1700" s="49"/>
      <c r="R1700" s="49"/>
      <c r="S1700" s="49" t="n">
        <v>1</v>
      </c>
      <c r="T1700" s="49" t="n">
        <v>0</v>
      </c>
      <c r="U1700" s="49" t="s">
        <v>3651</v>
      </c>
    </row>
    <row r="1701" customFormat="false" ht="15" hidden="false" customHeight="false" outlineLevel="0" collapsed="false">
      <c r="B1701" s="48" t="n">
        <v>45542.6222916667</v>
      </c>
      <c r="C1701" s="4" t="n">
        <f aca="false">YEAR(B1701)</f>
        <v>2024</v>
      </c>
      <c r="D1701" s="49" t="s">
        <v>283</v>
      </c>
      <c r="E1701" s="49" t="s">
        <v>3652</v>
      </c>
      <c r="F1701" s="50" t="n">
        <v>5</v>
      </c>
      <c r="G1701" s="49" t="s">
        <v>287</v>
      </c>
      <c r="H1701" s="51" t="n">
        <v>0.0164</v>
      </c>
      <c r="I1701" s="51" t="n">
        <v>0.4303</v>
      </c>
      <c r="J1701" s="51" t="n">
        <v>0.5533</v>
      </c>
      <c r="K1701" s="49"/>
      <c r="L1701" s="49"/>
      <c r="M1701" s="49"/>
      <c r="N1701" s="49"/>
      <c r="O1701" s="49"/>
      <c r="P1701" s="49"/>
      <c r="Q1701" s="49"/>
      <c r="R1701" s="49"/>
      <c r="S1701" s="49" t="n">
        <v>0</v>
      </c>
      <c r="T1701" s="49" t="n">
        <v>0</v>
      </c>
      <c r="U1701" s="49" t="s">
        <v>3653</v>
      </c>
    </row>
    <row r="1702" customFormat="false" ht="15" hidden="false" customHeight="false" outlineLevel="0" collapsed="false">
      <c r="B1702" s="48" t="n">
        <v>45543.8486111111</v>
      </c>
      <c r="C1702" s="4" t="n">
        <f aca="false">YEAR(B1702)</f>
        <v>2024</v>
      </c>
      <c r="D1702" s="49" t="s">
        <v>283</v>
      </c>
      <c r="E1702" s="49" t="s">
        <v>3654</v>
      </c>
      <c r="F1702" s="50" t="n">
        <v>44</v>
      </c>
      <c r="G1702" s="49" t="s">
        <v>290</v>
      </c>
      <c r="H1702" s="51" t="n">
        <v>0.038</v>
      </c>
      <c r="I1702" s="51" t="n">
        <v>0.5067</v>
      </c>
      <c r="J1702" s="51" t="n">
        <v>0.4552</v>
      </c>
      <c r="K1702" s="49"/>
      <c r="L1702" s="49"/>
      <c r="M1702" s="49"/>
      <c r="N1702" s="49"/>
      <c r="O1702" s="49"/>
      <c r="P1702" s="49"/>
      <c r="Q1702" s="49"/>
      <c r="R1702" s="49"/>
      <c r="S1702" s="49" t="n">
        <v>0</v>
      </c>
      <c r="T1702" s="49" t="n">
        <v>0</v>
      </c>
      <c r="U1702" s="49" t="s">
        <v>3655</v>
      </c>
    </row>
    <row r="1703" customFormat="false" ht="15" hidden="false" customHeight="false" outlineLevel="0" collapsed="false">
      <c r="B1703" s="48" t="n">
        <v>45544.9360185185</v>
      </c>
      <c r="C1703" s="4" t="n">
        <f aca="false">YEAR(B1703)</f>
        <v>2024</v>
      </c>
      <c r="D1703" s="49" t="s">
        <v>283</v>
      </c>
      <c r="E1703" s="49" t="s">
        <v>3656</v>
      </c>
      <c r="F1703" s="50" t="n">
        <v>1</v>
      </c>
      <c r="G1703" s="49" t="s">
        <v>287</v>
      </c>
      <c r="H1703" s="51" t="n">
        <v>0.0043</v>
      </c>
      <c r="I1703" s="51" t="n">
        <v>0.0326</v>
      </c>
      <c r="J1703" s="51" t="n">
        <v>0.9631</v>
      </c>
      <c r="K1703" s="49"/>
      <c r="L1703" s="49"/>
      <c r="M1703" s="49"/>
      <c r="N1703" s="49"/>
      <c r="O1703" s="49"/>
      <c r="P1703" s="49"/>
      <c r="Q1703" s="49"/>
      <c r="R1703" s="49"/>
      <c r="S1703" s="49" t="n">
        <v>1</v>
      </c>
      <c r="T1703" s="49" t="n">
        <v>0</v>
      </c>
      <c r="U1703" s="49" t="s">
        <v>3657</v>
      </c>
    </row>
    <row r="1704" customFormat="false" ht="15" hidden="false" customHeight="false" outlineLevel="0" collapsed="false">
      <c r="B1704" s="48" t="n">
        <v>45545.4494675926</v>
      </c>
      <c r="C1704" s="4" t="n">
        <f aca="false">YEAR(B1704)</f>
        <v>2024</v>
      </c>
      <c r="D1704" s="49" t="s">
        <v>283</v>
      </c>
      <c r="E1704" s="49" t="s">
        <v>3658</v>
      </c>
      <c r="F1704" s="50" t="n">
        <v>4</v>
      </c>
      <c r="G1704" s="49" t="s">
        <v>290</v>
      </c>
      <c r="H1704" s="51" t="n">
        <v>0.0272</v>
      </c>
      <c r="I1704" s="51" t="n">
        <v>0.6595</v>
      </c>
      <c r="J1704" s="51" t="n">
        <v>0.3133</v>
      </c>
      <c r="K1704" s="49"/>
      <c r="L1704" s="49"/>
      <c r="M1704" s="49"/>
      <c r="N1704" s="49"/>
      <c r="O1704" s="49"/>
      <c r="P1704" s="49"/>
      <c r="Q1704" s="49"/>
      <c r="R1704" s="49"/>
      <c r="S1704" s="49" t="n">
        <v>0</v>
      </c>
      <c r="T1704" s="49" t="n">
        <v>0</v>
      </c>
      <c r="U1704" s="49" t="s">
        <v>3659</v>
      </c>
    </row>
    <row r="1705" customFormat="false" ht="15" hidden="false" customHeight="false" outlineLevel="0" collapsed="false">
      <c r="B1705" s="48" t="n">
        <v>45545.7846759259</v>
      </c>
      <c r="C1705" s="4" t="n">
        <f aca="false">YEAR(B1705)</f>
        <v>2024</v>
      </c>
      <c r="D1705" s="49" t="s">
        <v>283</v>
      </c>
      <c r="E1705" s="49" t="s">
        <v>3660</v>
      </c>
      <c r="F1705" s="50" t="n">
        <v>2</v>
      </c>
      <c r="G1705" s="49" t="s">
        <v>290</v>
      </c>
      <c r="H1705" s="51" t="n">
        <v>0.275</v>
      </c>
      <c r="I1705" s="51" t="n">
        <v>0.5164</v>
      </c>
      <c r="J1705" s="51" t="n">
        <v>0.2086</v>
      </c>
      <c r="K1705" s="49"/>
      <c r="L1705" s="49" t="s">
        <v>281</v>
      </c>
      <c r="M1705" s="49"/>
      <c r="N1705" s="49"/>
      <c r="O1705" s="49"/>
      <c r="P1705" s="49"/>
      <c r="Q1705" s="49"/>
      <c r="R1705" s="49"/>
      <c r="S1705" s="49" t="n">
        <v>0</v>
      </c>
      <c r="T1705" s="49" t="n">
        <v>0</v>
      </c>
      <c r="U1705" s="49" t="s">
        <v>3661</v>
      </c>
    </row>
    <row r="1706" customFormat="false" ht="15" hidden="false" customHeight="false" outlineLevel="0" collapsed="false">
      <c r="B1706" s="48" t="n">
        <v>45546.5828703704</v>
      </c>
      <c r="C1706" s="4" t="n">
        <f aca="false">YEAR(B1706)</f>
        <v>2024</v>
      </c>
      <c r="D1706" s="49" t="s">
        <v>283</v>
      </c>
      <c r="E1706" s="49" t="s">
        <v>3662</v>
      </c>
      <c r="F1706" s="50" t="n">
        <v>5</v>
      </c>
      <c r="G1706" s="49" t="s">
        <v>280</v>
      </c>
      <c r="H1706" s="51" t="n">
        <v>0.9248</v>
      </c>
      <c r="I1706" s="51" t="n">
        <v>0.0695</v>
      </c>
      <c r="J1706" s="51" t="n">
        <v>0.0057</v>
      </c>
      <c r="K1706" s="49"/>
      <c r="L1706" s="49"/>
      <c r="M1706" s="49"/>
      <c r="N1706" s="49"/>
      <c r="O1706" s="49"/>
      <c r="P1706" s="49"/>
      <c r="Q1706" s="49"/>
      <c r="R1706" s="49" t="s">
        <v>281</v>
      </c>
      <c r="S1706" s="49" t="n">
        <v>0</v>
      </c>
      <c r="T1706" s="49" t="n">
        <v>0</v>
      </c>
      <c r="U1706" s="49" t="s">
        <v>3663</v>
      </c>
    </row>
    <row r="1707" customFormat="false" ht="15" hidden="false" customHeight="false" outlineLevel="0" collapsed="false">
      <c r="B1707" s="48" t="n">
        <v>45546.9236342593</v>
      </c>
      <c r="C1707" s="4" t="n">
        <f aca="false">YEAR(B1707)</f>
        <v>2024</v>
      </c>
      <c r="D1707" s="49" t="s">
        <v>283</v>
      </c>
      <c r="E1707" s="49" t="s">
        <v>3664</v>
      </c>
      <c r="F1707" s="50" t="n">
        <v>3</v>
      </c>
      <c r="G1707" s="49" t="s">
        <v>280</v>
      </c>
      <c r="H1707" s="51" t="n">
        <v>0.9375</v>
      </c>
      <c r="I1707" s="51" t="n">
        <v>0.0544</v>
      </c>
      <c r="J1707" s="51" t="n">
        <v>0.0081</v>
      </c>
      <c r="K1707" s="49"/>
      <c r="L1707" s="49"/>
      <c r="M1707" s="49"/>
      <c r="N1707" s="49"/>
      <c r="O1707" s="49"/>
      <c r="P1707" s="49"/>
      <c r="Q1707" s="49"/>
      <c r="R1707" s="49"/>
      <c r="S1707" s="49" t="n">
        <v>0</v>
      </c>
      <c r="T1707" s="49" t="n">
        <v>1</v>
      </c>
      <c r="U1707" s="49" t="s">
        <v>3665</v>
      </c>
    </row>
    <row r="1708" customFormat="false" ht="15" hidden="false" customHeight="false" outlineLevel="0" collapsed="false">
      <c r="B1708" s="48" t="n">
        <v>45547.0623611111</v>
      </c>
      <c r="C1708" s="4" t="n">
        <f aca="false">YEAR(B1708)</f>
        <v>2024</v>
      </c>
      <c r="D1708" s="49" t="s">
        <v>283</v>
      </c>
      <c r="E1708" s="49" t="s">
        <v>3666</v>
      </c>
      <c r="F1708" s="50" t="n">
        <v>6</v>
      </c>
      <c r="G1708" s="49" t="s">
        <v>280</v>
      </c>
      <c r="H1708" s="51" t="n">
        <v>0.9266</v>
      </c>
      <c r="I1708" s="51" t="n">
        <v>0.0654</v>
      </c>
      <c r="J1708" s="51" t="n">
        <v>0.0079</v>
      </c>
      <c r="K1708" s="49"/>
      <c r="L1708" s="49"/>
      <c r="M1708" s="49"/>
      <c r="N1708" s="49"/>
      <c r="O1708" s="49"/>
      <c r="P1708" s="49"/>
      <c r="Q1708" s="49"/>
      <c r="R1708" s="49" t="s">
        <v>281</v>
      </c>
      <c r="S1708" s="49" t="n">
        <v>0</v>
      </c>
      <c r="T1708" s="49" t="n">
        <v>0</v>
      </c>
      <c r="U1708" s="49" t="s">
        <v>3667</v>
      </c>
    </row>
    <row r="1709" customFormat="false" ht="15" hidden="false" customHeight="false" outlineLevel="0" collapsed="false">
      <c r="B1709" s="48" t="n">
        <v>45547.4825347222</v>
      </c>
      <c r="C1709" s="4" t="n">
        <f aca="false">YEAR(B1709)</f>
        <v>2024</v>
      </c>
      <c r="D1709" s="49" t="s">
        <v>283</v>
      </c>
      <c r="E1709" s="49" t="s">
        <v>3668</v>
      </c>
      <c r="F1709" s="50" t="n">
        <v>1</v>
      </c>
      <c r="G1709" s="49" t="s">
        <v>290</v>
      </c>
      <c r="H1709" s="51" t="n">
        <v>0.3699</v>
      </c>
      <c r="I1709" s="51" t="n">
        <v>0.6034</v>
      </c>
      <c r="J1709" s="51" t="n">
        <v>0.0267</v>
      </c>
      <c r="K1709" s="49"/>
      <c r="L1709" s="49"/>
      <c r="M1709" s="49"/>
      <c r="N1709" s="49"/>
      <c r="O1709" s="49"/>
      <c r="P1709" s="49"/>
      <c r="Q1709" s="49"/>
      <c r="R1709" s="49"/>
      <c r="S1709" s="49" t="n">
        <v>1</v>
      </c>
      <c r="T1709" s="49" t="n">
        <v>0</v>
      </c>
      <c r="U1709" s="49" t="s">
        <v>3669</v>
      </c>
    </row>
    <row r="1710" customFormat="false" ht="15" hidden="false" customHeight="false" outlineLevel="0" collapsed="false">
      <c r="B1710" s="48" t="n">
        <v>45547.6423842593</v>
      </c>
      <c r="C1710" s="4" t="n">
        <f aca="false">YEAR(B1710)</f>
        <v>2024</v>
      </c>
      <c r="D1710" s="49" t="s">
        <v>283</v>
      </c>
      <c r="E1710" s="49" t="s">
        <v>3670</v>
      </c>
      <c r="F1710" s="50" t="n">
        <v>1</v>
      </c>
      <c r="G1710" s="49" t="s">
        <v>290</v>
      </c>
      <c r="H1710" s="51" t="n">
        <v>0.0219</v>
      </c>
      <c r="I1710" s="51" t="n">
        <v>0.8284</v>
      </c>
      <c r="J1710" s="51" t="n">
        <v>0.1498</v>
      </c>
      <c r="K1710" s="49"/>
      <c r="L1710" s="49"/>
      <c r="M1710" s="49"/>
      <c r="N1710" s="49"/>
      <c r="O1710" s="49"/>
      <c r="P1710" s="49"/>
      <c r="Q1710" s="49"/>
      <c r="R1710" s="49"/>
      <c r="S1710" s="49" t="n">
        <v>1</v>
      </c>
      <c r="T1710" s="49" t="n">
        <v>0</v>
      </c>
      <c r="U1710" s="49" t="s">
        <v>3671</v>
      </c>
    </row>
    <row r="1711" customFormat="false" ht="15" hidden="false" customHeight="false" outlineLevel="0" collapsed="false">
      <c r="B1711" s="48" t="n">
        <v>45548.1859837963</v>
      </c>
      <c r="C1711" s="4" t="n">
        <f aca="false">YEAR(B1711)</f>
        <v>2024</v>
      </c>
      <c r="D1711" s="49" t="s">
        <v>283</v>
      </c>
      <c r="E1711" s="49" t="s">
        <v>3672</v>
      </c>
      <c r="F1711" s="50" t="n">
        <v>1</v>
      </c>
      <c r="G1711" s="49" t="s">
        <v>280</v>
      </c>
      <c r="H1711" s="51" t="n">
        <v>0.5562</v>
      </c>
      <c r="I1711" s="51" t="n">
        <v>0.4147</v>
      </c>
      <c r="J1711" s="51" t="n">
        <v>0.0292</v>
      </c>
      <c r="K1711" s="49"/>
      <c r="L1711" s="49"/>
      <c r="M1711" s="49"/>
      <c r="N1711" s="49"/>
      <c r="O1711" s="49"/>
      <c r="P1711" s="49"/>
      <c r="Q1711" s="49"/>
      <c r="R1711" s="49"/>
      <c r="S1711" s="49" t="n">
        <v>0</v>
      </c>
      <c r="T1711" s="49" t="n">
        <v>0</v>
      </c>
      <c r="U1711" s="49" t="s">
        <v>3673</v>
      </c>
    </row>
    <row r="1712" customFormat="false" ht="15" hidden="false" customHeight="false" outlineLevel="0" collapsed="false">
      <c r="B1712" s="48" t="n">
        <v>45548.5556597222</v>
      </c>
      <c r="C1712" s="4" t="n">
        <f aca="false">YEAR(B1712)</f>
        <v>2024</v>
      </c>
      <c r="D1712" s="49" t="s">
        <v>278</v>
      </c>
      <c r="E1712" s="49" t="s">
        <v>3674</v>
      </c>
      <c r="F1712" s="50" t="n">
        <v>1</v>
      </c>
      <c r="G1712" s="49" t="s">
        <v>290</v>
      </c>
      <c r="H1712" s="51" t="n">
        <v>0.1174</v>
      </c>
      <c r="I1712" s="51" t="n">
        <v>0.7924</v>
      </c>
      <c r="J1712" s="51" t="n">
        <v>0.0901</v>
      </c>
      <c r="K1712" s="49"/>
      <c r="L1712" s="49"/>
      <c r="M1712" s="49"/>
      <c r="N1712" s="49"/>
      <c r="O1712" s="49"/>
      <c r="P1712" s="49"/>
      <c r="Q1712" s="49"/>
      <c r="R1712" s="49"/>
      <c r="S1712" s="49" t="n">
        <v>0</v>
      </c>
      <c r="T1712" s="49" t="n">
        <v>0</v>
      </c>
      <c r="U1712" s="49" t="s">
        <v>3675</v>
      </c>
    </row>
    <row r="1713" customFormat="false" ht="15" hidden="false" customHeight="false" outlineLevel="0" collapsed="false">
      <c r="B1713" s="48" t="n">
        <v>45550.1471759259</v>
      </c>
      <c r="C1713" s="4" t="n">
        <f aca="false">YEAR(B1713)</f>
        <v>2024</v>
      </c>
      <c r="D1713" s="49" t="s">
        <v>283</v>
      </c>
      <c r="E1713" s="49" t="s">
        <v>3676</v>
      </c>
      <c r="F1713" s="50" t="n">
        <v>1</v>
      </c>
      <c r="G1713" s="49" t="s">
        <v>280</v>
      </c>
      <c r="H1713" s="51" t="n">
        <v>0.7688</v>
      </c>
      <c r="I1713" s="51" t="n">
        <v>0.2246</v>
      </c>
      <c r="J1713" s="51" t="n">
        <v>0.0066</v>
      </c>
      <c r="K1713" s="49"/>
      <c r="L1713" s="49"/>
      <c r="M1713" s="49"/>
      <c r="N1713" s="49"/>
      <c r="O1713" s="49"/>
      <c r="P1713" s="49"/>
      <c r="Q1713" s="49" t="s">
        <v>281</v>
      </c>
      <c r="R1713" s="49"/>
      <c r="S1713" s="49" t="n">
        <v>1</v>
      </c>
      <c r="T1713" s="49" t="n">
        <v>0</v>
      </c>
      <c r="U1713" s="49" t="s">
        <v>3677</v>
      </c>
    </row>
    <row r="1714" customFormat="false" ht="15" hidden="false" customHeight="false" outlineLevel="0" collapsed="false">
      <c r="B1714" s="48" t="n">
        <v>45551.1899652778</v>
      </c>
      <c r="C1714" s="4" t="n">
        <f aca="false">YEAR(B1714)</f>
        <v>2024</v>
      </c>
      <c r="D1714" s="49" t="s">
        <v>283</v>
      </c>
      <c r="E1714" s="49" t="s">
        <v>3678</v>
      </c>
      <c r="F1714" s="50" t="n">
        <v>0</v>
      </c>
      <c r="G1714" s="49" t="s">
        <v>290</v>
      </c>
      <c r="H1714" s="51" t="n">
        <v>0.0232</v>
      </c>
      <c r="I1714" s="51" t="n">
        <v>0.9195</v>
      </c>
      <c r="J1714" s="51" t="n">
        <v>0.0572</v>
      </c>
      <c r="K1714" s="49"/>
      <c r="L1714" s="49"/>
      <c r="M1714" s="49"/>
      <c r="N1714" s="49"/>
      <c r="O1714" s="49"/>
      <c r="P1714" s="49"/>
      <c r="Q1714" s="49"/>
      <c r="R1714" s="49"/>
      <c r="S1714" s="49" t="n">
        <v>0</v>
      </c>
      <c r="T1714" s="49" t="n">
        <v>0</v>
      </c>
      <c r="U1714" s="49" t="s">
        <v>3679</v>
      </c>
    </row>
    <row r="1715" customFormat="false" ht="15" hidden="false" customHeight="false" outlineLevel="0" collapsed="false">
      <c r="B1715" s="48" t="n">
        <v>45551.3678935185</v>
      </c>
      <c r="C1715" s="4" t="n">
        <f aca="false">YEAR(B1715)</f>
        <v>2024</v>
      </c>
      <c r="D1715" s="49" t="s">
        <v>283</v>
      </c>
      <c r="E1715" s="49" t="s">
        <v>3680</v>
      </c>
      <c r="F1715" s="50" t="n">
        <v>14</v>
      </c>
      <c r="G1715" s="49" t="s">
        <v>290</v>
      </c>
      <c r="H1715" s="51" t="n">
        <v>0.0425</v>
      </c>
      <c r="I1715" s="51" t="n">
        <v>0.7707</v>
      </c>
      <c r="J1715" s="51" t="n">
        <v>0.1868</v>
      </c>
      <c r="K1715" s="49"/>
      <c r="L1715" s="49"/>
      <c r="M1715" s="49"/>
      <c r="N1715" s="49"/>
      <c r="O1715" s="49"/>
      <c r="P1715" s="49"/>
      <c r="Q1715" s="49"/>
      <c r="R1715" s="49"/>
      <c r="S1715" s="49" t="n">
        <v>0</v>
      </c>
      <c r="T1715" s="49" t="n">
        <v>0</v>
      </c>
      <c r="U1715" s="49" t="s">
        <v>3681</v>
      </c>
    </row>
    <row r="1716" customFormat="false" ht="15" hidden="false" customHeight="false" outlineLevel="0" collapsed="false">
      <c r="B1716" s="48" t="n">
        <v>45551.55375</v>
      </c>
      <c r="C1716" s="4" t="n">
        <f aca="false">YEAR(B1716)</f>
        <v>2024</v>
      </c>
      <c r="D1716" s="49" t="s">
        <v>283</v>
      </c>
      <c r="E1716" s="49" t="s">
        <v>3682</v>
      </c>
      <c r="F1716" s="50" t="n">
        <v>14</v>
      </c>
      <c r="G1716" s="49" t="s">
        <v>290</v>
      </c>
      <c r="H1716" s="51" t="n">
        <v>0.1711</v>
      </c>
      <c r="I1716" s="51" t="n">
        <v>0.4391</v>
      </c>
      <c r="J1716" s="51" t="n">
        <v>0.3898</v>
      </c>
      <c r="K1716" s="49"/>
      <c r="L1716" s="49"/>
      <c r="M1716" s="49"/>
      <c r="N1716" s="49"/>
      <c r="O1716" s="49"/>
      <c r="P1716" s="49"/>
      <c r="Q1716" s="49"/>
      <c r="R1716" s="49"/>
      <c r="S1716" s="49" t="n">
        <v>0</v>
      </c>
      <c r="T1716" s="49" t="n">
        <v>0</v>
      </c>
      <c r="U1716" s="49" t="s">
        <v>3683</v>
      </c>
    </row>
    <row r="1717" customFormat="false" ht="15" hidden="false" customHeight="false" outlineLevel="0" collapsed="false">
      <c r="B1717" s="48" t="n">
        <v>45551.6202546296</v>
      </c>
      <c r="C1717" s="4" t="n">
        <f aca="false">YEAR(B1717)</f>
        <v>2024</v>
      </c>
      <c r="D1717" s="49" t="s">
        <v>283</v>
      </c>
      <c r="E1717" s="49" t="s">
        <v>3684</v>
      </c>
      <c r="F1717" s="50" t="n">
        <v>1</v>
      </c>
      <c r="G1717" s="49" t="s">
        <v>287</v>
      </c>
      <c r="H1717" s="51" t="n">
        <v>0.0049</v>
      </c>
      <c r="I1717" s="51" t="n">
        <v>0.2725</v>
      </c>
      <c r="J1717" s="51" t="n">
        <v>0.7226</v>
      </c>
      <c r="K1717" s="49"/>
      <c r="L1717" s="49"/>
      <c r="M1717" s="49"/>
      <c r="N1717" s="49"/>
      <c r="O1717" s="49"/>
      <c r="P1717" s="49"/>
      <c r="Q1717" s="49"/>
      <c r="R1717" s="49"/>
      <c r="S1717" s="49" t="n">
        <v>0</v>
      </c>
      <c r="T1717" s="49" t="n">
        <v>0</v>
      </c>
      <c r="U1717" s="49" t="s">
        <v>3685</v>
      </c>
    </row>
    <row r="1718" customFormat="false" ht="15" hidden="false" customHeight="false" outlineLevel="0" collapsed="false">
      <c r="B1718" s="48" t="n">
        <v>45551.8340509259</v>
      </c>
      <c r="C1718" s="4" t="n">
        <f aca="false">YEAR(B1718)</f>
        <v>2024</v>
      </c>
      <c r="D1718" s="49" t="s">
        <v>283</v>
      </c>
      <c r="E1718" s="49" t="s">
        <v>3686</v>
      </c>
      <c r="F1718" s="50" t="n">
        <v>1</v>
      </c>
      <c r="G1718" s="49" t="s">
        <v>290</v>
      </c>
      <c r="H1718" s="51" t="n">
        <v>0.0313</v>
      </c>
      <c r="I1718" s="51" t="n">
        <v>0.8611</v>
      </c>
      <c r="J1718" s="51" t="n">
        <v>0.1075</v>
      </c>
      <c r="K1718" s="49"/>
      <c r="L1718" s="49"/>
      <c r="M1718" s="49"/>
      <c r="N1718" s="49"/>
      <c r="O1718" s="49"/>
      <c r="P1718" s="49"/>
      <c r="Q1718" s="49"/>
      <c r="R1718" s="49"/>
      <c r="S1718" s="49" t="n">
        <v>1</v>
      </c>
      <c r="T1718" s="49" t="n">
        <v>0</v>
      </c>
      <c r="U1718" s="49" t="s">
        <v>3687</v>
      </c>
    </row>
    <row r="1719" customFormat="false" ht="15" hidden="false" customHeight="false" outlineLevel="0" collapsed="false">
      <c r="B1719" s="48" t="n">
        <v>45551.9670833333</v>
      </c>
      <c r="C1719" s="4" t="n">
        <f aca="false">YEAR(B1719)</f>
        <v>2024</v>
      </c>
      <c r="D1719" s="49" t="s">
        <v>283</v>
      </c>
      <c r="E1719" s="49" t="s">
        <v>3688</v>
      </c>
      <c r="F1719" s="50" t="n">
        <v>1</v>
      </c>
      <c r="G1719" s="49" t="s">
        <v>287</v>
      </c>
      <c r="H1719" s="51" t="n">
        <v>0.0087</v>
      </c>
      <c r="I1719" s="51" t="n">
        <v>0.3986</v>
      </c>
      <c r="J1719" s="51" t="n">
        <v>0.5927</v>
      </c>
      <c r="K1719" s="49"/>
      <c r="L1719" s="49"/>
      <c r="M1719" s="49"/>
      <c r="N1719" s="49"/>
      <c r="O1719" s="49"/>
      <c r="P1719" s="49"/>
      <c r="Q1719" s="49"/>
      <c r="R1719" s="49"/>
      <c r="S1719" s="49" t="n">
        <v>1</v>
      </c>
      <c r="T1719" s="49" t="n">
        <v>0</v>
      </c>
      <c r="U1719" s="49" t="s">
        <v>3689</v>
      </c>
    </row>
    <row r="1720" customFormat="false" ht="15" hidden="false" customHeight="false" outlineLevel="0" collapsed="false">
      <c r="B1720" s="48" t="n">
        <v>45552.5217939815</v>
      </c>
      <c r="C1720" s="4" t="n">
        <f aca="false">YEAR(B1720)</f>
        <v>2024</v>
      </c>
      <c r="D1720" s="49" t="s">
        <v>278</v>
      </c>
      <c r="E1720" s="49" t="s">
        <v>3690</v>
      </c>
      <c r="F1720" s="50" t="n">
        <v>6</v>
      </c>
      <c r="G1720" s="49" t="s">
        <v>280</v>
      </c>
      <c r="H1720" s="51" t="n">
        <v>0.5474</v>
      </c>
      <c r="I1720" s="51" t="n">
        <v>0.4375</v>
      </c>
      <c r="J1720" s="51" t="n">
        <v>0.0151</v>
      </c>
      <c r="K1720" s="49"/>
      <c r="L1720" s="49"/>
      <c r="M1720" s="49"/>
      <c r="N1720" s="49"/>
      <c r="O1720" s="49"/>
      <c r="P1720" s="49"/>
      <c r="Q1720" s="49"/>
      <c r="R1720" s="49"/>
      <c r="S1720" s="49" t="n">
        <v>0</v>
      </c>
      <c r="T1720" s="49" t="n">
        <v>0</v>
      </c>
      <c r="U1720" s="49" t="s">
        <v>3691</v>
      </c>
    </row>
    <row r="1721" customFormat="false" ht="15" hidden="false" customHeight="false" outlineLevel="0" collapsed="false">
      <c r="B1721" s="48" t="n">
        <v>45552.8286574074</v>
      </c>
      <c r="C1721" s="4" t="n">
        <f aca="false">YEAR(B1721)</f>
        <v>2024</v>
      </c>
      <c r="D1721" s="49" t="s">
        <v>283</v>
      </c>
      <c r="E1721" s="49" t="s">
        <v>3692</v>
      </c>
      <c r="F1721" s="50" t="n">
        <v>2</v>
      </c>
      <c r="G1721" s="49" t="s">
        <v>290</v>
      </c>
      <c r="H1721" s="51" t="n">
        <v>0.0335</v>
      </c>
      <c r="I1721" s="51" t="n">
        <v>0.8923</v>
      </c>
      <c r="J1721" s="51" t="n">
        <v>0.0742</v>
      </c>
      <c r="K1721" s="49"/>
      <c r="L1721" s="49"/>
      <c r="M1721" s="49"/>
      <c r="N1721" s="49"/>
      <c r="O1721" s="49"/>
      <c r="P1721" s="49"/>
      <c r="Q1721" s="49"/>
      <c r="R1721" s="49"/>
      <c r="S1721" s="49" t="n">
        <v>0</v>
      </c>
      <c r="T1721" s="49" t="n">
        <v>0</v>
      </c>
      <c r="U1721" s="49" t="s">
        <v>3693</v>
      </c>
    </row>
    <row r="1722" customFormat="false" ht="15" hidden="false" customHeight="false" outlineLevel="0" collapsed="false">
      <c r="B1722" s="48" t="n">
        <v>45553.2870023148</v>
      </c>
      <c r="C1722" s="4" t="n">
        <f aca="false">YEAR(B1722)</f>
        <v>2024</v>
      </c>
      <c r="D1722" s="49" t="s">
        <v>283</v>
      </c>
      <c r="E1722" s="49" t="s">
        <v>3694</v>
      </c>
      <c r="F1722" s="50" t="n">
        <v>0</v>
      </c>
      <c r="G1722" s="49" t="s">
        <v>290</v>
      </c>
      <c r="H1722" s="51" t="n">
        <v>0.0082</v>
      </c>
      <c r="I1722" s="51" t="n">
        <v>0.8871</v>
      </c>
      <c r="J1722" s="51" t="n">
        <v>0.1047</v>
      </c>
      <c r="K1722" s="49"/>
      <c r="L1722" s="49"/>
      <c r="M1722" s="49"/>
      <c r="N1722" s="49"/>
      <c r="O1722" s="49"/>
      <c r="P1722" s="49"/>
      <c r="Q1722" s="49"/>
      <c r="R1722" s="49"/>
      <c r="S1722" s="49" t="n">
        <v>0</v>
      </c>
      <c r="T1722" s="49" t="n">
        <v>0</v>
      </c>
      <c r="U1722" s="49" t="s">
        <v>3695</v>
      </c>
    </row>
    <row r="1723" customFormat="false" ht="15" hidden="false" customHeight="false" outlineLevel="0" collapsed="false">
      <c r="B1723" s="48" t="n">
        <v>45554.777037037</v>
      </c>
      <c r="C1723" s="4" t="n">
        <f aca="false">YEAR(B1723)</f>
        <v>2024</v>
      </c>
      <c r="D1723" s="49" t="s">
        <v>283</v>
      </c>
      <c r="E1723" s="49" t="s">
        <v>3696</v>
      </c>
      <c r="F1723" s="50" t="n">
        <v>0</v>
      </c>
      <c r="G1723" s="49" t="s">
        <v>290</v>
      </c>
      <c r="H1723" s="51" t="n">
        <v>0.0684</v>
      </c>
      <c r="I1723" s="51" t="n">
        <v>0.6771</v>
      </c>
      <c r="J1723" s="51" t="n">
        <v>0.2544</v>
      </c>
      <c r="K1723" s="49"/>
      <c r="L1723" s="49"/>
      <c r="M1723" s="49"/>
      <c r="N1723" s="49"/>
      <c r="O1723" s="49"/>
      <c r="P1723" s="49"/>
      <c r="Q1723" s="49"/>
      <c r="R1723" s="49"/>
      <c r="S1723" s="49" t="n">
        <v>0</v>
      </c>
      <c r="T1723" s="49" t="n">
        <v>0</v>
      </c>
      <c r="U1723" s="49" t="s">
        <v>3697</v>
      </c>
    </row>
    <row r="1724" customFormat="false" ht="15" hidden="false" customHeight="false" outlineLevel="0" collapsed="false">
      <c r="B1724" s="48" t="n">
        <v>45554.9079050926</v>
      </c>
      <c r="C1724" s="4" t="n">
        <f aca="false">YEAR(B1724)</f>
        <v>2024</v>
      </c>
      <c r="D1724" s="49" t="s">
        <v>283</v>
      </c>
      <c r="E1724" s="49" t="s">
        <v>3698</v>
      </c>
      <c r="F1724" s="50" t="n">
        <v>8</v>
      </c>
      <c r="G1724" s="49" t="s">
        <v>287</v>
      </c>
      <c r="H1724" s="51" t="n">
        <v>0.0057</v>
      </c>
      <c r="I1724" s="51" t="n">
        <v>0.1182</v>
      </c>
      <c r="J1724" s="51" t="n">
        <v>0.8761</v>
      </c>
      <c r="K1724" s="49"/>
      <c r="L1724" s="49"/>
      <c r="M1724" s="49"/>
      <c r="N1724" s="49"/>
      <c r="O1724" s="49"/>
      <c r="P1724" s="49"/>
      <c r="Q1724" s="49"/>
      <c r="R1724" s="49"/>
      <c r="S1724" s="49" t="n">
        <v>0</v>
      </c>
      <c r="T1724" s="49" t="n">
        <v>0</v>
      </c>
      <c r="U1724" s="49" t="s">
        <v>3699</v>
      </c>
    </row>
    <row r="1725" customFormat="false" ht="15" hidden="false" customHeight="false" outlineLevel="0" collapsed="false">
      <c r="B1725" s="48" t="n">
        <v>45555.5905092593</v>
      </c>
      <c r="C1725" s="4" t="n">
        <f aca="false">YEAR(B1725)</f>
        <v>2024</v>
      </c>
      <c r="D1725" s="49" t="s">
        <v>283</v>
      </c>
      <c r="E1725" s="49" t="s">
        <v>3700</v>
      </c>
      <c r="F1725" s="50" t="n">
        <v>1</v>
      </c>
      <c r="G1725" s="49" t="s">
        <v>287</v>
      </c>
      <c r="H1725" s="51" t="n">
        <v>0.013</v>
      </c>
      <c r="I1725" s="51" t="n">
        <v>0.3859</v>
      </c>
      <c r="J1725" s="51" t="n">
        <v>0.6011</v>
      </c>
      <c r="K1725" s="49"/>
      <c r="L1725" s="49"/>
      <c r="M1725" s="49"/>
      <c r="N1725" s="49"/>
      <c r="O1725" s="49"/>
      <c r="P1725" s="49"/>
      <c r="Q1725" s="49"/>
      <c r="R1725" s="49"/>
      <c r="S1725" s="49" t="n">
        <v>0</v>
      </c>
      <c r="T1725" s="49" t="n">
        <v>0</v>
      </c>
      <c r="U1725" s="49" t="s">
        <v>3701</v>
      </c>
    </row>
    <row r="1726" customFormat="false" ht="15" hidden="false" customHeight="false" outlineLevel="0" collapsed="false">
      <c r="B1726" s="48" t="n">
        <v>45555.6149074074</v>
      </c>
      <c r="C1726" s="4" t="n">
        <f aca="false">YEAR(B1726)</f>
        <v>2024</v>
      </c>
      <c r="D1726" s="49" t="s">
        <v>283</v>
      </c>
      <c r="E1726" s="49" t="s">
        <v>3702</v>
      </c>
      <c r="F1726" s="50" t="n">
        <v>1</v>
      </c>
      <c r="G1726" s="49" t="s">
        <v>290</v>
      </c>
      <c r="H1726" s="51" t="n">
        <v>0.0244</v>
      </c>
      <c r="I1726" s="51" t="n">
        <v>0.8356</v>
      </c>
      <c r="J1726" s="51" t="n">
        <v>0.14</v>
      </c>
      <c r="K1726" s="49"/>
      <c r="L1726" s="49"/>
      <c r="M1726" s="49"/>
      <c r="N1726" s="49"/>
      <c r="O1726" s="49"/>
      <c r="P1726" s="49"/>
      <c r="Q1726" s="49"/>
      <c r="R1726" s="49"/>
      <c r="S1726" s="49" t="n">
        <v>1</v>
      </c>
      <c r="T1726" s="49" t="n">
        <v>0</v>
      </c>
      <c r="U1726" s="49" t="s">
        <v>3703</v>
      </c>
    </row>
    <row r="1727" customFormat="false" ht="15" hidden="false" customHeight="false" outlineLevel="0" collapsed="false">
      <c r="B1727" s="48" t="n">
        <v>45555.818912037</v>
      </c>
      <c r="C1727" s="4" t="n">
        <f aca="false">YEAR(B1727)</f>
        <v>2024</v>
      </c>
      <c r="D1727" s="49" t="s">
        <v>283</v>
      </c>
      <c r="E1727" s="49" t="s">
        <v>3704</v>
      </c>
      <c r="F1727" s="50" t="n">
        <v>1</v>
      </c>
      <c r="G1727" s="49" t="s">
        <v>280</v>
      </c>
      <c r="H1727" s="51" t="n">
        <v>0.7776</v>
      </c>
      <c r="I1727" s="51" t="n">
        <v>0.1722</v>
      </c>
      <c r="J1727" s="51" t="n">
        <v>0.0502</v>
      </c>
      <c r="K1727" s="49"/>
      <c r="L1727" s="49"/>
      <c r="M1727" s="49"/>
      <c r="N1727" s="49"/>
      <c r="O1727" s="49"/>
      <c r="P1727" s="49"/>
      <c r="Q1727" s="49"/>
      <c r="R1727" s="49"/>
      <c r="S1727" s="49" t="n">
        <v>1</v>
      </c>
      <c r="T1727" s="49" t="n">
        <v>0</v>
      </c>
      <c r="U1727" s="49" t="s">
        <v>3705</v>
      </c>
    </row>
    <row r="1728" customFormat="false" ht="15" hidden="false" customHeight="false" outlineLevel="0" collapsed="false">
      <c r="B1728" s="48" t="n">
        <v>45555.8851851852</v>
      </c>
      <c r="C1728" s="4" t="n">
        <f aca="false">YEAR(B1728)</f>
        <v>2024</v>
      </c>
      <c r="D1728" s="49" t="s">
        <v>278</v>
      </c>
      <c r="E1728" s="49" t="s">
        <v>3706</v>
      </c>
      <c r="F1728" s="50" t="n">
        <v>1</v>
      </c>
      <c r="G1728" s="49" t="s">
        <v>280</v>
      </c>
      <c r="H1728" s="51" t="n">
        <v>0.8891</v>
      </c>
      <c r="I1728" s="51" t="n">
        <v>0.1039</v>
      </c>
      <c r="J1728" s="51" t="n">
        <v>0.007</v>
      </c>
      <c r="K1728" s="49"/>
      <c r="L1728" s="49"/>
      <c r="M1728" s="49"/>
      <c r="N1728" s="49"/>
      <c r="O1728" s="49"/>
      <c r="P1728" s="49"/>
      <c r="Q1728" s="49"/>
      <c r="R1728" s="49"/>
      <c r="S1728" s="49" t="n">
        <v>0</v>
      </c>
      <c r="T1728" s="49" t="n">
        <v>0</v>
      </c>
      <c r="U1728" s="49" t="s">
        <v>3707</v>
      </c>
    </row>
    <row r="1729" customFormat="false" ht="15" hidden="false" customHeight="false" outlineLevel="0" collapsed="false">
      <c r="B1729" s="48" t="n">
        <v>45555.9165393519</v>
      </c>
      <c r="C1729" s="4" t="n">
        <f aca="false">YEAR(B1729)</f>
        <v>2024</v>
      </c>
      <c r="D1729" s="49" t="s">
        <v>278</v>
      </c>
      <c r="E1729" s="49" t="s">
        <v>3708</v>
      </c>
      <c r="F1729" s="50" t="n">
        <v>10</v>
      </c>
      <c r="G1729" s="49" t="s">
        <v>280</v>
      </c>
      <c r="H1729" s="51" t="n">
        <v>0.8258</v>
      </c>
      <c r="I1729" s="51" t="n">
        <v>0.1642</v>
      </c>
      <c r="J1729" s="51" t="n">
        <v>0.0099</v>
      </c>
      <c r="K1729" s="49"/>
      <c r="L1729" s="49" t="s">
        <v>281</v>
      </c>
      <c r="M1729" s="49" t="s">
        <v>281</v>
      </c>
      <c r="N1729" s="49"/>
      <c r="O1729" s="49"/>
      <c r="P1729" s="49"/>
      <c r="Q1729" s="49" t="s">
        <v>281</v>
      </c>
      <c r="R1729" s="49"/>
      <c r="S1729" s="49" t="n">
        <v>0</v>
      </c>
      <c r="T1729" s="49" t="n">
        <v>0</v>
      </c>
      <c r="U1729" s="49" t="s">
        <v>3709</v>
      </c>
    </row>
    <row r="1730" customFormat="false" ht="15" hidden="false" customHeight="false" outlineLevel="0" collapsed="false">
      <c r="B1730" s="48" t="n">
        <v>45555.9409606482</v>
      </c>
      <c r="C1730" s="4" t="n">
        <f aca="false">YEAR(B1730)</f>
        <v>2024</v>
      </c>
      <c r="D1730" s="49" t="s">
        <v>283</v>
      </c>
      <c r="E1730" s="49" t="s">
        <v>3710</v>
      </c>
      <c r="F1730" s="50" t="n">
        <v>18</v>
      </c>
      <c r="G1730" s="49" t="s">
        <v>287</v>
      </c>
      <c r="H1730" s="51" t="n">
        <v>0.0018</v>
      </c>
      <c r="I1730" s="51" t="n">
        <v>0.0385</v>
      </c>
      <c r="J1730" s="51" t="n">
        <v>0.9597</v>
      </c>
      <c r="K1730" s="49"/>
      <c r="L1730" s="49"/>
      <c r="M1730" s="49"/>
      <c r="N1730" s="49"/>
      <c r="O1730" s="49"/>
      <c r="P1730" s="49"/>
      <c r="Q1730" s="49"/>
      <c r="R1730" s="49"/>
      <c r="S1730" s="49" t="n">
        <v>0</v>
      </c>
      <c r="T1730" s="49" t="n">
        <v>0</v>
      </c>
      <c r="U1730" s="49" t="s">
        <v>3711</v>
      </c>
    </row>
    <row r="1731" customFormat="false" ht="15" hidden="false" customHeight="false" outlineLevel="0" collapsed="false">
      <c r="B1731" s="48" t="n">
        <v>45556.1179050926</v>
      </c>
      <c r="C1731" s="4" t="n">
        <f aca="false">YEAR(B1731)</f>
        <v>2024</v>
      </c>
      <c r="D1731" s="49" t="s">
        <v>283</v>
      </c>
      <c r="E1731" s="49" t="s">
        <v>3712</v>
      </c>
      <c r="F1731" s="50" t="n">
        <v>4</v>
      </c>
      <c r="G1731" s="49" t="s">
        <v>280</v>
      </c>
      <c r="H1731" s="51" t="n">
        <v>0.5018</v>
      </c>
      <c r="I1731" s="51" t="n">
        <v>0.405</v>
      </c>
      <c r="J1731" s="51" t="n">
        <v>0.0932</v>
      </c>
      <c r="K1731" s="49"/>
      <c r="L1731" s="49"/>
      <c r="M1731" s="49"/>
      <c r="N1731" s="49"/>
      <c r="O1731" s="49"/>
      <c r="P1731" s="49"/>
      <c r="Q1731" s="49"/>
      <c r="R1731" s="49"/>
      <c r="S1731" s="49" t="n">
        <v>0</v>
      </c>
      <c r="T1731" s="49" t="n">
        <v>0</v>
      </c>
      <c r="U1731" s="49" t="s">
        <v>3713</v>
      </c>
    </row>
    <row r="1732" customFormat="false" ht="15" hidden="false" customHeight="false" outlineLevel="0" collapsed="false">
      <c r="B1732" s="48" t="n">
        <v>45556.1565046296</v>
      </c>
      <c r="C1732" s="4" t="n">
        <f aca="false">YEAR(B1732)</f>
        <v>2024</v>
      </c>
      <c r="D1732" s="49" t="s">
        <v>283</v>
      </c>
      <c r="E1732" s="49" t="s">
        <v>3714</v>
      </c>
      <c r="F1732" s="50" t="n">
        <v>1</v>
      </c>
      <c r="G1732" s="49" t="s">
        <v>290</v>
      </c>
      <c r="H1732" s="51" t="n">
        <v>0.0087</v>
      </c>
      <c r="I1732" s="51" t="n">
        <v>0.9202</v>
      </c>
      <c r="J1732" s="51" t="n">
        <v>0.0712</v>
      </c>
      <c r="K1732" s="49"/>
      <c r="L1732" s="49"/>
      <c r="M1732" s="49"/>
      <c r="N1732" s="49"/>
      <c r="O1732" s="49"/>
      <c r="P1732" s="49"/>
      <c r="Q1732" s="49"/>
      <c r="R1732" s="49"/>
      <c r="S1732" s="49" t="n">
        <v>1</v>
      </c>
      <c r="T1732" s="49" t="n">
        <v>0</v>
      </c>
      <c r="U1732" s="49" t="s">
        <v>3715</v>
      </c>
    </row>
    <row r="1733" customFormat="false" ht="15" hidden="false" customHeight="false" outlineLevel="0" collapsed="false">
      <c r="B1733" s="48" t="n">
        <v>45556.3457407407</v>
      </c>
      <c r="C1733" s="4" t="n">
        <f aca="false">YEAR(B1733)</f>
        <v>2024</v>
      </c>
      <c r="D1733" s="49" t="s">
        <v>283</v>
      </c>
      <c r="E1733" s="49" t="s">
        <v>3716</v>
      </c>
      <c r="F1733" s="50" t="n">
        <v>19</v>
      </c>
      <c r="G1733" s="49" t="s">
        <v>280</v>
      </c>
      <c r="H1733" s="51" t="n">
        <v>0.6316</v>
      </c>
      <c r="I1733" s="51" t="n">
        <v>0.2932</v>
      </c>
      <c r="J1733" s="51" t="n">
        <v>0.0752</v>
      </c>
      <c r="K1733" s="49"/>
      <c r="L1733" s="49" t="s">
        <v>281</v>
      </c>
      <c r="M1733" s="49"/>
      <c r="N1733" s="49"/>
      <c r="O1733" s="49"/>
      <c r="P1733" s="49"/>
      <c r="Q1733" s="49"/>
      <c r="R1733" s="49"/>
      <c r="S1733" s="49" t="n">
        <v>0</v>
      </c>
      <c r="T1733" s="49" t="n">
        <v>0</v>
      </c>
      <c r="U1733" s="49" t="s">
        <v>3717</v>
      </c>
    </row>
    <row r="1734" customFormat="false" ht="15" hidden="false" customHeight="false" outlineLevel="0" collapsed="false">
      <c r="B1734" s="48" t="n">
        <v>45556.630150463</v>
      </c>
      <c r="C1734" s="4" t="n">
        <f aca="false">YEAR(B1734)</f>
        <v>2024</v>
      </c>
      <c r="D1734" s="49" t="s">
        <v>283</v>
      </c>
      <c r="E1734" s="49" t="s">
        <v>3718</v>
      </c>
      <c r="F1734" s="50" t="n">
        <v>1</v>
      </c>
      <c r="G1734" s="49" t="s">
        <v>280</v>
      </c>
      <c r="H1734" s="51" t="n">
        <v>0.5567</v>
      </c>
      <c r="I1734" s="51" t="n">
        <v>0.3545</v>
      </c>
      <c r="J1734" s="51" t="n">
        <v>0.0888</v>
      </c>
      <c r="K1734" s="49"/>
      <c r="L1734" s="49"/>
      <c r="M1734" s="49"/>
      <c r="N1734" s="49"/>
      <c r="O1734" s="49"/>
      <c r="P1734" s="49"/>
      <c r="Q1734" s="49"/>
      <c r="R1734" s="49"/>
      <c r="S1734" s="49" t="n">
        <v>0</v>
      </c>
      <c r="T1734" s="49" t="n">
        <v>0</v>
      </c>
      <c r="U1734" s="49" t="s">
        <v>3719</v>
      </c>
    </row>
    <row r="1735" customFormat="false" ht="15" hidden="false" customHeight="false" outlineLevel="0" collapsed="false">
      <c r="B1735" s="48" t="n">
        <v>45556.6527199074</v>
      </c>
      <c r="C1735" s="4" t="n">
        <f aca="false">YEAR(B1735)</f>
        <v>2024</v>
      </c>
      <c r="D1735" s="49" t="s">
        <v>283</v>
      </c>
      <c r="E1735" s="49" t="s">
        <v>3720</v>
      </c>
      <c r="F1735" s="50" t="n">
        <v>1</v>
      </c>
      <c r="G1735" s="49" t="s">
        <v>280</v>
      </c>
      <c r="H1735" s="51" t="n">
        <v>0.6155</v>
      </c>
      <c r="I1735" s="51" t="n">
        <v>0.3389</v>
      </c>
      <c r="J1735" s="51" t="n">
        <v>0.0456</v>
      </c>
      <c r="K1735" s="49"/>
      <c r="L1735" s="49"/>
      <c r="M1735" s="49"/>
      <c r="N1735" s="49"/>
      <c r="O1735" s="49"/>
      <c r="P1735" s="49"/>
      <c r="Q1735" s="49"/>
      <c r="R1735" s="49"/>
      <c r="S1735" s="49" t="n">
        <v>1</v>
      </c>
      <c r="T1735" s="49" t="n">
        <v>0</v>
      </c>
      <c r="U1735" s="49" t="s">
        <v>3721</v>
      </c>
    </row>
    <row r="1736" customFormat="false" ht="15" hidden="false" customHeight="false" outlineLevel="0" collapsed="false">
      <c r="B1736" s="48" t="n">
        <v>45556.6954050926</v>
      </c>
      <c r="C1736" s="4" t="n">
        <f aca="false">YEAR(B1736)</f>
        <v>2024</v>
      </c>
      <c r="D1736" s="49" t="s">
        <v>283</v>
      </c>
      <c r="E1736" s="49" t="s">
        <v>3722</v>
      </c>
      <c r="F1736" s="50" t="n">
        <v>1</v>
      </c>
      <c r="G1736" s="49" t="s">
        <v>290</v>
      </c>
      <c r="H1736" s="51" t="n">
        <v>0.0281</v>
      </c>
      <c r="I1736" s="51" t="n">
        <v>0.8204</v>
      </c>
      <c r="J1736" s="51" t="n">
        <v>0.1515</v>
      </c>
      <c r="K1736" s="49"/>
      <c r="L1736" s="49"/>
      <c r="M1736" s="49"/>
      <c r="N1736" s="49"/>
      <c r="O1736" s="49"/>
      <c r="P1736" s="49"/>
      <c r="Q1736" s="49"/>
      <c r="R1736" s="49"/>
      <c r="S1736" s="49" t="n">
        <v>0</v>
      </c>
      <c r="T1736" s="49" t="n">
        <v>0</v>
      </c>
      <c r="U1736" s="49" t="s">
        <v>3723</v>
      </c>
    </row>
    <row r="1737" customFormat="false" ht="15" hidden="false" customHeight="false" outlineLevel="0" collapsed="false">
      <c r="B1737" s="48" t="n">
        <v>45557.4139814815</v>
      </c>
      <c r="C1737" s="4" t="n">
        <f aca="false">YEAR(B1737)</f>
        <v>2024</v>
      </c>
      <c r="D1737" s="49" t="s">
        <v>278</v>
      </c>
      <c r="E1737" s="49" t="s">
        <v>3724</v>
      </c>
      <c r="F1737" s="50" t="n">
        <v>11</v>
      </c>
      <c r="G1737" s="49" t="s">
        <v>280</v>
      </c>
      <c r="H1737" s="51" t="n">
        <v>0.6777</v>
      </c>
      <c r="I1737" s="51" t="n">
        <v>0.2975</v>
      </c>
      <c r="J1737" s="51" t="n">
        <v>0.0248</v>
      </c>
      <c r="K1737" s="49"/>
      <c r="L1737" s="49"/>
      <c r="M1737" s="49"/>
      <c r="N1737" s="49"/>
      <c r="O1737" s="49"/>
      <c r="P1737" s="49"/>
      <c r="Q1737" s="49"/>
      <c r="R1737" s="49"/>
      <c r="S1737" s="49" t="n">
        <v>0</v>
      </c>
      <c r="T1737" s="49" t="n">
        <v>0</v>
      </c>
      <c r="U1737" s="49" t="s">
        <v>3725</v>
      </c>
    </row>
    <row r="1738" customFormat="false" ht="15" hidden="false" customHeight="false" outlineLevel="0" collapsed="false">
      <c r="B1738" s="48" t="n">
        <v>45558.0884490741</v>
      </c>
      <c r="C1738" s="4" t="n">
        <f aca="false">YEAR(B1738)</f>
        <v>2024</v>
      </c>
      <c r="D1738" s="49" t="s">
        <v>283</v>
      </c>
      <c r="E1738" s="49" t="s">
        <v>3726</v>
      </c>
      <c r="F1738" s="50" t="n">
        <v>1</v>
      </c>
      <c r="G1738" s="49" t="s">
        <v>290</v>
      </c>
      <c r="H1738" s="51" t="n">
        <v>0.0523</v>
      </c>
      <c r="I1738" s="51" t="n">
        <v>0.4772</v>
      </c>
      <c r="J1738" s="51" t="n">
        <v>0.4705</v>
      </c>
      <c r="K1738" s="49"/>
      <c r="L1738" s="49"/>
      <c r="M1738" s="49"/>
      <c r="N1738" s="49"/>
      <c r="O1738" s="49"/>
      <c r="P1738" s="49"/>
      <c r="Q1738" s="49"/>
      <c r="R1738" s="49"/>
      <c r="S1738" s="49" t="n">
        <v>0</v>
      </c>
      <c r="T1738" s="49" t="n">
        <v>0</v>
      </c>
      <c r="U1738" s="49" t="s">
        <v>3727</v>
      </c>
    </row>
    <row r="1739" customFormat="false" ht="15" hidden="false" customHeight="false" outlineLevel="0" collapsed="false">
      <c r="B1739" s="48" t="n">
        <v>45558.6395833333</v>
      </c>
      <c r="C1739" s="4" t="n">
        <f aca="false">YEAR(B1739)</f>
        <v>2024</v>
      </c>
      <c r="D1739" s="49" t="s">
        <v>283</v>
      </c>
      <c r="E1739" s="49" t="s">
        <v>3728</v>
      </c>
      <c r="F1739" s="50" t="n">
        <v>1</v>
      </c>
      <c r="G1739" s="49" t="s">
        <v>287</v>
      </c>
      <c r="H1739" s="51" t="n">
        <v>0.0056</v>
      </c>
      <c r="I1739" s="51" t="n">
        <v>0.3496</v>
      </c>
      <c r="J1739" s="51" t="n">
        <v>0.6448</v>
      </c>
      <c r="K1739" s="49"/>
      <c r="L1739" s="49"/>
      <c r="M1739" s="49"/>
      <c r="N1739" s="49"/>
      <c r="O1739" s="49"/>
      <c r="P1739" s="49"/>
      <c r="Q1739" s="49"/>
      <c r="R1739" s="49"/>
      <c r="S1739" s="49" t="n">
        <v>0</v>
      </c>
      <c r="T1739" s="49" t="n">
        <v>0</v>
      </c>
      <c r="U1739" s="49" t="s">
        <v>3729</v>
      </c>
    </row>
    <row r="1740" customFormat="false" ht="15" hidden="false" customHeight="false" outlineLevel="0" collapsed="false">
      <c r="B1740" s="48" t="n">
        <v>45560.0276851852</v>
      </c>
      <c r="C1740" s="4" t="n">
        <f aca="false">YEAR(B1740)</f>
        <v>2024</v>
      </c>
      <c r="D1740" s="49" t="s">
        <v>283</v>
      </c>
      <c r="E1740" s="49" t="s">
        <v>3730</v>
      </c>
      <c r="F1740" s="50" t="n">
        <v>1</v>
      </c>
      <c r="G1740" s="49" t="s">
        <v>287</v>
      </c>
      <c r="H1740" s="51" t="n">
        <v>0.0733</v>
      </c>
      <c r="I1740" s="51" t="n">
        <v>0.3</v>
      </c>
      <c r="J1740" s="51" t="n">
        <v>0.6267</v>
      </c>
      <c r="K1740" s="49"/>
      <c r="L1740" s="49"/>
      <c r="M1740" s="49"/>
      <c r="N1740" s="49"/>
      <c r="O1740" s="49"/>
      <c r="P1740" s="49"/>
      <c r="Q1740" s="49"/>
      <c r="R1740" s="49"/>
      <c r="S1740" s="49" t="n">
        <v>0</v>
      </c>
      <c r="T1740" s="49" t="n">
        <v>0</v>
      </c>
      <c r="U1740" s="49" t="s">
        <v>3731</v>
      </c>
    </row>
    <row r="1741" customFormat="false" ht="15" hidden="false" customHeight="false" outlineLevel="0" collapsed="false">
      <c r="B1741" s="48" t="n">
        <v>45561.1147800926</v>
      </c>
      <c r="C1741" s="4" t="n">
        <f aca="false">YEAR(B1741)</f>
        <v>2024</v>
      </c>
      <c r="D1741" s="49" t="s">
        <v>278</v>
      </c>
      <c r="E1741" s="49" t="s">
        <v>3732</v>
      </c>
      <c r="F1741" s="50" t="n">
        <v>1</v>
      </c>
      <c r="G1741" s="49" t="s">
        <v>280</v>
      </c>
      <c r="H1741" s="51" t="n">
        <v>0.5334</v>
      </c>
      <c r="I1741" s="51" t="n">
        <v>0.4494</v>
      </c>
      <c r="J1741" s="51" t="n">
        <v>0.0173</v>
      </c>
      <c r="K1741" s="49"/>
      <c r="L1741" s="49"/>
      <c r="M1741" s="49"/>
      <c r="N1741" s="49"/>
      <c r="O1741" s="49"/>
      <c r="P1741" s="49"/>
      <c r="Q1741" s="49"/>
      <c r="R1741" s="49"/>
      <c r="S1741" s="49" t="n">
        <v>0</v>
      </c>
      <c r="T1741" s="49" t="n">
        <v>0</v>
      </c>
      <c r="U1741" s="49" t="s">
        <v>3733</v>
      </c>
    </row>
    <row r="1742" customFormat="false" ht="15" hidden="false" customHeight="false" outlineLevel="0" collapsed="false">
      <c r="B1742" s="48" t="n">
        <v>45561.5504398148</v>
      </c>
      <c r="C1742" s="4" t="n">
        <f aca="false">YEAR(B1742)</f>
        <v>2024</v>
      </c>
      <c r="D1742" s="49" t="s">
        <v>283</v>
      </c>
      <c r="E1742" s="49" t="s">
        <v>3734</v>
      </c>
      <c r="F1742" s="50" t="n">
        <v>2</v>
      </c>
      <c r="G1742" s="49" t="s">
        <v>290</v>
      </c>
      <c r="H1742" s="51" t="n">
        <v>0.4429</v>
      </c>
      <c r="I1742" s="51" t="n">
        <v>0.5188</v>
      </c>
      <c r="J1742" s="51" t="n">
        <v>0.0383</v>
      </c>
      <c r="K1742" s="49"/>
      <c r="L1742" s="49"/>
      <c r="M1742" s="49"/>
      <c r="N1742" s="49"/>
      <c r="O1742" s="49"/>
      <c r="P1742" s="49"/>
      <c r="Q1742" s="49" t="s">
        <v>281</v>
      </c>
      <c r="R1742" s="49"/>
      <c r="S1742" s="49" t="n">
        <v>0</v>
      </c>
      <c r="T1742" s="49" t="n">
        <v>0</v>
      </c>
      <c r="U1742" s="49" t="s">
        <v>3735</v>
      </c>
    </row>
    <row r="1743" customFormat="false" ht="15" hidden="false" customHeight="false" outlineLevel="0" collapsed="false">
      <c r="B1743" s="48" t="n">
        <v>45561.6965625</v>
      </c>
      <c r="C1743" s="4" t="n">
        <f aca="false">YEAR(B1743)</f>
        <v>2024</v>
      </c>
      <c r="D1743" s="49" t="s">
        <v>283</v>
      </c>
      <c r="E1743" s="49" t="s">
        <v>3736</v>
      </c>
      <c r="F1743" s="50" t="n">
        <v>1</v>
      </c>
      <c r="G1743" s="49" t="s">
        <v>290</v>
      </c>
      <c r="H1743" s="51" t="n">
        <v>0.0087</v>
      </c>
      <c r="I1743" s="51" t="n">
        <v>0.8307</v>
      </c>
      <c r="J1743" s="51" t="n">
        <v>0.1607</v>
      </c>
      <c r="K1743" s="49"/>
      <c r="L1743" s="49"/>
      <c r="M1743" s="49"/>
      <c r="N1743" s="49"/>
      <c r="O1743" s="49"/>
      <c r="P1743" s="49"/>
      <c r="Q1743" s="49"/>
      <c r="R1743" s="49"/>
      <c r="S1743" s="49" t="n">
        <v>0</v>
      </c>
      <c r="T1743" s="49" t="n">
        <v>0</v>
      </c>
      <c r="U1743" s="49" t="s">
        <v>3737</v>
      </c>
    </row>
    <row r="1744" customFormat="false" ht="15" hidden="false" customHeight="false" outlineLevel="0" collapsed="false">
      <c r="B1744" s="48" t="n">
        <v>45561.9410763889</v>
      </c>
      <c r="C1744" s="4" t="n">
        <f aca="false">YEAR(B1744)</f>
        <v>2024</v>
      </c>
      <c r="D1744" s="49" t="s">
        <v>283</v>
      </c>
      <c r="E1744" s="49" t="s">
        <v>3738</v>
      </c>
      <c r="F1744" s="50" t="n">
        <v>1</v>
      </c>
      <c r="G1744" s="49" t="s">
        <v>280</v>
      </c>
      <c r="H1744" s="51" t="n">
        <v>0.6807</v>
      </c>
      <c r="I1744" s="51" t="n">
        <v>0.2978</v>
      </c>
      <c r="J1744" s="51" t="n">
        <v>0.0214</v>
      </c>
      <c r="K1744" s="49"/>
      <c r="L1744" s="49"/>
      <c r="M1744" s="49"/>
      <c r="N1744" s="49"/>
      <c r="O1744" s="49"/>
      <c r="P1744" s="49"/>
      <c r="Q1744" s="49"/>
      <c r="R1744" s="49"/>
      <c r="S1744" s="49" t="n">
        <v>0</v>
      </c>
      <c r="T1744" s="49" t="n">
        <v>0</v>
      </c>
      <c r="U1744" s="49" t="s">
        <v>3739</v>
      </c>
    </row>
    <row r="1745" customFormat="false" ht="15" hidden="false" customHeight="false" outlineLevel="0" collapsed="false">
      <c r="B1745" s="48" t="n">
        <v>45562.1146064815</v>
      </c>
      <c r="C1745" s="4" t="n">
        <f aca="false">YEAR(B1745)</f>
        <v>2024</v>
      </c>
      <c r="D1745" s="49" t="s">
        <v>283</v>
      </c>
      <c r="E1745" s="49" t="s">
        <v>3740</v>
      </c>
      <c r="F1745" s="50" t="n">
        <v>1</v>
      </c>
      <c r="G1745" s="49" t="s">
        <v>287</v>
      </c>
      <c r="H1745" s="51" t="n">
        <v>0.0658</v>
      </c>
      <c r="I1745" s="51" t="n">
        <v>0.3507</v>
      </c>
      <c r="J1745" s="51" t="n">
        <v>0.5835</v>
      </c>
      <c r="K1745" s="49"/>
      <c r="L1745" s="49"/>
      <c r="M1745" s="49"/>
      <c r="N1745" s="49"/>
      <c r="O1745" s="49"/>
      <c r="P1745" s="49"/>
      <c r="Q1745" s="49"/>
      <c r="R1745" s="49"/>
      <c r="S1745" s="49" t="n">
        <v>0</v>
      </c>
      <c r="T1745" s="49" t="n">
        <v>0</v>
      </c>
      <c r="U1745" s="49" t="s">
        <v>3741</v>
      </c>
    </row>
    <row r="1746" customFormat="false" ht="15" hidden="false" customHeight="false" outlineLevel="0" collapsed="false">
      <c r="B1746" s="48" t="n">
        <v>45562.4423958333</v>
      </c>
      <c r="C1746" s="4" t="n">
        <f aca="false">YEAR(B1746)</f>
        <v>2024</v>
      </c>
      <c r="D1746" s="49" t="s">
        <v>283</v>
      </c>
      <c r="E1746" s="49" t="s">
        <v>3742</v>
      </c>
      <c r="F1746" s="50" t="n">
        <v>5</v>
      </c>
      <c r="G1746" s="49" t="s">
        <v>290</v>
      </c>
      <c r="H1746" s="51" t="n">
        <v>0.2343</v>
      </c>
      <c r="I1746" s="51" t="n">
        <v>0.693</v>
      </c>
      <c r="J1746" s="51" t="n">
        <v>0.0726</v>
      </c>
      <c r="K1746" s="49"/>
      <c r="L1746" s="49"/>
      <c r="M1746" s="49"/>
      <c r="N1746" s="49"/>
      <c r="O1746" s="49"/>
      <c r="P1746" s="49"/>
      <c r="Q1746" s="49"/>
      <c r="R1746" s="49"/>
      <c r="S1746" s="49" t="n">
        <v>0</v>
      </c>
      <c r="T1746" s="49" t="n">
        <v>0</v>
      </c>
      <c r="U1746" s="49" t="s">
        <v>3743</v>
      </c>
    </row>
    <row r="1747" customFormat="false" ht="15" hidden="false" customHeight="false" outlineLevel="0" collapsed="false">
      <c r="B1747" s="48" t="n">
        <v>45562.599537037</v>
      </c>
      <c r="C1747" s="4" t="n">
        <f aca="false">YEAR(B1747)</f>
        <v>2024</v>
      </c>
      <c r="D1747" s="49" t="s">
        <v>283</v>
      </c>
      <c r="E1747" s="49" t="s">
        <v>3744</v>
      </c>
      <c r="F1747" s="50" t="n">
        <v>1</v>
      </c>
      <c r="G1747" s="49" t="s">
        <v>280</v>
      </c>
      <c r="H1747" s="51" t="n">
        <v>0.8018</v>
      </c>
      <c r="I1747" s="51" t="n">
        <v>0.174</v>
      </c>
      <c r="J1747" s="51" t="n">
        <v>0.0242</v>
      </c>
      <c r="K1747" s="49"/>
      <c r="L1747" s="49"/>
      <c r="M1747" s="49" t="s">
        <v>281</v>
      </c>
      <c r="N1747" s="49"/>
      <c r="O1747" s="49"/>
      <c r="P1747" s="49"/>
      <c r="Q1747" s="49" t="s">
        <v>281</v>
      </c>
      <c r="R1747" s="49"/>
      <c r="S1747" s="49" t="n">
        <v>0</v>
      </c>
      <c r="T1747" s="49" t="n">
        <v>0</v>
      </c>
      <c r="U1747" s="49" t="s">
        <v>3745</v>
      </c>
    </row>
    <row r="1748" customFormat="false" ht="15" hidden="false" customHeight="false" outlineLevel="0" collapsed="false">
      <c r="B1748" s="48" t="n">
        <v>45564.6661111111</v>
      </c>
      <c r="C1748" s="4" t="n">
        <f aca="false">YEAR(B1748)</f>
        <v>2024</v>
      </c>
      <c r="D1748" s="49" t="s">
        <v>283</v>
      </c>
      <c r="E1748" s="49" t="s">
        <v>3746</v>
      </c>
      <c r="F1748" s="50" t="n">
        <v>0</v>
      </c>
      <c r="G1748" s="49" t="s">
        <v>287</v>
      </c>
      <c r="H1748" s="51" t="n">
        <v>0.0034</v>
      </c>
      <c r="I1748" s="51" t="n">
        <v>0.0253</v>
      </c>
      <c r="J1748" s="51" t="n">
        <v>0.9713</v>
      </c>
      <c r="K1748" s="49"/>
      <c r="L1748" s="49"/>
      <c r="M1748" s="49"/>
      <c r="N1748" s="49"/>
      <c r="O1748" s="49"/>
      <c r="P1748" s="49"/>
      <c r="Q1748" s="49"/>
      <c r="R1748" s="49"/>
      <c r="S1748" s="49" t="n">
        <v>0</v>
      </c>
      <c r="T1748" s="49" t="n">
        <v>0</v>
      </c>
      <c r="U1748" s="49" t="s">
        <v>3747</v>
      </c>
    </row>
    <row r="1749" customFormat="false" ht="15" hidden="false" customHeight="false" outlineLevel="0" collapsed="false">
      <c r="B1749" s="48" t="n">
        <v>45565.3998958333</v>
      </c>
      <c r="C1749" s="4" t="n">
        <f aca="false">YEAR(B1749)</f>
        <v>2024</v>
      </c>
      <c r="D1749" s="49" t="s">
        <v>283</v>
      </c>
      <c r="E1749" s="49" t="s">
        <v>3748</v>
      </c>
      <c r="F1749" s="50" t="n">
        <v>1</v>
      </c>
      <c r="G1749" s="49" t="s">
        <v>290</v>
      </c>
      <c r="H1749" s="51" t="n">
        <v>0.006</v>
      </c>
      <c r="I1749" s="51" t="n">
        <v>0.6993</v>
      </c>
      <c r="J1749" s="51" t="n">
        <v>0.2946</v>
      </c>
      <c r="K1749" s="49"/>
      <c r="L1749" s="49"/>
      <c r="M1749" s="49"/>
      <c r="N1749" s="49"/>
      <c r="O1749" s="49"/>
      <c r="P1749" s="49"/>
      <c r="Q1749" s="49"/>
      <c r="R1749" s="49"/>
      <c r="S1749" s="49" t="n">
        <v>1</v>
      </c>
      <c r="T1749" s="49" t="n">
        <v>0</v>
      </c>
      <c r="U1749" s="49" t="s">
        <v>3749</v>
      </c>
    </row>
    <row r="1750" customFormat="false" ht="15" hidden="false" customHeight="false" outlineLevel="0" collapsed="false">
      <c r="B1750" s="48" t="n">
        <v>45565.4712384259</v>
      </c>
      <c r="C1750" s="4" t="n">
        <f aca="false">YEAR(B1750)</f>
        <v>2024</v>
      </c>
      <c r="D1750" s="49" t="s">
        <v>283</v>
      </c>
      <c r="E1750" s="49" t="s">
        <v>3750</v>
      </c>
      <c r="F1750" s="50" t="n">
        <v>1</v>
      </c>
      <c r="G1750" s="49" t="s">
        <v>287</v>
      </c>
      <c r="H1750" s="51" t="n">
        <v>0.0076</v>
      </c>
      <c r="I1750" s="51" t="n">
        <v>0.1508</v>
      </c>
      <c r="J1750" s="51" t="n">
        <v>0.8416</v>
      </c>
      <c r="K1750" s="49"/>
      <c r="L1750" s="49"/>
      <c r="M1750" s="49"/>
      <c r="N1750" s="49"/>
      <c r="O1750" s="49"/>
      <c r="P1750" s="49"/>
      <c r="Q1750" s="49"/>
      <c r="R1750" s="49"/>
      <c r="S1750" s="49" t="n">
        <v>0</v>
      </c>
      <c r="T1750" s="49" t="n">
        <v>0</v>
      </c>
      <c r="U1750" s="49" t="s">
        <v>3751</v>
      </c>
    </row>
    <row r="1751" customFormat="false" ht="15" hidden="false" customHeight="false" outlineLevel="0" collapsed="false">
      <c r="B1751" s="48" t="n">
        <v>45565.5865046296</v>
      </c>
      <c r="C1751" s="4" t="n">
        <f aca="false">YEAR(B1751)</f>
        <v>2024</v>
      </c>
      <c r="D1751" s="49" t="s">
        <v>283</v>
      </c>
      <c r="E1751" s="49" t="s">
        <v>3752</v>
      </c>
      <c r="F1751" s="50" t="n">
        <v>1</v>
      </c>
      <c r="G1751" s="49" t="s">
        <v>280</v>
      </c>
      <c r="H1751" s="51" t="n">
        <v>0.7914</v>
      </c>
      <c r="I1751" s="51" t="n">
        <v>0.1938</v>
      </c>
      <c r="J1751" s="51" t="n">
        <v>0.0148</v>
      </c>
      <c r="K1751" s="49" t="s">
        <v>281</v>
      </c>
      <c r="L1751" s="49"/>
      <c r="M1751" s="49"/>
      <c r="N1751" s="49"/>
      <c r="O1751" s="49"/>
      <c r="P1751" s="49"/>
      <c r="Q1751" s="49" t="s">
        <v>281</v>
      </c>
      <c r="R1751" s="49"/>
      <c r="S1751" s="49" t="n">
        <v>0</v>
      </c>
      <c r="T1751" s="49" t="n">
        <v>0</v>
      </c>
      <c r="U1751" s="49" t="s">
        <v>3753</v>
      </c>
    </row>
    <row r="1752" customFormat="false" ht="15" hidden="false" customHeight="false" outlineLevel="0" collapsed="false">
      <c r="B1752" s="48" t="n">
        <v>45565.6673842593</v>
      </c>
      <c r="C1752" s="4" t="n">
        <f aca="false">YEAR(B1752)</f>
        <v>2024</v>
      </c>
      <c r="D1752" s="49" t="s">
        <v>283</v>
      </c>
      <c r="E1752" s="49" t="s">
        <v>3754</v>
      </c>
      <c r="F1752" s="50" t="n">
        <v>33</v>
      </c>
      <c r="G1752" s="49" t="s">
        <v>287</v>
      </c>
      <c r="H1752" s="51" t="n">
        <v>0.0705</v>
      </c>
      <c r="I1752" s="51" t="n">
        <v>0.4029</v>
      </c>
      <c r="J1752" s="51" t="n">
        <v>0.5265</v>
      </c>
      <c r="K1752" s="49"/>
      <c r="L1752" s="49"/>
      <c r="M1752" s="49"/>
      <c r="N1752" s="49"/>
      <c r="O1752" s="49"/>
      <c r="P1752" s="49"/>
      <c r="Q1752" s="49"/>
      <c r="R1752" s="49"/>
      <c r="S1752" s="49" t="n">
        <v>0</v>
      </c>
      <c r="T1752" s="49" t="n">
        <v>0</v>
      </c>
      <c r="U1752" s="49" t="s">
        <v>3755</v>
      </c>
    </row>
    <row r="1753" customFormat="false" ht="15" hidden="false" customHeight="false" outlineLevel="0" collapsed="false">
      <c r="B1753" s="48" t="n">
        <v>45567.0745486111</v>
      </c>
      <c r="C1753" s="4" t="n">
        <f aca="false">YEAR(B1753)</f>
        <v>2024</v>
      </c>
      <c r="D1753" s="49" t="s">
        <v>278</v>
      </c>
      <c r="E1753" s="49" t="s">
        <v>3756</v>
      </c>
      <c r="F1753" s="50" t="n">
        <v>0</v>
      </c>
      <c r="G1753" s="49" t="s">
        <v>280</v>
      </c>
      <c r="H1753" s="51" t="n">
        <v>0.8079</v>
      </c>
      <c r="I1753" s="51" t="n">
        <v>0.182</v>
      </c>
      <c r="J1753" s="51" t="n">
        <v>0.0101</v>
      </c>
      <c r="K1753" s="49"/>
      <c r="L1753" s="49"/>
      <c r="M1753" s="49"/>
      <c r="N1753" s="49"/>
      <c r="O1753" s="49"/>
      <c r="P1753" s="49"/>
      <c r="Q1753" s="49"/>
      <c r="R1753" s="49"/>
      <c r="S1753" s="49" t="n">
        <v>0</v>
      </c>
      <c r="T1753" s="49" t="n">
        <v>0</v>
      </c>
      <c r="U1753" s="49" t="s">
        <v>3757</v>
      </c>
    </row>
    <row r="1754" customFormat="false" ht="15" hidden="false" customHeight="false" outlineLevel="0" collapsed="false">
      <c r="B1754" s="48" t="n">
        <v>45567.2809837963</v>
      </c>
      <c r="C1754" s="4" t="n">
        <f aca="false">YEAR(B1754)</f>
        <v>2024</v>
      </c>
      <c r="D1754" s="49" t="s">
        <v>283</v>
      </c>
      <c r="E1754" s="49" t="s">
        <v>3758</v>
      </c>
      <c r="F1754" s="50" t="n">
        <v>63</v>
      </c>
      <c r="G1754" s="49" t="s">
        <v>290</v>
      </c>
      <c r="H1754" s="51" t="n">
        <v>0.0428</v>
      </c>
      <c r="I1754" s="51" t="n">
        <v>0.5222</v>
      </c>
      <c r="J1754" s="51" t="n">
        <v>0.435</v>
      </c>
      <c r="K1754" s="49"/>
      <c r="L1754" s="49"/>
      <c r="M1754" s="49"/>
      <c r="N1754" s="49"/>
      <c r="O1754" s="49"/>
      <c r="P1754" s="49"/>
      <c r="Q1754" s="49"/>
      <c r="R1754" s="49"/>
      <c r="S1754" s="49" t="n">
        <v>0</v>
      </c>
      <c r="T1754" s="49" t="n">
        <v>0</v>
      </c>
      <c r="U1754" s="49" t="s">
        <v>3759</v>
      </c>
    </row>
    <row r="1755" customFormat="false" ht="15" hidden="false" customHeight="false" outlineLevel="0" collapsed="false">
      <c r="B1755" s="48" t="n">
        <v>45567.4658217593</v>
      </c>
      <c r="C1755" s="4" t="n">
        <f aca="false">YEAR(B1755)</f>
        <v>2024</v>
      </c>
      <c r="D1755" s="49" t="s">
        <v>283</v>
      </c>
      <c r="E1755" s="49" t="s">
        <v>3760</v>
      </c>
      <c r="F1755" s="50" t="n">
        <v>1</v>
      </c>
      <c r="G1755" s="49" t="s">
        <v>290</v>
      </c>
      <c r="H1755" s="51" t="n">
        <v>0.0213</v>
      </c>
      <c r="I1755" s="51" t="n">
        <v>0.8732</v>
      </c>
      <c r="J1755" s="51" t="n">
        <v>0.1055</v>
      </c>
      <c r="K1755" s="49"/>
      <c r="L1755" s="49"/>
      <c r="M1755" s="49"/>
      <c r="N1755" s="49"/>
      <c r="O1755" s="49"/>
      <c r="P1755" s="49"/>
      <c r="Q1755" s="49"/>
      <c r="R1755" s="49"/>
      <c r="S1755" s="49" t="n">
        <v>0</v>
      </c>
      <c r="T1755" s="49" t="n">
        <v>0</v>
      </c>
      <c r="U1755" s="49" t="s">
        <v>3761</v>
      </c>
    </row>
    <row r="1756" customFormat="false" ht="15" hidden="false" customHeight="false" outlineLevel="0" collapsed="false">
      <c r="B1756" s="48" t="n">
        <v>45567.7290856482</v>
      </c>
      <c r="C1756" s="4" t="n">
        <f aca="false">YEAR(B1756)</f>
        <v>2024</v>
      </c>
      <c r="D1756" s="49" t="s">
        <v>283</v>
      </c>
      <c r="E1756" s="49" t="s">
        <v>3762</v>
      </c>
      <c r="F1756" s="50" t="n">
        <v>2</v>
      </c>
      <c r="G1756" s="49" t="s">
        <v>290</v>
      </c>
      <c r="H1756" s="51" t="n">
        <v>0.0368</v>
      </c>
      <c r="I1756" s="51" t="n">
        <v>0.6893</v>
      </c>
      <c r="J1756" s="51" t="n">
        <v>0.2739</v>
      </c>
      <c r="K1756" s="49"/>
      <c r="L1756" s="49"/>
      <c r="M1756" s="49"/>
      <c r="N1756" s="49"/>
      <c r="O1756" s="49" t="s">
        <v>281</v>
      </c>
      <c r="P1756" s="49"/>
      <c r="Q1756" s="49"/>
      <c r="R1756" s="49"/>
      <c r="S1756" s="49" t="n">
        <v>0</v>
      </c>
      <c r="T1756" s="49" t="n">
        <v>0</v>
      </c>
      <c r="U1756" s="49" t="s">
        <v>3763</v>
      </c>
    </row>
    <row r="1757" customFormat="false" ht="15" hidden="false" customHeight="false" outlineLevel="0" collapsed="false">
      <c r="B1757" s="48" t="n">
        <v>45567.8494212963</v>
      </c>
      <c r="C1757" s="4" t="n">
        <f aca="false">YEAR(B1757)</f>
        <v>2024</v>
      </c>
      <c r="D1757" s="49" t="s">
        <v>283</v>
      </c>
      <c r="E1757" s="49" t="s">
        <v>3764</v>
      </c>
      <c r="F1757" s="50" t="n">
        <v>0</v>
      </c>
      <c r="G1757" s="49" t="s">
        <v>280</v>
      </c>
      <c r="H1757" s="51" t="n">
        <v>0.9339</v>
      </c>
      <c r="I1757" s="51" t="n">
        <v>0.0593</v>
      </c>
      <c r="J1757" s="51" t="n">
        <v>0.0068</v>
      </c>
      <c r="K1757" s="49"/>
      <c r="L1757" s="49"/>
      <c r="M1757" s="49"/>
      <c r="N1757" s="49"/>
      <c r="O1757" s="49"/>
      <c r="P1757" s="49"/>
      <c r="Q1757" s="49"/>
      <c r="R1757" s="49" t="s">
        <v>281</v>
      </c>
      <c r="S1757" s="49" t="n">
        <v>0</v>
      </c>
      <c r="T1757" s="49" t="n">
        <v>0</v>
      </c>
      <c r="U1757" s="49" t="s">
        <v>3765</v>
      </c>
    </row>
    <row r="1758" customFormat="false" ht="15" hidden="false" customHeight="false" outlineLevel="0" collapsed="false">
      <c r="B1758" s="48" t="n">
        <v>45567.8606828704</v>
      </c>
      <c r="C1758" s="4" t="n">
        <f aca="false">YEAR(B1758)</f>
        <v>2024</v>
      </c>
      <c r="D1758" s="49" t="s">
        <v>283</v>
      </c>
      <c r="E1758" s="49" t="s">
        <v>3766</v>
      </c>
      <c r="F1758" s="50" t="n">
        <v>3</v>
      </c>
      <c r="G1758" s="49" t="s">
        <v>290</v>
      </c>
      <c r="H1758" s="51" t="n">
        <v>0.0081</v>
      </c>
      <c r="I1758" s="51" t="n">
        <v>0.7349</v>
      </c>
      <c r="J1758" s="51" t="n">
        <v>0.257</v>
      </c>
      <c r="K1758" s="49"/>
      <c r="L1758" s="49"/>
      <c r="M1758" s="49"/>
      <c r="N1758" s="49"/>
      <c r="O1758" s="49"/>
      <c r="P1758" s="49"/>
      <c r="Q1758" s="49"/>
      <c r="R1758" s="49"/>
      <c r="S1758" s="49" t="n">
        <v>0</v>
      </c>
      <c r="T1758" s="49" t="n">
        <v>0</v>
      </c>
      <c r="U1758" s="49" t="s">
        <v>3767</v>
      </c>
    </row>
    <row r="1759" customFormat="false" ht="15" hidden="false" customHeight="false" outlineLevel="0" collapsed="false">
      <c r="B1759" s="48" t="n">
        <v>45569.2995486111</v>
      </c>
      <c r="C1759" s="4" t="n">
        <f aca="false">YEAR(B1759)</f>
        <v>2024</v>
      </c>
      <c r="D1759" s="49" t="s">
        <v>283</v>
      </c>
      <c r="E1759" s="49" t="s">
        <v>3768</v>
      </c>
      <c r="F1759" s="50" t="n">
        <v>1</v>
      </c>
      <c r="G1759" s="49" t="s">
        <v>290</v>
      </c>
      <c r="H1759" s="51" t="n">
        <v>0.1808</v>
      </c>
      <c r="I1759" s="51" t="n">
        <v>0.6372</v>
      </c>
      <c r="J1759" s="51" t="n">
        <v>0.182</v>
      </c>
      <c r="K1759" s="49"/>
      <c r="L1759" s="49"/>
      <c r="M1759" s="49"/>
      <c r="N1759" s="49"/>
      <c r="O1759" s="49"/>
      <c r="P1759" s="49"/>
      <c r="Q1759" s="49" t="s">
        <v>281</v>
      </c>
      <c r="R1759" s="49" t="s">
        <v>281</v>
      </c>
      <c r="S1759" s="49" t="n">
        <v>0</v>
      </c>
      <c r="T1759" s="49" t="n">
        <v>0</v>
      </c>
      <c r="U1759" s="49" t="s">
        <v>3769</v>
      </c>
    </row>
    <row r="1760" customFormat="false" ht="15" hidden="false" customHeight="false" outlineLevel="0" collapsed="false">
      <c r="B1760" s="48" t="n">
        <v>45570.7117361111</v>
      </c>
      <c r="C1760" s="4" t="n">
        <f aca="false">YEAR(B1760)</f>
        <v>2024</v>
      </c>
      <c r="D1760" s="49" t="s">
        <v>283</v>
      </c>
      <c r="E1760" s="49" t="s">
        <v>3770</v>
      </c>
      <c r="F1760" s="50" t="n">
        <v>1</v>
      </c>
      <c r="G1760" s="49" t="s">
        <v>280</v>
      </c>
      <c r="H1760" s="51" t="n">
        <v>0.7366</v>
      </c>
      <c r="I1760" s="51" t="n">
        <v>0.238</v>
      </c>
      <c r="J1760" s="51" t="n">
        <v>0.0254</v>
      </c>
      <c r="K1760" s="49"/>
      <c r="L1760" s="49"/>
      <c r="M1760" s="49"/>
      <c r="N1760" s="49"/>
      <c r="O1760" s="49"/>
      <c r="P1760" s="49"/>
      <c r="Q1760" s="49"/>
      <c r="R1760" s="49" t="s">
        <v>281</v>
      </c>
      <c r="S1760" s="49" t="n">
        <v>0</v>
      </c>
      <c r="T1760" s="49" t="n">
        <v>0</v>
      </c>
      <c r="U1760" s="49" t="s">
        <v>3771</v>
      </c>
    </row>
    <row r="1761" customFormat="false" ht="15" hidden="false" customHeight="false" outlineLevel="0" collapsed="false">
      <c r="B1761" s="48" t="n">
        <v>45570.8754282407</v>
      </c>
      <c r="C1761" s="4" t="n">
        <f aca="false">YEAR(B1761)</f>
        <v>2024</v>
      </c>
      <c r="D1761" s="49" t="s">
        <v>283</v>
      </c>
      <c r="E1761" s="49" t="s">
        <v>3772</v>
      </c>
      <c r="F1761" s="50" t="n">
        <v>1</v>
      </c>
      <c r="G1761" s="49" t="s">
        <v>290</v>
      </c>
      <c r="H1761" s="51" t="n">
        <v>0.0102</v>
      </c>
      <c r="I1761" s="51" t="n">
        <v>0.9331</v>
      </c>
      <c r="J1761" s="51" t="n">
        <v>0.0567</v>
      </c>
      <c r="K1761" s="49"/>
      <c r="L1761" s="49"/>
      <c r="M1761" s="49"/>
      <c r="N1761" s="49"/>
      <c r="O1761" s="49"/>
      <c r="P1761" s="49"/>
      <c r="Q1761" s="49"/>
      <c r="R1761" s="49"/>
      <c r="S1761" s="49" t="n">
        <v>1</v>
      </c>
      <c r="T1761" s="49" t="n">
        <v>0</v>
      </c>
      <c r="U1761" s="49" t="s">
        <v>3773</v>
      </c>
    </row>
    <row r="1762" customFormat="false" ht="15" hidden="false" customHeight="false" outlineLevel="0" collapsed="false">
      <c r="B1762" s="48" t="n">
        <v>45571.0517361111</v>
      </c>
      <c r="C1762" s="4" t="n">
        <f aca="false">YEAR(B1762)</f>
        <v>2024</v>
      </c>
      <c r="D1762" s="49" t="s">
        <v>283</v>
      </c>
      <c r="E1762" s="49" t="s">
        <v>3774</v>
      </c>
      <c r="F1762" s="50" t="n">
        <v>1</v>
      </c>
      <c r="G1762" s="49" t="s">
        <v>290</v>
      </c>
      <c r="H1762" s="51" t="n">
        <v>0.014</v>
      </c>
      <c r="I1762" s="51" t="n">
        <v>0.9262</v>
      </c>
      <c r="J1762" s="51" t="n">
        <v>0.0598</v>
      </c>
      <c r="K1762" s="49"/>
      <c r="L1762" s="49"/>
      <c r="M1762" s="49"/>
      <c r="N1762" s="49"/>
      <c r="O1762" s="49"/>
      <c r="P1762" s="49"/>
      <c r="Q1762" s="49"/>
      <c r="R1762" s="49" t="s">
        <v>281</v>
      </c>
      <c r="S1762" s="49" t="n">
        <v>0</v>
      </c>
      <c r="T1762" s="49" t="n">
        <v>0</v>
      </c>
      <c r="U1762" s="49" t="s">
        <v>3775</v>
      </c>
    </row>
    <row r="1763" customFormat="false" ht="15" hidden="false" customHeight="false" outlineLevel="0" collapsed="false">
      <c r="B1763" s="48" t="n">
        <v>45571.9204976852</v>
      </c>
      <c r="C1763" s="4" t="n">
        <f aca="false">YEAR(B1763)</f>
        <v>2024</v>
      </c>
      <c r="D1763" s="49" t="s">
        <v>283</v>
      </c>
      <c r="E1763" s="49" t="s">
        <v>3776</v>
      </c>
      <c r="F1763" s="50" t="n">
        <v>1</v>
      </c>
      <c r="G1763" s="49" t="s">
        <v>290</v>
      </c>
      <c r="H1763" s="51" t="n">
        <v>0.0099</v>
      </c>
      <c r="I1763" s="51" t="n">
        <v>0.8841</v>
      </c>
      <c r="J1763" s="51" t="n">
        <v>0.1059</v>
      </c>
      <c r="K1763" s="49"/>
      <c r="L1763" s="49"/>
      <c r="M1763" s="49"/>
      <c r="N1763" s="49"/>
      <c r="O1763" s="49"/>
      <c r="P1763" s="49"/>
      <c r="Q1763" s="49"/>
      <c r="R1763" s="49"/>
      <c r="S1763" s="49" t="n">
        <v>1</v>
      </c>
      <c r="T1763" s="49" t="n">
        <v>0</v>
      </c>
      <c r="U1763" s="49" t="s">
        <v>3777</v>
      </c>
    </row>
    <row r="1764" customFormat="false" ht="15" hidden="false" customHeight="false" outlineLevel="0" collapsed="false">
      <c r="B1764" s="48" t="n">
        <v>45572.9809143519</v>
      </c>
      <c r="C1764" s="4" t="n">
        <f aca="false">YEAR(B1764)</f>
        <v>2024</v>
      </c>
      <c r="D1764" s="49" t="s">
        <v>283</v>
      </c>
      <c r="E1764" s="49" t="s">
        <v>3778</v>
      </c>
      <c r="F1764" s="50" t="n">
        <v>1</v>
      </c>
      <c r="G1764" s="49" t="s">
        <v>290</v>
      </c>
      <c r="H1764" s="51" t="n">
        <v>0.01</v>
      </c>
      <c r="I1764" s="51" t="n">
        <v>0.8105</v>
      </c>
      <c r="J1764" s="51" t="n">
        <v>0.1795</v>
      </c>
      <c r="K1764" s="49"/>
      <c r="L1764" s="49"/>
      <c r="M1764" s="49"/>
      <c r="N1764" s="49"/>
      <c r="O1764" s="49"/>
      <c r="P1764" s="49"/>
      <c r="Q1764" s="49"/>
      <c r="R1764" s="49"/>
      <c r="S1764" s="49" t="n">
        <v>0</v>
      </c>
      <c r="T1764" s="49" t="n">
        <v>0</v>
      </c>
      <c r="U1764" s="49" t="s">
        <v>3779</v>
      </c>
    </row>
    <row r="1765" customFormat="false" ht="15" hidden="false" customHeight="false" outlineLevel="0" collapsed="false">
      <c r="B1765" s="48" t="n">
        <v>45573.1358912037</v>
      </c>
      <c r="C1765" s="4" t="n">
        <f aca="false">YEAR(B1765)</f>
        <v>2024</v>
      </c>
      <c r="D1765" s="49" t="s">
        <v>283</v>
      </c>
      <c r="E1765" s="49" t="s">
        <v>3780</v>
      </c>
      <c r="F1765" s="50" t="n">
        <v>1</v>
      </c>
      <c r="G1765" s="49" t="s">
        <v>280</v>
      </c>
      <c r="H1765" s="51" t="n">
        <v>0.7473</v>
      </c>
      <c r="I1765" s="51" t="n">
        <v>0.2414</v>
      </c>
      <c r="J1765" s="51" t="n">
        <v>0.0113</v>
      </c>
      <c r="K1765" s="49"/>
      <c r="L1765" s="49"/>
      <c r="M1765" s="49"/>
      <c r="N1765" s="49"/>
      <c r="O1765" s="49"/>
      <c r="P1765" s="49"/>
      <c r="Q1765" s="49"/>
      <c r="R1765" s="49" t="s">
        <v>281</v>
      </c>
      <c r="S1765" s="49" t="n">
        <v>0</v>
      </c>
      <c r="T1765" s="49" t="n">
        <v>0</v>
      </c>
      <c r="U1765" s="49" t="s">
        <v>3781</v>
      </c>
    </row>
    <row r="1766" customFormat="false" ht="15" hidden="false" customHeight="false" outlineLevel="0" collapsed="false">
      <c r="B1766" s="48" t="n">
        <v>45573.3821875</v>
      </c>
      <c r="C1766" s="4" t="n">
        <f aca="false">YEAR(B1766)</f>
        <v>2024</v>
      </c>
      <c r="D1766" s="49" t="s">
        <v>283</v>
      </c>
      <c r="E1766" s="49" t="s">
        <v>3782</v>
      </c>
      <c r="F1766" s="50" t="n">
        <v>3</v>
      </c>
      <c r="G1766" s="49" t="s">
        <v>290</v>
      </c>
      <c r="H1766" s="51" t="n">
        <v>0.046</v>
      </c>
      <c r="I1766" s="51" t="n">
        <v>0.5506</v>
      </c>
      <c r="J1766" s="51" t="n">
        <v>0.4033</v>
      </c>
      <c r="K1766" s="49"/>
      <c r="L1766" s="49"/>
      <c r="M1766" s="49"/>
      <c r="N1766" s="49"/>
      <c r="O1766" s="49"/>
      <c r="P1766" s="49"/>
      <c r="Q1766" s="49"/>
      <c r="R1766" s="49"/>
      <c r="S1766" s="49" t="n">
        <v>0</v>
      </c>
      <c r="T1766" s="49" t="n">
        <v>0</v>
      </c>
      <c r="U1766" s="49" t="s">
        <v>3783</v>
      </c>
    </row>
    <row r="1767" customFormat="false" ht="15" hidden="false" customHeight="false" outlineLevel="0" collapsed="false">
      <c r="B1767" s="48" t="n">
        <v>45573.7754282407</v>
      </c>
      <c r="C1767" s="4" t="n">
        <f aca="false">YEAR(B1767)</f>
        <v>2024</v>
      </c>
      <c r="D1767" s="49" t="s">
        <v>283</v>
      </c>
      <c r="E1767" s="49" t="s">
        <v>3784</v>
      </c>
      <c r="F1767" s="50" t="n">
        <v>2</v>
      </c>
      <c r="G1767" s="49" t="s">
        <v>290</v>
      </c>
      <c r="H1767" s="51" t="n">
        <v>0.2022</v>
      </c>
      <c r="I1767" s="51" t="n">
        <v>0.6891</v>
      </c>
      <c r="J1767" s="51" t="n">
        <v>0.1087</v>
      </c>
      <c r="K1767" s="49"/>
      <c r="L1767" s="49"/>
      <c r="M1767" s="49"/>
      <c r="N1767" s="49"/>
      <c r="O1767" s="49"/>
      <c r="P1767" s="49"/>
      <c r="Q1767" s="49" t="s">
        <v>281</v>
      </c>
      <c r="R1767" s="49"/>
      <c r="S1767" s="49" t="n">
        <v>0</v>
      </c>
      <c r="T1767" s="49" t="n">
        <v>0</v>
      </c>
      <c r="U1767" s="49" t="s">
        <v>3785</v>
      </c>
    </row>
    <row r="1768" customFormat="false" ht="15" hidden="false" customHeight="false" outlineLevel="0" collapsed="false">
      <c r="B1768" s="48" t="n">
        <v>45573.8427662037</v>
      </c>
      <c r="C1768" s="4" t="n">
        <f aca="false">YEAR(B1768)</f>
        <v>2024</v>
      </c>
      <c r="D1768" s="49" t="s">
        <v>283</v>
      </c>
      <c r="E1768" s="49" t="s">
        <v>3786</v>
      </c>
      <c r="F1768" s="50" t="n">
        <v>2</v>
      </c>
      <c r="G1768" s="49" t="s">
        <v>280</v>
      </c>
      <c r="H1768" s="51" t="n">
        <v>0.6941</v>
      </c>
      <c r="I1768" s="51" t="n">
        <v>0.2898</v>
      </c>
      <c r="J1768" s="51" t="n">
        <v>0.0161</v>
      </c>
      <c r="K1768" s="49"/>
      <c r="L1768" s="49"/>
      <c r="M1768" s="49"/>
      <c r="N1768" s="49"/>
      <c r="O1768" s="49"/>
      <c r="P1768" s="49"/>
      <c r="Q1768" s="49"/>
      <c r="R1768" s="49"/>
      <c r="S1768" s="49" t="n">
        <v>0</v>
      </c>
      <c r="T1768" s="49" t="n">
        <v>0</v>
      </c>
      <c r="U1768" s="49" t="s">
        <v>3787</v>
      </c>
    </row>
    <row r="1769" customFormat="false" ht="15" hidden="false" customHeight="false" outlineLevel="0" collapsed="false">
      <c r="B1769" s="48" t="n">
        <v>45574.0065046296</v>
      </c>
      <c r="C1769" s="4" t="n">
        <f aca="false">YEAR(B1769)</f>
        <v>2024</v>
      </c>
      <c r="D1769" s="49" t="s">
        <v>283</v>
      </c>
      <c r="E1769" s="49" t="s">
        <v>3788</v>
      </c>
      <c r="F1769" s="50" t="n">
        <v>30</v>
      </c>
      <c r="G1769" s="49" t="s">
        <v>280</v>
      </c>
      <c r="H1769" s="51" t="n">
        <v>0.5457</v>
      </c>
      <c r="I1769" s="51" t="n">
        <v>0.3572</v>
      </c>
      <c r="J1769" s="51" t="n">
        <v>0.0971</v>
      </c>
      <c r="K1769" s="49"/>
      <c r="L1769" s="49"/>
      <c r="M1769" s="49"/>
      <c r="N1769" s="49"/>
      <c r="O1769" s="49"/>
      <c r="P1769" s="49"/>
      <c r="Q1769" s="49"/>
      <c r="R1769" s="49"/>
      <c r="S1769" s="49" t="n">
        <v>0</v>
      </c>
      <c r="T1769" s="49" t="n">
        <v>0</v>
      </c>
      <c r="U1769" s="49" t="s">
        <v>3789</v>
      </c>
    </row>
    <row r="1770" customFormat="false" ht="15" hidden="false" customHeight="false" outlineLevel="0" collapsed="false">
      <c r="B1770" s="48" t="n">
        <v>45574.0224189815</v>
      </c>
      <c r="C1770" s="4" t="n">
        <f aca="false">YEAR(B1770)</f>
        <v>2024</v>
      </c>
      <c r="D1770" s="49" t="s">
        <v>278</v>
      </c>
      <c r="E1770" s="49" t="s">
        <v>3790</v>
      </c>
      <c r="F1770" s="50" t="n">
        <v>7</v>
      </c>
      <c r="G1770" s="49" t="s">
        <v>287</v>
      </c>
      <c r="H1770" s="51" t="n">
        <v>0.0126</v>
      </c>
      <c r="I1770" s="51" t="n">
        <v>0.3474</v>
      </c>
      <c r="J1770" s="51" t="n">
        <v>0.6399</v>
      </c>
      <c r="K1770" s="49"/>
      <c r="L1770" s="49"/>
      <c r="M1770" s="49"/>
      <c r="N1770" s="49"/>
      <c r="O1770" s="49"/>
      <c r="P1770" s="49"/>
      <c r="Q1770" s="49" t="s">
        <v>281</v>
      </c>
      <c r="R1770" s="49"/>
      <c r="S1770" s="49" t="n">
        <v>0</v>
      </c>
      <c r="T1770" s="49" t="n">
        <v>0</v>
      </c>
      <c r="U1770" s="49" t="s">
        <v>3791</v>
      </c>
    </row>
    <row r="1771" customFormat="false" ht="15" hidden="false" customHeight="false" outlineLevel="0" collapsed="false">
      <c r="B1771" s="48" t="n">
        <v>45574.2402893519</v>
      </c>
      <c r="C1771" s="4" t="n">
        <f aca="false">YEAR(B1771)</f>
        <v>2024</v>
      </c>
      <c r="D1771" s="49" t="s">
        <v>283</v>
      </c>
      <c r="E1771" s="49" t="s">
        <v>3792</v>
      </c>
      <c r="F1771" s="50" t="n">
        <v>1</v>
      </c>
      <c r="G1771" s="49" t="s">
        <v>290</v>
      </c>
      <c r="H1771" s="51" t="n">
        <v>0.3008</v>
      </c>
      <c r="I1771" s="51" t="n">
        <v>0.6486</v>
      </c>
      <c r="J1771" s="51" t="n">
        <v>0.0506</v>
      </c>
      <c r="K1771" s="49"/>
      <c r="L1771" s="49"/>
      <c r="M1771" s="49"/>
      <c r="N1771" s="49"/>
      <c r="O1771" s="49"/>
      <c r="P1771" s="49"/>
      <c r="Q1771" s="49"/>
      <c r="R1771" s="49"/>
      <c r="S1771" s="49" t="n">
        <v>0</v>
      </c>
      <c r="T1771" s="49" t="n">
        <v>0</v>
      </c>
      <c r="U1771" s="49" t="s">
        <v>3793</v>
      </c>
    </row>
    <row r="1772" customFormat="false" ht="15" hidden="false" customHeight="false" outlineLevel="0" collapsed="false">
      <c r="B1772" s="48" t="n">
        <v>45574.3728240741</v>
      </c>
      <c r="C1772" s="4" t="n">
        <f aca="false">YEAR(B1772)</f>
        <v>2024</v>
      </c>
      <c r="D1772" s="49" t="s">
        <v>283</v>
      </c>
      <c r="E1772" s="49" t="s">
        <v>3794</v>
      </c>
      <c r="F1772" s="50" t="n">
        <v>3</v>
      </c>
      <c r="G1772" s="49" t="s">
        <v>280</v>
      </c>
      <c r="H1772" s="51" t="n">
        <v>0.672</v>
      </c>
      <c r="I1772" s="51" t="n">
        <v>0.1926</v>
      </c>
      <c r="J1772" s="51" t="n">
        <v>0.1354</v>
      </c>
      <c r="K1772" s="49"/>
      <c r="L1772" s="49"/>
      <c r="M1772" s="49"/>
      <c r="N1772" s="49"/>
      <c r="O1772" s="49"/>
      <c r="P1772" s="49"/>
      <c r="Q1772" s="49"/>
      <c r="R1772" s="49"/>
      <c r="S1772" s="49" t="n">
        <v>0</v>
      </c>
      <c r="T1772" s="49" t="n">
        <v>0</v>
      </c>
      <c r="U1772" s="49" t="s">
        <v>3795</v>
      </c>
    </row>
    <row r="1773" customFormat="false" ht="15" hidden="false" customHeight="false" outlineLevel="0" collapsed="false">
      <c r="B1773" s="48" t="n">
        <v>45574.3956944444</v>
      </c>
      <c r="C1773" s="4" t="n">
        <f aca="false">YEAR(B1773)</f>
        <v>2024</v>
      </c>
      <c r="D1773" s="49" t="s">
        <v>278</v>
      </c>
      <c r="E1773" s="49" t="s">
        <v>3796</v>
      </c>
      <c r="F1773" s="50" t="n">
        <v>4</v>
      </c>
      <c r="G1773" s="49" t="s">
        <v>280</v>
      </c>
      <c r="H1773" s="51" t="n">
        <v>0.8129</v>
      </c>
      <c r="I1773" s="51" t="n">
        <v>0.1797</v>
      </c>
      <c r="J1773" s="51" t="n">
        <v>0.0075</v>
      </c>
      <c r="K1773" s="49"/>
      <c r="L1773" s="49"/>
      <c r="M1773" s="49"/>
      <c r="N1773" s="49"/>
      <c r="O1773" s="49"/>
      <c r="P1773" s="49"/>
      <c r="Q1773" s="49"/>
      <c r="R1773" s="49"/>
      <c r="S1773" s="49" t="n">
        <v>0</v>
      </c>
      <c r="T1773" s="49" t="n">
        <v>0</v>
      </c>
      <c r="U1773" s="49" t="s">
        <v>3797</v>
      </c>
    </row>
    <row r="1774" customFormat="false" ht="15" hidden="false" customHeight="false" outlineLevel="0" collapsed="false">
      <c r="B1774" s="48" t="n">
        <v>45574.526875</v>
      </c>
      <c r="C1774" s="4" t="n">
        <f aca="false">YEAR(B1774)</f>
        <v>2024</v>
      </c>
      <c r="D1774" s="49" t="s">
        <v>283</v>
      </c>
      <c r="E1774" s="49" t="s">
        <v>3798</v>
      </c>
      <c r="F1774" s="50" t="n">
        <v>1</v>
      </c>
      <c r="G1774" s="49" t="s">
        <v>290</v>
      </c>
      <c r="H1774" s="51" t="n">
        <v>0.0141</v>
      </c>
      <c r="I1774" s="51" t="n">
        <v>0.6905</v>
      </c>
      <c r="J1774" s="51" t="n">
        <v>0.2954</v>
      </c>
      <c r="K1774" s="49"/>
      <c r="L1774" s="49"/>
      <c r="M1774" s="49"/>
      <c r="N1774" s="49"/>
      <c r="O1774" s="49"/>
      <c r="P1774" s="49"/>
      <c r="Q1774" s="49"/>
      <c r="R1774" s="49"/>
      <c r="S1774" s="49" t="n">
        <v>0</v>
      </c>
      <c r="T1774" s="49" t="n">
        <v>0</v>
      </c>
      <c r="U1774" s="49" t="s">
        <v>3799</v>
      </c>
    </row>
    <row r="1775" customFormat="false" ht="15" hidden="false" customHeight="false" outlineLevel="0" collapsed="false">
      <c r="B1775" s="48" t="n">
        <v>45574.5415162037</v>
      </c>
      <c r="C1775" s="4" t="n">
        <f aca="false">YEAR(B1775)</f>
        <v>2024</v>
      </c>
      <c r="D1775" s="49" t="s">
        <v>283</v>
      </c>
      <c r="E1775" s="49" t="s">
        <v>3800</v>
      </c>
      <c r="F1775" s="50" t="n">
        <v>1</v>
      </c>
      <c r="G1775" s="49" t="s">
        <v>287</v>
      </c>
      <c r="H1775" s="51" t="n">
        <v>0.0231</v>
      </c>
      <c r="I1775" s="51" t="n">
        <v>0.3944</v>
      </c>
      <c r="J1775" s="51" t="n">
        <v>0.5825</v>
      </c>
      <c r="K1775" s="49"/>
      <c r="L1775" s="49"/>
      <c r="M1775" s="49"/>
      <c r="N1775" s="49"/>
      <c r="O1775" s="49"/>
      <c r="P1775" s="49"/>
      <c r="Q1775" s="49"/>
      <c r="R1775" s="49"/>
      <c r="S1775" s="49" t="n">
        <v>0</v>
      </c>
      <c r="T1775" s="49" t="n">
        <v>0</v>
      </c>
      <c r="U1775" s="49" t="s">
        <v>3801</v>
      </c>
    </row>
    <row r="1776" customFormat="false" ht="15" hidden="false" customHeight="false" outlineLevel="0" collapsed="false">
      <c r="B1776" s="48" t="n">
        <v>45574.6389351852</v>
      </c>
      <c r="C1776" s="4" t="n">
        <f aca="false">YEAR(B1776)</f>
        <v>2024</v>
      </c>
      <c r="D1776" s="49" t="s">
        <v>283</v>
      </c>
      <c r="E1776" s="49" t="s">
        <v>3802</v>
      </c>
      <c r="F1776" s="50" t="n">
        <v>4</v>
      </c>
      <c r="G1776" s="49" t="s">
        <v>280</v>
      </c>
      <c r="H1776" s="51" t="n">
        <v>0.6648</v>
      </c>
      <c r="I1776" s="51" t="n">
        <v>0.307</v>
      </c>
      <c r="J1776" s="51" t="n">
        <v>0.0282</v>
      </c>
      <c r="K1776" s="49"/>
      <c r="L1776" s="49"/>
      <c r="M1776" s="49"/>
      <c r="N1776" s="49"/>
      <c r="O1776" s="49"/>
      <c r="P1776" s="49"/>
      <c r="Q1776" s="49"/>
      <c r="R1776" s="49"/>
      <c r="S1776" s="49" t="n">
        <v>0</v>
      </c>
      <c r="T1776" s="49" t="n">
        <v>0</v>
      </c>
      <c r="U1776" s="49" t="s">
        <v>3803</v>
      </c>
    </row>
    <row r="1777" customFormat="false" ht="15" hidden="false" customHeight="false" outlineLevel="0" collapsed="false">
      <c r="B1777" s="48" t="n">
        <v>45575.2279166667</v>
      </c>
      <c r="C1777" s="4" t="n">
        <f aca="false">YEAR(B1777)</f>
        <v>2024</v>
      </c>
      <c r="D1777" s="49" t="s">
        <v>283</v>
      </c>
      <c r="E1777" s="49" t="s">
        <v>3804</v>
      </c>
      <c r="F1777" s="50" t="n">
        <v>9</v>
      </c>
      <c r="G1777" s="49" t="s">
        <v>280</v>
      </c>
      <c r="H1777" s="51" t="n">
        <v>0.6652</v>
      </c>
      <c r="I1777" s="51" t="n">
        <v>0.3141</v>
      </c>
      <c r="J1777" s="51" t="n">
        <v>0.0207</v>
      </c>
      <c r="K1777" s="49"/>
      <c r="L1777" s="49"/>
      <c r="M1777" s="49"/>
      <c r="N1777" s="49"/>
      <c r="O1777" s="49"/>
      <c r="P1777" s="49"/>
      <c r="Q1777" s="49"/>
      <c r="R1777" s="49"/>
      <c r="S1777" s="49" t="n">
        <v>0</v>
      </c>
      <c r="T1777" s="49" t="n">
        <v>0</v>
      </c>
      <c r="U1777" s="49" t="s">
        <v>3805</v>
      </c>
    </row>
    <row r="1778" customFormat="false" ht="15" hidden="false" customHeight="false" outlineLevel="0" collapsed="false">
      <c r="B1778" s="48" t="n">
        <v>45575.2379398148</v>
      </c>
      <c r="C1778" s="4" t="n">
        <f aca="false">YEAR(B1778)</f>
        <v>2024</v>
      </c>
      <c r="D1778" s="49" t="s">
        <v>283</v>
      </c>
      <c r="E1778" s="49" t="s">
        <v>3806</v>
      </c>
      <c r="F1778" s="50" t="n">
        <v>2</v>
      </c>
      <c r="G1778" s="49" t="s">
        <v>290</v>
      </c>
      <c r="H1778" s="51" t="n">
        <v>0.0187</v>
      </c>
      <c r="I1778" s="51" t="n">
        <v>0.5732</v>
      </c>
      <c r="J1778" s="51" t="n">
        <v>0.4081</v>
      </c>
      <c r="K1778" s="49"/>
      <c r="L1778" s="49"/>
      <c r="M1778" s="49"/>
      <c r="N1778" s="49"/>
      <c r="O1778" s="49"/>
      <c r="P1778" s="49"/>
      <c r="Q1778" s="49"/>
      <c r="R1778" s="49"/>
      <c r="S1778" s="49" t="n">
        <v>0</v>
      </c>
      <c r="T1778" s="49" t="n">
        <v>0</v>
      </c>
      <c r="U1778" s="49" t="s">
        <v>3807</v>
      </c>
    </row>
    <row r="1779" customFormat="false" ht="15" hidden="false" customHeight="false" outlineLevel="0" collapsed="false">
      <c r="B1779" s="48" t="n">
        <v>45575.7196412037</v>
      </c>
      <c r="C1779" s="4" t="n">
        <f aca="false">YEAR(B1779)</f>
        <v>2024</v>
      </c>
      <c r="D1779" s="49" t="s">
        <v>283</v>
      </c>
      <c r="E1779" s="49" t="s">
        <v>3808</v>
      </c>
      <c r="F1779" s="50" t="n">
        <v>1</v>
      </c>
      <c r="G1779" s="49" t="s">
        <v>280</v>
      </c>
      <c r="H1779" s="51" t="n">
        <v>0.7082</v>
      </c>
      <c r="I1779" s="51" t="n">
        <v>0.2737</v>
      </c>
      <c r="J1779" s="51" t="n">
        <v>0.0181</v>
      </c>
      <c r="K1779" s="49"/>
      <c r="L1779" s="49"/>
      <c r="M1779" s="49"/>
      <c r="N1779" s="49"/>
      <c r="O1779" s="49"/>
      <c r="P1779" s="49"/>
      <c r="Q1779" s="49"/>
      <c r="R1779" s="49"/>
      <c r="S1779" s="49" t="n">
        <v>0</v>
      </c>
      <c r="T1779" s="49" t="n">
        <v>0</v>
      </c>
      <c r="U1779" s="49" t="s">
        <v>3809</v>
      </c>
    </row>
    <row r="1780" customFormat="false" ht="15" hidden="false" customHeight="false" outlineLevel="0" collapsed="false">
      <c r="B1780" s="48" t="n">
        <v>45575.9201851852</v>
      </c>
      <c r="C1780" s="4" t="n">
        <f aca="false">YEAR(B1780)</f>
        <v>2024</v>
      </c>
      <c r="D1780" s="49" t="s">
        <v>283</v>
      </c>
      <c r="E1780" s="49" t="s">
        <v>3810</v>
      </c>
      <c r="F1780" s="50" t="n">
        <v>1</v>
      </c>
      <c r="G1780" s="49" t="s">
        <v>290</v>
      </c>
      <c r="H1780" s="51" t="n">
        <v>0.013</v>
      </c>
      <c r="I1780" s="51" t="n">
        <v>0.9192</v>
      </c>
      <c r="J1780" s="51" t="n">
        <v>0.0678</v>
      </c>
      <c r="K1780" s="49"/>
      <c r="L1780" s="49"/>
      <c r="M1780" s="49"/>
      <c r="N1780" s="49"/>
      <c r="O1780" s="49"/>
      <c r="P1780" s="49"/>
      <c r="Q1780" s="49"/>
      <c r="R1780" s="49"/>
      <c r="S1780" s="49" t="n">
        <v>1</v>
      </c>
      <c r="T1780" s="49" t="n">
        <v>0</v>
      </c>
      <c r="U1780" s="49" t="s">
        <v>3811</v>
      </c>
    </row>
    <row r="1781" customFormat="false" ht="15" hidden="false" customHeight="false" outlineLevel="0" collapsed="false">
      <c r="B1781" s="48" t="n">
        <v>45575.9260763889</v>
      </c>
      <c r="C1781" s="4" t="n">
        <f aca="false">YEAR(B1781)</f>
        <v>2024</v>
      </c>
      <c r="D1781" s="49" t="s">
        <v>283</v>
      </c>
      <c r="E1781" s="49" t="s">
        <v>3812</v>
      </c>
      <c r="F1781" s="50" t="n">
        <v>2</v>
      </c>
      <c r="G1781" s="49" t="s">
        <v>280</v>
      </c>
      <c r="H1781" s="51" t="n">
        <v>0.6056</v>
      </c>
      <c r="I1781" s="51" t="n">
        <v>0.3359</v>
      </c>
      <c r="J1781" s="51" t="n">
        <v>0.0584</v>
      </c>
      <c r="K1781" s="49"/>
      <c r="L1781" s="49"/>
      <c r="M1781" s="49"/>
      <c r="N1781" s="49"/>
      <c r="O1781" s="49"/>
      <c r="P1781" s="49"/>
      <c r="Q1781" s="49"/>
      <c r="R1781" s="49"/>
      <c r="S1781" s="49" t="n">
        <v>0</v>
      </c>
      <c r="T1781" s="49" t="n">
        <v>0</v>
      </c>
      <c r="U1781" s="49" t="s">
        <v>3813</v>
      </c>
    </row>
    <row r="1782" customFormat="false" ht="15" hidden="false" customHeight="false" outlineLevel="0" collapsed="false">
      <c r="B1782" s="48" t="n">
        <v>45576.3703587963</v>
      </c>
      <c r="C1782" s="4" t="n">
        <f aca="false">YEAR(B1782)</f>
        <v>2024</v>
      </c>
      <c r="D1782" s="49" t="s">
        <v>283</v>
      </c>
      <c r="E1782" s="49" t="s">
        <v>3814</v>
      </c>
      <c r="F1782" s="50" t="n">
        <v>1</v>
      </c>
      <c r="G1782" s="49" t="s">
        <v>290</v>
      </c>
      <c r="H1782" s="51" t="n">
        <v>0.1102</v>
      </c>
      <c r="I1782" s="51" t="n">
        <v>0.6974</v>
      </c>
      <c r="J1782" s="51" t="n">
        <v>0.1923</v>
      </c>
      <c r="K1782" s="49"/>
      <c r="L1782" s="49"/>
      <c r="M1782" s="49"/>
      <c r="N1782" s="49"/>
      <c r="O1782" s="49"/>
      <c r="P1782" s="49"/>
      <c r="Q1782" s="49"/>
      <c r="R1782" s="49"/>
      <c r="S1782" s="49" t="n">
        <v>0</v>
      </c>
      <c r="T1782" s="49" t="n">
        <v>0</v>
      </c>
      <c r="U1782" s="49" t="s">
        <v>3815</v>
      </c>
    </row>
    <row r="1783" customFormat="false" ht="15" hidden="false" customHeight="false" outlineLevel="0" collapsed="false">
      <c r="B1783" s="48" t="n">
        <v>45576.3883217593</v>
      </c>
      <c r="C1783" s="4" t="n">
        <f aca="false">YEAR(B1783)</f>
        <v>2024</v>
      </c>
      <c r="D1783" s="49" t="s">
        <v>283</v>
      </c>
      <c r="E1783" s="49" t="s">
        <v>3816</v>
      </c>
      <c r="F1783" s="50" t="n">
        <v>1</v>
      </c>
      <c r="G1783" s="49" t="s">
        <v>287</v>
      </c>
      <c r="H1783" s="51" t="n">
        <v>0.0037</v>
      </c>
      <c r="I1783" s="51" t="n">
        <v>0.0156</v>
      </c>
      <c r="J1783" s="51" t="n">
        <v>0.9807</v>
      </c>
      <c r="K1783" s="49"/>
      <c r="L1783" s="49"/>
      <c r="M1783" s="49"/>
      <c r="N1783" s="49"/>
      <c r="O1783" s="49"/>
      <c r="P1783" s="49"/>
      <c r="Q1783" s="49"/>
      <c r="R1783" s="49"/>
      <c r="S1783" s="49" t="n">
        <v>0</v>
      </c>
      <c r="T1783" s="49" t="n">
        <v>0</v>
      </c>
      <c r="U1783" s="49" t="s">
        <v>3817</v>
      </c>
    </row>
    <row r="1784" customFormat="false" ht="15" hidden="false" customHeight="false" outlineLevel="0" collapsed="false">
      <c r="B1784" s="48" t="n">
        <v>45576.776724537</v>
      </c>
      <c r="C1784" s="4" t="n">
        <f aca="false">YEAR(B1784)</f>
        <v>2024</v>
      </c>
      <c r="D1784" s="49" t="s">
        <v>283</v>
      </c>
      <c r="E1784" s="49" t="s">
        <v>3818</v>
      </c>
      <c r="F1784" s="50" t="n">
        <v>1</v>
      </c>
      <c r="G1784" s="49" t="s">
        <v>287</v>
      </c>
      <c r="H1784" s="51" t="n">
        <v>0.0052</v>
      </c>
      <c r="I1784" s="51" t="n">
        <v>0.2561</v>
      </c>
      <c r="J1784" s="51" t="n">
        <v>0.7387</v>
      </c>
      <c r="K1784" s="49"/>
      <c r="L1784" s="49"/>
      <c r="M1784" s="49"/>
      <c r="N1784" s="49"/>
      <c r="O1784" s="49"/>
      <c r="P1784" s="49"/>
      <c r="Q1784" s="49"/>
      <c r="R1784" s="49"/>
      <c r="S1784" s="49" t="n">
        <v>1</v>
      </c>
      <c r="T1784" s="49" t="n">
        <v>0</v>
      </c>
      <c r="U1784" s="49" t="s">
        <v>3819</v>
      </c>
    </row>
    <row r="1785" customFormat="false" ht="15" hidden="false" customHeight="false" outlineLevel="0" collapsed="false">
      <c r="B1785" s="48" t="n">
        <v>45576.9390162037</v>
      </c>
      <c r="C1785" s="4" t="n">
        <f aca="false">YEAR(B1785)</f>
        <v>2024</v>
      </c>
      <c r="D1785" s="49" t="s">
        <v>283</v>
      </c>
      <c r="E1785" s="49" t="s">
        <v>3820</v>
      </c>
      <c r="F1785" s="50" t="n">
        <v>1</v>
      </c>
      <c r="G1785" s="49" t="s">
        <v>280</v>
      </c>
      <c r="H1785" s="51" t="n">
        <v>0.9349</v>
      </c>
      <c r="I1785" s="51" t="n">
        <v>0.0581</v>
      </c>
      <c r="J1785" s="51" t="n">
        <v>0.007</v>
      </c>
      <c r="K1785" s="49"/>
      <c r="L1785" s="49"/>
      <c r="M1785" s="49"/>
      <c r="N1785" s="49"/>
      <c r="O1785" s="49"/>
      <c r="P1785" s="49"/>
      <c r="Q1785" s="49"/>
      <c r="R1785" s="49"/>
      <c r="S1785" s="49" t="n">
        <v>0</v>
      </c>
      <c r="T1785" s="49" t="n">
        <v>0</v>
      </c>
      <c r="U1785" s="49" t="s">
        <v>3821</v>
      </c>
    </row>
    <row r="1786" customFormat="false" ht="15" hidden="false" customHeight="false" outlineLevel="0" collapsed="false">
      <c r="B1786" s="48" t="n">
        <v>45577.0297337963</v>
      </c>
      <c r="C1786" s="4" t="n">
        <f aca="false">YEAR(B1786)</f>
        <v>2024</v>
      </c>
      <c r="D1786" s="49" t="s">
        <v>283</v>
      </c>
      <c r="E1786" s="49" t="s">
        <v>3822</v>
      </c>
      <c r="F1786" s="50" t="n">
        <v>1</v>
      </c>
      <c r="G1786" s="49" t="s">
        <v>290</v>
      </c>
      <c r="H1786" s="51" t="n">
        <v>0.0129</v>
      </c>
      <c r="I1786" s="51" t="n">
        <v>0.9487</v>
      </c>
      <c r="J1786" s="51" t="n">
        <v>0.0384</v>
      </c>
      <c r="K1786" s="49"/>
      <c r="L1786" s="49"/>
      <c r="M1786" s="49"/>
      <c r="N1786" s="49"/>
      <c r="O1786" s="49"/>
      <c r="P1786" s="49"/>
      <c r="Q1786" s="49"/>
      <c r="R1786" s="49"/>
      <c r="S1786" s="49" t="n">
        <v>1</v>
      </c>
      <c r="T1786" s="49" t="n">
        <v>0</v>
      </c>
      <c r="U1786" s="49" t="s">
        <v>3823</v>
      </c>
    </row>
    <row r="1787" customFormat="false" ht="15" hidden="false" customHeight="false" outlineLevel="0" collapsed="false">
      <c r="B1787" s="48" t="n">
        <v>45577.5052314815</v>
      </c>
      <c r="C1787" s="4" t="n">
        <f aca="false">YEAR(B1787)</f>
        <v>2024</v>
      </c>
      <c r="D1787" s="49" t="s">
        <v>283</v>
      </c>
      <c r="E1787" s="49" t="s">
        <v>3824</v>
      </c>
      <c r="F1787" s="50" t="n">
        <v>15</v>
      </c>
      <c r="G1787" s="49" t="s">
        <v>290</v>
      </c>
      <c r="H1787" s="51" t="n">
        <v>0.2143</v>
      </c>
      <c r="I1787" s="51" t="n">
        <v>0.5378</v>
      </c>
      <c r="J1787" s="51" t="n">
        <v>0.2479</v>
      </c>
      <c r="K1787" s="49"/>
      <c r="L1787" s="49"/>
      <c r="M1787" s="49"/>
      <c r="N1787" s="49"/>
      <c r="O1787" s="49"/>
      <c r="P1787" s="49"/>
      <c r="Q1787" s="49"/>
      <c r="R1787" s="49"/>
      <c r="S1787" s="49" t="n">
        <v>0</v>
      </c>
      <c r="T1787" s="49" t="n">
        <v>0</v>
      </c>
      <c r="U1787" s="49" t="s">
        <v>3825</v>
      </c>
    </row>
    <row r="1788" customFormat="false" ht="15" hidden="false" customHeight="false" outlineLevel="0" collapsed="false">
      <c r="B1788" s="48" t="n">
        <v>45577.6799074074</v>
      </c>
      <c r="C1788" s="4" t="n">
        <f aca="false">YEAR(B1788)</f>
        <v>2024</v>
      </c>
      <c r="D1788" s="49" t="s">
        <v>283</v>
      </c>
      <c r="E1788" s="49" t="s">
        <v>3826</v>
      </c>
      <c r="F1788" s="50" t="n">
        <v>1</v>
      </c>
      <c r="G1788" s="49" t="s">
        <v>280</v>
      </c>
      <c r="H1788" s="51" t="n">
        <v>0.8252</v>
      </c>
      <c r="I1788" s="51" t="n">
        <v>0.1677</v>
      </c>
      <c r="J1788" s="51" t="n">
        <v>0.0071</v>
      </c>
      <c r="K1788" s="49"/>
      <c r="L1788" s="49"/>
      <c r="M1788" s="49"/>
      <c r="N1788" s="49"/>
      <c r="O1788" s="49"/>
      <c r="P1788" s="49"/>
      <c r="Q1788" s="49"/>
      <c r="R1788" s="49"/>
      <c r="S1788" s="49" t="n">
        <v>0</v>
      </c>
      <c r="T1788" s="49" t="n">
        <v>0</v>
      </c>
      <c r="U1788" s="49" t="s">
        <v>3827</v>
      </c>
    </row>
    <row r="1789" customFormat="false" ht="15" hidden="false" customHeight="false" outlineLevel="0" collapsed="false">
      <c r="B1789" s="48" t="n">
        <v>45578.3455671296</v>
      </c>
      <c r="C1789" s="4" t="n">
        <f aca="false">YEAR(B1789)</f>
        <v>2024</v>
      </c>
      <c r="D1789" s="49" t="s">
        <v>283</v>
      </c>
      <c r="E1789" s="49" t="s">
        <v>3828</v>
      </c>
      <c r="F1789" s="50" t="n">
        <v>3</v>
      </c>
      <c r="G1789" s="49" t="s">
        <v>290</v>
      </c>
      <c r="H1789" s="51" t="n">
        <v>0.022</v>
      </c>
      <c r="I1789" s="51" t="n">
        <v>0.8549</v>
      </c>
      <c r="J1789" s="51" t="n">
        <v>0.123</v>
      </c>
      <c r="K1789" s="49"/>
      <c r="L1789" s="49"/>
      <c r="M1789" s="49"/>
      <c r="N1789" s="49"/>
      <c r="O1789" s="49"/>
      <c r="P1789" s="49"/>
      <c r="Q1789" s="49"/>
      <c r="R1789" s="49"/>
      <c r="S1789" s="49" t="n">
        <v>0</v>
      </c>
      <c r="T1789" s="49" t="n">
        <v>0</v>
      </c>
      <c r="U1789" s="49" t="s">
        <v>3829</v>
      </c>
    </row>
    <row r="1790" customFormat="false" ht="15" hidden="false" customHeight="false" outlineLevel="0" collapsed="false">
      <c r="B1790" s="48" t="n">
        <v>45578.5173958333</v>
      </c>
      <c r="C1790" s="4" t="n">
        <f aca="false">YEAR(B1790)</f>
        <v>2024</v>
      </c>
      <c r="D1790" s="49" t="s">
        <v>283</v>
      </c>
      <c r="E1790" s="49" t="s">
        <v>3830</v>
      </c>
      <c r="F1790" s="50" t="n">
        <v>2</v>
      </c>
      <c r="G1790" s="49" t="s">
        <v>280</v>
      </c>
      <c r="H1790" s="51" t="n">
        <v>0.6869</v>
      </c>
      <c r="I1790" s="51" t="n">
        <v>0.2876</v>
      </c>
      <c r="J1790" s="51" t="n">
        <v>0.0255</v>
      </c>
      <c r="K1790" s="49"/>
      <c r="L1790" s="49"/>
      <c r="M1790" s="49"/>
      <c r="N1790" s="49"/>
      <c r="O1790" s="49"/>
      <c r="P1790" s="49"/>
      <c r="Q1790" s="49"/>
      <c r="R1790" s="49"/>
      <c r="S1790" s="49" t="n">
        <v>0</v>
      </c>
      <c r="T1790" s="49" t="n">
        <v>0</v>
      </c>
      <c r="U1790" s="49" t="s">
        <v>3831</v>
      </c>
    </row>
    <row r="1791" customFormat="false" ht="15" hidden="false" customHeight="false" outlineLevel="0" collapsed="false">
      <c r="B1791" s="48" t="n">
        <v>45578.5732175926</v>
      </c>
      <c r="C1791" s="4" t="n">
        <f aca="false">YEAR(B1791)</f>
        <v>2024</v>
      </c>
      <c r="D1791" s="49" t="s">
        <v>283</v>
      </c>
      <c r="E1791" s="49" t="s">
        <v>3832</v>
      </c>
      <c r="F1791" s="50" t="n">
        <v>8</v>
      </c>
      <c r="G1791" s="49" t="s">
        <v>290</v>
      </c>
      <c r="H1791" s="51" t="n">
        <v>0.1524</v>
      </c>
      <c r="I1791" s="51" t="n">
        <v>0.7259</v>
      </c>
      <c r="J1791" s="51" t="n">
        <v>0.1217</v>
      </c>
      <c r="K1791" s="49"/>
      <c r="L1791" s="49"/>
      <c r="M1791" s="49"/>
      <c r="N1791" s="49"/>
      <c r="O1791" s="49"/>
      <c r="P1791" s="49"/>
      <c r="Q1791" s="49"/>
      <c r="R1791" s="49"/>
      <c r="S1791" s="49" t="n">
        <v>0</v>
      </c>
      <c r="T1791" s="49" t="n">
        <v>0</v>
      </c>
      <c r="U1791" s="49" t="s">
        <v>3833</v>
      </c>
    </row>
    <row r="1792" customFormat="false" ht="15" hidden="false" customHeight="false" outlineLevel="0" collapsed="false">
      <c r="B1792" s="48" t="n">
        <v>45578.9231365741</v>
      </c>
      <c r="C1792" s="4" t="n">
        <f aca="false">YEAR(B1792)</f>
        <v>2024</v>
      </c>
      <c r="D1792" s="49" t="s">
        <v>278</v>
      </c>
      <c r="E1792" s="49" t="s">
        <v>3834</v>
      </c>
      <c r="F1792" s="50" t="n">
        <v>17</v>
      </c>
      <c r="G1792" s="49" t="s">
        <v>287</v>
      </c>
      <c r="H1792" s="51" t="n">
        <v>0.0305</v>
      </c>
      <c r="I1792" s="51" t="n">
        <v>0.2576</v>
      </c>
      <c r="J1792" s="51" t="n">
        <v>0.712</v>
      </c>
      <c r="K1792" s="49"/>
      <c r="L1792" s="49"/>
      <c r="M1792" s="49"/>
      <c r="N1792" s="49"/>
      <c r="O1792" s="49"/>
      <c r="P1792" s="49"/>
      <c r="Q1792" s="49"/>
      <c r="R1792" s="49" t="s">
        <v>281</v>
      </c>
      <c r="S1792" s="49" t="n">
        <v>0</v>
      </c>
      <c r="T1792" s="49" t="n">
        <v>0</v>
      </c>
      <c r="U1792" s="49" t="s">
        <v>3835</v>
      </c>
    </row>
    <row r="1793" customFormat="false" ht="15" hidden="false" customHeight="false" outlineLevel="0" collapsed="false">
      <c r="B1793" s="48" t="n">
        <v>45579.587974537</v>
      </c>
      <c r="C1793" s="4" t="n">
        <f aca="false">YEAR(B1793)</f>
        <v>2024</v>
      </c>
      <c r="D1793" s="49" t="s">
        <v>283</v>
      </c>
      <c r="E1793" s="49" t="s">
        <v>3836</v>
      </c>
      <c r="F1793" s="50" t="n">
        <v>1</v>
      </c>
      <c r="G1793" s="49" t="s">
        <v>287</v>
      </c>
      <c r="H1793" s="51" t="n">
        <v>0.0138</v>
      </c>
      <c r="I1793" s="51" t="n">
        <v>0.4842</v>
      </c>
      <c r="J1793" s="51" t="n">
        <v>0.502</v>
      </c>
      <c r="K1793" s="49"/>
      <c r="L1793" s="49"/>
      <c r="M1793" s="49"/>
      <c r="N1793" s="49"/>
      <c r="O1793" s="49"/>
      <c r="P1793" s="49"/>
      <c r="Q1793" s="49"/>
      <c r="R1793" s="49"/>
      <c r="S1793" s="49" t="n">
        <v>0</v>
      </c>
      <c r="T1793" s="49" t="n">
        <v>0</v>
      </c>
      <c r="U1793" s="49" t="s">
        <v>3837</v>
      </c>
    </row>
    <row r="1794" customFormat="false" ht="15" hidden="false" customHeight="false" outlineLevel="0" collapsed="false">
      <c r="B1794" s="48" t="n">
        <v>45579.6942939815</v>
      </c>
      <c r="C1794" s="4" t="n">
        <f aca="false">YEAR(B1794)</f>
        <v>2024</v>
      </c>
      <c r="D1794" s="49" t="s">
        <v>283</v>
      </c>
      <c r="E1794" s="49" t="s">
        <v>3838</v>
      </c>
      <c r="F1794" s="50" t="n">
        <v>18</v>
      </c>
      <c r="G1794" s="49" t="s">
        <v>290</v>
      </c>
      <c r="H1794" s="51" t="n">
        <v>0.0215</v>
      </c>
      <c r="I1794" s="51" t="n">
        <v>0.6234</v>
      </c>
      <c r="J1794" s="51" t="n">
        <v>0.3552</v>
      </c>
      <c r="K1794" s="49"/>
      <c r="L1794" s="49"/>
      <c r="M1794" s="49"/>
      <c r="N1794" s="49"/>
      <c r="O1794" s="49"/>
      <c r="P1794" s="49"/>
      <c r="Q1794" s="49"/>
      <c r="R1794" s="49"/>
      <c r="S1794" s="49" t="n">
        <v>0</v>
      </c>
      <c r="T1794" s="49" t="n">
        <v>0</v>
      </c>
      <c r="U1794" s="49" t="s">
        <v>3839</v>
      </c>
    </row>
    <row r="1795" customFormat="false" ht="15" hidden="false" customHeight="false" outlineLevel="0" collapsed="false">
      <c r="B1795" s="48" t="n">
        <v>45580.1651967593</v>
      </c>
      <c r="C1795" s="4" t="n">
        <f aca="false">YEAR(B1795)</f>
        <v>2024</v>
      </c>
      <c r="D1795" s="49" t="s">
        <v>283</v>
      </c>
      <c r="E1795" s="49" t="s">
        <v>3840</v>
      </c>
      <c r="F1795" s="50" t="n">
        <v>1</v>
      </c>
      <c r="G1795" s="49" t="s">
        <v>280</v>
      </c>
      <c r="H1795" s="51" t="n">
        <v>0.72</v>
      </c>
      <c r="I1795" s="51" t="n">
        <v>0.2555</v>
      </c>
      <c r="J1795" s="51" t="n">
        <v>0.0245</v>
      </c>
      <c r="K1795" s="49"/>
      <c r="L1795" s="49"/>
      <c r="M1795" s="49"/>
      <c r="N1795" s="49"/>
      <c r="O1795" s="49"/>
      <c r="P1795" s="49"/>
      <c r="Q1795" s="49"/>
      <c r="R1795" s="49" t="s">
        <v>281</v>
      </c>
      <c r="S1795" s="49" t="n">
        <v>0</v>
      </c>
      <c r="T1795" s="49" t="n">
        <v>0</v>
      </c>
      <c r="U1795" s="49" t="s">
        <v>3841</v>
      </c>
    </row>
    <row r="1796" customFormat="false" ht="15" hidden="false" customHeight="false" outlineLevel="0" collapsed="false">
      <c r="B1796" s="48" t="n">
        <v>45580.3904166667</v>
      </c>
      <c r="C1796" s="4" t="n">
        <f aca="false">YEAR(B1796)</f>
        <v>2024</v>
      </c>
      <c r="D1796" s="49" t="s">
        <v>283</v>
      </c>
      <c r="E1796" s="49" t="s">
        <v>3842</v>
      </c>
      <c r="F1796" s="50" t="n">
        <v>0</v>
      </c>
      <c r="G1796" s="49" t="s">
        <v>280</v>
      </c>
      <c r="H1796" s="51" t="n">
        <v>0.8402</v>
      </c>
      <c r="I1796" s="51" t="n">
        <v>0.1493</v>
      </c>
      <c r="J1796" s="51" t="n">
        <v>0.0105</v>
      </c>
      <c r="K1796" s="49"/>
      <c r="L1796" s="49"/>
      <c r="M1796" s="49" t="s">
        <v>281</v>
      </c>
      <c r="N1796" s="49"/>
      <c r="O1796" s="49"/>
      <c r="P1796" s="49"/>
      <c r="Q1796" s="49" t="s">
        <v>281</v>
      </c>
      <c r="R1796" s="49"/>
      <c r="S1796" s="49" t="n">
        <v>0</v>
      </c>
      <c r="T1796" s="49" t="n">
        <v>0</v>
      </c>
      <c r="U1796" s="49" t="s">
        <v>3843</v>
      </c>
    </row>
    <row r="1797" customFormat="false" ht="15" hidden="false" customHeight="false" outlineLevel="0" collapsed="false">
      <c r="B1797" s="48" t="n">
        <v>45581.1429166667</v>
      </c>
      <c r="C1797" s="4" t="n">
        <f aca="false">YEAR(B1797)</f>
        <v>2024</v>
      </c>
      <c r="D1797" s="49" t="s">
        <v>283</v>
      </c>
      <c r="E1797" s="49" t="s">
        <v>3844</v>
      </c>
      <c r="F1797" s="50" t="n">
        <v>1</v>
      </c>
      <c r="G1797" s="49" t="s">
        <v>287</v>
      </c>
      <c r="H1797" s="51" t="n">
        <v>0.003</v>
      </c>
      <c r="I1797" s="51" t="n">
        <v>0.0605</v>
      </c>
      <c r="J1797" s="51" t="n">
        <v>0.9366</v>
      </c>
      <c r="K1797" s="49"/>
      <c r="L1797" s="49"/>
      <c r="M1797" s="49"/>
      <c r="N1797" s="49"/>
      <c r="O1797" s="49"/>
      <c r="P1797" s="49"/>
      <c r="Q1797" s="49"/>
      <c r="R1797" s="49"/>
      <c r="S1797" s="49" t="n">
        <v>0</v>
      </c>
      <c r="T1797" s="49" t="n">
        <v>0</v>
      </c>
      <c r="U1797" s="49" t="s">
        <v>3845</v>
      </c>
    </row>
    <row r="1798" customFormat="false" ht="15" hidden="false" customHeight="false" outlineLevel="0" collapsed="false">
      <c r="B1798" s="48" t="n">
        <v>45581.4102199074</v>
      </c>
      <c r="C1798" s="4" t="n">
        <f aca="false">YEAR(B1798)</f>
        <v>2024</v>
      </c>
      <c r="D1798" s="49" t="s">
        <v>283</v>
      </c>
      <c r="E1798" s="49" t="s">
        <v>3846</v>
      </c>
      <c r="F1798" s="50" t="n">
        <v>1</v>
      </c>
      <c r="G1798" s="49" t="s">
        <v>290</v>
      </c>
      <c r="H1798" s="51" t="n">
        <v>0.0699</v>
      </c>
      <c r="I1798" s="51" t="n">
        <v>0.7798</v>
      </c>
      <c r="J1798" s="51" t="n">
        <v>0.1503</v>
      </c>
      <c r="K1798" s="49"/>
      <c r="L1798" s="49"/>
      <c r="M1798" s="49"/>
      <c r="N1798" s="49"/>
      <c r="O1798" s="49"/>
      <c r="P1798" s="49"/>
      <c r="Q1798" s="49"/>
      <c r="R1798" s="49"/>
      <c r="S1798" s="49" t="n">
        <v>0</v>
      </c>
      <c r="T1798" s="49" t="n">
        <v>0</v>
      </c>
      <c r="U1798" s="49" t="s">
        <v>3847</v>
      </c>
    </row>
    <row r="1799" customFormat="false" ht="15" hidden="false" customHeight="false" outlineLevel="0" collapsed="false">
      <c r="B1799" s="48" t="n">
        <v>45581.4254513889</v>
      </c>
      <c r="C1799" s="4" t="n">
        <f aca="false">YEAR(B1799)</f>
        <v>2024</v>
      </c>
      <c r="D1799" s="49" t="s">
        <v>283</v>
      </c>
      <c r="E1799" s="49" t="s">
        <v>3848</v>
      </c>
      <c r="F1799" s="50" t="n">
        <v>30</v>
      </c>
      <c r="G1799" s="49" t="s">
        <v>290</v>
      </c>
      <c r="H1799" s="51" t="n">
        <v>0.1809</v>
      </c>
      <c r="I1799" s="51" t="n">
        <v>0.5897</v>
      </c>
      <c r="J1799" s="51" t="n">
        <v>0.2294</v>
      </c>
      <c r="K1799" s="49"/>
      <c r="L1799" s="49"/>
      <c r="M1799" s="49"/>
      <c r="N1799" s="49"/>
      <c r="O1799" s="49"/>
      <c r="P1799" s="49"/>
      <c r="Q1799" s="49"/>
      <c r="R1799" s="49"/>
      <c r="S1799" s="49" t="n">
        <v>0</v>
      </c>
      <c r="T1799" s="49" t="n">
        <v>0</v>
      </c>
      <c r="U1799" s="49" t="s">
        <v>3849</v>
      </c>
    </row>
    <row r="1800" customFormat="false" ht="15" hidden="false" customHeight="false" outlineLevel="0" collapsed="false">
      <c r="B1800" s="48" t="n">
        <v>45581.7606944444</v>
      </c>
      <c r="C1800" s="4" t="n">
        <f aca="false">YEAR(B1800)</f>
        <v>2024</v>
      </c>
      <c r="D1800" s="49" t="s">
        <v>278</v>
      </c>
      <c r="E1800" s="49" t="s">
        <v>3850</v>
      </c>
      <c r="F1800" s="50" t="n">
        <v>0</v>
      </c>
      <c r="G1800" s="49" t="s">
        <v>290</v>
      </c>
      <c r="H1800" s="51" t="n">
        <v>0.3688</v>
      </c>
      <c r="I1800" s="51" t="n">
        <v>0.5967</v>
      </c>
      <c r="J1800" s="51" t="n">
        <v>0.0345</v>
      </c>
      <c r="K1800" s="49"/>
      <c r="L1800" s="49"/>
      <c r="M1800" s="49"/>
      <c r="N1800" s="49"/>
      <c r="O1800" s="49"/>
      <c r="P1800" s="49"/>
      <c r="Q1800" s="49"/>
      <c r="R1800" s="49"/>
      <c r="S1800" s="49" t="n">
        <v>0</v>
      </c>
      <c r="T1800" s="49" t="n">
        <v>0</v>
      </c>
      <c r="U1800" s="49" t="s">
        <v>3851</v>
      </c>
    </row>
    <row r="1801" customFormat="false" ht="15" hidden="false" customHeight="false" outlineLevel="0" collapsed="false">
      <c r="B1801" s="48" t="n">
        <v>45582.4877777778</v>
      </c>
      <c r="C1801" s="4" t="n">
        <f aca="false">YEAR(B1801)</f>
        <v>2024</v>
      </c>
      <c r="D1801" s="49" t="s">
        <v>283</v>
      </c>
      <c r="E1801" s="49" t="s">
        <v>3852</v>
      </c>
      <c r="F1801" s="50" t="n">
        <v>1</v>
      </c>
      <c r="G1801" s="49" t="s">
        <v>290</v>
      </c>
      <c r="H1801" s="51" t="n">
        <v>0.4193</v>
      </c>
      <c r="I1801" s="51" t="n">
        <v>0.5431</v>
      </c>
      <c r="J1801" s="51" t="n">
        <v>0.0376</v>
      </c>
      <c r="K1801" s="49"/>
      <c r="L1801" s="49"/>
      <c r="M1801" s="49"/>
      <c r="N1801" s="49"/>
      <c r="O1801" s="49"/>
      <c r="P1801" s="49"/>
      <c r="Q1801" s="49"/>
      <c r="R1801" s="49"/>
      <c r="S1801" s="49" t="n">
        <v>0</v>
      </c>
      <c r="T1801" s="49" t="n">
        <v>0</v>
      </c>
      <c r="U1801" s="49" t="s">
        <v>3853</v>
      </c>
    </row>
    <row r="1802" customFormat="false" ht="15" hidden="false" customHeight="false" outlineLevel="0" collapsed="false">
      <c r="B1802" s="48" t="n">
        <v>45582.7783564815</v>
      </c>
      <c r="C1802" s="4" t="n">
        <f aca="false">YEAR(B1802)</f>
        <v>2024</v>
      </c>
      <c r="D1802" s="49" t="s">
        <v>283</v>
      </c>
      <c r="E1802" s="49" t="s">
        <v>3854</v>
      </c>
      <c r="F1802" s="50" t="n">
        <v>1</v>
      </c>
      <c r="G1802" s="49" t="s">
        <v>287</v>
      </c>
      <c r="H1802" s="51" t="n">
        <v>0.0024</v>
      </c>
      <c r="I1802" s="51" t="n">
        <v>0.0804</v>
      </c>
      <c r="J1802" s="51" t="n">
        <v>0.9172</v>
      </c>
      <c r="K1802" s="49"/>
      <c r="L1802" s="49"/>
      <c r="M1802" s="49"/>
      <c r="N1802" s="49"/>
      <c r="O1802" s="49"/>
      <c r="P1802" s="49"/>
      <c r="Q1802" s="49"/>
      <c r="R1802" s="49"/>
      <c r="S1802" s="49" t="n">
        <v>0</v>
      </c>
      <c r="T1802" s="49" t="n">
        <v>0</v>
      </c>
      <c r="U1802" s="49" t="s">
        <v>3855</v>
      </c>
    </row>
    <row r="1803" customFormat="false" ht="15" hidden="false" customHeight="false" outlineLevel="0" collapsed="false">
      <c r="B1803" s="48" t="n">
        <v>45583.0322916667</v>
      </c>
      <c r="C1803" s="4" t="n">
        <f aca="false">YEAR(B1803)</f>
        <v>2024</v>
      </c>
      <c r="D1803" s="49" t="s">
        <v>283</v>
      </c>
      <c r="E1803" s="49" t="s">
        <v>3856</v>
      </c>
      <c r="F1803" s="50" t="n">
        <v>1</v>
      </c>
      <c r="G1803" s="49" t="s">
        <v>280</v>
      </c>
      <c r="H1803" s="51" t="n">
        <v>0.8705</v>
      </c>
      <c r="I1803" s="51" t="n">
        <v>0.1213</v>
      </c>
      <c r="J1803" s="51" t="n">
        <v>0.0081</v>
      </c>
      <c r="K1803" s="49"/>
      <c r="L1803" s="49"/>
      <c r="M1803" s="49"/>
      <c r="N1803" s="49"/>
      <c r="O1803" s="49"/>
      <c r="P1803" s="49"/>
      <c r="Q1803" s="49"/>
      <c r="R1803" s="49"/>
      <c r="S1803" s="49" t="n">
        <v>0</v>
      </c>
      <c r="T1803" s="49" t="n">
        <v>0</v>
      </c>
      <c r="U1803" s="49" t="s">
        <v>3857</v>
      </c>
    </row>
    <row r="1804" customFormat="false" ht="15" hidden="false" customHeight="false" outlineLevel="0" collapsed="false">
      <c r="B1804" s="48" t="n">
        <v>45584.2391435185</v>
      </c>
      <c r="C1804" s="4" t="n">
        <f aca="false">YEAR(B1804)</f>
        <v>2024</v>
      </c>
      <c r="D1804" s="49" t="s">
        <v>283</v>
      </c>
      <c r="E1804" s="49" t="s">
        <v>3858</v>
      </c>
      <c r="F1804" s="50" t="n">
        <v>17</v>
      </c>
      <c r="G1804" s="49" t="s">
        <v>287</v>
      </c>
      <c r="H1804" s="51" t="n">
        <v>0.0962</v>
      </c>
      <c r="I1804" s="51" t="n">
        <v>0.3145</v>
      </c>
      <c r="J1804" s="51" t="n">
        <v>0.5893</v>
      </c>
      <c r="K1804" s="49" t="s">
        <v>281</v>
      </c>
      <c r="L1804" s="49"/>
      <c r="M1804" s="49"/>
      <c r="N1804" s="49"/>
      <c r="O1804" s="49"/>
      <c r="P1804" s="49"/>
      <c r="Q1804" s="49"/>
      <c r="R1804" s="49"/>
      <c r="S1804" s="49" t="n">
        <v>0</v>
      </c>
      <c r="T1804" s="49" t="n">
        <v>0</v>
      </c>
      <c r="U1804" s="49" t="s">
        <v>3859</v>
      </c>
    </row>
    <row r="1805" customFormat="false" ht="15" hidden="false" customHeight="false" outlineLevel="0" collapsed="false">
      <c r="B1805" s="48" t="n">
        <v>45584.805162037</v>
      </c>
      <c r="C1805" s="4" t="n">
        <f aca="false">YEAR(B1805)</f>
        <v>2024</v>
      </c>
      <c r="D1805" s="49" t="s">
        <v>283</v>
      </c>
      <c r="E1805" s="49" t="s">
        <v>3860</v>
      </c>
      <c r="F1805" s="50" t="n">
        <v>3</v>
      </c>
      <c r="G1805" s="49" t="s">
        <v>290</v>
      </c>
      <c r="H1805" s="51" t="n">
        <v>0.0086</v>
      </c>
      <c r="I1805" s="51" t="n">
        <v>0.5387</v>
      </c>
      <c r="J1805" s="51" t="n">
        <v>0.4527</v>
      </c>
      <c r="K1805" s="49"/>
      <c r="L1805" s="49"/>
      <c r="M1805" s="49"/>
      <c r="N1805" s="49"/>
      <c r="O1805" s="49"/>
      <c r="P1805" s="49"/>
      <c r="Q1805" s="49"/>
      <c r="R1805" s="49"/>
      <c r="S1805" s="49" t="n">
        <v>0</v>
      </c>
      <c r="T1805" s="49" t="n">
        <v>0</v>
      </c>
      <c r="U1805" s="49" t="s">
        <v>3861</v>
      </c>
    </row>
    <row r="1806" customFormat="false" ht="15" hidden="false" customHeight="false" outlineLevel="0" collapsed="false">
      <c r="B1806" s="48" t="n">
        <v>45584.9707291667</v>
      </c>
      <c r="C1806" s="4" t="n">
        <f aca="false">YEAR(B1806)</f>
        <v>2024</v>
      </c>
      <c r="D1806" s="49" t="s">
        <v>283</v>
      </c>
      <c r="E1806" s="49" t="s">
        <v>3862</v>
      </c>
      <c r="F1806" s="50" t="n">
        <v>1</v>
      </c>
      <c r="G1806" s="49" t="s">
        <v>280</v>
      </c>
      <c r="H1806" s="51" t="n">
        <v>0.6461</v>
      </c>
      <c r="I1806" s="51" t="n">
        <v>0.3173</v>
      </c>
      <c r="J1806" s="51" t="n">
        <v>0.0366</v>
      </c>
      <c r="K1806" s="49"/>
      <c r="L1806" s="49"/>
      <c r="M1806" s="49"/>
      <c r="N1806" s="49"/>
      <c r="O1806" s="49"/>
      <c r="P1806" s="49"/>
      <c r="Q1806" s="49"/>
      <c r="R1806" s="49"/>
      <c r="S1806" s="49" t="n">
        <v>0</v>
      </c>
      <c r="T1806" s="49" t="n">
        <v>0</v>
      </c>
      <c r="U1806" s="49" t="s">
        <v>3863</v>
      </c>
    </row>
    <row r="1807" customFormat="false" ht="15" hidden="false" customHeight="false" outlineLevel="0" collapsed="false">
      <c r="B1807" s="48" t="n">
        <v>45586.9713657407</v>
      </c>
      <c r="C1807" s="4" t="n">
        <f aca="false">YEAR(B1807)</f>
        <v>2024</v>
      </c>
      <c r="D1807" s="49" t="s">
        <v>278</v>
      </c>
      <c r="E1807" s="49" t="s">
        <v>3864</v>
      </c>
      <c r="F1807" s="50" t="n">
        <v>1</v>
      </c>
      <c r="G1807" s="49" t="s">
        <v>280</v>
      </c>
      <c r="H1807" s="51" t="n">
        <v>0.7481</v>
      </c>
      <c r="I1807" s="51" t="n">
        <v>0.2409</v>
      </c>
      <c r="J1807" s="51" t="n">
        <v>0.011</v>
      </c>
      <c r="K1807" s="49"/>
      <c r="L1807" s="49"/>
      <c r="M1807" s="49"/>
      <c r="N1807" s="49"/>
      <c r="O1807" s="49"/>
      <c r="P1807" s="49"/>
      <c r="Q1807" s="49"/>
      <c r="R1807" s="49"/>
      <c r="S1807" s="49" t="n">
        <v>0</v>
      </c>
      <c r="T1807" s="49" t="n">
        <v>0</v>
      </c>
      <c r="U1807" s="49" t="s">
        <v>3865</v>
      </c>
    </row>
    <row r="1808" customFormat="false" ht="15" hidden="false" customHeight="false" outlineLevel="0" collapsed="false">
      <c r="B1808" s="48" t="n">
        <v>45586.9794675926</v>
      </c>
      <c r="C1808" s="4" t="n">
        <f aca="false">YEAR(B1808)</f>
        <v>2024</v>
      </c>
      <c r="D1808" s="49" t="s">
        <v>283</v>
      </c>
      <c r="E1808" s="49" t="s">
        <v>3866</v>
      </c>
      <c r="F1808" s="50" t="n">
        <v>1</v>
      </c>
      <c r="G1808" s="49" t="s">
        <v>287</v>
      </c>
      <c r="H1808" s="51" t="n">
        <v>0.0022</v>
      </c>
      <c r="I1808" s="51" t="n">
        <v>0.0901</v>
      </c>
      <c r="J1808" s="51" t="n">
        <v>0.9077</v>
      </c>
      <c r="K1808" s="49"/>
      <c r="L1808" s="49"/>
      <c r="M1808" s="49"/>
      <c r="N1808" s="49"/>
      <c r="O1808" s="49"/>
      <c r="P1808" s="49"/>
      <c r="Q1808" s="49"/>
      <c r="R1808" s="49" t="s">
        <v>281</v>
      </c>
      <c r="S1808" s="49" t="n">
        <v>0</v>
      </c>
      <c r="T1808" s="49" t="n">
        <v>0</v>
      </c>
      <c r="U1808" s="49" t="s">
        <v>3867</v>
      </c>
    </row>
    <row r="1809" customFormat="false" ht="15" hidden="false" customHeight="false" outlineLevel="0" collapsed="false">
      <c r="B1809" s="48" t="n">
        <v>45587.0883796296</v>
      </c>
      <c r="C1809" s="4" t="n">
        <f aca="false">YEAR(B1809)</f>
        <v>2024</v>
      </c>
      <c r="D1809" s="49" t="s">
        <v>283</v>
      </c>
      <c r="E1809" s="49" t="s">
        <v>3868</v>
      </c>
      <c r="F1809" s="50" t="n">
        <v>3</v>
      </c>
      <c r="G1809" s="49" t="s">
        <v>287</v>
      </c>
      <c r="H1809" s="51" t="n">
        <v>0.0152</v>
      </c>
      <c r="I1809" s="51" t="n">
        <v>0.1872</v>
      </c>
      <c r="J1809" s="51" t="n">
        <v>0.7976</v>
      </c>
      <c r="K1809" s="49"/>
      <c r="L1809" s="49"/>
      <c r="M1809" s="49"/>
      <c r="N1809" s="49"/>
      <c r="O1809" s="49"/>
      <c r="P1809" s="49"/>
      <c r="Q1809" s="49"/>
      <c r="R1809" s="49"/>
      <c r="S1809" s="49" t="n">
        <v>0</v>
      </c>
      <c r="T1809" s="49" t="n">
        <v>0</v>
      </c>
      <c r="U1809" s="49" t="s">
        <v>3869</v>
      </c>
    </row>
    <row r="1810" customFormat="false" ht="15" hidden="false" customHeight="false" outlineLevel="0" collapsed="false">
      <c r="B1810" s="48" t="n">
        <v>45587.4820717593</v>
      </c>
      <c r="C1810" s="4" t="n">
        <f aca="false">YEAR(B1810)</f>
        <v>2024</v>
      </c>
      <c r="D1810" s="49" t="s">
        <v>283</v>
      </c>
      <c r="E1810" s="49" t="s">
        <v>3870</v>
      </c>
      <c r="F1810" s="50" t="n">
        <v>1</v>
      </c>
      <c r="G1810" s="49" t="s">
        <v>290</v>
      </c>
      <c r="H1810" s="51" t="n">
        <v>0.0499</v>
      </c>
      <c r="I1810" s="51" t="n">
        <v>0.8668</v>
      </c>
      <c r="J1810" s="51" t="n">
        <v>0.0833</v>
      </c>
      <c r="K1810" s="49"/>
      <c r="L1810" s="49"/>
      <c r="M1810" s="49"/>
      <c r="N1810" s="49"/>
      <c r="O1810" s="49"/>
      <c r="P1810" s="49"/>
      <c r="Q1810" s="49"/>
      <c r="R1810" s="49"/>
      <c r="S1810" s="49" t="n">
        <v>0</v>
      </c>
      <c r="T1810" s="49" t="n">
        <v>0</v>
      </c>
      <c r="U1810" s="49" t="s">
        <v>3871</v>
      </c>
    </row>
    <row r="1811" customFormat="false" ht="15" hidden="false" customHeight="false" outlineLevel="0" collapsed="false">
      <c r="B1811" s="48" t="n">
        <v>45587.6708101852</v>
      </c>
      <c r="C1811" s="4" t="n">
        <f aca="false">YEAR(B1811)</f>
        <v>2024</v>
      </c>
      <c r="D1811" s="49" t="s">
        <v>283</v>
      </c>
      <c r="E1811" s="49" t="s">
        <v>3872</v>
      </c>
      <c r="F1811" s="50" t="n">
        <v>1</v>
      </c>
      <c r="G1811" s="49" t="s">
        <v>290</v>
      </c>
      <c r="H1811" s="51" t="n">
        <v>0.2376</v>
      </c>
      <c r="I1811" s="51" t="n">
        <v>0.7323</v>
      </c>
      <c r="J1811" s="51" t="n">
        <v>0.0301</v>
      </c>
      <c r="K1811" s="49"/>
      <c r="L1811" s="49"/>
      <c r="M1811" s="49"/>
      <c r="N1811" s="49"/>
      <c r="O1811" s="49"/>
      <c r="P1811" s="49"/>
      <c r="Q1811" s="49"/>
      <c r="R1811" s="49" t="s">
        <v>281</v>
      </c>
      <c r="S1811" s="49" t="n">
        <v>0</v>
      </c>
      <c r="T1811" s="49" t="n">
        <v>0</v>
      </c>
      <c r="U1811" s="49" t="s">
        <v>3873</v>
      </c>
    </row>
    <row r="1812" customFormat="false" ht="15" hidden="false" customHeight="false" outlineLevel="0" collapsed="false">
      <c r="B1812" s="48" t="n">
        <v>45588.3855208333</v>
      </c>
      <c r="C1812" s="4" t="n">
        <f aca="false">YEAR(B1812)</f>
        <v>2024</v>
      </c>
      <c r="D1812" s="49" t="s">
        <v>283</v>
      </c>
      <c r="E1812" s="49" t="s">
        <v>3874</v>
      </c>
      <c r="F1812" s="50" t="n">
        <v>3</v>
      </c>
      <c r="G1812" s="49" t="s">
        <v>290</v>
      </c>
      <c r="H1812" s="51" t="n">
        <v>0.0097</v>
      </c>
      <c r="I1812" s="51" t="n">
        <v>0.5187</v>
      </c>
      <c r="J1812" s="51" t="n">
        <v>0.4716</v>
      </c>
      <c r="K1812" s="49"/>
      <c r="L1812" s="49"/>
      <c r="M1812" s="49"/>
      <c r="N1812" s="49"/>
      <c r="O1812" s="49"/>
      <c r="P1812" s="49"/>
      <c r="Q1812" s="49"/>
      <c r="R1812" s="49"/>
      <c r="S1812" s="49" t="n">
        <v>0</v>
      </c>
      <c r="T1812" s="49" t="n">
        <v>0</v>
      </c>
      <c r="U1812" s="49" t="s">
        <v>3875</v>
      </c>
    </row>
    <row r="1813" customFormat="false" ht="15" hidden="false" customHeight="false" outlineLevel="0" collapsed="false">
      <c r="B1813" s="48" t="n">
        <v>45588.6461111111</v>
      </c>
      <c r="C1813" s="4" t="n">
        <f aca="false">YEAR(B1813)</f>
        <v>2024</v>
      </c>
      <c r="D1813" s="49" t="s">
        <v>283</v>
      </c>
      <c r="E1813" s="49" t="s">
        <v>3876</v>
      </c>
      <c r="F1813" s="50" t="n">
        <v>1</v>
      </c>
      <c r="G1813" s="49" t="s">
        <v>290</v>
      </c>
      <c r="H1813" s="51" t="n">
        <v>0.4553</v>
      </c>
      <c r="I1813" s="51" t="n">
        <v>0.4951</v>
      </c>
      <c r="J1813" s="51" t="n">
        <v>0.0495</v>
      </c>
      <c r="K1813" s="49"/>
      <c r="L1813" s="49"/>
      <c r="M1813" s="49"/>
      <c r="N1813" s="49"/>
      <c r="O1813" s="49"/>
      <c r="P1813" s="49"/>
      <c r="Q1813" s="49"/>
      <c r="R1813" s="49"/>
      <c r="S1813" s="49" t="n">
        <v>0</v>
      </c>
      <c r="T1813" s="49" t="n">
        <v>0</v>
      </c>
      <c r="U1813" s="49" t="s">
        <v>3877</v>
      </c>
    </row>
    <row r="1814" customFormat="false" ht="15" hidden="false" customHeight="false" outlineLevel="0" collapsed="false">
      <c r="B1814" s="48" t="n">
        <v>45588.7481944444</v>
      </c>
      <c r="C1814" s="4" t="n">
        <f aca="false">YEAR(B1814)</f>
        <v>2024</v>
      </c>
      <c r="D1814" s="49" t="s">
        <v>283</v>
      </c>
      <c r="E1814" s="49" t="s">
        <v>3878</v>
      </c>
      <c r="F1814" s="50" t="n">
        <v>2</v>
      </c>
      <c r="G1814" s="49" t="s">
        <v>290</v>
      </c>
      <c r="H1814" s="51" t="n">
        <v>0.011</v>
      </c>
      <c r="I1814" s="51" t="n">
        <v>0.5415</v>
      </c>
      <c r="J1814" s="51" t="n">
        <v>0.4475</v>
      </c>
      <c r="K1814" s="49"/>
      <c r="L1814" s="49"/>
      <c r="M1814" s="49"/>
      <c r="N1814" s="49"/>
      <c r="O1814" s="49"/>
      <c r="P1814" s="49"/>
      <c r="Q1814" s="49"/>
      <c r="R1814" s="49"/>
      <c r="S1814" s="49" t="n">
        <v>0</v>
      </c>
      <c r="T1814" s="49" t="n">
        <v>0</v>
      </c>
      <c r="U1814" s="49" t="s">
        <v>3879</v>
      </c>
    </row>
    <row r="1815" customFormat="false" ht="15" hidden="false" customHeight="false" outlineLevel="0" collapsed="false">
      <c r="B1815" s="48" t="n">
        <v>45589.3321296296</v>
      </c>
      <c r="C1815" s="4" t="n">
        <f aca="false">YEAR(B1815)</f>
        <v>2024</v>
      </c>
      <c r="D1815" s="49" t="s">
        <v>283</v>
      </c>
      <c r="E1815" s="49" t="s">
        <v>3880</v>
      </c>
      <c r="F1815" s="50" t="n">
        <v>1</v>
      </c>
      <c r="G1815" s="49" t="s">
        <v>280</v>
      </c>
      <c r="H1815" s="51" t="n">
        <v>0.8063</v>
      </c>
      <c r="I1815" s="51" t="n">
        <v>0.1751</v>
      </c>
      <c r="J1815" s="51" t="n">
        <v>0.0186</v>
      </c>
      <c r="K1815" s="49"/>
      <c r="L1815" s="49"/>
      <c r="M1815" s="49"/>
      <c r="N1815" s="49"/>
      <c r="O1815" s="49"/>
      <c r="P1815" s="49"/>
      <c r="Q1815" s="49"/>
      <c r="R1815" s="49"/>
      <c r="S1815" s="49" t="n">
        <v>0</v>
      </c>
      <c r="T1815" s="49" t="n">
        <v>0</v>
      </c>
      <c r="U1815" s="49" t="s">
        <v>3881</v>
      </c>
    </row>
    <row r="1816" customFormat="false" ht="15" hidden="false" customHeight="false" outlineLevel="0" collapsed="false">
      <c r="B1816" s="48" t="n">
        <v>45590.442037037</v>
      </c>
      <c r="C1816" s="4" t="n">
        <f aca="false">YEAR(B1816)</f>
        <v>2024</v>
      </c>
      <c r="D1816" s="49" t="s">
        <v>283</v>
      </c>
      <c r="E1816" s="49" t="s">
        <v>3882</v>
      </c>
      <c r="F1816" s="50" t="n">
        <v>1</v>
      </c>
      <c r="G1816" s="49" t="s">
        <v>290</v>
      </c>
      <c r="H1816" s="51" t="n">
        <v>0.0078</v>
      </c>
      <c r="I1816" s="51" t="n">
        <v>0.8483</v>
      </c>
      <c r="J1816" s="51" t="n">
        <v>0.1439</v>
      </c>
      <c r="K1816" s="49"/>
      <c r="L1816" s="49"/>
      <c r="M1816" s="49"/>
      <c r="N1816" s="49"/>
      <c r="O1816" s="49"/>
      <c r="P1816" s="49"/>
      <c r="Q1816" s="49" t="s">
        <v>281</v>
      </c>
      <c r="R1816" s="49"/>
      <c r="S1816" s="49" t="n">
        <v>1</v>
      </c>
      <c r="T1816" s="49" t="n">
        <v>0</v>
      </c>
      <c r="U1816" s="49" t="s">
        <v>3883</v>
      </c>
    </row>
    <row r="1817" customFormat="false" ht="15" hidden="false" customHeight="false" outlineLevel="0" collapsed="false">
      <c r="B1817" s="48" t="n">
        <v>45590.9144907407</v>
      </c>
      <c r="C1817" s="4" t="n">
        <f aca="false">YEAR(B1817)</f>
        <v>2024</v>
      </c>
      <c r="D1817" s="49" t="s">
        <v>283</v>
      </c>
      <c r="E1817" s="49" t="s">
        <v>3884</v>
      </c>
      <c r="F1817" s="50" t="n">
        <v>2</v>
      </c>
      <c r="G1817" s="49" t="s">
        <v>280</v>
      </c>
      <c r="H1817" s="51" t="n">
        <v>0.6503</v>
      </c>
      <c r="I1817" s="51" t="n">
        <v>0.3234</v>
      </c>
      <c r="J1817" s="51" t="n">
        <v>0.0262</v>
      </c>
      <c r="K1817" s="49"/>
      <c r="L1817" s="49"/>
      <c r="M1817" s="49"/>
      <c r="N1817" s="49"/>
      <c r="O1817" s="49"/>
      <c r="P1817" s="49"/>
      <c r="Q1817" s="49"/>
      <c r="R1817" s="49"/>
      <c r="S1817" s="49" t="n">
        <v>0</v>
      </c>
      <c r="T1817" s="49" t="n">
        <v>0</v>
      </c>
      <c r="U1817" s="49" t="s">
        <v>3885</v>
      </c>
    </row>
    <row r="1818" customFormat="false" ht="15" hidden="false" customHeight="false" outlineLevel="0" collapsed="false">
      <c r="B1818" s="48" t="n">
        <v>45592.4795949074</v>
      </c>
      <c r="C1818" s="4" t="n">
        <f aca="false">YEAR(B1818)</f>
        <v>2024</v>
      </c>
      <c r="D1818" s="49" t="s">
        <v>278</v>
      </c>
      <c r="E1818" s="49" t="s">
        <v>3886</v>
      </c>
      <c r="F1818" s="50" t="n">
        <v>3</v>
      </c>
      <c r="G1818" s="49" t="s">
        <v>280</v>
      </c>
      <c r="H1818" s="51" t="n">
        <v>0.5206</v>
      </c>
      <c r="I1818" s="51" t="n">
        <v>0.3894</v>
      </c>
      <c r="J1818" s="51" t="n">
        <v>0.0899</v>
      </c>
      <c r="K1818" s="49"/>
      <c r="L1818" s="49"/>
      <c r="M1818" s="49"/>
      <c r="N1818" s="49"/>
      <c r="O1818" s="49" t="s">
        <v>281</v>
      </c>
      <c r="P1818" s="49"/>
      <c r="Q1818" s="49"/>
      <c r="R1818" s="49"/>
      <c r="S1818" s="49" t="n">
        <v>0</v>
      </c>
      <c r="T1818" s="49" t="n">
        <v>1</v>
      </c>
      <c r="U1818" s="49" t="s">
        <v>3887</v>
      </c>
    </row>
    <row r="1819" customFormat="false" ht="15" hidden="false" customHeight="false" outlineLevel="0" collapsed="false">
      <c r="B1819" s="48" t="n">
        <v>45592.77875</v>
      </c>
      <c r="C1819" s="4" t="n">
        <f aca="false">YEAR(B1819)</f>
        <v>2024</v>
      </c>
      <c r="D1819" s="49" t="s">
        <v>283</v>
      </c>
      <c r="E1819" s="49" t="s">
        <v>3888</v>
      </c>
      <c r="F1819" s="50" t="n">
        <v>1</v>
      </c>
      <c r="G1819" s="49" t="s">
        <v>290</v>
      </c>
      <c r="H1819" s="51" t="n">
        <v>0.0766</v>
      </c>
      <c r="I1819" s="51" t="n">
        <v>0.6167</v>
      </c>
      <c r="J1819" s="51" t="n">
        <v>0.3067</v>
      </c>
      <c r="K1819" s="49"/>
      <c r="L1819" s="49"/>
      <c r="M1819" s="49"/>
      <c r="N1819" s="49"/>
      <c r="O1819" s="49"/>
      <c r="P1819" s="49"/>
      <c r="Q1819" s="49"/>
      <c r="R1819" s="49"/>
      <c r="S1819" s="49" t="n">
        <v>0</v>
      </c>
      <c r="T1819" s="49" t="n">
        <v>0</v>
      </c>
      <c r="U1819" s="49" t="s">
        <v>3889</v>
      </c>
    </row>
    <row r="1820" customFormat="false" ht="15" hidden="false" customHeight="false" outlineLevel="0" collapsed="false">
      <c r="B1820" s="48" t="n">
        <v>45593.2171180556</v>
      </c>
      <c r="C1820" s="4" t="n">
        <f aca="false">YEAR(B1820)</f>
        <v>2024</v>
      </c>
      <c r="D1820" s="49" t="s">
        <v>283</v>
      </c>
      <c r="E1820" s="49" t="s">
        <v>3890</v>
      </c>
      <c r="F1820" s="50" t="n">
        <v>0</v>
      </c>
      <c r="G1820" s="49" t="s">
        <v>287</v>
      </c>
      <c r="H1820" s="51" t="n">
        <v>0.0619</v>
      </c>
      <c r="I1820" s="51" t="n">
        <v>0.404</v>
      </c>
      <c r="J1820" s="51" t="n">
        <v>0.5341</v>
      </c>
      <c r="K1820" s="49"/>
      <c r="L1820" s="49"/>
      <c r="M1820" s="49"/>
      <c r="N1820" s="49"/>
      <c r="O1820" s="49"/>
      <c r="P1820" s="49"/>
      <c r="Q1820" s="49"/>
      <c r="R1820" s="49"/>
      <c r="S1820" s="49" t="n">
        <v>0</v>
      </c>
      <c r="T1820" s="49" t="n">
        <v>0</v>
      </c>
      <c r="U1820" s="49" t="s">
        <v>3891</v>
      </c>
    </row>
    <row r="1821" customFormat="false" ht="15" hidden="false" customHeight="false" outlineLevel="0" collapsed="false">
      <c r="B1821" s="48" t="n">
        <v>45593.2281597222</v>
      </c>
      <c r="C1821" s="4" t="n">
        <f aca="false">YEAR(B1821)</f>
        <v>2024</v>
      </c>
      <c r="D1821" s="49" t="s">
        <v>278</v>
      </c>
      <c r="E1821" s="49" t="s">
        <v>3892</v>
      </c>
      <c r="F1821" s="50" t="n">
        <v>3</v>
      </c>
      <c r="G1821" s="49" t="s">
        <v>280</v>
      </c>
      <c r="H1821" s="51" t="n">
        <v>0.8725</v>
      </c>
      <c r="I1821" s="51" t="n">
        <v>0.1206</v>
      </c>
      <c r="J1821" s="51" t="n">
        <v>0.0069</v>
      </c>
      <c r="K1821" s="49"/>
      <c r="L1821" s="49" t="s">
        <v>281</v>
      </c>
      <c r="M1821" s="49"/>
      <c r="N1821" s="49"/>
      <c r="O1821" s="49"/>
      <c r="P1821" s="49"/>
      <c r="Q1821" s="49"/>
      <c r="R1821" s="49"/>
      <c r="S1821" s="49" t="n">
        <v>0</v>
      </c>
      <c r="T1821" s="49" t="n">
        <v>0</v>
      </c>
      <c r="U1821" s="49" t="s">
        <v>3893</v>
      </c>
    </row>
    <row r="1822" customFormat="false" ht="15" hidden="false" customHeight="false" outlineLevel="0" collapsed="false">
      <c r="B1822" s="48" t="n">
        <v>45593.3532060185</v>
      </c>
      <c r="C1822" s="4" t="n">
        <f aca="false">YEAR(B1822)</f>
        <v>2024</v>
      </c>
      <c r="D1822" s="49" t="s">
        <v>278</v>
      </c>
      <c r="E1822" s="49" t="s">
        <v>3894</v>
      </c>
      <c r="F1822" s="50" t="n">
        <v>8</v>
      </c>
      <c r="G1822" s="49" t="s">
        <v>290</v>
      </c>
      <c r="H1822" s="51" t="n">
        <v>0.2815</v>
      </c>
      <c r="I1822" s="51" t="n">
        <v>0.6986</v>
      </c>
      <c r="J1822" s="51" t="n">
        <v>0.0199</v>
      </c>
      <c r="K1822" s="49"/>
      <c r="L1822" s="49"/>
      <c r="M1822" s="49"/>
      <c r="N1822" s="49"/>
      <c r="O1822" s="49"/>
      <c r="P1822" s="49"/>
      <c r="Q1822" s="49"/>
      <c r="R1822" s="49"/>
      <c r="S1822" s="49" t="n">
        <v>0</v>
      </c>
      <c r="T1822" s="49" t="n">
        <v>0</v>
      </c>
      <c r="U1822" s="49" t="s">
        <v>3895</v>
      </c>
    </row>
    <row r="1823" customFormat="false" ht="15" hidden="false" customHeight="false" outlineLevel="0" collapsed="false">
      <c r="B1823" s="48" t="n">
        <v>45594.1826736111</v>
      </c>
      <c r="C1823" s="4" t="n">
        <f aca="false">YEAR(B1823)</f>
        <v>2024</v>
      </c>
      <c r="D1823" s="49" t="s">
        <v>283</v>
      </c>
      <c r="E1823" s="49" t="s">
        <v>3896</v>
      </c>
      <c r="F1823" s="50" t="n">
        <v>2</v>
      </c>
      <c r="G1823" s="49" t="s">
        <v>280</v>
      </c>
      <c r="H1823" s="51" t="n">
        <v>0.8853</v>
      </c>
      <c r="I1823" s="51" t="n">
        <v>0.1089</v>
      </c>
      <c r="J1823" s="51" t="n">
        <v>0.0058</v>
      </c>
      <c r="K1823" s="49"/>
      <c r="L1823" s="49"/>
      <c r="M1823" s="49"/>
      <c r="N1823" s="49"/>
      <c r="O1823" s="49"/>
      <c r="P1823" s="49"/>
      <c r="Q1823" s="49"/>
      <c r="R1823" s="49"/>
      <c r="S1823" s="49" t="n">
        <v>0</v>
      </c>
      <c r="T1823" s="49" t="n">
        <v>0</v>
      </c>
      <c r="U1823" s="49" t="s">
        <v>3897</v>
      </c>
    </row>
    <row r="1824" customFormat="false" ht="15" hidden="false" customHeight="false" outlineLevel="0" collapsed="false">
      <c r="B1824" s="48" t="n">
        <v>45594.3264814815</v>
      </c>
      <c r="C1824" s="4" t="n">
        <f aca="false">YEAR(B1824)</f>
        <v>2024</v>
      </c>
      <c r="D1824" s="49" t="s">
        <v>283</v>
      </c>
      <c r="E1824" s="49" t="s">
        <v>3898</v>
      </c>
      <c r="F1824" s="50" t="n">
        <v>1</v>
      </c>
      <c r="G1824" s="49" t="s">
        <v>290</v>
      </c>
      <c r="H1824" s="51" t="n">
        <v>0.0118</v>
      </c>
      <c r="I1824" s="51" t="n">
        <v>0.8376</v>
      </c>
      <c r="J1824" s="51" t="n">
        <v>0.1506</v>
      </c>
      <c r="K1824" s="49"/>
      <c r="L1824" s="49"/>
      <c r="M1824" s="49"/>
      <c r="N1824" s="49"/>
      <c r="O1824" s="49"/>
      <c r="P1824" s="49"/>
      <c r="Q1824" s="49"/>
      <c r="R1824" s="49"/>
      <c r="S1824" s="49" t="n">
        <v>1</v>
      </c>
      <c r="T1824" s="49" t="n">
        <v>0</v>
      </c>
      <c r="U1824" s="49" t="s">
        <v>3899</v>
      </c>
    </row>
    <row r="1825" customFormat="false" ht="15" hidden="false" customHeight="false" outlineLevel="0" collapsed="false">
      <c r="B1825" s="48" t="n">
        <v>45594.432337963</v>
      </c>
      <c r="C1825" s="4" t="n">
        <f aca="false">YEAR(B1825)</f>
        <v>2024</v>
      </c>
      <c r="D1825" s="49" t="s">
        <v>283</v>
      </c>
      <c r="E1825" s="49" t="s">
        <v>3900</v>
      </c>
      <c r="F1825" s="50" t="n">
        <v>0</v>
      </c>
      <c r="G1825" s="49" t="s">
        <v>290</v>
      </c>
      <c r="H1825" s="51" t="n">
        <v>0.0145</v>
      </c>
      <c r="I1825" s="51" t="n">
        <v>0.8172</v>
      </c>
      <c r="J1825" s="51" t="n">
        <v>0.1683</v>
      </c>
      <c r="K1825" s="49"/>
      <c r="L1825" s="49"/>
      <c r="M1825" s="49"/>
      <c r="N1825" s="49"/>
      <c r="O1825" s="49"/>
      <c r="P1825" s="49"/>
      <c r="Q1825" s="49"/>
      <c r="R1825" s="49"/>
      <c r="S1825" s="49" t="n">
        <v>0</v>
      </c>
      <c r="T1825" s="49" t="n">
        <v>0</v>
      </c>
      <c r="U1825" s="49" t="s">
        <v>3901</v>
      </c>
    </row>
    <row r="1826" customFormat="false" ht="15" hidden="false" customHeight="false" outlineLevel="0" collapsed="false">
      <c r="B1826" s="48" t="n">
        <v>45594.7360069445</v>
      </c>
      <c r="C1826" s="4" t="n">
        <f aca="false">YEAR(B1826)</f>
        <v>2024</v>
      </c>
      <c r="D1826" s="49" t="s">
        <v>283</v>
      </c>
      <c r="E1826" s="49" t="s">
        <v>3902</v>
      </c>
      <c r="F1826" s="50" t="n">
        <v>1</v>
      </c>
      <c r="G1826" s="49" t="s">
        <v>290</v>
      </c>
      <c r="H1826" s="51" t="n">
        <v>0.0911</v>
      </c>
      <c r="I1826" s="51" t="n">
        <v>0.8904</v>
      </c>
      <c r="J1826" s="51" t="n">
        <v>0.0185</v>
      </c>
      <c r="K1826" s="49"/>
      <c r="L1826" s="49"/>
      <c r="M1826" s="49"/>
      <c r="N1826" s="49"/>
      <c r="O1826" s="49"/>
      <c r="P1826" s="49"/>
      <c r="Q1826" s="49"/>
      <c r="R1826" s="49" t="s">
        <v>281</v>
      </c>
      <c r="S1826" s="49" t="n">
        <v>1</v>
      </c>
      <c r="T1826" s="49" t="n">
        <v>0</v>
      </c>
      <c r="U1826" s="49" t="s">
        <v>3903</v>
      </c>
    </row>
    <row r="1827" customFormat="false" ht="15" hidden="false" customHeight="false" outlineLevel="0" collapsed="false">
      <c r="B1827" s="48" t="n">
        <v>45594.9665277778</v>
      </c>
      <c r="C1827" s="4" t="n">
        <f aca="false">YEAR(B1827)</f>
        <v>2024</v>
      </c>
      <c r="D1827" s="49" t="s">
        <v>283</v>
      </c>
      <c r="E1827" s="49" t="s">
        <v>3904</v>
      </c>
      <c r="F1827" s="50" t="n">
        <v>1</v>
      </c>
      <c r="G1827" s="49" t="s">
        <v>287</v>
      </c>
      <c r="H1827" s="51" t="n">
        <v>0.0081</v>
      </c>
      <c r="I1827" s="51" t="n">
        <v>0.1982</v>
      </c>
      <c r="J1827" s="51" t="n">
        <v>0.7936</v>
      </c>
      <c r="K1827" s="49"/>
      <c r="L1827" s="49"/>
      <c r="M1827" s="49"/>
      <c r="N1827" s="49"/>
      <c r="O1827" s="49"/>
      <c r="P1827" s="49"/>
      <c r="Q1827" s="49"/>
      <c r="R1827" s="49"/>
      <c r="S1827" s="49" t="n">
        <v>0</v>
      </c>
      <c r="T1827" s="49" t="n">
        <v>0</v>
      </c>
      <c r="U1827" s="49" t="s">
        <v>3905</v>
      </c>
    </row>
    <row r="1828" customFormat="false" ht="15" hidden="false" customHeight="false" outlineLevel="0" collapsed="false">
      <c r="B1828" s="48" t="n">
        <v>45595.1304398148</v>
      </c>
      <c r="C1828" s="4" t="n">
        <f aca="false">YEAR(B1828)</f>
        <v>2024</v>
      </c>
      <c r="D1828" s="49" t="s">
        <v>283</v>
      </c>
      <c r="E1828" s="49" t="s">
        <v>3906</v>
      </c>
      <c r="F1828" s="50" t="n">
        <v>1</v>
      </c>
      <c r="G1828" s="49" t="s">
        <v>290</v>
      </c>
      <c r="H1828" s="51" t="n">
        <v>0.446</v>
      </c>
      <c r="I1828" s="51" t="n">
        <v>0.5016</v>
      </c>
      <c r="J1828" s="51" t="n">
        <v>0.0524</v>
      </c>
      <c r="K1828" s="49"/>
      <c r="L1828" s="49"/>
      <c r="M1828" s="49"/>
      <c r="N1828" s="49"/>
      <c r="O1828" s="49"/>
      <c r="P1828" s="49"/>
      <c r="Q1828" s="49"/>
      <c r="R1828" s="49"/>
      <c r="S1828" s="49" t="n">
        <v>0</v>
      </c>
      <c r="T1828" s="49" t="n">
        <v>0</v>
      </c>
      <c r="U1828" s="49" t="s">
        <v>3907</v>
      </c>
    </row>
    <row r="1829" customFormat="false" ht="15" hidden="false" customHeight="false" outlineLevel="0" collapsed="false">
      <c r="B1829" s="48" t="n">
        <v>45596.136087963</v>
      </c>
      <c r="C1829" s="4" t="n">
        <f aca="false">YEAR(B1829)</f>
        <v>2024</v>
      </c>
      <c r="D1829" s="49" t="s">
        <v>283</v>
      </c>
      <c r="E1829" s="49" t="s">
        <v>3908</v>
      </c>
      <c r="F1829" s="50" t="n">
        <v>2</v>
      </c>
      <c r="G1829" s="49" t="s">
        <v>280</v>
      </c>
      <c r="H1829" s="51" t="n">
        <v>0.8814</v>
      </c>
      <c r="I1829" s="51" t="n">
        <v>0.1085</v>
      </c>
      <c r="J1829" s="51" t="n">
        <v>0.0101</v>
      </c>
      <c r="K1829" s="49"/>
      <c r="L1829" s="49"/>
      <c r="M1829" s="49"/>
      <c r="N1829" s="49"/>
      <c r="O1829" s="49"/>
      <c r="P1829" s="49"/>
      <c r="Q1829" s="49"/>
      <c r="R1829" s="49" t="s">
        <v>281</v>
      </c>
      <c r="S1829" s="49" t="n">
        <v>0</v>
      </c>
      <c r="T1829" s="49" t="n">
        <v>0</v>
      </c>
      <c r="U1829" s="49" t="s">
        <v>3909</v>
      </c>
    </row>
    <row r="1830" customFormat="false" ht="15" hidden="false" customHeight="false" outlineLevel="0" collapsed="false">
      <c r="B1830" s="48" t="n">
        <v>45596.1568171296</v>
      </c>
      <c r="C1830" s="4" t="n">
        <f aca="false">YEAR(B1830)</f>
        <v>2024</v>
      </c>
      <c r="D1830" s="49" t="s">
        <v>283</v>
      </c>
      <c r="E1830" s="49" t="s">
        <v>3910</v>
      </c>
      <c r="F1830" s="50" t="n">
        <v>1</v>
      </c>
      <c r="G1830" s="49" t="s">
        <v>290</v>
      </c>
      <c r="H1830" s="51" t="n">
        <v>0.0191</v>
      </c>
      <c r="I1830" s="51" t="n">
        <v>0.7476</v>
      </c>
      <c r="J1830" s="51" t="n">
        <v>0.2333</v>
      </c>
      <c r="K1830" s="49"/>
      <c r="L1830" s="49"/>
      <c r="M1830" s="49"/>
      <c r="N1830" s="49"/>
      <c r="O1830" s="49"/>
      <c r="P1830" s="49"/>
      <c r="Q1830" s="49"/>
      <c r="R1830" s="49"/>
      <c r="S1830" s="49" t="n">
        <v>0</v>
      </c>
      <c r="T1830" s="49" t="n">
        <v>0</v>
      </c>
      <c r="U1830" s="49" t="s">
        <v>3911</v>
      </c>
    </row>
    <row r="1831" customFormat="false" ht="15" hidden="false" customHeight="false" outlineLevel="0" collapsed="false">
      <c r="B1831" s="48" t="n">
        <v>45596.4609837963</v>
      </c>
      <c r="C1831" s="4" t="n">
        <f aca="false">YEAR(B1831)</f>
        <v>2024</v>
      </c>
      <c r="D1831" s="49" t="s">
        <v>283</v>
      </c>
      <c r="E1831" s="49" t="s">
        <v>3912</v>
      </c>
      <c r="F1831" s="50" t="n">
        <v>0</v>
      </c>
      <c r="G1831" s="49" t="s">
        <v>287</v>
      </c>
      <c r="H1831" s="51" t="n">
        <v>0.0488</v>
      </c>
      <c r="I1831" s="51" t="n">
        <v>0.4386</v>
      </c>
      <c r="J1831" s="51" t="n">
        <v>0.5126</v>
      </c>
      <c r="K1831" s="49"/>
      <c r="L1831" s="49"/>
      <c r="M1831" s="49"/>
      <c r="N1831" s="49"/>
      <c r="O1831" s="49"/>
      <c r="P1831" s="49"/>
      <c r="Q1831" s="49"/>
      <c r="R1831" s="49"/>
      <c r="S1831" s="49" t="n">
        <v>0</v>
      </c>
      <c r="T1831" s="49" t="n">
        <v>0</v>
      </c>
      <c r="U1831" s="49" t="s">
        <v>3913</v>
      </c>
    </row>
    <row r="1832" customFormat="false" ht="15" hidden="false" customHeight="false" outlineLevel="0" collapsed="false">
      <c r="B1832" s="48" t="n">
        <v>45596.5827083333</v>
      </c>
      <c r="C1832" s="4" t="n">
        <f aca="false">YEAR(B1832)</f>
        <v>2024</v>
      </c>
      <c r="D1832" s="49" t="s">
        <v>283</v>
      </c>
      <c r="E1832" s="49" t="s">
        <v>3914</v>
      </c>
      <c r="F1832" s="50" t="n">
        <v>1</v>
      </c>
      <c r="G1832" s="49" t="s">
        <v>290</v>
      </c>
      <c r="H1832" s="51" t="n">
        <v>0.4737</v>
      </c>
      <c r="I1832" s="51" t="n">
        <v>0.5074</v>
      </c>
      <c r="J1832" s="51" t="n">
        <v>0.0189</v>
      </c>
      <c r="K1832" s="49"/>
      <c r="L1832" s="49"/>
      <c r="M1832" s="49"/>
      <c r="N1832" s="49"/>
      <c r="O1832" s="49"/>
      <c r="P1832" s="49"/>
      <c r="Q1832" s="49"/>
      <c r="R1832" s="49"/>
      <c r="S1832" s="49" t="n">
        <v>1</v>
      </c>
      <c r="T1832" s="49" t="n">
        <v>0</v>
      </c>
      <c r="U1832" s="49" t="s">
        <v>3915</v>
      </c>
    </row>
    <row r="1833" customFormat="false" ht="15" hidden="false" customHeight="false" outlineLevel="0" collapsed="false">
      <c r="B1833" s="48" t="n">
        <v>45596.5859259259</v>
      </c>
      <c r="C1833" s="4" t="n">
        <f aca="false">YEAR(B1833)</f>
        <v>2024</v>
      </c>
      <c r="D1833" s="49" t="s">
        <v>278</v>
      </c>
      <c r="E1833" s="49" t="s">
        <v>3916</v>
      </c>
      <c r="F1833" s="50" t="n">
        <v>88</v>
      </c>
      <c r="G1833" s="49" t="s">
        <v>280</v>
      </c>
      <c r="H1833" s="51" t="n">
        <v>0.8531</v>
      </c>
      <c r="I1833" s="51" t="n">
        <v>0.1393</v>
      </c>
      <c r="J1833" s="51" t="n">
        <v>0.0077</v>
      </c>
      <c r="K1833" s="49"/>
      <c r="L1833" s="49"/>
      <c r="M1833" s="49"/>
      <c r="N1833" s="49"/>
      <c r="O1833" s="49"/>
      <c r="P1833" s="49"/>
      <c r="Q1833" s="49"/>
      <c r="R1833" s="49"/>
      <c r="S1833" s="49" t="n">
        <v>0</v>
      </c>
      <c r="T1833" s="49" t="n">
        <v>0</v>
      </c>
      <c r="U1833" s="49" t="s">
        <v>3917</v>
      </c>
    </row>
    <row r="1834" customFormat="false" ht="15" hidden="false" customHeight="false" outlineLevel="0" collapsed="false">
      <c r="B1834" s="48" t="n">
        <v>45598.5381365741</v>
      </c>
      <c r="C1834" s="4" t="n">
        <f aca="false">YEAR(B1834)</f>
        <v>2024</v>
      </c>
      <c r="D1834" s="49" t="s">
        <v>278</v>
      </c>
      <c r="E1834" s="49" t="s">
        <v>3918</v>
      </c>
      <c r="F1834" s="50" t="n">
        <v>2</v>
      </c>
      <c r="G1834" s="49" t="s">
        <v>280</v>
      </c>
      <c r="H1834" s="51" t="n">
        <v>0.783</v>
      </c>
      <c r="I1834" s="51" t="n">
        <v>0.2045</v>
      </c>
      <c r="J1834" s="51" t="n">
        <v>0.0125</v>
      </c>
      <c r="K1834" s="49"/>
      <c r="L1834" s="49"/>
      <c r="M1834" s="49"/>
      <c r="N1834" s="49"/>
      <c r="O1834" s="49"/>
      <c r="P1834" s="49"/>
      <c r="Q1834" s="49"/>
      <c r="R1834" s="49"/>
      <c r="S1834" s="49" t="n">
        <v>0</v>
      </c>
      <c r="T1834" s="49" t="n">
        <v>0</v>
      </c>
      <c r="U1834" s="49" t="s">
        <v>3919</v>
      </c>
    </row>
    <row r="1835" customFormat="false" ht="15" hidden="false" customHeight="false" outlineLevel="0" collapsed="false">
      <c r="B1835" s="48" t="n">
        <v>45599.5093055556</v>
      </c>
      <c r="C1835" s="4" t="n">
        <f aca="false">YEAR(B1835)</f>
        <v>2024</v>
      </c>
      <c r="D1835" s="49" t="s">
        <v>283</v>
      </c>
      <c r="E1835" s="49" t="s">
        <v>3920</v>
      </c>
      <c r="F1835" s="50" t="n">
        <v>0</v>
      </c>
      <c r="G1835" s="49" t="s">
        <v>280</v>
      </c>
      <c r="H1835" s="51" t="n">
        <v>0.8043</v>
      </c>
      <c r="I1835" s="51" t="n">
        <v>0.1795</v>
      </c>
      <c r="J1835" s="51" t="n">
        <v>0.0163</v>
      </c>
      <c r="K1835" s="49"/>
      <c r="L1835" s="49"/>
      <c r="M1835" s="49"/>
      <c r="N1835" s="49"/>
      <c r="O1835" s="49"/>
      <c r="P1835" s="49"/>
      <c r="Q1835" s="49"/>
      <c r="R1835" s="49"/>
      <c r="S1835" s="49" t="n">
        <v>0</v>
      </c>
      <c r="T1835" s="49" t="n">
        <v>0</v>
      </c>
      <c r="U1835" s="49" t="s">
        <v>3921</v>
      </c>
    </row>
    <row r="1836" customFormat="false" ht="15" hidden="false" customHeight="false" outlineLevel="0" collapsed="false">
      <c r="B1836" s="48" t="n">
        <v>45600.0035300926</v>
      </c>
      <c r="C1836" s="4" t="n">
        <f aca="false">YEAR(B1836)</f>
        <v>2024</v>
      </c>
      <c r="D1836" s="49" t="s">
        <v>283</v>
      </c>
      <c r="E1836" s="49" t="s">
        <v>3922</v>
      </c>
      <c r="F1836" s="50" t="n">
        <v>1</v>
      </c>
      <c r="G1836" s="49" t="s">
        <v>280</v>
      </c>
      <c r="H1836" s="51" t="n">
        <v>0.75</v>
      </c>
      <c r="I1836" s="51" t="n">
        <v>0.2326</v>
      </c>
      <c r="J1836" s="51" t="n">
        <v>0.0174</v>
      </c>
      <c r="K1836" s="49"/>
      <c r="L1836" s="49"/>
      <c r="M1836" s="49"/>
      <c r="N1836" s="49"/>
      <c r="O1836" s="49"/>
      <c r="P1836" s="49"/>
      <c r="Q1836" s="49"/>
      <c r="R1836" s="49" t="s">
        <v>281</v>
      </c>
      <c r="S1836" s="49" t="n">
        <v>0</v>
      </c>
      <c r="T1836" s="49" t="n">
        <v>0</v>
      </c>
      <c r="U1836" s="49" t="s">
        <v>3923</v>
      </c>
    </row>
    <row r="1837" customFormat="false" ht="15" hidden="false" customHeight="false" outlineLevel="0" collapsed="false">
      <c r="B1837" s="48" t="n">
        <v>45600.2478009259</v>
      </c>
      <c r="C1837" s="4" t="n">
        <f aca="false">YEAR(B1837)</f>
        <v>2024</v>
      </c>
      <c r="D1837" s="49" t="s">
        <v>283</v>
      </c>
      <c r="E1837" s="49" t="s">
        <v>3924</v>
      </c>
      <c r="F1837" s="50" t="n">
        <v>2</v>
      </c>
      <c r="G1837" s="49" t="s">
        <v>290</v>
      </c>
      <c r="H1837" s="51" t="n">
        <v>0.0064</v>
      </c>
      <c r="I1837" s="51" t="n">
        <v>0.6729</v>
      </c>
      <c r="J1837" s="51" t="n">
        <v>0.3207</v>
      </c>
      <c r="K1837" s="49"/>
      <c r="L1837" s="49"/>
      <c r="M1837" s="49"/>
      <c r="N1837" s="49"/>
      <c r="O1837" s="49"/>
      <c r="P1837" s="49"/>
      <c r="Q1837" s="49"/>
      <c r="R1837" s="49"/>
      <c r="S1837" s="49" t="n">
        <v>0</v>
      </c>
      <c r="T1837" s="49" t="n">
        <v>0</v>
      </c>
      <c r="U1837" s="49" t="s">
        <v>3925</v>
      </c>
    </row>
    <row r="1838" customFormat="false" ht="15" hidden="false" customHeight="false" outlineLevel="0" collapsed="false">
      <c r="B1838" s="48" t="n">
        <v>45600.3867824074</v>
      </c>
      <c r="C1838" s="4" t="n">
        <f aca="false">YEAR(B1838)</f>
        <v>2024</v>
      </c>
      <c r="D1838" s="49" t="s">
        <v>283</v>
      </c>
      <c r="E1838" s="49" t="s">
        <v>3926</v>
      </c>
      <c r="F1838" s="50" t="n">
        <v>2</v>
      </c>
      <c r="G1838" s="49" t="s">
        <v>287</v>
      </c>
      <c r="H1838" s="51" t="n">
        <v>0.0024</v>
      </c>
      <c r="I1838" s="51" t="n">
        <v>0.1206</v>
      </c>
      <c r="J1838" s="51" t="n">
        <v>0.8769</v>
      </c>
      <c r="K1838" s="49"/>
      <c r="L1838" s="49"/>
      <c r="M1838" s="49"/>
      <c r="N1838" s="49"/>
      <c r="O1838" s="49"/>
      <c r="P1838" s="49"/>
      <c r="Q1838" s="49"/>
      <c r="R1838" s="49"/>
      <c r="S1838" s="49" t="n">
        <v>0</v>
      </c>
      <c r="T1838" s="49" t="n">
        <v>0</v>
      </c>
      <c r="U1838" s="49" t="s">
        <v>3927</v>
      </c>
    </row>
    <row r="1839" customFormat="false" ht="15" hidden="false" customHeight="false" outlineLevel="0" collapsed="false">
      <c r="B1839" s="48" t="n">
        <v>45600.5912731482</v>
      </c>
      <c r="C1839" s="4" t="n">
        <f aca="false">YEAR(B1839)</f>
        <v>2024</v>
      </c>
      <c r="D1839" s="49" t="s">
        <v>283</v>
      </c>
      <c r="E1839" s="49" t="s">
        <v>3928</v>
      </c>
      <c r="F1839" s="50" t="n">
        <v>1</v>
      </c>
      <c r="G1839" s="49" t="s">
        <v>280</v>
      </c>
      <c r="H1839" s="51" t="n">
        <v>0.7327</v>
      </c>
      <c r="I1839" s="51" t="n">
        <v>0.2578</v>
      </c>
      <c r="J1839" s="51" t="n">
        <v>0.0095</v>
      </c>
      <c r="K1839" s="49"/>
      <c r="L1839" s="49"/>
      <c r="M1839" s="49"/>
      <c r="N1839" s="49"/>
      <c r="O1839" s="49"/>
      <c r="P1839" s="49"/>
      <c r="Q1839" s="49"/>
      <c r="R1839" s="49" t="s">
        <v>281</v>
      </c>
      <c r="S1839" s="49" t="n">
        <v>1</v>
      </c>
      <c r="T1839" s="49" t="n">
        <v>0</v>
      </c>
      <c r="U1839" s="49" t="s">
        <v>3929</v>
      </c>
    </row>
    <row r="1840" customFormat="false" ht="15" hidden="false" customHeight="false" outlineLevel="0" collapsed="false">
      <c r="B1840" s="48" t="n">
        <v>45601.0219444444</v>
      </c>
      <c r="C1840" s="4" t="n">
        <f aca="false">YEAR(B1840)</f>
        <v>2024</v>
      </c>
      <c r="D1840" s="49" t="s">
        <v>278</v>
      </c>
      <c r="E1840" s="49" t="s">
        <v>3930</v>
      </c>
      <c r="F1840" s="50" t="n">
        <v>8</v>
      </c>
      <c r="G1840" s="49" t="s">
        <v>290</v>
      </c>
      <c r="H1840" s="51" t="n">
        <v>0.4182</v>
      </c>
      <c r="I1840" s="51" t="n">
        <v>0.5303</v>
      </c>
      <c r="J1840" s="51" t="n">
        <v>0.0515</v>
      </c>
      <c r="K1840" s="49"/>
      <c r="L1840" s="49"/>
      <c r="M1840" s="49"/>
      <c r="N1840" s="49"/>
      <c r="O1840" s="49"/>
      <c r="P1840" s="49"/>
      <c r="Q1840" s="49"/>
      <c r="R1840" s="49" t="s">
        <v>281</v>
      </c>
      <c r="S1840" s="49" t="n">
        <v>0</v>
      </c>
      <c r="T1840" s="49" t="n">
        <v>0</v>
      </c>
      <c r="U1840" s="49" t="s">
        <v>3931</v>
      </c>
    </row>
    <row r="1841" customFormat="false" ht="15" hidden="false" customHeight="false" outlineLevel="0" collapsed="false">
      <c r="B1841" s="48" t="n">
        <v>45601.1270486111</v>
      </c>
      <c r="C1841" s="4" t="n">
        <f aca="false">YEAR(B1841)</f>
        <v>2024</v>
      </c>
      <c r="D1841" s="49" t="s">
        <v>283</v>
      </c>
      <c r="E1841" s="49" t="s">
        <v>3932</v>
      </c>
      <c r="F1841" s="50" t="n">
        <v>1</v>
      </c>
      <c r="G1841" s="49" t="s">
        <v>280</v>
      </c>
      <c r="H1841" s="51" t="n">
        <v>0.5456</v>
      </c>
      <c r="I1841" s="51" t="n">
        <v>0.4353</v>
      </c>
      <c r="J1841" s="51" t="n">
        <v>0.0191</v>
      </c>
      <c r="K1841" s="49"/>
      <c r="L1841" s="49"/>
      <c r="M1841" s="49"/>
      <c r="N1841" s="49"/>
      <c r="O1841" s="49"/>
      <c r="P1841" s="49"/>
      <c r="Q1841" s="49"/>
      <c r="R1841" s="49" t="s">
        <v>281</v>
      </c>
      <c r="S1841" s="49" t="n">
        <v>0</v>
      </c>
      <c r="T1841" s="49" t="n">
        <v>0</v>
      </c>
      <c r="U1841" s="49" t="s">
        <v>3933</v>
      </c>
    </row>
    <row r="1842" customFormat="false" ht="15" hidden="false" customHeight="false" outlineLevel="0" collapsed="false">
      <c r="B1842" s="48" t="n">
        <v>45601.3719444444</v>
      </c>
      <c r="C1842" s="4" t="n">
        <f aca="false">YEAR(B1842)</f>
        <v>2024</v>
      </c>
      <c r="D1842" s="49" t="s">
        <v>283</v>
      </c>
      <c r="E1842" s="49" t="s">
        <v>3934</v>
      </c>
      <c r="F1842" s="50" t="n">
        <v>5</v>
      </c>
      <c r="G1842" s="49" t="s">
        <v>280</v>
      </c>
      <c r="H1842" s="51" t="n">
        <v>0.7184</v>
      </c>
      <c r="I1842" s="51" t="n">
        <v>0.2423</v>
      </c>
      <c r="J1842" s="51" t="n">
        <v>0.0393</v>
      </c>
      <c r="K1842" s="49"/>
      <c r="L1842" s="49"/>
      <c r="M1842" s="49"/>
      <c r="N1842" s="49"/>
      <c r="O1842" s="49"/>
      <c r="P1842" s="49"/>
      <c r="Q1842" s="49"/>
      <c r="R1842" s="49"/>
      <c r="S1842" s="49" t="n">
        <v>0</v>
      </c>
      <c r="T1842" s="49" t="n">
        <v>0</v>
      </c>
      <c r="U1842" s="49" t="s">
        <v>3935</v>
      </c>
    </row>
    <row r="1843" customFormat="false" ht="15" hidden="false" customHeight="false" outlineLevel="0" collapsed="false">
      <c r="B1843" s="48" t="n">
        <v>45601.6184143519</v>
      </c>
      <c r="C1843" s="4" t="n">
        <f aca="false">YEAR(B1843)</f>
        <v>2024</v>
      </c>
      <c r="D1843" s="49" t="s">
        <v>283</v>
      </c>
      <c r="E1843" s="49" t="s">
        <v>3936</v>
      </c>
      <c r="F1843" s="50" t="n">
        <v>1</v>
      </c>
      <c r="G1843" s="49" t="s">
        <v>280</v>
      </c>
      <c r="H1843" s="51" t="n">
        <v>0.8184</v>
      </c>
      <c r="I1843" s="51" t="n">
        <v>0.1715</v>
      </c>
      <c r="J1843" s="51" t="n">
        <v>0.0101</v>
      </c>
      <c r="K1843" s="49"/>
      <c r="L1843" s="49"/>
      <c r="M1843" s="49"/>
      <c r="N1843" s="49"/>
      <c r="O1843" s="49"/>
      <c r="P1843" s="49"/>
      <c r="Q1843" s="49"/>
      <c r="R1843" s="49" t="s">
        <v>281</v>
      </c>
      <c r="S1843" s="49" t="n">
        <v>0</v>
      </c>
      <c r="T1843" s="49" t="n">
        <v>0</v>
      </c>
      <c r="U1843" s="49" t="s">
        <v>3937</v>
      </c>
    </row>
    <row r="1844" customFormat="false" ht="15" hidden="false" customHeight="false" outlineLevel="0" collapsed="false">
      <c r="B1844" s="48" t="n">
        <v>45601.6334027778</v>
      </c>
      <c r="C1844" s="4" t="n">
        <f aca="false">YEAR(B1844)</f>
        <v>2024</v>
      </c>
      <c r="D1844" s="49" t="s">
        <v>283</v>
      </c>
      <c r="E1844" s="49" t="s">
        <v>3938</v>
      </c>
      <c r="F1844" s="50" t="n">
        <v>2</v>
      </c>
      <c r="G1844" s="49" t="s">
        <v>280</v>
      </c>
      <c r="H1844" s="51" t="n">
        <v>0.8384</v>
      </c>
      <c r="I1844" s="51" t="n">
        <v>0.1523</v>
      </c>
      <c r="J1844" s="51" t="n">
        <v>0.0092</v>
      </c>
      <c r="K1844" s="49"/>
      <c r="L1844" s="49"/>
      <c r="M1844" s="49"/>
      <c r="N1844" s="49"/>
      <c r="O1844" s="49"/>
      <c r="P1844" s="49"/>
      <c r="Q1844" s="49"/>
      <c r="R1844" s="49" t="s">
        <v>281</v>
      </c>
      <c r="S1844" s="49" t="n">
        <v>0</v>
      </c>
      <c r="T1844" s="49" t="n">
        <v>0</v>
      </c>
      <c r="U1844" s="49" t="s">
        <v>3939</v>
      </c>
    </row>
    <row r="1845" customFormat="false" ht="15" hidden="false" customHeight="false" outlineLevel="0" collapsed="false">
      <c r="B1845" s="48" t="n">
        <v>45601.7234722222</v>
      </c>
      <c r="C1845" s="4" t="n">
        <f aca="false">YEAR(B1845)</f>
        <v>2024</v>
      </c>
      <c r="D1845" s="49" t="s">
        <v>283</v>
      </c>
      <c r="E1845" s="49" t="s">
        <v>3940</v>
      </c>
      <c r="F1845" s="50" t="n">
        <v>1</v>
      </c>
      <c r="G1845" s="49" t="s">
        <v>290</v>
      </c>
      <c r="H1845" s="51" t="n">
        <v>0.014</v>
      </c>
      <c r="I1845" s="51" t="n">
        <v>0.8537</v>
      </c>
      <c r="J1845" s="51" t="n">
        <v>0.1323</v>
      </c>
      <c r="K1845" s="49"/>
      <c r="L1845" s="49"/>
      <c r="M1845" s="49"/>
      <c r="N1845" s="49"/>
      <c r="O1845" s="49"/>
      <c r="P1845" s="49"/>
      <c r="Q1845" s="49"/>
      <c r="R1845" s="49"/>
      <c r="S1845" s="49" t="n">
        <v>0</v>
      </c>
      <c r="T1845" s="49" t="n">
        <v>0</v>
      </c>
      <c r="U1845" s="49" t="s">
        <v>3941</v>
      </c>
    </row>
    <row r="1846" customFormat="false" ht="15" hidden="false" customHeight="false" outlineLevel="0" collapsed="false">
      <c r="B1846" s="48" t="n">
        <v>45601.8014351852</v>
      </c>
      <c r="C1846" s="4" t="n">
        <f aca="false">YEAR(B1846)</f>
        <v>2024</v>
      </c>
      <c r="D1846" s="49" t="s">
        <v>283</v>
      </c>
      <c r="E1846" s="49" t="s">
        <v>3942</v>
      </c>
      <c r="F1846" s="50" t="n">
        <v>1</v>
      </c>
      <c r="G1846" s="49" t="s">
        <v>290</v>
      </c>
      <c r="H1846" s="51" t="n">
        <v>0.3497</v>
      </c>
      <c r="I1846" s="51" t="n">
        <v>0.6225</v>
      </c>
      <c r="J1846" s="51" t="n">
        <v>0.0277</v>
      </c>
      <c r="K1846" s="49"/>
      <c r="L1846" s="49"/>
      <c r="M1846" s="49"/>
      <c r="N1846" s="49"/>
      <c r="O1846" s="49"/>
      <c r="P1846" s="49"/>
      <c r="Q1846" s="49"/>
      <c r="R1846" s="49"/>
      <c r="S1846" s="49" t="n">
        <v>0</v>
      </c>
      <c r="T1846" s="49" t="n">
        <v>0</v>
      </c>
      <c r="U1846" s="49" t="s">
        <v>3943</v>
      </c>
    </row>
    <row r="1847" customFormat="false" ht="15" hidden="false" customHeight="false" outlineLevel="0" collapsed="false">
      <c r="B1847" s="48" t="n">
        <v>45601.8158796296</v>
      </c>
      <c r="C1847" s="4" t="n">
        <f aca="false">YEAR(B1847)</f>
        <v>2024</v>
      </c>
      <c r="D1847" s="49" t="s">
        <v>278</v>
      </c>
      <c r="E1847" s="49" t="s">
        <v>3944</v>
      </c>
      <c r="F1847" s="50" t="n">
        <v>6</v>
      </c>
      <c r="G1847" s="49" t="s">
        <v>280</v>
      </c>
      <c r="H1847" s="51" t="n">
        <v>0.5809</v>
      </c>
      <c r="I1847" s="51" t="n">
        <v>0.4035</v>
      </c>
      <c r="J1847" s="51" t="n">
        <v>0.0156</v>
      </c>
      <c r="K1847" s="49"/>
      <c r="L1847" s="49"/>
      <c r="M1847" s="49"/>
      <c r="N1847" s="49"/>
      <c r="O1847" s="49"/>
      <c r="P1847" s="49"/>
      <c r="Q1847" s="49"/>
      <c r="R1847" s="49"/>
      <c r="S1847" s="49" t="n">
        <v>0</v>
      </c>
      <c r="T1847" s="49" t="n">
        <v>0</v>
      </c>
      <c r="U1847" s="49" t="s">
        <v>3945</v>
      </c>
    </row>
    <row r="1848" customFormat="false" ht="15" hidden="false" customHeight="false" outlineLevel="0" collapsed="false">
      <c r="B1848" s="48" t="n">
        <v>45601.8582638889</v>
      </c>
      <c r="C1848" s="4" t="n">
        <f aca="false">YEAR(B1848)</f>
        <v>2024</v>
      </c>
      <c r="D1848" s="49" t="s">
        <v>283</v>
      </c>
      <c r="E1848" s="49" t="s">
        <v>3946</v>
      </c>
      <c r="F1848" s="50" t="n">
        <v>2</v>
      </c>
      <c r="G1848" s="49" t="s">
        <v>287</v>
      </c>
      <c r="H1848" s="51" t="n">
        <v>0.1613</v>
      </c>
      <c r="I1848" s="51" t="n">
        <v>0.413</v>
      </c>
      <c r="J1848" s="51" t="n">
        <v>0.4257</v>
      </c>
      <c r="K1848" s="49"/>
      <c r="L1848" s="49"/>
      <c r="M1848" s="49"/>
      <c r="N1848" s="49"/>
      <c r="O1848" s="49"/>
      <c r="P1848" s="49"/>
      <c r="Q1848" s="49"/>
      <c r="R1848" s="49"/>
      <c r="S1848" s="49" t="n">
        <v>0</v>
      </c>
      <c r="T1848" s="49" t="n">
        <v>0</v>
      </c>
      <c r="U1848" s="49" t="s">
        <v>3947</v>
      </c>
    </row>
    <row r="1849" customFormat="false" ht="15" hidden="false" customHeight="false" outlineLevel="0" collapsed="false">
      <c r="B1849" s="48" t="n">
        <v>45602.0565972222</v>
      </c>
      <c r="C1849" s="4" t="n">
        <f aca="false">YEAR(B1849)</f>
        <v>2024</v>
      </c>
      <c r="D1849" s="49" t="s">
        <v>283</v>
      </c>
      <c r="E1849" s="49" t="s">
        <v>3948</v>
      </c>
      <c r="F1849" s="50" t="n">
        <v>1</v>
      </c>
      <c r="G1849" s="49" t="s">
        <v>287</v>
      </c>
      <c r="H1849" s="51" t="n">
        <v>0.01</v>
      </c>
      <c r="I1849" s="51" t="n">
        <v>0.0902</v>
      </c>
      <c r="J1849" s="51" t="n">
        <v>0.8999</v>
      </c>
      <c r="K1849" s="49"/>
      <c r="L1849" s="49"/>
      <c r="M1849" s="49"/>
      <c r="N1849" s="49"/>
      <c r="O1849" s="49"/>
      <c r="P1849" s="49"/>
      <c r="Q1849" s="49"/>
      <c r="R1849" s="49"/>
      <c r="S1849" s="49" t="n">
        <v>0</v>
      </c>
      <c r="T1849" s="49" t="n">
        <v>0</v>
      </c>
      <c r="U1849" s="49" t="s">
        <v>3949</v>
      </c>
    </row>
    <row r="1850" customFormat="false" ht="15" hidden="false" customHeight="false" outlineLevel="0" collapsed="false">
      <c r="B1850" s="48" t="n">
        <v>45602.2864814815</v>
      </c>
      <c r="C1850" s="4" t="n">
        <f aca="false">YEAR(B1850)</f>
        <v>2024</v>
      </c>
      <c r="D1850" s="49" t="s">
        <v>283</v>
      </c>
      <c r="E1850" s="49" t="s">
        <v>3950</v>
      </c>
      <c r="F1850" s="50" t="n">
        <v>1</v>
      </c>
      <c r="G1850" s="49" t="s">
        <v>290</v>
      </c>
      <c r="H1850" s="51" t="n">
        <v>0.011</v>
      </c>
      <c r="I1850" s="51" t="n">
        <v>0.8936</v>
      </c>
      <c r="J1850" s="51" t="n">
        <v>0.0954</v>
      </c>
      <c r="K1850" s="49"/>
      <c r="L1850" s="49"/>
      <c r="M1850" s="49"/>
      <c r="N1850" s="49"/>
      <c r="O1850" s="49"/>
      <c r="P1850" s="49"/>
      <c r="Q1850" s="49"/>
      <c r="R1850" s="49"/>
      <c r="S1850" s="49" t="n">
        <v>1</v>
      </c>
      <c r="T1850" s="49" t="n">
        <v>0</v>
      </c>
      <c r="U1850" s="49" t="s">
        <v>3951</v>
      </c>
    </row>
    <row r="1851" customFormat="false" ht="15" hidden="false" customHeight="false" outlineLevel="0" collapsed="false">
      <c r="B1851" s="48" t="n">
        <v>45603.4281828704</v>
      </c>
      <c r="C1851" s="4" t="n">
        <f aca="false">YEAR(B1851)</f>
        <v>2024</v>
      </c>
      <c r="D1851" s="49" t="s">
        <v>283</v>
      </c>
      <c r="E1851" s="49" t="s">
        <v>3952</v>
      </c>
      <c r="F1851" s="50" t="n">
        <v>2</v>
      </c>
      <c r="G1851" s="49" t="s">
        <v>280</v>
      </c>
      <c r="H1851" s="51" t="n">
        <v>0.6284</v>
      </c>
      <c r="I1851" s="51" t="n">
        <v>0.2959</v>
      </c>
      <c r="J1851" s="51" t="n">
        <v>0.0757</v>
      </c>
      <c r="K1851" s="49" t="s">
        <v>281</v>
      </c>
      <c r="L1851" s="49"/>
      <c r="M1851" s="49"/>
      <c r="N1851" s="49"/>
      <c r="O1851" s="49"/>
      <c r="P1851" s="49"/>
      <c r="Q1851" s="49"/>
      <c r="R1851" s="49"/>
      <c r="S1851" s="49" t="n">
        <v>0</v>
      </c>
      <c r="T1851" s="49" t="n">
        <v>0</v>
      </c>
      <c r="U1851" s="49" t="s">
        <v>3953</v>
      </c>
    </row>
    <row r="1852" customFormat="false" ht="15" hidden="false" customHeight="false" outlineLevel="0" collapsed="false">
      <c r="B1852" s="48" t="n">
        <v>45603.5566319445</v>
      </c>
      <c r="C1852" s="4" t="n">
        <f aca="false">YEAR(B1852)</f>
        <v>2024</v>
      </c>
      <c r="D1852" s="49" t="s">
        <v>283</v>
      </c>
      <c r="E1852" s="49" t="s">
        <v>3954</v>
      </c>
      <c r="F1852" s="50" t="n">
        <v>1</v>
      </c>
      <c r="G1852" s="49" t="s">
        <v>280</v>
      </c>
      <c r="H1852" s="51" t="n">
        <v>0.6511</v>
      </c>
      <c r="I1852" s="51" t="n">
        <v>0.3013</v>
      </c>
      <c r="J1852" s="51" t="n">
        <v>0.0476</v>
      </c>
      <c r="K1852" s="49"/>
      <c r="L1852" s="49"/>
      <c r="M1852" s="49"/>
      <c r="N1852" s="49"/>
      <c r="O1852" s="49"/>
      <c r="P1852" s="49"/>
      <c r="Q1852" s="49" t="s">
        <v>281</v>
      </c>
      <c r="R1852" s="49"/>
      <c r="S1852" s="49" t="n">
        <v>0</v>
      </c>
      <c r="T1852" s="49" t="n">
        <v>0</v>
      </c>
      <c r="U1852" s="49" t="s">
        <v>3955</v>
      </c>
    </row>
    <row r="1853" customFormat="false" ht="15" hidden="false" customHeight="false" outlineLevel="0" collapsed="false">
      <c r="B1853" s="48" t="n">
        <v>45603.6390509259</v>
      </c>
      <c r="C1853" s="4" t="n">
        <f aca="false">YEAR(B1853)</f>
        <v>2024</v>
      </c>
      <c r="D1853" s="49" t="s">
        <v>283</v>
      </c>
      <c r="E1853" s="49" t="s">
        <v>3956</v>
      </c>
      <c r="F1853" s="50" t="n">
        <v>2</v>
      </c>
      <c r="G1853" s="49" t="s">
        <v>280</v>
      </c>
      <c r="H1853" s="51" t="n">
        <v>0.6729</v>
      </c>
      <c r="I1853" s="51" t="n">
        <v>0.3061</v>
      </c>
      <c r="J1853" s="51" t="n">
        <v>0.021</v>
      </c>
      <c r="K1853" s="49"/>
      <c r="L1853" s="49"/>
      <c r="M1853" s="49"/>
      <c r="N1853" s="49"/>
      <c r="O1853" s="49"/>
      <c r="P1853" s="49"/>
      <c r="Q1853" s="49" t="s">
        <v>281</v>
      </c>
      <c r="R1853" s="49"/>
      <c r="S1853" s="49" t="n">
        <v>0</v>
      </c>
      <c r="T1853" s="49" t="n">
        <v>0</v>
      </c>
      <c r="U1853" s="49" t="s">
        <v>3957</v>
      </c>
    </row>
    <row r="1854" customFormat="false" ht="15" hidden="false" customHeight="false" outlineLevel="0" collapsed="false">
      <c r="B1854" s="48" t="n">
        <v>45603.8582060185</v>
      </c>
      <c r="C1854" s="4" t="n">
        <f aca="false">YEAR(B1854)</f>
        <v>2024</v>
      </c>
      <c r="D1854" s="49" t="s">
        <v>283</v>
      </c>
      <c r="E1854" s="49" t="s">
        <v>3958</v>
      </c>
      <c r="F1854" s="50" t="n">
        <v>1</v>
      </c>
      <c r="G1854" s="49" t="s">
        <v>290</v>
      </c>
      <c r="H1854" s="51" t="n">
        <v>0.1435</v>
      </c>
      <c r="I1854" s="51" t="n">
        <v>0.7827</v>
      </c>
      <c r="J1854" s="51" t="n">
        <v>0.0738</v>
      </c>
      <c r="K1854" s="49"/>
      <c r="L1854" s="49"/>
      <c r="M1854" s="49"/>
      <c r="N1854" s="49"/>
      <c r="O1854" s="49"/>
      <c r="P1854" s="49"/>
      <c r="Q1854" s="49"/>
      <c r="R1854" s="49"/>
      <c r="S1854" s="49" t="n">
        <v>0</v>
      </c>
      <c r="T1854" s="49" t="n">
        <v>0</v>
      </c>
      <c r="U1854" s="49" t="s">
        <v>3959</v>
      </c>
    </row>
    <row r="1855" customFormat="false" ht="15" hidden="false" customHeight="false" outlineLevel="0" collapsed="false">
      <c r="B1855" s="48" t="n">
        <v>45603.9157407407</v>
      </c>
      <c r="C1855" s="4" t="n">
        <f aca="false">YEAR(B1855)</f>
        <v>2024</v>
      </c>
      <c r="D1855" s="49" t="s">
        <v>278</v>
      </c>
      <c r="E1855" s="49" t="s">
        <v>3960</v>
      </c>
      <c r="F1855" s="50" t="n">
        <v>0</v>
      </c>
      <c r="G1855" s="49" t="s">
        <v>280</v>
      </c>
      <c r="H1855" s="51" t="n">
        <v>0.5681</v>
      </c>
      <c r="I1855" s="51" t="n">
        <v>0.4057</v>
      </c>
      <c r="J1855" s="51" t="n">
        <v>0.0262</v>
      </c>
      <c r="K1855" s="49"/>
      <c r="L1855" s="49"/>
      <c r="M1855" s="49"/>
      <c r="N1855" s="49"/>
      <c r="O1855" s="49"/>
      <c r="P1855" s="49"/>
      <c r="Q1855" s="49"/>
      <c r="R1855" s="49" t="s">
        <v>281</v>
      </c>
      <c r="S1855" s="49" t="n">
        <v>0</v>
      </c>
      <c r="T1855" s="49" t="n">
        <v>0</v>
      </c>
      <c r="U1855" s="49" t="s">
        <v>3961</v>
      </c>
    </row>
    <row r="1856" customFormat="false" ht="15" hidden="false" customHeight="false" outlineLevel="0" collapsed="false">
      <c r="B1856" s="48" t="n">
        <v>45604.4190856482</v>
      </c>
      <c r="C1856" s="4" t="n">
        <f aca="false">YEAR(B1856)</f>
        <v>2024</v>
      </c>
      <c r="D1856" s="49" t="s">
        <v>278</v>
      </c>
      <c r="E1856" s="49" t="s">
        <v>3962</v>
      </c>
      <c r="F1856" s="50" t="n">
        <v>1</v>
      </c>
      <c r="G1856" s="49" t="s">
        <v>290</v>
      </c>
      <c r="H1856" s="51" t="n">
        <v>0.2031</v>
      </c>
      <c r="I1856" s="51" t="n">
        <v>0.7737</v>
      </c>
      <c r="J1856" s="51" t="n">
        <v>0.0231</v>
      </c>
      <c r="K1856" s="49"/>
      <c r="L1856" s="49"/>
      <c r="M1856" s="49"/>
      <c r="N1856" s="49"/>
      <c r="O1856" s="49"/>
      <c r="P1856" s="49"/>
      <c r="Q1856" s="49"/>
      <c r="R1856" s="49" t="s">
        <v>281</v>
      </c>
      <c r="S1856" s="49" t="n">
        <v>1</v>
      </c>
      <c r="T1856" s="49" t="n">
        <v>0</v>
      </c>
      <c r="U1856" s="49" t="s">
        <v>3963</v>
      </c>
    </row>
    <row r="1857" customFormat="false" ht="15" hidden="false" customHeight="false" outlineLevel="0" collapsed="false">
      <c r="B1857" s="48" t="n">
        <v>45604.777349537</v>
      </c>
      <c r="C1857" s="4" t="n">
        <f aca="false">YEAR(B1857)</f>
        <v>2024</v>
      </c>
      <c r="D1857" s="49" t="s">
        <v>278</v>
      </c>
      <c r="E1857" s="49" t="s">
        <v>3964</v>
      </c>
      <c r="F1857" s="50" t="n">
        <v>42</v>
      </c>
      <c r="G1857" s="49" t="s">
        <v>290</v>
      </c>
      <c r="H1857" s="51" t="n">
        <v>0.0748</v>
      </c>
      <c r="I1857" s="51" t="n">
        <v>0.7608</v>
      </c>
      <c r="J1857" s="51" t="n">
        <v>0.1643</v>
      </c>
      <c r="K1857" s="49"/>
      <c r="L1857" s="49"/>
      <c r="M1857" s="49"/>
      <c r="N1857" s="49"/>
      <c r="O1857" s="49"/>
      <c r="P1857" s="49"/>
      <c r="Q1857" s="49"/>
      <c r="R1857" s="49"/>
      <c r="S1857" s="49" t="n">
        <v>0</v>
      </c>
      <c r="T1857" s="49" t="n">
        <v>0</v>
      </c>
      <c r="U1857" s="49" t="s">
        <v>3965</v>
      </c>
    </row>
    <row r="1858" customFormat="false" ht="15" hidden="false" customHeight="false" outlineLevel="0" collapsed="false">
      <c r="B1858" s="48" t="n">
        <v>45604.83625</v>
      </c>
      <c r="C1858" s="4" t="n">
        <f aca="false">YEAR(B1858)</f>
        <v>2024</v>
      </c>
      <c r="D1858" s="49" t="s">
        <v>283</v>
      </c>
      <c r="E1858" s="49" t="s">
        <v>3966</v>
      </c>
      <c r="F1858" s="50" t="n">
        <v>1</v>
      </c>
      <c r="G1858" s="49" t="s">
        <v>290</v>
      </c>
      <c r="H1858" s="51" t="n">
        <v>0.0223</v>
      </c>
      <c r="I1858" s="51" t="n">
        <v>0.8895</v>
      </c>
      <c r="J1858" s="51" t="n">
        <v>0.0881</v>
      </c>
      <c r="K1858" s="49"/>
      <c r="L1858" s="49"/>
      <c r="M1858" s="49"/>
      <c r="N1858" s="49"/>
      <c r="O1858" s="49"/>
      <c r="P1858" s="49"/>
      <c r="Q1858" s="49"/>
      <c r="R1858" s="49"/>
      <c r="S1858" s="49" t="n">
        <v>0</v>
      </c>
      <c r="T1858" s="49" t="n">
        <v>0</v>
      </c>
      <c r="U1858" s="49" t="s">
        <v>3967</v>
      </c>
    </row>
    <row r="1859" customFormat="false" ht="15" hidden="false" customHeight="false" outlineLevel="0" collapsed="false">
      <c r="B1859" s="48" t="n">
        <v>45605.2082407407</v>
      </c>
      <c r="C1859" s="4" t="n">
        <f aca="false">YEAR(B1859)</f>
        <v>2024</v>
      </c>
      <c r="D1859" s="49" t="s">
        <v>283</v>
      </c>
      <c r="E1859" s="49" t="s">
        <v>3968</v>
      </c>
      <c r="F1859" s="50" t="n">
        <v>1</v>
      </c>
      <c r="G1859" s="49" t="s">
        <v>290</v>
      </c>
      <c r="H1859" s="51" t="n">
        <v>0.0825</v>
      </c>
      <c r="I1859" s="51" t="n">
        <v>0.8389</v>
      </c>
      <c r="J1859" s="51" t="n">
        <v>0.0785</v>
      </c>
      <c r="K1859" s="49"/>
      <c r="L1859" s="49"/>
      <c r="M1859" s="49"/>
      <c r="N1859" s="49"/>
      <c r="O1859" s="49"/>
      <c r="P1859" s="49"/>
      <c r="Q1859" s="49"/>
      <c r="R1859" s="49" t="s">
        <v>281</v>
      </c>
      <c r="S1859" s="49" t="n">
        <v>0</v>
      </c>
      <c r="T1859" s="49" t="n">
        <v>0</v>
      </c>
      <c r="U1859" s="49" t="s">
        <v>3969</v>
      </c>
    </row>
    <row r="1860" customFormat="false" ht="15" hidden="false" customHeight="false" outlineLevel="0" collapsed="false">
      <c r="B1860" s="48" t="n">
        <v>45605.5318634259</v>
      </c>
      <c r="C1860" s="4" t="n">
        <f aca="false">YEAR(B1860)</f>
        <v>2024</v>
      </c>
      <c r="D1860" s="49" t="s">
        <v>283</v>
      </c>
      <c r="E1860" s="49" t="s">
        <v>3970</v>
      </c>
      <c r="F1860" s="50" t="n">
        <v>1</v>
      </c>
      <c r="G1860" s="49" t="s">
        <v>290</v>
      </c>
      <c r="H1860" s="51" t="n">
        <v>0.0391</v>
      </c>
      <c r="I1860" s="51" t="n">
        <v>0.9217</v>
      </c>
      <c r="J1860" s="51" t="n">
        <v>0.0392</v>
      </c>
      <c r="K1860" s="49"/>
      <c r="L1860" s="49"/>
      <c r="M1860" s="49"/>
      <c r="N1860" s="49"/>
      <c r="O1860" s="49"/>
      <c r="P1860" s="49"/>
      <c r="Q1860" s="49"/>
      <c r="R1860" s="49"/>
      <c r="S1860" s="49" t="n">
        <v>0</v>
      </c>
      <c r="T1860" s="49" t="n">
        <v>0</v>
      </c>
      <c r="U1860" s="49" t="s">
        <v>3971</v>
      </c>
    </row>
    <row r="1861" customFormat="false" ht="15" hidden="false" customHeight="false" outlineLevel="0" collapsed="false">
      <c r="B1861" s="48" t="n">
        <v>45606.2704513889</v>
      </c>
      <c r="C1861" s="4" t="n">
        <f aca="false">YEAR(B1861)</f>
        <v>2024</v>
      </c>
      <c r="D1861" s="49" t="s">
        <v>278</v>
      </c>
      <c r="E1861" s="49" t="s">
        <v>3972</v>
      </c>
      <c r="F1861" s="50" t="n">
        <v>4</v>
      </c>
      <c r="G1861" s="49" t="s">
        <v>280</v>
      </c>
      <c r="H1861" s="51" t="n">
        <v>0.7294</v>
      </c>
      <c r="I1861" s="51" t="n">
        <v>0.2537</v>
      </c>
      <c r="J1861" s="51" t="n">
        <v>0.0169</v>
      </c>
      <c r="K1861" s="49"/>
      <c r="L1861" s="49"/>
      <c r="M1861" s="49"/>
      <c r="N1861" s="49"/>
      <c r="O1861" s="49"/>
      <c r="P1861" s="49"/>
      <c r="Q1861" s="49"/>
      <c r="R1861" s="49"/>
      <c r="S1861" s="49" t="n">
        <v>0</v>
      </c>
      <c r="T1861" s="49" t="n">
        <v>0</v>
      </c>
      <c r="U1861" s="49" t="s">
        <v>3973</v>
      </c>
    </row>
    <row r="1862" customFormat="false" ht="15" hidden="false" customHeight="false" outlineLevel="0" collapsed="false">
      <c r="B1862" s="48" t="n">
        <v>45607.0024768519</v>
      </c>
      <c r="C1862" s="4" t="n">
        <f aca="false">YEAR(B1862)</f>
        <v>2024</v>
      </c>
      <c r="D1862" s="49" t="s">
        <v>283</v>
      </c>
      <c r="E1862" s="49" t="s">
        <v>3974</v>
      </c>
      <c r="F1862" s="50" t="n">
        <v>1</v>
      </c>
      <c r="G1862" s="49" t="s">
        <v>280</v>
      </c>
      <c r="H1862" s="51" t="n">
        <v>0.4961</v>
      </c>
      <c r="I1862" s="51" t="n">
        <v>0.4921</v>
      </c>
      <c r="J1862" s="51" t="n">
        <v>0.0118</v>
      </c>
      <c r="K1862" s="49"/>
      <c r="L1862" s="49"/>
      <c r="M1862" s="49"/>
      <c r="N1862" s="49"/>
      <c r="O1862" s="49"/>
      <c r="P1862" s="49"/>
      <c r="Q1862" s="49"/>
      <c r="R1862" s="49"/>
      <c r="S1862" s="49" t="n">
        <v>1</v>
      </c>
      <c r="T1862" s="49" t="n">
        <v>0</v>
      </c>
      <c r="U1862" s="49" t="s">
        <v>3975</v>
      </c>
    </row>
    <row r="1863" customFormat="false" ht="15" hidden="false" customHeight="false" outlineLevel="0" collapsed="false">
      <c r="B1863" s="48" t="n">
        <v>45607.0568055556</v>
      </c>
      <c r="C1863" s="4" t="n">
        <f aca="false">YEAR(B1863)</f>
        <v>2024</v>
      </c>
      <c r="D1863" s="49" t="s">
        <v>283</v>
      </c>
      <c r="E1863" s="49" t="s">
        <v>3976</v>
      </c>
      <c r="F1863" s="50" t="n">
        <v>12</v>
      </c>
      <c r="G1863" s="49" t="s">
        <v>290</v>
      </c>
      <c r="H1863" s="51" t="n">
        <v>0.3297</v>
      </c>
      <c r="I1863" s="51" t="n">
        <v>0.5469</v>
      </c>
      <c r="J1863" s="51" t="n">
        <v>0.1234</v>
      </c>
      <c r="K1863" s="49"/>
      <c r="L1863" s="49"/>
      <c r="M1863" s="49"/>
      <c r="N1863" s="49"/>
      <c r="O1863" s="49"/>
      <c r="P1863" s="49"/>
      <c r="Q1863" s="49"/>
      <c r="R1863" s="49" t="s">
        <v>281</v>
      </c>
      <c r="S1863" s="49" t="n">
        <v>0</v>
      </c>
      <c r="T1863" s="49" t="n">
        <v>0</v>
      </c>
      <c r="U1863" s="49" t="s">
        <v>3977</v>
      </c>
    </row>
    <row r="1864" customFormat="false" ht="15" hidden="false" customHeight="false" outlineLevel="0" collapsed="false">
      <c r="B1864" s="48" t="n">
        <v>45607.1038310185</v>
      </c>
      <c r="C1864" s="4" t="n">
        <f aca="false">YEAR(B1864)</f>
        <v>2024</v>
      </c>
      <c r="D1864" s="49" t="s">
        <v>278</v>
      </c>
      <c r="E1864" s="49" t="s">
        <v>3978</v>
      </c>
      <c r="F1864" s="50" t="n">
        <v>27</v>
      </c>
      <c r="G1864" s="49" t="s">
        <v>280</v>
      </c>
      <c r="H1864" s="51" t="n">
        <v>0.9449</v>
      </c>
      <c r="I1864" s="51" t="n">
        <v>0.0505</v>
      </c>
      <c r="J1864" s="51" t="n">
        <v>0.0047</v>
      </c>
      <c r="K1864" s="49"/>
      <c r="L1864" s="49"/>
      <c r="M1864" s="49"/>
      <c r="N1864" s="49"/>
      <c r="O1864" s="49"/>
      <c r="P1864" s="49"/>
      <c r="Q1864" s="49"/>
      <c r="R1864" s="49"/>
      <c r="S1864" s="49" t="n">
        <v>0</v>
      </c>
      <c r="T1864" s="49" t="n">
        <v>0</v>
      </c>
      <c r="U1864" s="49" t="s">
        <v>3979</v>
      </c>
    </row>
    <row r="1865" customFormat="false" ht="15" hidden="false" customHeight="false" outlineLevel="0" collapsed="false">
      <c r="B1865" s="48" t="n">
        <v>45607.5011689815</v>
      </c>
      <c r="C1865" s="4" t="n">
        <f aca="false">YEAR(B1865)</f>
        <v>2024</v>
      </c>
      <c r="D1865" s="49" t="s">
        <v>283</v>
      </c>
      <c r="E1865" s="49" t="s">
        <v>3980</v>
      </c>
      <c r="F1865" s="50" t="n">
        <v>30</v>
      </c>
      <c r="G1865" s="49" t="s">
        <v>280</v>
      </c>
      <c r="H1865" s="51" t="n">
        <v>0.8627</v>
      </c>
      <c r="I1865" s="51" t="n">
        <v>0.1247</v>
      </c>
      <c r="J1865" s="51" t="n">
        <v>0.0126</v>
      </c>
      <c r="K1865" s="49" t="s">
        <v>281</v>
      </c>
      <c r="L1865" s="49"/>
      <c r="M1865" s="49"/>
      <c r="N1865" s="49"/>
      <c r="O1865" s="49"/>
      <c r="P1865" s="49"/>
      <c r="Q1865" s="49"/>
      <c r="R1865" s="49"/>
      <c r="S1865" s="49" t="n">
        <v>0</v>
      </c>
      <c r="T1865" s="49" t="n">
        <v>0</v>
      </c>
      <c r="U1865" s="49" t="s">
        <v>3981</v>
      </c>
    </row>
    <row r="1866" customFormat="false" ht="15" hidden="false" customHeight="false" outlineLevel="0" collapsed="false">
      <c r="B1866" s="48" t="n">
        <v>45607.5763425926</v>
      </c>
      <c r="C1866" s="4" t="n">
        <f aca="false">YEAR(B1866)</f>
        <v>2024</v>
      </c>
      <c r="D1866" s="49" t="s">
        <v>283</v>
      </c>
      <c r="E1866" s="49" t="s">
        <v>3982</v>
      </c>
      <c r="F1866" s="50" t="n">
        <v>2</v>
      </c>
      <c r="G1866" s="49" t="s">
        <v>280</v>
      </c>
      <c r="H1866" s="51" t="n">
        <v>0.6547</v>
      </c>
      <c r="I1866" s="51" t="n">
        <v>0.3238</v>
      </c>
      <c r="J1866" s="51" t="n">
        <v>0.0215</v>
      </c>
      <c r="K1866" s="49"/>
      <c r="L1866" s="49"/>
      <c r="M1866" s="49"/>
      <c r="N1866" s="49"/>
      <c r="O1866" s="49"/>
      <c r="P1866" s="49"/>
      <c r="Q1866" s="49"/>
      <c r="R1866" s="49" t="s">
        <v>281</v>
      </c>
      <c r="S1866" s="49" t="n">
        <v>0</v>
      </c>
      <c r="T1866" s="49" t="n">
        <v>0</v>
      </c>
      <c r="U1866" s="49" t="s">
        <v>3983</v>
      </c>
    </row>
    <row r="1867" customFormat="false" ht="15" hidden="false" customHeight="false" outlineLevel="0" collapsed="false">
      <c r="B1867" s="48" t="n">
        <v>45607.9380324074</v>
      </c>
      <c r="C1867" s="4" t="n">
        <f aca="false">YEAR(B1867)</f>
        <v>2024</v>
      </c>
      <c r="D1867" s="49" t="s">
        <v>278</v>
      </c>
      <c r="E1867" s="49" t="s">
        <v>3984</v>
      </c>
      <c r="F1867" s="50" t="n">
        <v>14</v>
      </c>
      <c r="G1867" s="49" t="s">
        <v>280</v>
      </c>
      <c r="H1867" s="51" t="n">
        <v>0.8146</v>
      </c>
      <c r="I1867" s="51" t="n">
        <v>0.1686</v>
      </c>
      <c r="J1867" s="51" t="n">
        <v>0.0168</v>
      </c>
      <c r="K1867" s="49"/>
      <c r="L1867" s="49"/>
      <c r="M1867" s="49"/>
      <c r="N1867" s="49"/>
      <c r="O1867" s="49"/>
      <c r="P1867" s="49"/>
      <c r="Q1867" s="49" t="s">
        <v>281</v>
      </c>
      <c r="R1867" s="49" t="s">
        <v>281</v>
      </c>
      <c r="S1867" s="49" t="n">
        <v>0</v>
      </c>
      <c r="T1867" s="49" t="n">
        <v>0</v>
      </c>
      <c r="U1867" s="49" t="s">
        <v>3985</v>
      </c>
    </row>
    <row r="1868" customFormat="false" ht="15" hidden="false" customHeight="false" outlineLevel="0" collapsed="false">
      <c r="B1868" s="48" t="n">
        <v>45608.0200347222</v>
      </c>
      <c r="C1868" s="4" t="n">
        <f aca="false">YEAR(B1868)</f>
        <v>2024</v>
      </c>
      <c r="D1868" s="49" t="s">
        <v>278</v>
      </c>
      <c r="E1868" s="49" t="s">
        <v>3986</v>
      </c>
      <c r="F1868" s="50" t="n">
        <v>3</v>
      </c>
      <c r="G1868" s="49" t="s">
        <v>280</v>
      </c>
      <c r="H1868" s="51" t="n">
        <v>0.745</v>
      </c>
      <c r="I1868" s="51" t="n">
        <v>0.2331</v>
      </c>
      <c r="J1868" s="51" t="n">
        <v>0.0219</v>
      </c>
      <c r="K1868" s="49"/>
      <c r="L1868" s="49"/>
      <c r="M1868" s="49" t="s">
        <v>281</v>
      </c>
      <c r="N1868" s="49"/>
      <c r="O1868" s="49"/>
      <c r="P1868" s="49"/>
      <c r="Q1868" s="49" t="s">
        <v>281</v>
      </c>
      <c r="R1868" s="49"/>
      <c r="S1868" s="49" t="n">
        <v>0</v>
      </c>
      <c r="T1868" s="49" t="n">
        <v>0</v>
      </c>
      <c r="U1868" s="49" t="s">
        <v>3987</v>
      </c>
    </row>
    <row r="1869" customFormat="false" ht="15" hidden="false" customHeight="false" outlineLevel="0" collapsed="false">
      <c r="B1869" s="48" t="n">
        <v>45609.0245833333</v>
      </c>
      <c r="C1869" s="4" t="n">
        <f aca="false">YEAR(B1869)</f>
        <v>2024</v>
      </c>
      <c r="D1869" s="49" t="s">
        <v>283</v>
      </c>
      <c r="E1869" s="49" t="s">
        <v>3988</v>
      </c>
      <c r="F1869" s="50" t="n">
        <v>1</v>
      </c>
      <c r="G1869" s="49" t="s">
        <v>287</v>
      </c>
      <c r="H1869" s="51" t="n">
        <v>0.0025</v>
      </c>
      <c r="I1869" s="51" t="n">
        <v>0.1809</v>
      </c>
      <c r="J1869" s="51" t="n">
        <v>0.8166</v>
      </c>
      <c r="K1869" s="49"/>
      <c r="L1869" s="49"/>
      <c r="M1869" s="49"/>
      <c r="N1869" s="49"/>
      <c r="O1869" s="49"/>
      <c r="P1869" s="49"/>
      <c r="Q1869" s="49"/>
      <c r="R1869" s="49"/>
      <c r="S1869" s="49" t="n">
        <v>0</v>
      </c>
      <c r="T1869" s="49" t="n">
        <v>0</v>
      </c>
      <c r="U1869" s="49" t="s">
        <v>3989</v>
      </c>
    </row>
    <row r="1870" customFormat="false" ht="15" hidden="false" customHeight="false" outlineLevel="0" collapsed="false">
      <c r="B1870" s="48" t="n">
        <v>45609.3542476852</v>
      </c>
      <c r="C1870" s="4" t="n">
        <f aca="false">YEAR(B1870)</f>
        <v>2024</v>
      </c>
      <c r="D1870" s="49" t="s">
        <v>278</v>
      </c>
      <c r="E1870" s="49" t="s">
        <v>3990</v>
      </c>
      <c r="F1870" s="50" t="n">
        <v>79</v>
      </c>
      <c r="G1870" s="49" t="s">
        <v>290</v>
      </c>
      <c r="H1870" s="51" t="n">
        <v>0.3606</v>
      </c>
      <c r="I1870" s="51" t="n">
        <v>0.6055</v>
      </c>
      <c r="J1870" s="51" t="n">
        <v>0.0339</v>
      </c>
      <c r="K1870" s="49"/>
      <c r="L1870" s="49"/>
      <c r="M1870" s="49"/>
      <c r="N1870" s="49"/>
      <c r="O1870" s="49"/>
      <c r="P1870" s="49"/>
      <c r="Q1870" s="49"/>
      <c r="R1870" s="49"/>
      <c r="S1870" s="49" t="n">
        <v>0</v>
      </c>
      <c r="T1870" s="49" t="n">
        <v>0</v>
      </c>
      <c r="U1870" s="49" t="s">
        <v>3991</v>
      </c>
    </row>
    <row r="1871" customFormat="false" ht="15" hidden="false" customHeight="false" outlineLevel="0" collapsed="false">
      <c r="B1871" s="48" t="n">
        <v>45610.1379050926</v>
      </c>
      <c r="C1871" s="4" t="n">
        <f aca="false">YEAR(B1871)</f>
        <v>2024</v>
      </c>
      <c r="D1871" s="49" t="s">
        <v>283</v>
      </c>
      <c r="E1871" s="49" t="s">
        <v>3992</v>
      </c>
      <c r="F1871" s="50" t="n">
        <v>3</v>
      </c>
      <c r="G1871" s="49" t="s">
        <v>290</v>
      </c>
      <c r="H1871" s="51" t="n">
        <v>0.0044</v>
      </c>
      <c r="I1871" s="51" t="n">
        <v>0.6908</v>
      </c>
      <c r="J1871" s="51" t="n">
        <v>0.3047</v>
      </c>
      <c r="K1871" s="49"/>
      <c r="L1871" s="49"/>
      <c r="M1871" s="49"/>
      <c r="N1871" s="49"/>
      <c r="O1871" s="49"/>
      <c r="P1871" s="49"/>
      <c r="Q1871" s="49"/>
      <c r="R1871" s="49"/>
      <c r="S1871" s="49" t="n">
        <v>0</v>
      </c>
      <c r="T1871" s="49" t="n">
        <v>0</v>
      </c>
      <c r="U1871" s="49" t="s">
        <v>3993</v>
      </c>
    </row>
    <row r="1872" customFormat="false" ht="15" hidden="false" customHeight="false" outlineLevel="0" collapsed="false">
      <c r="B1872" s="48" t="n">
        <v>45610.9573958333</v>
      </c>
      <c r="C1872" s="4" t="n">
        <f aca="false">YEAR(B1872)</f>
        <v>2024</v>
      </c>
      <c r="D1872" s="49" t="s">
        <v>283</v>
      </c>
      <c r="E1872" s="49" t="s">
        <v>3994</v>
      </c>
      <c r="F1872" s="50" t="n">
        <v>1</v>
      </c>
      <c r="G1872" s="49" t="s">
        <v>280</v>
      </c>
      <c r="H1872" s="51" t="n">
        <v>0.6319</v>
      </c>
      <c r="I1872" s="51" t="n">
        <v>0.3031</v>
      </c>
      <c r="J1872" s="51" t="n">
        <v>0.065</v>
      </c>
      <c r="K1872" s="49"/>
      <c r="L1872" s="49"/>
      <c r="M1872" s="49"/>
      <c r="N1872" s="49"/>
      <c r="O1872" s="49" t="s">
        <v>281</v>
      </c>
      <c r="P1872" s="49"/>
      <c r="Q1872" s="49"/>
      <c r="R1872" s="49"/>
      <c r="S1872" s="49" t="n">
        <v>0</v>
      </c>
      <c r="T1872" s="49" t="n">
        <v>1</v>
      </c>
      <c r="U1872" s="49" t="s">
        <v>3995</v>
      </c>
    </row>
    <row r="1873" customFormat="false" ht="15" hidden="false" customHeight="false" outlineLevel="0" collapsed="false">
      <c r="B1873" s="48" t="n">
        <v>45611.9380671296</v>
      </c>
      <c r="C1873" s="4" t="n">
        <f aca="false">YEAR(B1873)</f>
        <v>2024</v>
      </c>
      <c r="D1873" s="49" t="s">
        <v>283</v>
      </c>
      <c r="E1873" s="49" t="s">
        <v>3996</v>
      </c>
      <c r="F1873" s="50" t="n">
        <v>1</v>
      </c>
      <c r="G1873" s="49" t="s">
        <v>290</v>
      </c>
      <c r="H1873" s="51" t="n">
        <v>0.478</v>
      </c>
      <c r="I1873" s="51" t="n">
        <v>0.5048</v>
      </c>
      <c r="J1873" s="51" t="n">
        <v>0.0172</v>
      </c>
      <c r="K1873" s="49"/>
      <c r="L1873" s="49"/>
      <c r="M1873" s="49"/>
      <c r="N1873" s="49"/>
      <c r="O1873" s="49"/>
      <c r="P1873" s="49"/>
      <c r="Q1873" s="49"/>
      <c r="R1873" s="49"/>
      <c r="S1873" s="49" t="n">
        <v>0</v>
      </c>
      <c r="T1873" s="49" t="n">
        <v>0</v>
      </c>
      <c r="U1873" s="49" t="s">
        <v>3997</v>
      </c>
    </row>
    <row r="1874" customFormat="false" ht="15" hidden="false" customHeight="false" outlineLevel="0" collapsed="false">
      <c r="B1874" s="48" t="n">
        <v>45611.9681944445</v>
      </c>
      <c r="C1874" s="4" t="n">
        <f aca="false">YEAR(B1874)</f>
        <v>2024</v>
      </c>
      <c r="D1874" s="49" t="s">
        <v>278</v>
      </c>
      <c r="E1874" s="49" t="s">
        <v>3998</v>
      </c>
      <c r="F1874" s="50" t="n">
        <v>0</v>
      </c>
      <c r="G1874" s="49" t="s">
        <v>280</v>
      </c>
      <c r="H1874" s="51" t="n">
        <v>0.8495</v>
      </c>
      <c r="I1874" s="51" t="n">
        <v>0.1356</v>
      </c>
      <c r="J1874" s="51" t="n">
        <v>0.0148</v>
      </c>
      <c r="K1874" s="49"/>
      <c r="L1874" s="49"/>
      <c r="M1874" s="49"/>
      <c r="N1874" s="49"/>
      <c r="O1874" s="49"/>
      <c r="P1874" s="49"/>
      <c r="Q1874" s="49"/>
      <c r="R1874" s="49"/>
      <c r="S1874" s="49" t="n">
        <v>0</v>
      </c>
      <c r="T1874" s="49" t="n">
        <v>0</v>
      </c>
      <c r="U1874" s="49" t="s">
        <v>3999</v>
      </c>
    </row>
    <row r="1875" customFormat="false" ht="15" hidden="false" customHeight="false" outlineLevel="0" collapsed="false">
      <c r="B1875" s="48" t="n">
        <v>45612.3978703704</v>
      </c>
      <c r="C1875" s="4" t="n">
        <f aca="false">YEAR(B1875)</f>
        <v>2024</v>
      </c>
      <c r="D1875" s="49" t="s">
        <v>283</v>
      </c>
      <c r="E1875" s="49" t="s">
        <v>4000</v>
      </c>
      <c r="F1875" s="50" t="n">
        <v>1</v>
      </c>
      <c r="G1875" s="49" t="s">
        <v>290</v>
      </c>
      <c r="H1875" s="51" t="n">
        <v>0.017</v>
      </c>
      <c r="I1875" s="51" t="n">
        <v>0.935</v>
      </c>
      <c r="J1875" s="51" t="n">
        <v>0.0481</v>
      </c>
      <c r="K1875" s="49"/>
      <c r="L1875" s="49"/>
      <c r="M1875" s="49"/>
      <c r="N1875" s="49"/>
      <c r="O1875" s="49"/>
      <c r="P1875" s="49"/>
      <c r="Q1875" s="49"/>
      <c r="R1875" s="49"/>
      <c r="S1875" s="49" t="n">
        <v>1</v>
      </c>
      <c r="T1875" s="49" t="n">
        <v>0</v>
      </c>
      <c r="U1875" s="49" t="s">
        <v>4001</v>
      </c>
    </row>
    <row r="1876" customFormat="false" ht="15" hidden="false" customHeight="false" outlineLevel="0" collapsed="false">
      <c r="B1876" s="48" t="n">
        <v>45613.0518981482</v>
      </c>
      <c r="C1876" s="4" t="n">
        <f aca="false">YEAR(B1876)</f>
        <v>2024</v>
      </c>
      <c r="D1876" s="49" t="s">
        <v>283</v>
      </c>
      <c r="E1876" s="49" t="s">
        <v>4002</v>
      </c>
      <c r="F1876" s="50" t="n">
        <v>1</v>
      </c>
      <c r="G1876" s="49" t="s">
        <v>290</v>
      </c>
      <c r="H1876" s="51" t="n">
        <v>0.0095</v>
      </c>
      <c r="I1876" s="51" t="n">
        <v>0.5938</v>
      </c>
      <c r="J1876" s="51" t="n">
        <v>0.3967</v>
      </c>
      <c r="K1876" s="49"/>
      <c r="L1876" s="49"/>
      <c r="M1876" s="49"/>
      <c r="N1876" s="49"/>
      <c r="O1876" s="49"/>
      <c r="P1876" s="49"/>
      <c r="Q1876" s="49"/>
      <c r="R1876" s="49"/>
      <c r="S1876" s="49" t="n">
        <v>1</v>
      </c>
      <c r="T1876" s="49" t="n">
        <v>0</v>
      </c>
      <c r="U1876" s="49" t="s">
        <v>4003</v>
      </c>
    </row>
    <row r="1877" customFormat="false" ht="15" hidden="false" customHeight="false" outlineLevel="0" collapsed="false">
      <c r="B1877" s="48" t="n">
        <v>45613.7331597222</v>
      </c>
      <c r="C1877" s="4" t="n">
        <f aca="false">YEAR(B1877)</f>
        <v>2024</v>
      </c>
      <c r="D1877" s="49" t="s">
        <v>278</v>
      </c>
      <c r="E1877" s="49" t="s">
        <v>4004</v>
      </c>
      <c r="F1877" s="50" t="n">
        <v>2</v>
      </c>
      <c r="G1877" s="49" t="s">
        <v>290</v>
      </c>
      <c r="H1877" s="51" t="n">
        <v>0.0879</v>
      </c>
      <c r="I1877" s="51" t="n">
        <v>0.7189</v>
      </c>
      <c r="J1877" s="51" t="n">
        <v>0.1932</v>
      </c>
      <c r="K1877" s="49"/>
      <c r="L1877" s="49"/>
      <c r="M1877" s="49"/>
      <c r="N1877" s="49"/>
      <c r="O1877" s="49"/>
      <c r="P1877" s="49"/>
      <c r="Q1877" s="49"/>
      <c r="R1877" s="49" t="s">
        <v>281</v>
      </c>
      <c r="S1877" s="49" t="n">
        <v>0</v>
      </c>
      <c r="T1877" s="49" t="n">
        <v>0</v>
      </c>
      <c r="U1877" s="49" t="s">
        <v>4005</v>
      </c>
    </row>
    <row r="1878" customFormat="false" ht="15" hidden="false" customHeight="false" outlineLevel="0" collapsed="false">
      <c r="B1878" s="48" t="n">
        <v>45614.1546875</v>
      </c>
      <c r="C1878" s="4" t="n">
        <f aca="false">YEAR(B1878)</f>
        <v>2024</v>
      </c>
      <c r="D1878" s="49" t="s">
        <v>283</v>
      </c>
      <c r="E1878" s="49" t="s">
        <v>4006</v>
      </c>
      <c r="F1878" s="50" t="n">
        <v>67</v>
      </c>
      <c r="G1878" s="49" t="s">
        <v>287</v>
      </c>
      <c r="H1878" s="51" t="n">
        <v>0.0399</v>
      </c>
      <c r="I1878" s="51" t="n">
        <v>0.2865</v>
      </c>
      <c r="J1878" s="51" t="n">
        <v>0.6736</v>
      </c>
      <c r="K1878" s="49"/>
      <c r="L1878" s="49"/>
      <c r="M1878" s="49"/>
      <c r="N1878" s="49"/>
      <c r="O1878" s="49"/>
      <c r="P1878" s="49"/>
      <c r="Q1878" s="49"/>
      <c r="R1878" s="49"/>
      <c r="S1878" s="49" t="n">
        <v>0</v>
      </c>
      <c r="T1878" s="49" t="n">
        <v>0</v>
      </c>
      <c r="U1878" s="49" t="s">
        <v>4007</v>
      </c>
    </row>
    <row r="1879" customFormat="false" ht="15" hidden="false" customHeight="false" outlineLevel="0" collapsed="false">
      <c r="B1879" s="48" t="n">
        <v>45614.2782175926</v>
      </c>
      <c r="C1879" s="4" t="n">
        <f aca="false">YEAR(B1879)</f>
        <v>2024</v>
      </c>
      <c r="D1879" s="49" t="s">
        <v>283</v>
      </c>
      <c r="E1879" s="49" t="s">
        <v>4008</v>
      </c>
      <c r="F1879" s="50" t="n">
        <v>0</v>
      </c>
      <c r="G1879" s="49" t="s">
        <v>280</v>
      </c>
      <c r="H1879" s="51" t="n">
        <v>0.7743</v>
      </c>
      <c r="I1879" s="51" t="n">
        <v>0.2162</v>
      </c>
      <c r="J1879" s="51" t="n">
        <v>0.0095</v>
      </c>
      <c r="K1879" s="49" t="s">
        <v>281</v>
      </c>
      <c r="L1879" s="49"/>
      <c r="M1879" s="49"/>
      <c r="N1879" s="49"/>
      <c r="O1879" s="49"/>
      <c r="P1879" s="49"/>
      <c r="Q1879" s="49"/>
      <c r="R1879" s="49"/>
      <c r="S1879" s="49" t="n">
        <v>0</v>
      </c>
      <c r="T1879" s="49" t="n">
        <v>0</v>
      </c>
      <c r="U1879" s="49" t="s">
        <v>4009</v>
      </c>
    </row>
    <row r="1880" customFormat="false" ht="15" hidden="false" customHeight="false" outlineLevel="0" collapsed="false">
      <c r="B1880" s="48" t="n">
        <v>45614.2958912037</v>
      </c>
      <c r="C1880" s="4" t="n">
        <f aca="false">YEAR(B1880)</f>
        <v>2024</v>
      </c>
      <c r="D1880" s="49" t="s">
        <v>283</v>
      </c>
      <c r="E1880" s="49" t="s">
        <v>4010</v>
      </c>
      <c r="F1880" s="50" t="n">
        <v>1</v>
      </c>
      <c r="G1880" s="49" t="s">
        <v>280</v>
      </c>
      <c r="H1880" s="51" t="n">
        <v>0.8482</v>
      </c>
      <c r="I1880" s="51" t="n">
        <v>0.1453</v>
      </c>
      <c r="J1880" s="51" t="n">
        <v>0.0065</v>
      </c>
      <c r="K1880" s="49"/>
      <c r="L1880" s="49"/>
      <c r="M1880" s="49"/>
      <c r="N1880" s="49"/>
      <c r="O1880" s="49"/>
      <c r="P1880" s="49"/>
      <c r="Q1880" s="49" t="s">
        <v>281</v>
      </c>
      <c r="R1880" s="49"/>
      <c r="S1880" s="49" t="n">
        <v>1</v>
      </c>
      <c r="T1880" s="49" t="n">
        <v>0</v>
      </c>
      <c r="U1880" s="49" t="s">
        <v>4011</v>
      </c>
    </row>
    <row r="1881" customFormat="false" ht="15" hidden="false" customHeight="false" outlineLevel="0" collapsed="false">
      <c r="B1881" s="48" t="n">
        <v>45614.6165625</v>
      </c>
      <c r="C1881" s="4" t="n">
        <f aca="false">YEAR(B1881)</f>
        <v>2024</v>
      </c>
      <c r="D1881" s="49" t="s">
        <v>278</v>
      </c>
      <c r="E1881" s="49" t="s">
        <v>4012</v>
      </c>
      <c r="F1881" s="50" t="n">
        <v>2</v>
      </c>
      <c r="G1881" s="49" t="s">
        <v>280</v>
      </c>
      <c r="H1881" s="51" t="n">
        <v>0.635</v>
      </c>
      <c r="I1881" s="51" t="n">
        <v>0.3479</v>
      </c>
      <c r="J1881" s="51" t="n">
        <v>0.0171</v>
      </c>
      <c r="K1881" s="49"/>
      <c r="L1881" s="49"/>
      <c r="M1881" s="49"/>
      <c r="N1881" s="49"/>
      <c r="O1881" s="49"/>
      <c r="P1881" s="49" t="s">
        <v>281</v>
      </c>
      <c r="Q1881" s="49" t="s">
        <v>281</v>
      </c>
      <c r="R1881" s="49" t="s">
        <v>281</v>
      </c>
      <c r="S1881" s="49" t="n">
        <v>0</v>
      </c>
      <c r="T1881" s="49" t="n">
        <v>0</v>
      </c>
      <c r="U1881" s="49" t="s">
        <v>4013</v>
      </c>
    </row>
    <row r="1882" customFormat="false" ht="15" hidden="false" customHeight="false" outlineLevel="0" collapsed="false">
      <c r="B1882" s="48" t="n">
        <v>45614.6353125</v>
      </c>
      <c r="C1882" s="4" t="n">
        <f aca="false">YEAR(B1882)</f>
        <v>2024</v>
      </c>
      <c r="D1882" s="49" t="s">
        <v>278</v>
      </c>
      <c r="E1882" s="49" t="s">
        <v>4014</v>
      </c>
      <c r="F1882" s="50" t="n">
        <v>1</v>
      </c>
      <c r="G1882" s="49" t="s">
        <v>290</v>
      </c>
      <c r="H1882" s="51" t="n">
        <v>0.1543</v>
      </c>
      <c r="I1882" s="51" t="n">
        <v>0.7301</v>
      </c>
      <c r="J1882" s="51" t="n">
        <v>0.1156</v>
      </c>
      <c r="K1882" s="49"/>
      <c r="L1882" s="49"/>
      <c r="M1882" s="49"/>
      <c r="N1882" s="49"/>
      <c r="O1882" s="49"/>
      <c r="P1882" s="49"/>
      <c r="Q1882" s="49"/>
      <c r="R1882" s="49"/>
      <c r="S1882" s="49" t="n">
        <v>0</v>
      </c>
      <c r="T1882" s="49" t="n">
        <v>0</v>
      </c>
      <c r="U1882" s="49" t="s">
        <v>4015</v>
      </c>
    </row>
    <row r="1883" customFormat="false" ht="15" hidden="false" customHeight="false" outlineLevel="0" collapsed="false">
      <c r="B1883" s="48" t="n">
        <v>45614.9140972222</v>
      </c>
      <c r="C1883" s="4" t="n">
        <f aca="false">YEAR(B1883)</f>
        <v>2024</v>
      </c>
      <c r="D1883" s="49" t="s">
        <v>283</v>
      </c>
      <c r="E1883" s="49" t="s">
        <v>4016</v>
      </c>
      <c r="F1883" s="50" t="n">
        <v>1</v>
      </c>
      <c r="G1883" s="49" t="s">
        <v>287</v>
      </c>
      <c r="H1883" s="51" t="n">
        <v>0.0596</v>
      </c>
      <c r="I1883" s="51" t="n">
        <v>0.2602</v>
      </c>
      <c r="J1883" s="51" t="n">
        <v>0.6802</v>
      </c>
      <c r="K1883" s="49"/>
      <c r="L1883" s="49"/>
      <c r="M1883" s="49"/>
      <c r="N1883" s="49"/>
      <c r="O1883" s="49"/>
      <c r="P1883" s="49"/>
      <c r="Q1883" s="49"/>
      <c r="R1883" s="49"/>
      <c r="S1883" s="49" t="n">
        <v>0</v>
      </c>
      <c r="T1883" s="49" t="n">
        <v>0</v>
      </c>
      <c r="U1883" s="49" t="s">
        <v>4017</v>
      </c>
    </row>
    <row r="1884" customFormat="false" ht="15" hidden="false" customHeight="false" outlineLevel="0" collapsed="false">
      <c r="B1884" s="48" t="n">
        <v>45615.2039814815</v>
      </c>
      <c r="C1884" s="4" t="n">
        <f aca="false">YEAR(B1884)</f>
        <v>2024</v>
      </c>
      <c r="D1884" s="49" t="s">
        <v>283</v>
      </c>
      <c r="E1884" s="49" t="s">
        <v>4018</v>
      </c>
      <c r="F1884" s="50" t="n">
        <v>13</v>
      </c>
      <c r="G1884" s="49" t="s">
        <v>287</v>
      </c>
      <c r="H1884" s="51" t="n">
        <v>0.2652</v>
      </c>
      <c r="I1884" s="51" t="n">
        <v>0.3122</v>
      </c>
      <c r="J1884" s="51" t="n">
        <v>0.4225</v>
      </c>
      <c r="K1884" s="49"/>
      <c r="L1884" s="49"/>
      <c r="M1884" s="49"/>
      <c r="N1884" s="49"/>
      <c r="O1884" s="49"/>
      <c r="P1884" s="49" t="s">
        <v>281</v>
      </c>
      <c r="Q1884" s="49"/>
      <c r="R1884" s="49" t="s">
        <v>281</v>
      </c>
      <c r="S1884" s="49" t="n">
        <v>0</v>
      </c>
      <c r="T1884" s="49" t="n">
        <v>0</v>
      </c>
      <c r="U1884" s="49" t="s">
        <v>4019</v>
      </c>
    </row>
    <row r="1885" customFormat="false" ht="15" hidden="false" customHeight="false" outlineLevel="0" collapsed="false">
      <c r="B1885" s="48" t="n">
        <v>45615.2091435185</v>
      </c>
      <c r="C1885" s="4" t="n">
        <f aca="false">YEAR(B1885)</f>
        <v>2024</v>
      </c>
      <c r="D1885" s="49" t="s">
        <v>283</v>
      </c>
      <c r="E1885" s="49" t="s">
        <v>4020</v>
      </c>
      <c r="F1885" s="50" t="n">
        <v>1</v>
      </c>
      <c r="G1885" s="49" t="s">
        <v>280</v>
      </c>
      <c r="H1885" s="51" t="n">
        <v>0.6412</v>
      </c>
      <c r="I1885" s="51" t="n">
        <v>0.3324</v>
      </c>
      <c r="J1885" s="51" t="n">
        <v>0.0264</v>
      </c>
      <c r="K1885" s="49"/>
      <c r="L1885" s="49"/>
      <c r="M1885" s="49"/>
      <c r="N1885" s="49"/>
      <c r="O1885" s="49" t="s">
        <v>281</v>
      </c>
      <c r="P1885" s="49"/>
      <c r="Q1885" s="49"/>
      <c r="R1885" s="49"/>
      <c r="S1885" s="49" t="n">
        <v>1</v>
      </c>
      <c r="T1885" s="49" t="n">
        <v>0</v>
      </c>
      <c r="U1885" s="49" t="s">
        <v>4021</v>
      </c>
    </row>
    <row r="1886" customFormat="false" ht="15" hidden="false" customHeight="false" outlineLevel="0" collapsed="false">
      <c r="B1886" s="48" t="n">
        <v>45615.5935763889</v>
      </c>
      <c r="C1886" s="4" t="n">
        <f aca="false">YEAR(B1886)</f>
        <v>2024</v>
      </c>
      <c r="D1886" s="49" t="s">
        <v>283</v>
      </c>
      <c r="E1886" s="49" t="s">
        <v>4022</v>
      </c>
      <c r="F1886" s="50" t="n">
        <v>1</v>
      </c>
      <c r="G1886" s="49" t="s">
        <v>290</v>
      </c>
      <c r="H1886" s="51" t="n">
        <v>0.0536</v>
      </c>
      <c r="I1886" s="51" t="n">
        <v>0.9093</v>
      </c>
      <c r="J1886" s="51" t="n">
        <v>0.0371</v>
      </c>
      <c r="K1886" s="49"/>
      <c r="L1886" s="49"/>
      <c r="M1886" s="49"/>
      <c r="N1886" s="49" t="s">
        <v>281</v>
      </c>
      <c r="O1886" s="49"/>
      <c r="P1886" s="49"/>
      <c r="Q1886" s="49"/>
      <c r="R1886" s="49"/>
      <c r="S1886" s="49" t="n">
        <v>1</v>
      </c>
      <c r="T1886" s="49" t="n">
        <v>0</v>
      </c>
      <c r="U1886" s="49" t="s">
        <v>4023</v>
      </c>
    </row>
    <row r="1887" customFormat="false" ht="15" hidden="false" customHeight="false" outlineLevel="0" collapsed="false">
      <c r="B1887" s="48" t="n">
        <v>45615.5964699074</v>
      </c>
      <c r="C1887" s="4" t="n">
        <f aca="false">YEAR(B1887)</f>
        <v>2024</v>
      </c>
      <c r="D1887" s="49" t="s">
        <v>278</v>
      </c>
      <c r="E1887" s="49" t="s">
        <v>4024</v>
      </c>
      <c r="F1887" s="50" t="n">
        <v>0</v>
      </c>
      <c r="G1887" s="49" t="s">
        <v>280</v>
      </c>
      <c r="H1887" s="51" t="n">
        <v>0.9199</v>
      </c>
      <c r="I1887" s="51" t="n">
        <v>0.075</v>
      </c>
      <c r="J1887" s="51" t="n">
        <v>0.0051</v>
      </c>
      <c r="K1887" s="49"/>
      <c r="L1887" s="49"/>
      <c r="M1887" s="49"/>
      <c r="N1887" s="49"/>
      <c r="O1887" s="49"/>
      <c r="P1887" s="49"/>
      <c r="Q1887" s="49"/>
      <c r="R1887" s="49"/>
      <c r="S1887" s="49" t="n">
        <v>0</v>
      </c>
      <c r="T1887" s="49" t="n">
        <v>0</v>
      </c>
      <c r="U1887" s="49" t="s">
        <v>4025</v>
      </c>
    </row>
    <row r="1888" customFormat="false" ht="15" hidden="false" customHeight="false" outlineLevel="0" collapsed="false">
      <c r="B1888" s="48" t="n">
        <v>45616.4217824074</v>
      </c>
      <c r="C1888" s="4" t="n">
        <f aca="false">YEAR(B1888)</f>
        <v>2024</v>
      </c>
      <c r="D1888" s="49" t="s">
        <v>283</v>
      </c>
      <c r="E1888" s="49" t="s">
        <v>4026</v>
      </c>
      <c r="F1888" s="50" t="n">
        <v>3</v>
      </c>
      <c r="G1888" s="49" t="s">
        <v>290</v>
      </c>
      <c r="H1888" s="51" t="n">
        <v>0.2373</v>
      </c>
      <c r="I1888" s="51" t="n">
        <v>0.7371</v>
      </c>
      <c r="J1888" s="51" t="n">
        <v>0.0256</v>
      </c>
      <c r="K1888" s="49"/>
      <c r="L1888" s="49"/>
      <c r="M1888" s="49"/>
      <c r="N1888" s="49"/>
      <c r="O1888" s="49"/>
      <c r="P1888" s="49"/>
      <c r="Q1888" s="49"/>
      <c r="R1888" s="49"/>
      <c r="S1888" s="49" t="n">
        <v>0</v>
      </c>
      <c r="T1888" s="49" t="n">
        <v>0</v>
      </c>
      <c r="U1888" s="49" t="s">
        <v>4027</v>
      </c>
    </row>
    <row r="1889" customFormat="false" ht="15" hidden="false" customHeight="false" outlineLevel="0" collapsed="false">
      <c r="B1889" s="48" t="n">
        <v>45617.467962963</v>
      </c>
      <c r="C1889" s="4" t="n">
        <f aca="false">YEAR(B1889)</f>
        <v>2024</v>
      </c>
      <c r="D1889" s="49" t="s">
        <v>283</v>
      </c>
      <c r="E1889" s="49" t="s">
        <v>4028</v>
      </c>
      <c r="F1889" s="50" t="n">
        <v>1</v>
      </c>
      <c r="G1889" s="49" t="s">
        <v>287</v>
      </c>
      <c r="H1889" s="51" t="n">
        <v>0.0031</v>
      </c>
      <c r="I1889" s="51" t="n">
        <v>0.2424</v>
      </c>
      <c r="J1889" s="51" t="n">
        <v>0.7545</v>
      </c>
      <c r="K1889" s="49"/>
      <c r="L1889" s="49"/>
      <c r="M1889" s="49"/>
      <c r="N1889" s="49"/>
      <c r="O1889" s="49"/>
      <c r="P1889" s="49"/>
      <c r="Q1889" s="49"/>
      <c r="R1889" s="49"/>
      <c r="S1889" s="49" t="n">
        <v>0</v>
      </c>
      <c r="T1889" s="49" t="n">
        <v>0</v>
      </c>
      <c r="U1889" s="49" t="s">
        <v>4029</v>
      </c>
    </row>
    <row r="1890" customFormat="false" ht="15" hidden="false" customHeight="false" outlineLevel="0" collapsed="false">
      <c r="B1890" s="48" t="n">
        <v>45617.6637962963</v>
      </c>
      <c r="C1890" s="4" t="n">
        <f aca="false">YEAR(B1890)</f>
        <v>2024</v>
      </c>
      <c r="D1890" s="49" t="s">
        <v>283</v>
      </c>
      <c r="E1890" s="49" t="s">
        <v>4030</v>
      </c>
      <c r="F1890" s="50" t="n">
        <v>1</v>
      </c>
      <c r="G1890" s="49" t="s">
        <v>287</v>
      </c>
      <c r="H1890" s="51" t="n">
        <v>0.0059</v>
      </c>
      <c r="I1890" s="51" t="n">
        <v>0.35</v>
      </c>
      <c r="J1890" s="51" t="n">
        <v>0.6441</v>
      </c>
      <c r="K1890" s="49"/>
      <c r="L1890" s="49"/>
      <c r="M1890" s="49"/>
      <c r="N1890" s="49"/>
      <c r="O1890" s="49"/>
      <c r="P1890" s="49"/>
      <c r="Q1890" s="49"/>
      <c r="R1890" s="49"/>
      <c r="S1890" s="49" t="n">
        <v>1</v>
      </c>
      <c r="T1890" s="49" t="n">
        <v>0</v>
      </c>
      <c r="U1890" s="49" t="s">
        <v>4031</v>
      </c>
    </row>
    <row r="1891" customFormat="false" ht="15" hidden="false" customHeight="false" outlineLevel="0" collapsed="false">
      <c r="B1891" s="48" t="n">
        <v>45617.7177893519</v>
      </c>
      <c r="C1891" s="4" t="n">
        <f aca="false">YEAR(B1891)</f>
        <v>2024</v>
      </c>
      <c r="D1891" s="49" t="s">
        <v>283</v>
      </c>
      <c r="E1891" s="49" t="s">
        <v>4032</v>
      </c>
      <c r="F1891" s="50" t="n">
        <v>1</v>
      </c>
      <c r="G1891" s="49" t="s">
        <v>290</v>
      </c>
      <c r="H1891" s="51" t="n">
        <v>0.014</v>
      </c>
      <c r="I1891" s="51" t="n">
        <v>0.7846</v>
      </c>
      <c r="J1891" s="51" t="n">
        <v>0.2014</v>
      </c>
      <c r="K1891" s="49"/>
      <c r="L1891" s="49"/>
      <c r="M1891" s="49"/>
      <c r="N1891" s="49"/>
      <c r="O1891" s="49"/>
      <c r="P1891" s="49"/>
      <c r="Q1891" s="49"/>
      <c r="R1891" s="49"/>
      <c r="S1891" s="49" t="n">
        <v>0</v>
      </c>
      <c r="T1891" s="49" t="n">
        <v>0</v>
      </c>
      <c r="U1891" s="49" t="s">
        <v>4033</v>
      </c>
    </row>
    <row r="1892" customFormat="false" ht="15" hidden="false" customHeight="false" outlineLevel="0" collapsed="false">
      <c r="B1892" s="48" t="n">
        <v>45617.8694791667</v>
      </c>
      <c r="C1892" s="4" t="n">
        <f aca="false">YEAR(B1892)</f>
        <v>2024</v>
      </c>
      <c r="D1892" s="49" t="s">
        <v>283</v>
      </c>
      <c r="E1892" s="49" t="s">
        <v>4034</v>
      </c>
      <c r="F1892" s="50" t="n">
        <v>7</v>
      </c>
      <c r="G1892" s="49" t="s">
        <v>290</v>
      </c>
      <c r="H1892" s="51" t="n">
        <v>0.0136</v>
      </c>
      <c r="I1892" s="51" t="n">
        <v>0.8402</v>
      </c>
      <c r="J1892" s="51" t="n">
        <v>0.1462</v>
      </c>
      <c r="K1892" s="49"/>
      <c r="L1892" s="49"/>
      <c r="M1892" s="49"/>
      <c r="N1892" s="49"/>
      <c r="O1892" s="49"/>
      <c r="P1892" s="49"/>
      <c r="Q1892" s="49"/>
      <c r="R1892" s="49"/>
      <c r="S1892" s="49" t="n">
        <v>0</v>
      </c>
      <c r="T1892" s="49" t="n">
        <v>0</v>
      </c>
      <c r="U1892" s="49" t="s">
        <v>4035</v>
      </c>
    </row>
    <row r="1893" customFormat="false" ht="15" hidden="false" customHeight="false" outlineLevel="0" collapsed="false">
      <c r="B1893" s="48" t="n">
        <v>45617.9547800926</v>
      </c>
      <c r="C1893" s="4" t="n">
        <f aca="false">YEAR(B1893)</f>
        <v>2024</v>
      </c>
      <c r="D1893" s="49" t="s">
        <v>283</v>
      </c>
      <c r="E1893" s="49" t="s">
        <v>4036</v>
      </c>
      <c r="F1893" s="50" t="n">
        <v>1</v>
      </c>
      <c r="G1893" s="49" t="s">
        <v>290</v>
      </c>
      <c r="H1893" s="51" t="n">
        <v>0.1041</v>
      </c>
      <c r="I1893" s="51" t="n">
        <v>0.8532</v>
      </c>
      <c r="J1893" s="51" t="n">
        <v>0.0428</v>
      </c>
      <c r="K1893" s="49" t="s">
        <v>281</v>
      </c>
      <c r="L1893" s="49"/>
      <c r="M1893" s="49"/>
      <c r="N1893" s="49"/>
      <c r="O1893" s="49"/>
      <c r="P1893" s="49"/>
      <c r="Q1893" s="49"/>
      <c r="R1893" s="49"/>
      <c r="S1893" s="49" t="n">
        <v>0</v>
      </c>
      <c r="T1893" s="49" t="n">
        <v>0</v>
      </c>
      <c r="U1893" s="49" t="s">
        <v>4037</v>
      </c>
    </row>
    <row r="1894" customFormat="false" ht="15" hidden="false" customHeight="false" outlineLevel="0" collapsed="false">
      <c r="B1894" s="48" t="n">
        <v>45618.6412962963</v>
      </c>
      <c r="C1894" s="4" t="n">
        <f aca="false">YEAR(B1894)</f>
        <v>2024</v>
      </c>
      <c r="D1894" s="49" t="s">
        <v>283</v>
      </c>
      <c r="E1894" s="49" t="s">
        <v>4038</v>
      </c>
      <c r="F1894" s="50" t="n">
        <v>1</v>
      </c>
      <c r="G1894" s="49" t="s">
        <v>290</v>
      </c>
      <c r="H1894" s="51" t="n">
        <v>0.1151</v>
      </c>
      <c r="I1894" s="51" t="n">
        <v>0.7087</v>
      </c>
      <c r="J1894" s="51" t="n">
        <v>0.1763</v>
      </c>
      <c r="K1894" s="49" t="s">
        <v>281</v>
      </c>
      <c r="L1894" s="49"/>
      <c r="M1894" s="49"/>
      <c r="N1894" s="49"/>
      <c r="O1894" s="49"/>
      <c r="P1894" s="49"/>
      <c r="Q1894" s="49"/>
      <c r="R1894" s="49"/>
      <c r="S1894" s="49" t="n">
        <v>0</v>
      </c>
      <c r="T1894" s="49" t="n">
        <v>0</v>
      </c>
      <c r="U1894" s="49" t="s">
        <v>4039</v>
      </c>
    </row>
    <row r="1895" customFormat="false" ht="15" hidden="false" customHeight="false" outlineLevel="0" collapsed="false">
      <c r="B1895" s="48" t="n">
        <v>45619.8883796296</v>
      </c>
      <c r="C1895" s="4" t="n">
        <f aca="false">YEAR(B1895)</f>
        <v>2024</v>
      </c>
      <c r="D1895" s="49" t="s">
        <v>283</v>
      </c>
      <c r="E1895" s="49" t="s">
        <v>4040</v>
      </c>
      <c r="F1895" s="50" t="n">
        <v>0</v>
      </c>
      <c r="G1895" s="49" t="s">
        <v>280</v>
      </c>
      <c r="H1895" s="51" t="n">
        <v>0.4038</v>
      </c>
      <c r="I1895" s="51" t="n">
        <v>0.3715</v>
      </c>
      <c r="J1895" s="51" t="n">
        <v>0.2246</v>
      </c>
      <c r="K1895" s="49"/>
      <c r="L1895" s="49"/>
      <c r="M1895" s="49"/>
      <c r="N1895" s="49"/>
      <c r="O1895" s="49"/>
      <c r="P1895" s="49"/>
      <c r="Q1895" s="49"/>
      <c r="R1895" s="49"/>
      <c r="S1895" s="49" t="n">
        <v>0</v>
      </c>
      <c r="T1895" s="49" t="n">
        <v>0</v>
      </c>
      <c r="U1895" s="49" t="s">
        <v>4041</v>
      </c>
    </row>
    <row r="1896" customFormat="false" ht="15" hidden="false" customHeight="false" outlineLevel="0" collapsed="false">
      <c r="B1896" s="48" t="n">
        <v>45620.1818981482</v>
      </c>
      <c r="C1896" s="4" t="n">
        <f aca="false">YEAR(B1896)</f>
        <v>2024</v>
      </c>
      <c r="D1896" s="49" t="s">
        <v>283</v>
      </c>
      <c r="E1896" s="49" t="s">
        <v>4042</v>
      </c>
      <c r="F1896" s="50" t="n">
        <v>1</v>
      </c>
      <c r="G1896" s="49" t="s">
        <v>280</v>
      </c>
      <c r="H1896" s="51" t="n">
        <v>0.7699</v>
      </c>
      <c r="I1896" s="51" t="n">
        <v>0.2098</v>
      </c>
      <c r="J1896" s="51" t="n">
        <v>0.0203</v>
      </c>
      <c r="K1896" s="49"/>
      <c r="L1896" s="49"/>
      <c r="M1896" s="49"/>
      <c r="N1896" s="49"/>
      <c r="O1896" s="49"/>
      <c r="P1896" s="49"/>
      <c r="Q1896" s="49"/>
      <c r="R1896" s="49"/>
      <c r="S1896" s="49" t="n">
        <v>0</v>
      </c>
      <c r="T1896" s="49" t="n">
        <v>0</v>
      </c>
      <c r="U1896" s="49" t="s">
        <v>4043</v>
      </c>
    </row>
    <row r="1897" customFormat="false" ht="15" hidden="false" customHeight="false" outlineLevel="0" collapsed="false">
      <c r="B1897" s="48" t="n">
        <v>45620.5279398148</v>
      </c>
      <c r="C1897" s="4" t="n">
        <f aca="false">YEAR(B1897)</f>
        <v>2024</v>
      </c>
      <c r="D1897" s="49" t="s">
        <v>283</v>
      </c>
      <c r="E1897" s="49" t="s">
        <v>4044</v>
      </c>
      <c r="F1897" s="50" t="n">
        <v>2</v>
      </c>
      <c r="G1897" s="49" t="s">
        <v>287</v>
      </c>
      <c r="H1897" s="51" t="n">
        <v>0.0029</v>
      </c>
      <c r="I1897" s="51" t="n">
        <v>0.1242</v>
      </c>
      <c r="J1897" s="51" t="n">
        <v>0.8729</v>
      </c>
      <c r="K1897" s="49"/>
      <c r="L1897" s="49"/>
      <c r="M1897" s="49"/>
      <c r="N1897" s="49"/>
      <c r="O1897" s="49"/>
      <c r="P1897" s="49"/>
      <c r="Q1897" s="49"/>
      <c r="R1897" s="49"/>
      <c r="S1897" s="49" t="n">
        <v>0</v>
      </c>
      <c r="T1897" s="49" t="n">
        <v>0</v>
      </c>
      <c r="U1897" s="49" t="s">
        <v>4045</v>
      </c>
    </row>
    <row r="1898" customFormat="false" ht="15" hidden="false" customHeight="false" outlineLevel="0" collapsed="false">
      <c r="B1898" s="48" t="n">
        <v>45620.7302199074</v>
      </c>
      <c r="C1898" s="4" t="n">
        <f aca="false">YEAR(B1898)</f>
        <v>2024</v>
      </c>
      <c r="D1898" s="49" t="s">
        <v>283</v>
      </c>
      <c r="E1898" s="49" t="s">
        <v>4046</v>
      </c>
      <c r="F1898" s="50" t="n">
        <v>1</v>
      </c>
      <c r="G1898" s="49" t="s">
        <v>290</v>
      </c>
      <c r="H1898" s="51" t="n">
        <v>0.0626</v>
      </c>
      <c r="I1898" s="51" t="n">
        <v>0.9146</v>
      </c>
      <c r="J1898" s="51" t="n">
        <v>0.0228</v>
      </c>
      <c r="K1898" s="49"/>
      <c r="L1898" s="49"/>
      <c r="M1898" s="49"/>
      <c r="N1898" s="49"/>
      <c r="O1898" s="49"/>
      <c r="P1898" s="49"/>
      <c r="Q1898" s="49"/>
      <c r="R1898" s="49"/>
      <c r="S1898" s="49" t="n">
        <v>0</v>
      </c>
      <c r="T1898" s="49" t="n">
        <v>0</v>
      </c>
      <c r="U1898" s="49" t="s">
        <v>4047</v>
      </c>
    </row>
    <row r="1899" customFormat="false" ht="15" hidden="false" customHeight="false" outlineLevel="0" collapsed="false">
      <c r="B1899" s="48" t="n">
        <v>45620.923587963</v>
      </c>
      <c r="C1899" s="4" t="n">
        <f aca="false">YEAR(B1899)</f>
        <v>2024</v>
      </c>
      <c r="D1899" s="49" t="s">
        <v>278</v>
      </c>
      <c r="E1899" s="49" t="s">
        <v>4048</v>
      </c>
      <c r="F1899" s="50" t="n">
        <v>4</v>
      </c>
      <c r="G1899" s="49" t="s">
        <v>290</v>
      </c>
      <c r="H1899" s="51" t="n">
        <v>0.0328</v>
      </c>
      <c r="I1899" s="51" t="n">
        <v>0.5454</v>
      </c>
      <c r="J1899" s="51" t="n">
        <v>0.4218</v>
      </c>
      <c r="K1899" s="49"/>
      <c r="L1899" s="49"/>
      <c r="M1899" s="49"/>
      <c r="N1899" s="49"/>
      <c r="O1899" s="49" t="s">
        <v>281</v>
      </c>
      <c r="P1899" s="49"/>
      <c r="Q1899" s="49"/>
      <c r="R1899" s="49"/>
      <c r="S1899" s="49" t="n">
        <v>0</v>
      </c>
      <c r="T1899" s="49" t="n">
        <v>0</v>
      </c>
      <c r="U1899" s="49" t="s">
        <v>4049</v>
      </c>
    </row>
    <row r="1900" customFormat="false" ht="15" hidden="false" customHeight="false" outlineLevel="0" collapsed="false">
      <c r="B1900" s="48" t="n">
        <v>45621.2809722222</v>
      </c>
      <c r="C1900" s="4" t="n">
        <f aca="false">YEAR(B1900)</f>
        <v>2024</v>
      </c>
      <c r="D1900" s="49" t="s">
        <v>283</v>
      </c>
      <c r="E1900" s="49" t="s">
        <v>4050</v>
      </c>
      <c r="F1900" s="50" t="n">
        <v>1</v>
      </c>
      <c r="G1900" s="49" t="s">
        <v>290</v>
      </c>
      <c r="H1900" s="51" t="n">
        <v>0.0085</v>
      </c>
      <c r="I1900" s="51" t="n">
        <v>0.9106</v>
      </c>
      <c r="J1900" s="51" t="n">
        <v>0.081</v>
      </c>
      <c r="K1900" s="49"/>
      <c r="L1900" s="49"/>
      <c r="M1900" s="49"/>
      <c r="N1900" s="49"/>
      <c r="O1900" s="49"/>
      <c r="P1900" s="49"/>
      <c r="Q1900" s="49"/>
      <c r="R1900" s="49"/>
      <c r="S1900" s="49" t="n">
        <v>1</v>
      </c>
      <c r="T1900" s="49" t="n">
        <v>0</v>
      </c>
      <c r="U1900" s="49" t="s">
        <v>4051</v>
      </c>
    </row>
    <row r="1901" customFormat="false" ht="15" hidden="false" customHeight="false" outlineLevel="0" collapsed="false">
      <c r="B1901" s="48" t="n">
        <v>45621.3108217593</v>
      </c>
      <c r="C1901" s="4" t="n">
        <f aca="false">YEAR(B1901)</f>
        <v>2024</v>
      </c>
      <c r="D1901" s="49" t="s">
        <v>283</v>
      </c>
      <c r="E1901" s="49" t="s">
        <v>4052</v>
      </c>
      <c r="F1901" s="50" t="n">
        <v>6</v>
      </c>
      <c r="G1901" s="49" t="s">
        <v>280</v>
      </c>
      <c r="H1901" s="51" t="n">
        <v>0.7849</v>
      </c>
      <c r="I1901" s="51" t="n">
        <v>0.2043</v>
      </c>
      <c r="J1901" s="51" t="n">
        <v>0.0108</v>
      </c>
      <c r="K1901" s="49"/>
      <c r="L1901" s="49"/>
      <c r="M1901" s="49"/>
      <c r="N1901" s="49"/>
      <c r="O1901" s="49"/>
      <c r="P1901" s="49"/>
      <c r="Q1901" s="49"/>
      <c r="R1901" s="49"/>
      <c r="S1901" s="49" t="n">
        <v>0</v>
      </c>
      <c r="T1901" s="49" t="n">
        <v>0</v>
      </c>
      <c r="U1901" s="49" t="s">
        <v>4053</v>
      </c>
    </row>
    <row r="1902" customFormat="false" ht="15" hidden="false" customHeight="false" outlineLevel="0" collapsed="false">
      <c r="B1902" s="48" t="n">
        <v>45622.256875</v>
      </c>
      <c r="C1902" s="4" t="n">
        <f aca="false">YEAR(B1902)</f>
        <v>2024</v>
      </c>
      <c r="D1902" s="49" t="s">
        <v>283</v>
      </c>
      <c r="E1902" s="49" t="s">
        <v>4054</v>
      </c>
      <c r="F1902" s="50" t="n">
        <v>1</v>
      </c>
      <c r="G1902" s="49" t="s">
        <v>287</v>
      </c>
      <c r="H1902" s="51" t="n">
        <v>0.0037</v>
      </c>
      <c r="I1902" s="51" t="n">
        <v>0.0466</v>
      </c>
      <c r="J1902" s="51" t="n">
        <v>0.9498</v>
      </c>
      <c r="K1902" s="49"/>
      <c r="L1902" s="49"/>
      <c r="M1902" s="49"/>
      <c r="N1902" s="49"/>
      <c r="O1902" s="49"/>
      <c r="P1902" s="49"/>
      <c r="Q1902" s="49"/>
      <c r="R1902" s="49"/>
      <c r="S1902" s="49" t="n">
        <v>0</v>
      </c>
      <c r="T1902" s="49" t="n">
        <v>0</v>
      </c>
      <c r="U1902" s="49" t="s">
        <v>4055</v>
      </c>
    </row>
    <row r="1903" customFormat="false" ht="15" hidden="false" customHeight="false" outlineLevel="0" collapsed="false">
      <c r="B1903" s="48" t="n">
        <v>45623.6278009259</v>
      </c>
      <c r="C1903" s="4" t="n">
        <f aca="false">YEAR(B1903)</f>
        <v>2024</v>
      </c>
      <c r="D1903" s="49" t="s">
        <v>283</v>
      </c>
      <c r="E1903" s="49" t="s">
        <v>4056</v>
      </c>
      <c r="F1903" s="50" t="n">
        <v>1</v>
      </c>
      <c r="G1903" s="49" t="s">
        <v>290</v>
      </c>
      <c r="H1903" s="51" t="n">
        <v>0.0803</v>
      </c>
      <c r="I1903" s="51" t="n">
        <v>0.6903</v>
      </c>
      <c r="J1903" s="51" t="n">
        <v>0.2294</v>
      </c>
      <c r="K1903" s="49"/>
      <c r="L1903" s="49"/>
      <c r="M1903" s="49"/>
      <c r="N1903" s="49"/>
      <c r="O1903" s="49"/>
      <c r="P1903" s="49"/>
      <c r="Q1903" s="49"/>
      <c r="R1903" s="49"/>
      <c r="S1903" s="49" t="n">
        <v>0</v>
      </c>
      <c r="T1903" s="49" t="n">
        <v>0</v>
      </c>
      <c r="U1903" s="49" t="s">
        <v>4057</v>
      </c>
    </row>
    <row r="1904" customFormat="false" ht="15" hidden="false" customHeight="false" outlineLevel="0" collapsed="false">
      <c r="B1904" s="48" t="n">
        <v>45623.6304513889</v>
      </c>
      <c r="C1904" s="4" t="n">
        <f aca="false">YEAR(B1904)</f>
        <v>2024</v>
      </c>
      <c r="D1904" s="49" t="s">
        <v>283</v>
      </c>
      <c r="E1904" s="49" t="s">
        <v>4058</v>
      </c>
      <c r="F1904" s="50" t="n">
        <v>1</v>
      </c>
      <c r="G1904" s="49" t="s">
        <v>287</v>
      </c>
      <c r="H1904" s="51" t="n">
        <v>0.0084</v>
      </c>
      <c r="I1904" s="51" t="n">
        <v>0.3096</v>
      </c>
      <c r="J1904" s="51" t="n">
        <v>0.682</v>
      </c>
      <c r="K1904" s="49"/>
      <c r="L1904" s="49"/>
      <c r="M1904" s="49"/>
      <c r="N1904" s="49"/>
      <c r="O1904" s="49"/>
      <c r="P1904" s="49"/>
      <c r="Q1904" s="49"/>
      <c r="R1904" s="49"/>
      <c r="S1904" s="49" t="n">
        <v>0</v>
      </c>
      <c r="T1904" s="49" t="n">
        <v>0</v>
      </c>
      <c r="U1904" s="49" t="s">
        <v>4059</v>
      </c>
    </row>
    <row r="1905" customFormat="false" ht="15" hidden="false" customHeight="false" outlineLevel="0" collapsed="false">
      <c r="B1905" s="48" t="n">
        <v>45623.7471527778</v>
      </c>
      <c r="C1905" s="4" t="n">
        <f aca="false">YEAR(B1905)</f>
        <v>2024</v>
      </c>
      <c r="D1905" s="49" t="s">
        <v>278</v>
      </c>
      <c r="E1905" s="49" t="s">
        <v>4060</v>
      </c>
      <c r="F1905" s="50" t="n">
        <v>0</v>
      </c>
      <c r="G1905" s="49" t="s">
        <v>290</v>
      </c>
      <c r="H1905" s="51" t="n">
        <v>0.0271</v>
      </c>
      <c r="I1905" s="51" t="n">
        <v>0.9018</v>
      </c>
      <c r="J1905" s="51" t="n">
        <v>0.0711</v>
      </c>
      <c r="K1905" s="49"/>
      <c r="L1905" s="49"/>
      <c r="M1905" s="49"/>
      <c r="N1905" s="49"/>
      <c r="O1905" s="49"/>
      <c r="P1905" s="49"/>
      <c r="Q1905" s="49"/>
      <c r="R1905" s="49"/>
      <c r="S1905" s="49" t="n">
        <v>0</v>
      </c>
      <c r="T1905" s="49" t="n">
        <v>0</v>
      </c>
      <c r="U1905" s="49" t="s">
        <v>4061</v>
      </c>
    </row>
    <row r="1906" customFormat="false" ht="15" hidden="false" customHeight="false" outlineLevel="0" collapsed="false">
      <c r="B1906" s="48" t="n">
        <v>45624.0805439815</v>
      </c>
      <c r="C1906" s="4" t="n">
        <f aca="false">YEAR(B1906)</f>
        <v>2024</v>
      </c>
      <c r="D1906" s="49" t="s">
        <v>283</v>
      </c>
      <c r="E1906" s="49" t="s">
        <v>4062</v>
      </c>
      <c r="F1906" s="50" t="n">
        <v>2</v>
      </c>
      <c r="G1906" s="49" t="s">
        <v>287</v>
      </c>
      <c r="H1906" s="51" t="n">
        <v>0.0066</v>
      </c>
      <c r="I1906" s="51" t="n">
        <v>0.0202</v>
      </c>
      <c r="J1906" s="51" t="n">
        <v>0.9732</v>
      </c>
      <c r="K1906" s="49"/>
      <c r="L1906" s="49"/>
      <c r="M1906" s="49"/>
      <c r="N1906" s="49"/>
      <c r="O1906" s="49"/>
      <c r="P1906" s="49"/>
      <c r="Q1906" s="49"/>
      <c r="R1906" s="49"/>
      <c r="S1906" s="49" t="n">
        <v>0</v>
      </c>
      <c r="T1906" s="49" t="n">
        <v>0</v>
      </c>
      <c r="U1906" s="49" t="s">
        <v>4063</v>
      </c>
    </row>
    <row r="1907" customFormat="false" ht="15" hidden="false" customHeight="false" outlineLevel="0" collapsed="false">
      <c r="B1907" s="48" t="n">
        <v>45625.9536111111</v>
      </c>
      <c r="C1907" s="4" t="n">
        <f aca="false">YEAR(B1907)</f>
        <v>2024</v>
      </c>
      <c r="D1907" s="49" t="s">
        <v>283</v>
      </c>
      <c r="E1907" s="49" t="s">
        <v>4064</v>
      </c>
      <c r="F1907" s="50" t="n">
        <v>1</v>
      </c>
      <c r="G1907" s="49" t="s">
        <v>287</v>
      </c>
      <c r="H1907" s="51" t="n">
        <v>0.0034</v>
      </c>
      <c r="I1907" s="51" t="n">
        <v>0.0405</v>
      </c>
      <c r="J1907" s="51" t="n">
        <v>0.9561</v>
      </c>
      <c r="K1907" s="49"/>
      <c r="L1907" s="49"/>
      <c r="M1907" s="49"/>
      <c r="N1907" s="49"/>
      <c r="O1907" s="49"/>
      <c r="P1907" s="49"/>
      <c r="Q1907" s="49"/>
      <c r="R1907" s="49"/>
      <c r="S1907" s="49" t="n">
        <v>0</v>
      </c>
      <c r="T1907" s="49" t="n">
        <v>0</v>
      </c>
      <c r="U1907" s="49" t="s">
        <v>4065</v>
      </c>
    </row>
    <row r="1908" customFormat="false" ht="15" hidden="false" customHeight="false" outlineLevel="0" collapsed="false">
      <c r="B1908" s="48" t="n">
        <v>45627.5760532407</v>
      </c>
      <c r="C1908" s="4" t="n">
        <f aca="false">YEAR(B1908)</f>
        <v>2024</v>
      </c>
      <c r="D1908" s="49" t="s">
        <v>278</v>
      </c>
      <c r="E1908" s="49" t="s">
        <v>4066</v>
      </c>
      <c r="F1908" s="50" t="n">
        <v>2</v>
      </c>
      <c r="G1908" s="49" t="s">
        <v>290</v>
      </c>
      <c r="H1908" s="51" t="n">
        <v>0.205</v>
      </c>
      <c r="I1908" s="51" t="n">
        <v>0.4474</v>
      </c>
      <c r="J1908" s="51" t="n">
        <v>0.3475</v>
      </c>
      <c r="K1908" s="49"/>
      <c r="L1908" s="49"/>
      <c r="M1908" s="49"/>
      <c r="N1908" s="49"/>
      <c r="O1908" s="49"/>
      <c r="P1908" s="49"/>
      <c r="Q1908" s="49"/>
      <c r="R1908" s="49" t="s">
        <v>281</v>
      </c>
      <c r="S1908" s="49" t="n">
        <v>0</v>
      </c>
      <c r="T1908" s="49" t="n">
        <v>0</v>
      </c>
      <c r="U1908" s="49" t="s">
        <v>4067</v>
      </c>
    </row>
    <row r="1909" customFormat="false" ht="15" hidden="false" customHeight="false" outlineLevel="0" collapsed="false">
      <c r="B1909" s="48" t="n">
        <v>45627.6410300926</v>
      </c>
      <c r="C1909" s="4" t="n">
        <f aca="false">YEAR(B1909)</f>
        <v>2024</v>
      </c>
      <c r="D1909" s="49" t="s">
        <v>283</v>
      </c>
      <c r="E1909" s="49" t="s">
        <v>4068</v>
      </c>
      <c r="F1909" s="50" t="n">
        <v>1</v>
      </c>
      <c r="G1909" s="49" t="s">
        <v>280</v>
      </c>
      <c r="H1909" s="51" t="n">
        <v>0.7767</v>
      </c>
      <c r="I1909" s="51" t="n">
        <v>0.2035</v>
      </c>
      <c r="J1909" s="51" t="n">
        <v>0.0198</v>
      </c>
      <c r="K1909" s="49"/>
      <c r="L1909" s="49"/>
      <c r="M1909" s="49"/>
      <c r="N1909" s="49"/>
      <c r="O1909" s="49"/>
      <c r="P1909" s="49"/>
      <c r="Q1909" s="49"/>
      <c r="R1909" s="49"/>
      <c r="S1909" s="49" t="n">
        <v>0</v>
      </c>
      <c r="T1909" s="49" t="n">
        <v>0</v>
      </c>
      <c r="U1909" s="49" t="s">
        <v>4069</v>
      </c>
    </row>
    <row r="1910" customFormat="false" ht="15" hidden="false" customHeight="false" outlineLevel="0" collapsed="false">
      <c r="B1910" s="48" t="n">
        <v>45627.676412037</v>
      </c>
      <c r="C1910" s="4" t="n">
        <f aca="false">YEAR(B1910)</f>
        <v>2024</v>
      </c>
      <c r="D1910" s="49" t="s">
        <v>283</v>
      </c>
      <c r="E1910" s="49" t="s">
        <v>4070</v>
      </c>
      <c r="F1910" s="50" t="n">
        <v>2</v>
      </c>
      <c r="G1910" s="49" t="s">
        <v>290</v>
      </c>
      <c r="H1910" s="51" t="n">
        <v>0.0183</v>
      </c>
      <c r="I1910" s="51" t="n">
        <v>0.6594</v>
      </c>
      <c r="J1910" s="51" t="n">
        <v>0.3223</v>
      </c>
      <c r="K1910" s="49"/>
      <c r="L1910" s="49"/>
      <c r="M1910" s="49"/>
      <c r="N1910" s="49"/>
      <c r="O1910" s="49"/>
      <c r="P1910" s="49"/>
      <c r="Q1910" s="49"/>
      <c r="R1910" s="49"/>
      <c r="S1910" s="49" t="n">
        <v>0</v>
      </c>
      <c r="T1910" s="49" t="n">
        <v>0</v>
      </c>
      <c r="U1910" s="49" t="s">
        <v>4071</v>
      </c>
    </row>
    <row r="1911" customFormat="false" ht="15" hidden="false" customHeight="false" outlineLevel="0" collapsed="false">
      <c r="B1911" s="48" t="n">
        <v>45627.7342476852</v>
      </c>
      <c r="C1911" s="4" t="n">
        <f aca="false">YEAR(B1911)</f>
        <v>2024</v>
      </c>
      <c r="D1911" s="49" t="s">
        <v>283</v>
      </c>
      <c r="E1911" s="49" t="s">
        <v>4072</v>
      </c>
      <c r="F1911" s="50" t="n">
        <v>1</v>
      </c>
      <c r="G1911" s="49" t="s">
        <v>287</v>
      </c>
      <c r="H1911" s="51" t="n">
        <v>0.0045</v>
      </c>
      <c r="I1911" s="51" t="n">
        <v>0.315</v>
      </c>
      <c r="J1911" s="51" t="n">
        <v>0.6805</v>
      </c>
      <c r="K1911" s="49"/>
      <c r="L1911" s="49"/>
      <c r="M1911" s="49"/>
      <c r="N1911" s="49"/>
      <c r="O1911" s="49"/>
      <c r="P1911" s="49"/>
      <c r="Q1911" s="49"/>
      <c r="R1911" s="49"/>
      <c r="S1911" s="49" t="n">
        <v>0</v>
      </c>
      <c r="T1911" s="49" t="n">
        <v>0</v>
      </c>
      <c r="U1911" s="49" t="s">
        <v>4073</v>
      </c>
    </row>
    <row r="1912" customFormat="false" ht="15" hidden="false" customHeight="false" outlineLevel="0" collapsed="false">
      <c r="B1912" s="48" t="n">
        <v>45627.8307986111</v>
      </c>
      <c r="C1912" s="4" t="n">
        <f aca="false">YEAR(B1912)</f>
        <v>2024</v>
      </c>
      <c r="D1912" s="49" t="s">
        <v>283</v>
      </c>
      <c r="E1912" s="49" t="s">
        <v>4074</v>
      </c>
      <c r="F1912" s="50" t="n">
        <v>1</v>
      </c>
      <c r="G1912" s="49" t="s">
        <v>280</v>
      </c>
      <c r="H1912" s="51" t="n">
        <v>0.7946</v>
      </c>
      <c r="I1912" s="51" t="n">
        <v>0.1962</v>
      </c>
      <c r="J1912" s="51" t="n">
        <v>0.0092</v>
      </c>
      <c r="K1912" s="49"/>
      <c r="L1912" s="49"/>
      <c r="M1912" s="49"/>
      <c r="N1912" s="49"/>
      <c r="O1912" s="49"/>
      <c r="P1912" s="49"/>
      <c r="Q1912" s="49"/>
      <c r="R1912" s="49" t="s">
        <v>281</v>
      </c>
      <c r="S1912" s="49" t="n">
        <v>1</v>
      </c>
      <c r="T1912" s="49" t="n">
        <v>0</v>
      </c>
      <c r="U1912" s="49" t="s">
        <v>4075</v>
      </c>
    </row>
    <row r="1913" customFormat="false" ht="15" hidden="false" customHeight="false" outlineLevel="0" collapsed="false">
      <c r="B1913" s="48" t="n">
        <v>45627.9095833333</v>
      </c>
      <c r="C1913" s="4" t="n">
        <f aca="false">YEAR(B1913)</f>
        <v>2024</v>
      </c>
      <c r="D1913" s="49" t="s">
        <v>278</v>
      </c>
      <c r="E1913" s="49" t="s">
        <v>4076</v>
      </c>
      <c r="F1913" s="50" t="n">
        <v>53</v>
      </c>
      <c r="G1913" s="49" t="s">
        <v>280</v>
      </c>
      <c r="H1913" s="51" t="n">
        <v>0.6743</v>
      </c>
      <c r="I1913" s="51" t="n">
        <v>0.2663</v>
      </c>
      <c r="J1913" s="51" t="n">
        <v>0.0595</v>
      </c>
      <c r="K1913" s="49"/>
      <c r="L1913" s="49"/>
      <c r="M1913" s="49"/>
      <c r="N1913" s="49"/>
      <c r="O1913" s="49"/>
      <c r="P1913" s="49"/>
      <c r="Q1913" s="49"/>
      <c r="R1913" s="49" t="s">
        <v>281</v>
      </c>
      <c r="S1913" s="49" t="n">
        <v>0</v>
      </c>
      <c r="T1913" s="49" t="n">
        <v>0</v>
      </c>
      <c r="U1913" s="49" t="s">
        <v>4077</v>
      </c>
    </row>
    <row r="1914" customFormat="false" ht="15" hidden="false" customHeight="false" outlineLevel="0" collapsed="false">
      <c r="B1914" s="48" t="n">
        <v>45627.9542824074</v>
      </c>
      <c r="C1914" s="4" t="n">
        <f aca="false">YEAR(B1914)</f>
        <v>2024</v>
      </c>
      <c r="D1914" s="49" t="s">
        <v>283</v>
      </c>
      <c r="E1914" s="49" t="s">
        <v>4078</v>
      </c>
      <c r="F1914" s="50" t="n">
        <v>1</v>
      </c>
      <c r="G1914" s="49" t="s">
        <v>290</v>
      </c>
      <c r="H1914" s="51" t="n">
        <v>0.0083</v>
      </c>
      <c r="I1914" s="51" t="n">
        <v>0.6559</v>
      </c>
      <c r="J1914" s="51" t="n">
        <v>0.3359</v>
      </c>
      <c r="K1914" s="49"/>
      <c r="L1914" s="49"/>
      <c r="M1914" s="49"/>
      <c r="N1914" s="49"/>
      <c r="O1914" s="49"/>
      <c r="P1914" s="49"/>
      <c r="Q1914" s="49"/>
      <c r="R1914" s="49"/>
      <c r="S1914" s="49" t="n">
        <v>1</v>
      </c>
      <c r="T1914" s="49" t="n">
        <v>0</v>
      </c>
      <c r="U1914" s="49" t="s">
        <v>4079</v>
      </c>
    </row>
    <row r="1915" customFormat="false" ht="15" hidden="false" customHeight="false" outlineLevel="0" collapsed="false">
      <c r="B1915" s="48" t="n">
        <v>45628.1347800926</v>
      </c>
      <c r="C1915" s="4" t="n">
        <f aca="false">YEAR(B1915)</f>
        <v>2024</v>
      </c>
      <c r="D1915" s="49" t="s">
        <v>283</v>
      </c>
      <c r="E1915" s="49" t="s">
        <v>4080</v>
      </c>
      <c r="F1915" s="50" t="n">
        <v>1</v>
      </c>
      <c r="G1915" s="49" t="s">
        <v>290</v>
      </c>
      <c r="H1915" s="51" t="n">
        <v>0.3532</v>
      </c>
      <c r="I1915" s="51" t="n">
        <v>0.6055</v>
      </c>
      <c r="J1915" s="51" t="n">
        <v>0.0413</v>
      </c>
      <c r="K1915" s="49"/>
      <c r="L1915" s="49"/>
      <c r="M1915" s="49"/>
      <c r="N1915" s="49"/>
      <c r="O1915" s="49"/>
      <c r="P1915" s="49"/>
      <c r="Q1915" s="49"/>
      <c r="R1915" s="49"/>
      <c r="S1915" s="49" t="n">
        <v>0</v>
      </c>
      <c r="T1915" s="49" t="n">
        <v>0</v>
      </c>
      <c r="U1915" s="49" t="s">
        <v>4081</v>
      </c>
    </row>
    <row r="1916" customFormat="false" ht="15" hidden="false" customHeight="false" outlineLevel="0" collapsed="false">
      <c r="B1916" s="48" t="n">
        <v>45628.5111689815</v>
      </c>
      <c r="C1916" s="4" t="n">
        <f aca="false">YEAR(B1916)</f>
        <v>2024</v>
      </c>
      <c r="D1916" s="49" t="s">
        <v>283</v>
      </c>
      <c r="E1916" s="49" t="s">
        <v>4082</v>
      </c>
      <c r="F1916" s="50" t="n">
        <v>1</v>
      </c>
      <c r="G1916" s="49" t="s">
        <v>290</v>
      </c>
      <c r="H1916" s="51" t="n">
        <v>0.024</v>
      </c>
      <c r="I1916" s="51" t="n">
        <v>0.6759</v>
      </c>
      <c r="J1916" s="51" t="n">
        <v>0.3001</v>
      </c>
      <c r="K1916" s="49"/>
      <c r="L1916" s="49"/>
      <c r="M1916" s="49"/>
      <c r="N1916" s="49"/>
      <c r="O1916" s="49"/>
      <c r="P1916" s="49"/>
      <c r="Q1916" s="49"/>
      <c r="R1916" s="49"/>
      <c r="S1916" s="49" t="n">
        <v>0</v>
      </c>
      <c r="T1916" s="49" t="n">
        <v>0</v>
      </c>
      <c r="U1916" s="49" t="s">
        <v>4083</v>
      </c>
    </row>
    <row r="1917" customFormat="false" ht="15" hidden="false" customHeight="false" outlineLevel="0" collapsed="false">
      <c r="B1917" s="48" t="n">
        <v>45629.3734953704</v>
      </c>
      <c r="C1917" s="4" t="n">
        <f aca="false">YEAR(B1917)</f>
        <v>2024</v>
      </c>
      <c r="D1917" s="49" t="s">
        <v>283</v>
      </c>
      <c r="E1917" s="49" t="s">
        <v>4084</v>
      </c>
      <c r="F1917" s="50" t="n">
        <v>9</v>
      </c>
      <c r="G1917" s="49" t="s">
        <v>287</v>
      </c>
      <c r="H1917" s="51" t="n">
        <v>0.0025</v>
      </c>
      <c r="I1917" s="51" t="n">
        <v>0.126</v>
      </c>
      <c r="J1917" s="51" t="n">
        <v>0.8715</v>
      </c>
      <c r="K1917" s="49"/>
      <c r="L1917" s="49"/>
      <c r="M1917" s="49"/>
      <c r="N1917" s="49"/>
      <c r="O1917" s="49"/>
      <c r="P1917" s="49"/>
      <c r="Q1917" s="49"/>
      <c r="R1917" s="49"/>
      <c r="S1917" s="49" t="n">
        <v>0</v>
      </c>
      <c r="T1917" s="49" t="n">
        <v>0</v>
      </c>
      <c r="U1917" s="49" t="s">
        <v>4085</v>
      </c>
    </row>
    <row r="1918" customFormat="false" ht="15" hidden="false" customHeight="false" outlineLevel="0" collapsed="false">
      <c r="B1918" s="48" t="n">
        <v>45629.7334143519</v>
      </c>
      <c r="C1918" s="4" t="n">
        <f aca="false">YEAR(B1918)</f>
        <v>2024</v>
      </c>
      <c r="D1918" s="49" t="s">
        <v>278</v>
      </c>
      <c r="E1918" s="49" t="s">
        <v>4086</v>
      </c>
      <c r="F1918" s="50" t="n">
        <v>1</v>
      </c>
      <c r="G1918" s="49" t="s">
        <v>290</v>
      </c>
      <c r="H1918" s="51" t="n">
        <v>0.0158</v>
      </c>
      <c r="I1918" s="51" t="n">
        <v>0.8982</v>
      </c>
      <c r="J1918" s="51" t="n">
        <v>0.086</v>
      </c>
      <c r="K1918" s="49"/>
      <c r="L1918" s="49"/>
      <c r="M1918" s="49"/>
      <c r="N1918" s="49"/>
      <c r="O1918" s="49"/>
      <c r="P1918" s="49"/>
      <c r="Q1918" s="49"/>
      <c r="R1918" s="49"/>
      <c r="S1918" s="49" t="n">
        <v>1</v>
      </c>
      <c r="T1918" s="49" t="n">
        <v>0</v>
      </c>
      <c r="U1918" s="49" t="s">
        <v>4087</v>
      </c>
    </row>
    <row r="1919" customFormat="false" ht="15" hidden="false" customHeight="false" outlineLevel="0" collapsed="false">
      <c r="B1919" s="48" t="n">
        <v>45629.8466087963</v>
      </c>
      <c r="C1919" s="4" t="n">
        <f aca="false">YEAR(B1919)</f>
        <v>2024</v>
      </c>
      <c r="D1919" s="49" t="s">
        <v>283</v>
      </c>
      <c r="E1919" s="49" t="s">
        <v>4088</v>
      </c>
      <c r="F1919" s="50" t="n">
        <v>1</v>
      </c>
      <c r="G1919" s="49" t="s">
        <v>287</v>
      </c>
      <c r="H1919" s="51" t="n">
        <v>0.004</v>
      </c>
      <c r="I1919" s="51" t="n">
        <v>0.0336</v>
      </c>
      <c r="J1919" s="51" t="n">
        <v>0.9625</v>
      </c>
      <c r="K1919" s="49"/>
      <c r="L1919" s="49"/>
      <c r="M1919" s="49"/>
      <c r="N1919" s="49"/>
      <c r="O1919" s="49"/>
      <c r="P1919" s="49"/>
      <c r="Q1919" s="49"/>
      <c r="R1919" s="49"/>
      <c r="S1919" s="49" t="n">
        <v>0</v>
      </c>
      <c r="T1919" s="49" t="n">
        <v>0</v>
      </c>
      <c r="U1919" s="49" t="s">
        <v>4089</v>
      </c>
    </row>
    <row r="1920" customFormat="false" ht="15" hidden="false" customHeight="false" outlineLevel="0" collapsed="false">
      <c r="B1920" s="48" t="n">
        <v>45629.9981134259</v>
      </c>
      <c r="C1920" s="4" t="n">
        <f aca="false">YEAR(B1920)</f>
        <v>2024</v>
      </c>
      <c r="D1920" s="49" t="s">
        <v>283</v>
      </c>
      <c r="E1920" s="49" t="s">
        <v>4090</v>
      </c>
      <c r="F1920" s="50" t="n">
        <v>1</v>
      </c>
      <c r="G1920" s="49" t="s">
        <v>290</v>
      </c>
      <c r="H1920" s="51" t="n">
        <v>0.1473</v>
      </c>
      <c r="I1920" s="51" t="n">
        <v>0.8072</v>
      </c>
      <c r="J1920" s="51" t="n">
        <v>0.0455</v>
      </c>
      <c r="K1920" s="49"/>
      <c r="L1920" s="49"/>
      <c r="M1920" s="49"/>
      <c r="N1920" s="49"/>
      <c r="O1920" s="49"/>
      <c r="P1920" s="49"/>
      <c r="Q1920" s="49"/>
      <c r="R1920" s="49"/>
      <c r="S1920" s="49" t="n">
        <v>0</v>
      </c>
      <c r="T1920" s="49" t="n">
        <v>0</v>
      </c>
      <c r="U1920" s="49" t="s">
        <v>4091</v>
      </c>
    </row>
    <row r="1921" customFormat="false" ht="15" hidden="false" customHeight="false" outlineLevel="0" collapsed="false">
      <c r="B1921" s="48" t="n">
        <v>45630.0988194444</v>
      </c>
      <c r="C1921" s="4" t="n">
        <f aca="false">YEAR(B1921)</f>
        <v>2024</v>
      </c>
      <c r="D1921" s="49" t="s">
        <v>283</v>
      </c>
      <c r="E1921" s="49" t="s">
        <v>4092</v>
      </c>
      <c r="F1921" s="50" t="n">
        <v>19</v>
      </c>
      <c r="G1921" s="49" t="s">
        <v>290</v>
      </c>
      <c r="H1921" s="51" t="n">
        <v>0.0185</v>
      </c>
      <c r="I1921" s="51" t="n">
        <v>0.6615</v>
      </c>
      <c r="J1921" s="51" t="n">
        <v>0.3201</v>
      </c>
      <c r="K1921" s="49"/>
      <c r="L1921" s="49"/>
      <c r="M1921" s="49"/>
      <c r="N1921" s="49"/>
      <c r="O1921" s="49"/>
      <c r="P1921" s="49"/>
      <c r="Q1921" s="49"/>
      <c r="R1921" s="49"/>
      <c r="S1921" s="49" t="n">
        <v>0</v>
      </c>
      <c r="T1921" s="49" t="n">
        <v>0</v>
      </c>
      <c r="U1921" s="49" t="s">
        <v>4093</v>
      </c>
    </row>
    <row r="1922" customFormat="false" ht="15" hidden="false" customHeight="false" outlineLevel="0" collapsed="false">
      <c r="B1922" s="48" t="n">
        <v>45630.187025463</v>
      </c>
      <c r="C1922" s="4" t="n">
        <f aca="false">YEAR(B1922)</f>
        <v>2024</v>
      </c>
      <c r="D1922" s="49" t="s">
        <v>283</v>
      </c>
      <c r="E1922" s="49" t="s">
        <v>4094</v>
      </c>
      <c r="F1922" s="50" t="n">
        <v>3</v>
      </c>
      <c r="G1922" s="49" t="s">
        <v>280</v>
      </c>
      <c r="H1922" s="51" t="n">
        <v>0.9183</v>
      </c>
      <c r="I1922" s="51" t="n">
        <v>0.0765</v>
      </c>
      <c r="J1922" s="51" t="n">
        <v>0.0052</v>
      </c>
      <c r="K1922" s="49"/>
      <c r="L1922" s="49" t="s">
        <v>281</v>
      </c>
      <c r="M1922" s="49"/>
      <c r="N1922" s="49"/>
      <c r="O1922" s="49"/>
      <c r="P1922" s="49"/>
      <c r="Q1922" s="49"/>
      <c r="R1922" s="49"/>
      <c r="S1922" s="49" t="n">
        <v>0</v>
      </c>
      <c r="T1922" s="49" t="n">
        <v>0</v>
      </c>
      <c r="U1922" s="49" t="s">
        <v>4095</v>
      </c>
    </row>
    <row r="1923" customFormat="false" ht="15" hidden="false" customHeight="false" outlineLevel="0" collapsed="false">
      <c r="B1923" s="48" t="n">
        <v>45630.2194907407</v>
      </c>
      <c r="C1923" s="4" t="n">
        <f aca="false">YEAR(B1923)</f>
        <v>2024</v>
      </c>
      <c r="D1923" s="49" t="s">
        <v>283</v>
      </c>
      <c r="E1923" s="49" t="s">
        <v>4096</v>
      </c>
      <c r="F1923" s="50" t="n">
        <v>1</v>
      </c>
      <c r="G1923" s="49" t="s">
        <v>290</v>
      </c>
      <c r="H1923" s="51" t="n">
        <v>0.0108</v>
      </c>
      <c r="I1923" s="51" t="n">
        <v>0.502</v>
      </c>
      <c r="J1923" s="51" t="n">
        <v>0.4871</v>
      </c>
      <c r="K1923" s="49"/>
      <c r="L1923" s="49"/>
      <c r="M1923" s="49"/>
      <c r="N1923" s="49"/>
      <c r="O1923" s="49"/>
      <c r="P1923" s="49"/>
      <c r="Q1923" s="49"/>
      <c r="R1923" s="49"/>
      <c r="S1923" s="49" t="n">
        <v>1</v>
      </c>
      <c r="T1923" s="49" t="n">
        <v>0</v>
      </c>
      <c r="U1923" s="49" t="s">
        <v>4097</v>
      </c>
    </row>
    <row r="1924" customFormat="false" ht="15" hidden="false" customHeight="false" outlineLevel="0" collapsed="false">
      <c r="B1924" s="48" t="n">
        <v>45630.5015277778</v>
      </c>
      <c r="C1924" s="4" t="n">
        <f aca="false">YEAR(B1924)</f>
        <v>2024</v>
      </c>
      <c r="D1924" s="49" t="s">
        <v>283</v>
      </c>
      <c r="E1924" s="49" t="s">
        <v>4098</v>
      </c>
      <c r="F1924" s="50" t="n">
        <v>16</v>
      </c>
      <c r="G1924" s="49" t="s">
        <v>287</v>
      </c>
      <c r="H1924" s="51" t="n">
        <v>0.0104</v>
      </c>
      <c r="I1924" s="51" t="n">
        <v>0.2931</v>
      </c>
      <c r="J1924" s="51" t="n">
        <v>0.6965</v>
      </c>
      <c r="K1924" s="49"/>
      <c r="L1924" s="49"/>
      <c r="M1924" s="49"/>
      <c r="N1924" s="49"/>
      <c r="O1924" s="49"/>
      <c r="P1924" s="49"/>
      <c r="Q1924" s="49"/>
      <c r="R1924" s="49"/>
      <c r="S1924" s="49" t="n">
        <v>0</v>
      </c>
      <c r="T1924" s="49" t="n">
        <v>0</v>
      </c>
      <c r="U1924" s="49" t="s">
        <v>4099</v>
      </c>
    </row>
    <row r="1925" customFormat="false" ht="15" hidden="false" customHeight="false" outlineLevel="0" collapsed="false">
      <c r="B1925" s="48" t="n">
        <v>45630.5302893519</v>
      </c>
      <c r="C1925" s="4" t="n">
        <f aca="false">YEAR(B1925)</f>
        <v>2024</v>
      </c>
      <c r="D1925" s="49" t="s">
        <v>278</v>
      </c>
      <c r="E1925" s="49" t="s">
        <v>4100</v>
      </c>
      <c r="F1925" s="50" t="n">
        <v>2</v>
      </c>
      <c r="G1925" s="49" t="s">
        <v>280</v>
      </c>
      <c r="H1925" s="51" t="n">
        <v>0.8105</v>
      </c>
      <c r="I1925" s="51" t="n">
        <v>0.1783</v>
      </c>
      <c r="J1925" s="51" t="n">
        <v>0.0112</v>
      </c>
      <c r="K1925" s="49"/>
      <c r="L1925" s="49"/>
      <c r="M1925" s="49"/>
      <c r="N1925" s="49"/>
      <c r="O1925" s="49"/>
      <c r="P1925" s="49"/>
      <c r="Q1925" s="49"/>
      <c r="R1925" s="49" t="s">
        <v>281</v>
      </c>
      <c r="S1925" s="49" t="n">
        <v>0</v>
      </c>
      <c r="T1925" s="49" t="n">
        <v>0</v>
      </c>
      <c r="U1925" s="49" t="s">
        <v>4101</v>
      </c>
    </row>
    <row r="1926" customFormat="false" ht="15" hidden="false" customHeight="false" outlineLevel="0" collapsed="false">
      <c r="B1926" s="48" t="n">
        <v>45630.5643865741</v>
      </c>
      <c r="C1926" s="4" t="n">
        <f aca="false">YEAR(B1926)</f>
        <v>2024</v>
      </c>
      <c r="D1926" s="49" t="s">
        <v>283</v>
      </c>
      <c r="E1926" s="49" t="s">
        <v>4102</v>
      </c>
      <c r="F1926" s="50" t="n">
        <v>1</v>
      </c>
      <c r="G1926" s="49" t="s">
        <v>287</v>
      </c>
      <c r="H1926" s="51" t="n">
        <v>0.0147</v>
      </c>
      <c r="I1926" s="51" t="n">
        <v>0.1608</v>
      </c>
      <c r="J1926" s="51" t="n">
        <v>0.8245</v>
      </c>
      <c r="K1926" s="49"/>
      <c r="L1926" s="49"/>
      <c r="M1926" s="49"/>
      <c r="N1926" s="49"/>
      <c r="O1926" s="49"/>
      <c r="P1926" s="49"/>
      <c r="Q1926" s="49"/>
      <c r="R1926" s="49"/>
      <c r="S1926" s="49" t="n">
        <v>0</v>
      </c>
      <c r="T1926" s="49" t="n">
        <v>0</v>
      </c>
      <c r="U1926" s="49" t="s">
        <v>4103</v>
      </c>
    </row>
    <row r="1927" customFormat="false" ht="15" hidden="false" customHeight="false" outlineLevel="0" collapsed="false">
      <c r="B1927" s="48" t="n">
        <v>45630.7930555556</v>
      </c>
      <c r="C1927" s="4" t="n">
        <f aca="false">YEAR(B1927)</f>
        <v>2024</v>
      </c>
      <c r="D1927" s="49" t="s">
        <v>283</v>
      </c>
      <c r="E1927" s="49" t="s">
        <v>4104</v>
      </c>
      <c r="F1927" s="50" t="n">
        <v>1</v>
      </c>
      <c r="G1927" s="49" t="s">
        <v>290</v>
      </c>
      <c r="H1927" s="51" t="n">
        <v>0.2656</v>
      </c>
      <c r="I1927" s="51" t="n">
        <v>0.3807</v>
      </c>
      <c r="J1927" s="51" t="n">
        <v>0.3538</v>
      </c>
      <c r="K1927" s="49"/>
      <c r="L1927" s="49"/>
      <c r="M1927" s="49"/>
      <c r="N1927" s="49"/>
      <c r="O1927" s="49"/>
      <c r="P1927" s="49"/>
      <c r="Q1927" s="49"/>
      <c r="R1927" s="49"/>
      <c r="S1927" s="49" t="n">
        <v>0</v>
      </c>
      <c r="T1927" s="49" t="n">
        <v>0</v>
      </c>
      <c r="U1927" s="49" t="s">
        <v>4105</v>
      </c>
    </row>
    <row r="1928" customFormat="false" ht="15" hidden="false" customHeight="false" outlineLevel="0" collapsed="false">
      <c r="B1928" s="48" t="n">
        <v>45630.8055787037</v>
      </c>
      <c r="C1928" s="4" t="n">
        <f aca="false">YEAR(B1928)</f>
        <v>2024</v>
      </c>
      <c r="D1928" s="49" t="s">
        <v>283</v>
      </c>
      <c r="E1928" s="49" t="s">
        <v>4106</v>
      </c>
      <c r="F1928" s="50" t="n">
        <v>1</v>
      </c>
      <c r="G1928" s="49" t="s">
        <v>290</v>
      </c>
      <c r="H1928" s="51" t="n">
        <v>0.007</v>
      </c>
      <c r="I1928" s="51" t="n">
        <v>0.6007</v>
      </c>
      <c r="J1928" s="51" t="n">
        <v>0.3924</v>
      </c>
      <c r="K1928" s="49"/>
      <c r="L1928" s="49"/>
      <c r="M1928" s="49"/>
      <c r="N1928" s="49"/>
      <c r="O1928" s="49"/>
      <c r="P1928" s="49"/>
      <c r="Q1928" s="49"/>
      <c r="R1928" s="49"/>
      <c r="S1928" s="49" t="n">
        <v>0</v>
      </c>
      <c r="T1928" s="49" t="n">
        <v>0</v>
      </c>
      <c r="U1928" s="49" t="s">
        <v>4107</v>
      </c>
    </row>
    <row r="1929" customFormat="false" ht="15" hidden="false" customHeight="false" outlineLevel="0" collapsed="false">
      <c r="B1929" s="48" t="n">
        <v>45630.9271990741</v>
      </c>
      <c r="C1929" s="4" t="n">
        <f aca="false">YEAR(B1929)</f>
        <v>2024</v>
      </c>
      <c r="D1929" s="49" t="s">
        <v>278</v>
      </c>
      <c r="E1929" s="49" t="s">
        <v>4108</v>
      </c>
      <c r="F1929" s="50" t="n">
        <v>1</v>
      </c>
      <c r="G1929" s="49" t="s">
        <v>287</v>
      </c>
      <c r="H1929" s="51" t="n">
        <v>0.0164</v>
      </c>
      <c r="I1929" s="51" t="n">
        <v>0.0489</v>
      </c>
      <c r="J1929" s="51" t="n">
        <v>0.9347</v>
      </c>
      <c r="K1929" s="49"/>
      <c r="L1929" s="49"/>
      <c r="M1929" s="49"/>
      <c r="N1929" s="49"/>
      <c r="O1929" s="49"/>
      <c r="P1929" s="49"/>
      <c r="Q1929" s="49"/>
      <c r="R1929" s="49"/>
      <c r="S1929" s="49" t="n">
        <v>0</v>
      </c>
      <c r="T1929" s="49" t="n">
        <v>1</v>
      </c>
      <c r="U1929" s="49" t="s">
        <v>4109</v>
      </c>
    </row>
    <row r="1930" customFormat="false" ht="15" hidden="false" customHeight="false" outlineLevel="0" collapsed="false">
      <c r="B1930" s="48" t="n">
        <v>45631.1313194444</v>
      </c>
      <c r="C1930" s="4" t="n">
        <f aca="false">YEAR(B1930)</f>
        <v>2024</v>
      </c>
      <c r="D1930" s="49" t="s">
        <v>283</v>
      </c>
      <c r="E1930" s="49" t="s">
        <v>4110</v>
      </c>
      <c r="F1930" s="50" t="n">
        <v>1</v>
      </c>
      <c r="G1930" s="49" t="s">
        <v>280</v>
      </c>
      <c r="H1930" s="51" t="n">
        <v>0.9001</v>
      </c>
      <c r="I1930" s="51" t="n">
        <v>0.0887</v>
      </c>
      <c r="J1930" s="51" t="n">
        <v>0.0112</v>
      </c>
      <c r="K1930" s="49"/>
      <c r="L1930" s="49"/>
      <c r="M1930" s="49"/>
      <c r="N1930" s="49"/>
      <c r="O1930" s="49"/>
      <c r="P1930" s="49"/>
      <c r="Q1930" s="49"/>
      <c r="R1930" s="49"/>
      <c r="S1930" s="49" t="n">
        <v>0</v>
      </c>
      <c r="T1930" s="49" t="n">
        <v>0</v>
      </c>
      <c r="U1930" s="49" t="s">
        <v>4111</v>
      </c>
    </row>
    <row r="1931" customFormat="false" ht="15" hidden="false" customHeight="false" outlineLevel="0" collapsed="false">
      <c r="B1931" s="48" t="n">
        <v>45631.5692361111</v>
      </c>
      <c r="C1931" s="4" t="n">
        <f aca="false">YEAR(B1931)</f>
        <v>2024</v>
      </c>
      <c r="D1931" s="49" t="s">
        <v>278</v>
      </c>
      <c r="E1931" s="49" t="s">
        <v>4112</v>
      </c>
      <c r="F1931" s="50" t="n">
        <v>725</v>
      </c>
      <c r="G1931" s="49" t="s">
        <v>280</v>
      </c>
      <c r="H1931" s="51" t="n">
        <v>0.6809</v>
      </c>
      <c r="I1931" s="51" t="n">
        <v>0.3057</v>
      </c>
      <c r="J1931" s="51" t="n">
        <v>0.0134</v>
      </c>
      <c r="K1931" s="49"/>
      <c r="L1931" s="49"/>
      <c r="M1931" s="49"/>
      <c r="N1931" s="49"/>
      <c r="O1931" s="49"/>
      <c r="P1931" s="49"/>
      <c r="Q1931" s="49"/>
      <c r="R1931" s="49"/>
      <c r="S1931" s="49" t="n">
        <v>0</v>
      </c>
      <c r="T1931" s="49" t="n">
        <v>0</v>
      </c>
      <c r="U1931" s="49" t="s">
        <v>4113</v>
      </c>
    </row>
    <row r="1932" customFormat="false" ht="15" hidden="false" customHeight="false" outlineLevel="0" collapsed="false">
      <c r="B1932" s="48" t="n">
        <v>45632.0030439815</v>
      </c>
      <c r="C1932" s="4" t="n">
        <f aca="false">YEAR(B1932)</f>
        <v>2024</v>
      </c>
      <c r="D1932" s="49" t="s">
        <v>283</v>
      </c>
      <c r="E1932" s="49" t="s">
        <v>4114</v>
      </c>
      <c r="F1932" s="50" t="n">
        <v>0</v>
      </c>
      <c r="G1932" s="49" t="s">
        <v>287</v>
      </c>
      <c r="H1932" s="51" t="n">
        <v>0.0122</v>
      </c>
      <c r="I1932" s="51" t="n">
        <v>0.1353</v>
      </c>
      <c r="J1932" s="51" t="n">
        <v>0.8525</v>
      </c>
      <c r="K1932" s="49" t="s">
        <v>281</v>
      </c>
      <c r="L1932" s="49"/>
      <c r="M1932" s="49"/>
      <c r="N1932" s="49"/>
      <c r="O1932" s="49"/>
      <c r="P1932" s="49" t="s">
        <v>281</v>
      </c>
      <c r="Q1932" s="49" t="s">
        <v>281</v>
      </c>
      <c r="R1932" s="49" t="s">
        <v>281</v>
      </c>
      <c r="S1932" s="49" t="n">
        <v>0</v>
      </c>
      <c r="T1932" s="49" t="n">
        <v>0</v>
      </c>
      <c r="U1932" s="49" t="s">
        <v>4115</v>
      </c>
    </row>
    <row r="1933" customFormat="false" ht="15" hidden="false" customHeight="false" outlineLevel="0" collapsed="false">
      <c r="B1933" s="48" t="n">
        <v>45632.1401851852</v>
      </c>
      <c r="C1933" s="4" t="n">
        <f aca="false">YEAR(B1933)</f>
        <v>2024</v>
      </c>
      <c r="D1933" s="49" t="s">
        <v>278</v>
      </c>
      <c r="E1933" s="49" t="s">
        <v>4116</v>
      </c>
      <c r="F1933" s="50" t="n">
        <v>0</v>
      </c>
      <c r="G1933" s="49" t="s">
        <v>287</v>
      </c>
      <c r="H1933" s="51" t="n">
        <v>0.0136</v>
      </c>
      <c r="I1933" s="51" t="n">
        <v>0.4726</v>
      </c>
      <c r="J1933" s="51" t="n">
        <v>0.5138</v>
      </c>
      <c r="K1933" s="49"/>
      <c r="L1933" s="49"/>
      <c r="M1933" s="49"/>
      <c r="N1933" s="49"/>
      <c r="O1933" s="49"/>
      <c r="P1933" s="49"/>
      <c r="Q1933" s="49"/>
      <c r="R1933" s="49"/>
      <c r="S1933" s="49" t="n">
        <v>0</v>
      </c>
      <c r="T1933" s="49" t="n">
        <v>0</v>
      </c>
      <c r="U1933" s="49" t="s">
        <v>4117</v>
      </c>
    </row>
    <row r="1934" customFormat="false" ht="15" hidden="false" customHeight="false" outlineLevel="0" collapsed="false">
      <c r="B1934" s="48" t="n">
        <v>45632.2448148148</v>
      </c>
      <c r="C1934" s="4" t="n">
        <f aca="false">YEAR(B1934)</f>
        <v>2024</v>
      </c>
      <c r="D1934" s="49" t="s">
        <v>278</v>
      </c>
      <c r="E1934" s="49" t="s">
        <v>4118</v>
      </c>
      <c r="F1934" s="50" t="n">
        <v>4</v>
      </c>
      <c r="G1934" s="49" t="s">
        <v>287</v>
      </c>
      <c r="H1934" s="51" t="n">
        <v>0.0033</v>
      </c>
      <c r="I1934" s="51" t="n">
        <v>0.1326</v>
      </c>
      <c r="J1934" s="51" t="n">
        <v>0.8641</v>
      </c>
      <c r="K1934" s="49" t="s">
        <v>281</v>
      </c>
      <c r="L1934" s="49"/>
      <c r="M1934" s="49"/>
      <c r="N1934" s="49"/>
      <c r="O1934" s="49"/>
      <c r="P1934" s="49"/>
      <c r="Q1934" s="49"/>
      <c r="R1934" s="49"/>
      <c r="S1934" s="49" t="n">
        <v>0</v>
      </c>
      <c r="T1934" s="49" t="n">
        <v>0</v>
      </c>
      <c r="U1934" s="49" t="s">
        <v>4119</v>
      </c>
    </row>
    <row r="1935" customFormat="false" ht="15" hidden="false" customHeight="false" outlineLevel="0" collapsed="false">
      <c r="B1935" s="48" t="n">
        <v>45632.6772685185</v>
      </c>
      <c r="C1935" s="4" t="n">
        <f aca="false">YEAR(B1935)</f>
        <v>2024</v>
      </c>
      <c r="D1935" s="49" t="s">
        <v>278</v>
      </c>
      <c r="E1935" s="49" t="s">
        <v>4120</v>
      </c>
      <c r="F1935" s="50" t="n">
        <v>1</v>
      </c>
      <c r="G1935" s="49" t="s">
        <v>280</v>
      </c>
      <c r="H1935" s="51" t="n">
        <v>0.6627</v>
      </c>
      <c r="I1935" s="51" t="n">
        <v>0.3248</v>
      </c>
      <c r="J1935" s="51" t="n">
        <v>0.0125</v>
      </c>
      <c r="K1935" s="49"/>
      <c r="L1935" s="49"/>
      <c r="M1935" s="49"/>
      <c r="N1935" s="49"/>
      <c r="O1935" s="49"/>
      <c r="P1935" s="49"/>
      <c r="Q1935" s="49"/>
      <c r="R1935" s="49"/>
      <c r="S1935" s="49" t="n">
        <v>0</v>
      </c>
      <c r="T1935" s="49" t="n">
        <v>0</v>
      </c>
      <c r="U1935" s="49" t="s">
        <v>4121</v>
      </c>
    </row>
    <row r="1936" customFormat="false" ht="15" hidden="false" customHeight="false" outlineLevel="0" collapsed="false">
      <c r="B1936" s="48" t="n">
        <v>45632.8349305556</v>
      </c>
      <c r="C1936" s="4" t="n">
        <f aca="false">YEAR(B1936)</f>
        <v>2024</v>
      </c>
      <c r="D1936" s="49" t="s">
        <v>283</v>
      </c>
      <c r="E1936" s="49" t="s">
        <v>4072</v>
      </c>
      <c r="F1936" s="50" t="n">
        <v>1</v>
      </c>
      <c r="G1936" s="49" t="s">
        <v>287</v>
      </c>
      <c r="H1936" s="51" t="n">
        <v>0.0045</v>
      </c>
      <c r="I1936" s="51" t="n">
        <v>0.315</v>
      </c>
      <c r="J1936" s="51" t="n">
        <v>0.6805</v>
      </c>
      <c r="K1936" s="49"/>
      <c r="L1936" s="49"/>
      <c r="M1936" s="49"/>
      <c r="N1936" s="49"/>
      <c r="O1936" s="49"/>
      <c r="P1936" s="49"/>
      <c r="Q1936" s="49"/>
      <c r="R1936" s="49"/>
      <c r="S1936" s="49" t="n">
        <v>0</v>
      </c>
      <c r="T1936" s="49" t="n">
        <v>0</v>
      </c>
      <c r="U1936" s="49" t="s">
        <v>4122</v>
      </c>
    </row>
    <row r="1937" customFormat="false" ht="15" hidden="false" customHeight="false" outlineLevel="0" collapsed="false">
      <c r="B1937" s="48" t="n">
        <v>45632.9451273148</v>
      </c>
      <c r="C1937" s="4" t="n">
        <f aca="false">YEAR(B1937)</f>
        <v>2024</v>
      </c>
      <c r="D1937" s="49" t="s">
        <v>283</v>
      </c>
      <c r="E1937" s="49" t="s">
        <v>4123</v>
      </c>
      <c r="F1937" s="50" t="n">
        <v>1</v>
      </c>
      <c r="G1937" s="49" t="s">
        <v>280</v>
      </c>
      <c r="H1937" s="51" t="n">
        <v>0.767</v>
      </c>
      <c r="I1937" s="51" t="n">
        <v>0.2234</v>
      </c>
      <c r="J1937" s="51" t="n">
        <v>0.0096</v>
      </c>
      <c r="K1937" s="49"/>
      <c r="L1937" s="49"/>
      <c r="M1937" s="49"/>
      <c r="N1937" s="49"/>
      <c r="O1937" s="49"/>
      <c r="P1937" s="49"/>
      <c r="Q1937" s="49"/>
      <c r="R1937" s="49"/>
      <c r="S1937" s="49" t="n">
        <v>0</v>
      </c>
      <c r="T1937" s="49" t="n">
        <v>0</v>
      </c>
      <c r="U1937" s="49" t="s">
        <v>4124</v>
      </c>
    </row>
    <row r="1938" customFormat="false" ht="15" hidden="false" customHeight="false" outlineLevel="0" collapsed="false">
      <c r="B1938" s="48" t="n">
        <v>45633.4808796296</v>
      </c>
      <c r="C1938" s="4" t="n">
        <f aca="false">YEAR(B1938)</f>
        <v>2024</v>
      </c>
      <c r="D1938" s="49" t="s">
        <v>283</v>
      </c>
      <c r="E1938" s="49" t="s">
        <v>4125</v>
      </c>
      <c r="F1938" s="50" t="n">
        <v>5</v>
      </c>
      <c r="G1938" s="49" t="s">
        <v>287</v>
      </c>
      <c r="H1938" s="51" t="n">
        <v>0.1539</v>
      </c>
      <c r="I1938" s="51" t="n">
        <v>0.366</v>
      </c>
      <c r="J1938" s="51" t="n">
        <v>0.4801</v>
      </c>
      <c r="K1938" s="49"/>
      <c r="L1938" s="49"/>
      <c r="M1938" s="49"/>
      <c r="N1938" s="49"/>
      <c r="O1938" s="49"/>
      <c r="P1938" s="49"/>
      <c r="Q1938" s="49"/>
      <c r="R1938" s="49"/>
      <c r="S1938" s="49" t="n">
        <v>0</v>
      </c>
      <c r="T1938" s="49" t="n">
        <v>0</v>
      </c>
      <c r="U1938" s="49" t="s">
        <v>4126</v>
      </c>
    </row>
    <row r="1939" customFormat="false" ht="15" hidden="false" customHeight="false" outlineLevel="0" collapsed="false">
      <c r="B1939" s="48" t="n">
        <v>45633.7011805556</v>
      </c>
      <c r="C1939" s="4" t="n">
        <f aca="false">YEAR(B1939)</f>
        <v>2024</v>
      </c>
      <c r="D1939" s="49" t="s">
        <v>283</v>
      </c>
      <c r="E1939" s="49" t="s">
        <v>4127</v>
      </c>
      <c r="F1939" s="50" t="n">
        <v>1</v>
      </c>
      <c r="G1939" s="49" t="s">
        <v>290</v>
      </c>
      <c r="H1939" s="51" t="n">
        <v>0.0293</v>
      </c>
      <c r="I1939" s="51" t="n">
        <v>0.8787</v>
      </c>
      <c r="J1939" s="51" t="n">
        <v>0.092</v>
      </c>
      <c r="K1939" s="49"/>
      <c r="L1939" s="49"/>
      <c r="M1939" s="49"/>
      <c r="N1939" s="49"/>
      <c r="O1939" s="49"/>
      <c r="P1939" s="49"/>
      <c r="Q1939" s="49"/>
      <c r="R1939" s="49"/>
      <c r="S1939" s="49" t="n">
        <v>0</v>
      </c>
      <c r="T1939" s="49" t="n">
        <v>0</v>
      </c>
      <c r="U1939" s="49" t="s">
        <v>4128</v>
      </c>
    </row>
    <row r="1940" customFormat="false" ht="15" hidden="false" customHeight="false" outlineLevel="0" collapsed="false">
      <c r="B1940" s="48" t="n">
        <v>45633.7833564815</v>
      </c>
      <c r="C1940" s="4" t="n">
        <f aca="false">YEAR(B1940)</f>
        <v>2024</v>
      </c>
      <c r="D1940" s="49" t="s">
        <v>283</v>
      </c>
      <c r="E1940" s="49" t="s">
        <v>4129</v>
      </c>
      <c r="F1940" s="50" t="n">
        <v>4</v>
      </c>
      <c r="G1940" s="49" t="s">
        <v>287</v>
      </c>
      <c r="H1940" s="51" t="n">
        <v>0.0049</v>
      </c>
      <c r="I1940" s="51" t="n">
        <v>0.0518</v>
      </c>
      <c r="J1940" s="51" t="n">
        <v>0.9433</v>
      </c>
      <c r="K1940" s="49"/>
      <c r="L1940" s="49"/>
      <c r="M1940" s="49"/>
      <c r="N1940" s="49"/>
      <c r="O1940" s="49"/>
      <c r="P1940" s="49"/>
      <c r="Q1940" s="49"/>
      <c r="R1940" s="49"/>
      <c r="S1940" s="49" t="n">
        <v>0</v>
      </c>
      <c r="T1940" s="49" t="n">
        <v>0</v>
      </c>
      <c r="U1940" s="49" t="s">
        <v>4130</v>
      </c>
    </row>
    <row r="1941" customFormat="false" ht="15" hidden="false" customHeight="false" outlineLevel="0" collapsed="false">
      <c r="B1941" s="48" t="n">
        <v>45634.2232407407</v>
      </c>
      <c r="C1941" s="4" t="n">
        <f aca="false">YEAR(B1941)</f>
        <v>2024</v>
      </c>
      <c r="D1941" s="49" t="s">
        <v>283</v>
      </c>
      <c r="E1941" s="49" t="s">
        <v>4131</v>
      </c>
      <c r="F1941" s="50" t="n">
        <v>16</v>
      </c>
      <c r="G1941" s="49" t="s">
        <v>290</v>
      </c>
      <c r="H1941" s="51" t="n">
        <v>0.0264</v>
      </c>
      <c r="I1941" s="51" t="n">
        <v>0.5847</v>
      </c>
      <c r="J1941" s="51" t="n">
        <v>0.3889</v>
      </c>
      <c r="K1941" s="49"/>
      <c r="L1941" s="49"/>
      <c r="M1941" s="49"/>
      <c r="N1941" s="49"/>
      <c r="O1941" s="49"/>
      <c r="P1941" s="49"/>
      <c r="Q1941" s="49"/>
      <c r="R1941" s="49"/>
      <c r="S1941" s="49" t="n">
        <v>0</v>
      </c>
      <c r="T1941" s="49" t="n">
        <v>0</v>
      </c>
      <c r="U1941" s="49" t="s">
        <v>4132</v>
      </c>
    </row>
    <row r="1942" customFormat="false" ht="15" hidden="false" customHeight="false" outlineLevel="0" collapsed="false">
      <c r="B1942" s="48" t="n">
        <v>45635.6957407407</v>
      </c>
      <c r="C1942" s="4" t="n">
        <f aca="false">YEAR(B1942)</f>
        <v>2024</v>
      </c>
      <c r="D1942" s="49" t="s">
        <v>283</v>
      </c>
      <c r="E1942" s="49" t="s">
        <v>4133</v>
      </c>
      <c r="F1942" s="50" t="n">
        <v>1</v>
      </c>
      <c r="G1942" s="49" t="s">
        <v>287</v>
      </c>
      <c r="H1942" s="51" t="n">
        <v>0.003</v>
      </c>
      <c r="I1942" s="51" t="n">
        <v>0.0196</v>
      </c>
      <c r="J1942" s="51" t="n">
        <v>0.9773</v>
      </c>
      <c r="K1942" s="49"/>
      <c r="L1942" s="49"/>
      <c r="M1942" s="49"/>
      <c r="N1942" s="49"/>
      <c r="O1942" s="49"/>
      <c r="P1942" s="49"/>
      <c r="Q1942" s="49"/>
      <c r="R1942" s="49"/>
      <c r="S1942" s="49" t="n">
        <v>0</v>
      </c>
      <c r="T1942" s="49" t="n">
        <v>0</v>
      </c>
      <c r="U1942" s="49" t="s">
        <v>4134</v>
      </c>
    </row>
    <row r="1943" customFormat="false" ht="15" hidden="false" customHeight="false" outlineLevel="0" collapsed="false">
      <c r="B1943" s="48" t="n">
        <v>45635.7318634259</v>
      </c>
      <c r="C1943" s="4" t="n">
        <f aca="false">YEAR(B1943)</f>
        <v>2024</v>
      </c>
      <c r="D1943" s="49" t="s">
        <v>283</v>
      </c>
      <c r="E1943" s="49" t="s">
        <v>4135</v>
      </c>
      <c r="F1943" s="50" t="n">
        <v>47</v>
      </c>
      <c r="G1943" s="49" t="s">
        <v>280</v>
      </c>
      <c r="H1943" s="51" t="n">
        <v>0.4292</v>
      </c>
      <c r="I1943" s="51" t="n">
        <v>0.3321</v>
      </c>
      <c r="J1943" s="51" t="n">
        <v>0.2387</v>
      </c>
      <c r="K1943" s="49"/>
      <c r="L1943" s="49"/>
      <c r="M1943" s="49"/>
      <c r="N1943" s="49"/>
      <c r="O1943" s="49"/>
      <c r="P1943" s="49"/>
      <c r="Q1943" s="49"/>
      <c r="R1943" s="49"/>
      <c r="S1943" s="49" t="n">
        <v>0</v>
      </c>
      <c r="T1943" s="49" t="n">
        <v>0</v>
      </c>
      <c r="U1943" s="49" t="s">
        <v>4136</v>
      </c>
    </row>
    <row r="1944" customFormat="false" ht="15" hidden="false" customHeight="false" outlineLevel="0" collapsed="false">
      <c r="B1944" s="48" t="n">
        <v>45636.2496990741</v>
      </c>
      <c r="C1944" s="4" t="n">
        <f aca="false">YEAR(B1944)</f>
        <v>2024</v>
      </c>
      <c r="D1944" s="49" t="s">
        <v>278</v>
      </c>
      <c r="E1944" s="49" t="s">
        <v>4137</v>
      </c>
      <c r="F1944" s="50" t="n">
        <v>9</v>
      </c>
      <c r="G1944" s="49" t="s">
        <v>280</v>
      </c>
      <c r="H1944" s="51" t="n">
        <v>0.8154</v>
      </c>
      <c r="I1944" s="51" t="n">
        <v>0.1756</v>
      </c>
      <c r="J1944" s="51" t="n">
        <v>0.009</v>
      </c>
      <c r="K1944" s="49"/>
      <c r="L1944" s="49"/>
      <c r="M1944" s="49"/>
      <c r="N1944" s="49"/>
      <c r="O1944" s="49"/>
      <c r="P1944" s="49"/>
      <c r="Q1944" s="49"/>
      <c r="R1944" s="49" t="s">
        <v>281</v>
      </c>
      <c r="S1944" s="49" t="n">
        <v>0</v>
      </c>
      <c r="T1944" s="49" t="n">
        <v>0</v>
      </c>
      <c r="U1944" s="49" t="s">
        <v>4138</v>
      </c>
    </row>
    <row r="1945" customFormat="false" ht="15" hidden="false" customHeight="false" outlineLevel="0" collapsed="false">
      <c r="B1945" s="48" t="n">
        <v>45637.5815277778</v>
      </c>
      <c r="C1945" s="4" t="n">
        <f aca="false">YEAR(B1945)</f>
        <v>2024</v>
      </c>
      <c r="D1945" s="49" t="s">
        <v>283</v>
      </c>
      <c r="E1945" s="49" t="s">
        <v>4139</v>
      </c>
      <c r="F1945" s="50" t="n">
        <v>1</v>
      </c>
      <c r="G1945" s="49" t="s">
        <v>287</v>
      </c>
      <c r="H1945" s="51" t="n">
        <v>0.0022</v>
      </c>
      <c r="I1945" s="51" t="n">
        <v>0.0116</v>
      </c>
      <c r="J1945" s="51" t="n">
        <v>0.9862</v>
      </c>
      <c r="K1945" s="49"/>
      <c r="L1945" s="49"/>
      <c r="M1945" s="49"/>
      <c r="N1945" s="49"/>
      <c r="O1945" s="49"/>
      <c r="P1945" s="49"/>
      <c r="Q1945" s="49"/>
      <c r="R1945" s="49" t="s">
        <v>281</v>
      </c>
      <c r="S1945" s="49" t="n">
        <v>0</v>
      </c>
      <c r="T1945" s="49" t="n">
        <v>0</v>
      </c>
      <c r="U1945" s="49" t="s">
        <v>4140</v>
      </c>
    </row>
    <row r="1946" customFormat="false" ht="15" hidden="false" customHeight="false" outlineLevel="0" collapsed="false">
      <c r="B1946" s="48" t="n">
        <v>45637.5829398148</v>
      </c>
      <c r="C1946" s="4" t="n">
        <f aca="false">YEAR(B1946)</f>
        <v>2024</v>
      </c>
      <c r="D1946" s="49" t="s">
        <v>283</v>
      </c>
      <c r="E1946" s="49" t="s">
        <v>4141</v>
      </c>
      <c r="F1946" s="50" t="n">
        <v>7</v>
      </c>
      <c r="G1946" s="49" t="s">
        <v>287</v>
      </c>
      <c r="H1946" s="51" t="n">
        <v>0.0023</v>
      </c>
      <c r="I1946" s="51" t="n">
        <v>0.0112</v>
      </c>
      <c r="J1946" s="51" t="n">
        <v>0.9865</v>
      </c>
      <c r="K1946" s="49"/>
      <c r="L1946" s="49"/>
      <c r="M1946" s="49"/>
      <c r="N1946" s="49"/>
      <c r="O1946" s="49"/>
      <c r="P1946" s="49"/>
      <c r="Q1946" s="49"/>
      <c r="R1946" s="49" t="s">
        <v>281</v>
      </c>
      <c r="S1946" s="49" t="n">
        <v>0</v>
      </c>
      <c r="T1946" s="49" t="n">
        <v>0</v>
      </c>
      <c r="U1946" s="49" t="s">
        <v>4142</v>
      </c>
    </row>
    <row r="1947" customFormat="false" ht="15" hidden="false" customHeight="false" outlineLevel="0" collapsed="false">
      <c r="B1947" s="48" t="n">
        <v>45637.7074074074</v>
      </c>
      <c r="C1947" s="4" t="n">
        <f aca="false">YEAR(B1947)</f>
        <v>2024</v>
      </c>
      <c r="D1947" s="49" t="s">
        <v>278</v>
      </c>
      <c r="E1947" s="49" t="s">
        <v>4143</v>
      </c>
      <c r="F1947" s="50" t="n">
        <v>1</v>
      </c>
      <c r="G1947" s="49" t="s">
        <v>290</v>
      </c>
      <c r="H1947" s="51" t="n">
        <v>0.4286</v>
      </c>
      <c r="I1947" s="51" t="n">
        <v>0.5165</v>
      </c>
      <c r="J1947" s="51" t="n">
        <v>0.0549</v>
      </c>
      <c r="K1947" s="49"/>
      <c r="L1947" s="49"/>
      <c r="M1947" s="49"/>
      <c r="N1947" s="49"/>
      <c r="O1947" s="49"/>
      <c r="P1947" s="49"/>
      <c r="Q1947" s="49"/>
      <c r="R1947" s="49" t="s">
        <v>281</v>
      </c>
      <c r="S1947" s="49" t="n">
        <v>0</v>
      </c>
      <c r="T1947" s="49" t="n">
        <v>0</v>
      </c>
      <c r="U1947" s="49" t="s">
        <v>4144</v>
      </c>
    </row>
    <row r="1948" customFormat="false" ht="15" hidden="false" customHeight="false" outlineLevel="0" collapsed="false">
      <c r="B1948" s="48" t="n">
        <v>45637.8692824074</v>
      </c>
      <c r="C1948" s="4" t="n">
        <f aca="false">YEAR(B1948)</f>
        <v>2024</v>
      </c>
      <c r="D1948" s="49" t="s">
        <v>283</v>
      </c>
      <c r="E1948" s="49" t="s">
        <v>4145</v>
      </c>
      <c r="F1948" s="50" t="n">
        <v>1</v>
      </c>
      <c r="G1948" s="49" t="s">
        <v>287</v>
      </c>
      <c r="H1948" s="51" t="n">
        <v>0.0066</v>
      </c>
      <c r="I1948" s="51" t="n">
        <v>0.431</v>
      </c>
      <c r="J1948" s="51" t="n">
        <v>0.5624</v>
      </c>
      <c r="K1948" s="49"/>
      <c r="L1948" s="49"/>
      <c r="M1948" s="49"/>
      <c r="N1948" s="49"/>
      <c r="O1948" s="49"/>
      <c r="P1948" s="49"/>
      <c r="Q1948" s="49"/>
      <c r="R1948" s="49"/>
      <c r="S1948" s="49" t="n">
        <v>0</v>
      </c>
      <c r="T1948" s="49" t="n">
        <v>0</v>
      </c>
      <c r="U1948" s="49" t="s">
        <v>4146</v>
      </c>
    </row>
    <row r="1949" customFormat="false" ht="15" hidden="false" customHeight="false" outlineLevel="0" collapsed="false">
      <c r="B1949" s="48" t="n">
        <v>45638.3989930556</v>
      </c>
      <c r="C1949" s="4" t="n">
        <f aca="false">YEAR(B1949)</f>
        <v>2024</v>
      </c>
      <c r="D1949" s="49" t="s">
        <v>283</v>
      </c>
      <c r="E1949" s="49" t="s">
        <v>4147</v>
      </c>
      <c r="F1949" s="50" t="n">
        <v>1</v>
      </c>
      <c r="G1949" s="49" t="s">
        <v>290</v>
      </c>
      <c r="H1949" s="51" t="n">
        <v>0.31</v>
      </c>
      <c r="I1949" s="51" t="n">
        <v>0.6613</v>
      </c>
      <c r="J1949" s="51" t="n">
        <v>0.0286</v>
      </c>
      <c r="K1949" s="49"/>
      <c r="L1949" s="49"/>
      <c r="M1949" s="49"/>
      <c r="N1949" s="49"/>
      <c r="O1949" s="49"/>
      <c r="P1949" s="49"/>
      <c r="Q1949" s="49"/>
      <c r="R1949" s="49" t="s">
        <v>281</v>
      </c>
      <c r="S1949" s="49" t="n">
        <v>0</v>
      </c>
      <c r="T1949" s="49" t="n">
        <v>0</v>
      </c>
      <c r="U1949" s="49" t="s">
        <v>4148</v>
      </c>
    </row>
    <row r="1950" customFormat="false" ht="15" hidden="false" customHeight="false" outlineLevel="0" collapsed="false">
      <c r="B1950" s="48" t="n">
        <v>45638.9120138889</v>
      </c>
      <c r="C1950" s="4" t="n">
        <f aca="false">YEAR(B1950)</f>
        <v>2024</v>
      </c>
      <c r="D1950" s="49" t="s">
        <v>283</v>
      </c>
      <c r="E1950" s="49" t="s">
        <v>4149</v>
      </c>
      <c r="F1950" s="50" t="n">
        <v>0</v>
      </c>
      <c r="G1950" s="49" t="s">
        <v>280</v>
      </c>
      <c r="H1950" s="51" t="n">
        <v>0.6924</v>
      </c>
      <c r="I1950" s="51" t="n">
        <v>0.2868</v>
      </c>
      <c r="J1950" s="51" t="n">
        <v>0.0209</v>
      </c>
      <c r="K1950" s="49"/>
      <c r="L1950" s="49"/>
      <c r="M1950" s="49"/>
      <c r="N1950" s="49"/>
      <c r="O1950" s="49"/>
      <c r="P1950" s="49"/>
      <c r="Q1950" s="49"/>
      <c r="R1950" s="49"/>
      <c r="S1950" s="49" t="n">
        <v>0</v>
      </c>
      <c r="T1950" s="49" t="n">
        <v>0</v>
      </c>
      <c r="U1950" s="49" t="s">
        <v>4150</v>
      </c>
    </row>
    <row r="1951" customFormat="false" ht="15" hidden="false" customHeight="false" outlineLevel="0" collapsed="false">
      <c r="B1951" s="48" t="n">
        <v>45639.0659837963</v>
      </c>
      <c r="C1951" s="4" t="n">
        <f aca="false">YEAR(B1951)</f>
        <v>2024</v>
      </c>
      <c r="D1951" s="49" t="s">
        <v>278</v>
      </c>
      <c r="E1951" s="49" t="s">
        <v>4151</v>
      </c>
      <c r="F1951" s="50" t="n">
        <v>2</v>
      </c>
      <c r="G1951" s="49" t="s">
        <v>280</v>
      </c>
      <c r="H1951" s="51" t="n">
        <v>0.7063</v>
      </c>
      <c r="I1951" s="51" t="n">
        <v>0.2822</v>
      </c>
      <c r="J1951" s="51" t="n">
        <v>0.0115</v>
      </c>
      <c r="K1951" s="49"/>
      <c r="L1951" s="49"/>
      <c r="M1951" s="49"/>
      <c r="N1951" s="49"/>
      <c r="O1951" s="49"/>
      <c r="P1951" s="49"/>
      <c r="Q1951" s="49"/>
      <c r="R1951" s="49"/>
      <c r="S1951" s="49" t="n">
        <v>0</v>
      </c>
      <c r="T1951" s="49" t="n">
        <v>0</v>
      </c>
      <c r="U1951" s="49" t="s">
        <v>4152</v>
      </c>
    </row>
    <row r="1952" customFormat="false" ht="15" hidden="false" customHeight="false" outlineLevel="0" collapsed="false">
      <c r="B1952" s="48" t="n">
        <v>45639.2433796296</v>
      </c>
      <c r="C1952" s="4" t="n">
        <f aca="false">YEAR(B1952)</f>
        <v>2024</v>
      </c>
      <c r="D1952" s="49" t="s">
        <v>283</v>
      </c>
      <c r="E1952" s="49" t="s">
        <v>4153</v>
      </c>
      <c r="F1952" s="50" t="n">
        <v>5</v>
      </c>
      <c r="G1952" s="49" t="s">
        <v>287</v>
      </c>
      <c r="H1952" s="51" t="n">
        <v>0.0364</v>
      </c>
      <c r="I1952" s="51" t="n">
        <v>0.4098</v>
      </c>
      <c r="J1952" s="51" t="n">
        <v>0.5538</v>
      </c>
      <c r="K1952" s="49"/>
      <c r="L1952" s="49"/>
      <c r="M1952" s="49"/>
      <c r="N1952" s="49"/>
      <c r="O1952" s="49"/>
      <c r="P1952" s="49"/>
      <c r="Q1952" s="49"/>
      <c r="R1952" s="49"/>
      <c r="S1952" s="49" t="n">
        <v>0</v>
      </c>
      <c r="T1952" s="49" t="n">
        <v>0</v>
      </c>
      <c r="U1952" s="49" t="s">
        <v>4154</v>
      </c>
    </row>
    <row r="1953" customFormat="false" ht="15" hidden="false" customHeight="false" outlineLevel="0" collapsed="false">
      <c r="B1953" s="48" t="n">
        <v>45639.3475</v>
      </c>
      <c r="C1953" s="4" t="n">
        <f aca="false">YEAR(B1953)</f>
        <v>2024</v>
      </c>
      <c r="D1953" s="49" t="s">
        <v>283</v>
      </c>
      <c r="E1953" s="49" t="s">
        <v>4155</v>
      </c>
      <c r="F1953" s="50" t="n">
        <v>6</v>
      </c>
      <c r="G1953" s="49" t="s">
        <v>280</v>
      </c>
      <c r="H1953" s="51" t="n">
        <v>0.8631</v>
      </c>
      <c r="I1953" s="51" t="n">
        <v>0.1203</v>
      </c>
      <c r="J1953" s="51" t="n">
        <v>0.0167</v>
      </c>
      <c r="K1953" s="49"/>
      <c r="L1953" s="49"/>
      <c r="M1953" s="49"/>
      <c r="N1953" s="49"/>
      <c r="O1953" s="49"/>
      <c r="P1953" s="49"/>
      <c r="Q1953" s="49"/>
      <c r="R1953" s="49" t="s">
        <v>281</v>
      </c>
      <c r="S1953" s="49" t="n">
        <v>0</v>
      </c>
      <c r="T1953" s="49" t="n">
        <v>0</v>
      </c>
      <c r="U1953" s="49" t="s">
        <v>4156</v>
      </c>
    </row>
    <row r="1954" customFormat="false" ht="15" hidden="false" customHeight="false" outlineLevel="0" collapsed="false">
      <c r="B1954" s="48" t="n">
        <v>45639.6516782407</v>
      </c>
      <c r="C1954" s="4" t="n">
        <f aca="false">YEAR(B1954)</f>
        <v>2024</v>
      </c>
      <c r="D1954" s="49" t="s">
        <v>283</v>
      </c>
      <c r="E1954" s="49" t="s">
        <v>4157</v>
      </c>
      <c r="F1954" s="50" t="n">
        <v>1</v>
      </c>
      <c r="G1954" s="49" t="s">
        <v>290</v>
      </c>
      <c r="H1954" s="51" t="n">
        <v>0.032</v>
      </c>
      <c r="I1954" s="51" t="n">
        <v>0.7445</v>
      </c>
      <c r="J1954" s="51" t="n">
        <v>0.2235</v>
      </c>
      <c r="K1954" s="49"/>
      <c r="L1954" s="49"/>
      <c r="M1954" s="49"/>
      <c r="N1954" s="49"/>
      <c r="O1954" s="49"/>
      <c r="P1954" s="49"/>
      <c r="Q1954" s="49"/>
      <c r="R1954" s="49"/>
      <c r="S1954" s="49" t="n">
        <v>0</v>
      </c>
      <c r="T1954" s="49" t="n">
        <v>0</v>
      </c>
      <c r="U1954" s="49" t="s">
        <v>4158</v>
      </c>
    </row>
    <row r="1955" customFormat="false" ht="15" hidden="false" customHeight="false" outlineLevel="0" collapsed="false">
      <c r="B1955" s="48" t="n">
        <v>45639.9357407407</v>
      </c>
      <c r="C1955" s="4" t="n">
        <f aca="false">YEAR(B1955)</f>
        <v>2024</v>
      </c>
      <c r="D1955" s="49" t="s">
        <v>283</v>
      </c>
      <c r="E1955" s="49" t="s">
        <v>4159</v>
      </c>
      <c r="F1955" s="50" t="n">
        <v>1</v>
      </c>
      <c r="G1955" s="49" t="s">
        <v>290</v>
      </c>
      <c r="H1955" s="51" t="n">
        <v>0.0828</v>
      </c>
      <c r="I1955" s="51" t="n">
        <v>0.6588</v>
      </c>
      <c r="J1955" s="51" t="n">
        <v>0.2584</v>
      </c>
      <c r="K1955" s="49"/>
      <c r="L1955" s="49"/>
      <c r="M1955" s="49"/>
      <c r="N1955" s="49"/>
      <c r="O1955" s="49"/>
      <c r="P1955" s="49"/>
      <c r="Q1955" s="49"/>
      <c r="R1955" s="49"/>
      <c r="S1955" s="49" t="n">
        <v>0</v>
      </c>
      <c r="T1955" s="49" t="n">
        <v>0</v>
      </c>
      <c r="U1955" s="49" t="s">
        <v>4160</v>
      </c>
    </row>
    <row r="1956" customFormat="false" ht="15" hidden="false" customHeight="false" outlineLevel="0" collapsed="false">
      <c r="B1956" s="48" t="n">
        <v>45640.1038194444</v>
      </c>
      <c r="C1956" s="4" t="n">
        <f aca="false">YEAR(B1956)</f>
        <v>2024</v>
      </c>
      <c r="D1956" s="49" t="s">
        <v>283</v>
      </c>
      <c r="E1956" s="49" t="s">
        <v>4161</v>
      </c>
      <c r="F1956" s="50" t="n">
        <v>1</v>
      </c>
      <c r="G1956" s="49" t="s">
        <v>290</v>
      </c>
      <c r="H1956" s="51" t="n">
        <v>0.0226</v>
      </c>
      <c r="I1956" s="51" t="n">
        <v>0.8642</v>
      </c>
      <c r="J1956" s="51" t="n">
        <v>0.1133</v>
      </c>
      <c r="K1956" s="49"/>
      <c r="L1956" s="49"/>
      <c r="M1956" s="49"/>
      <c r="N1956" s="49"/>
      <c r="O1956" s="49"/>
      <c r="P1956" s="49"/>
      <c r="Q1956" s="49"/>
      <c r="R1956" s="49"/>
      <c r="S1956" s="49" t="n">
        <v>0</v>
      </c>
      <c r="T1956" s="49" t="n">
        <v>0</v>
      </c>
      <c r="U1956" s="49" t="s">
        <v>4162</v>
      </c>
    </row>
    <row r="1957" customFormat="false" ht="15" hidden="false" customHeight="false" outlineLevel="0" collapsed="false">
      <c r="B1957" s="48" t="n">
        <v>45640.7589351852</v>
      </c>
      <c r="C1957" s="4" t="n">
        <f aca="false">YEAR(B1957)</f>
        <v>2024</v>
      </c>
      <c r="D1957" s="49" t="s">
        <v>283</v>
      </c>
      <c r="E1957" s="49" t="s">
        <v>4163</v>
      </c>
      <c r="F1957" s="50" t="n">
        <v>4</v>
      </c>
      <c r="G1957" s="49" t="s">
        <v>290</v>
      </c>
      <c r="H1957" s="51" t="n">
        <v>0.3824</v>
      </c>
      <c r="I1957" s="51" t="n">
        <v>0.59</v>
      </c>
      <c r="J1957" s="51" t="n">
        <v>0.0276</v>
      </c>
      <c r="K1957" s="49"/>
      <c r="L1957" s="49"/>
      <c r="M1957" s="49"/>
      <c r="N1957" s="49"/>
      <c r="O1957" s="49"/>
      <c r="P1957" s="49"/>
      <c r="Q1957" s="49"/>
      <c r="R1957" s="49"/>
      <c r="S1957" s="49" t="n">
        <v>0</v>
      </c>
      <c r="T1957" s="49" t="n">
        <v>0</v>
      </c>
      <c r="U1957" s="49" t="s">
        <v>4164</v>
      </c>
    </row>
    <row r="1958" customFormat="false" ht="15" hidden="false" customHeight="false" outlineLevel="0" collapsed="false">
      <c r="B1958" s="48" t="n">
        <v>45641.7061574074</v>
      </c>
      <c r="C1958" s="4" t="n">
        <f aca="false">YEAR(B1958)</f>
        <v>2024</v>
      </c>
      <c r="D1958" s="49" t="s">
        <v>283</v>
      </c>
      <c r="E1958" s="49" t="s">
        <v>4165</v>
      </c>
      <c r="F1958" s="50" t="n">
        <v>2</v>
      </c>
      <c r="G1958" s="49" t="s">
        <v>290</v>
      </c>
      <c r="H1958" s="51" t="n">
        <v>0.2132</v>
      </c>
      <c r="I1958" s="51" t="n">
        <v>0.7485</v>
      </c>
      <c r="J1958" s="51" t="n">
        <v>0.0383</v>
      </c>
      <c r="K1958" s="49"/>
      <c r="L1958" s="49"/>
      <c r="M1958" s="49"/>
      <c r="N1958" s="49"/>
      <c r="O1958" s="49"/>
      <c r="P1958" s="49"/>
      <c r="Q1958" s="49"/>
      <c r="R1958" s="49"/>
      <c r="S1958" s="49" t="n">
        <v>0</v>
      </c>
      <c r="T1958" s="49" t="n">
        <v>0</v>
      </c>
      <c r="U1958" s="49" t="s">
        <v>4166</v>
      </c>
    </row>
    <row r="1959" customFormat="false" ht="15" hidden="false" customHeight="false" outlineLevel="0" collapsed="false">
      <c r="B1959" s="48" t="n">
        <v>45642.5828935185</v>
      </c>
      <c r="C1959" s="4" t="n">
        <f aca="false">YEAR(B1959)</f>
        <v>2024</v>
      </c>
      <c r="D1959" s="49" t="s">
        <v>283</v>
      </c>
      <c r="E1959" s="49" t="s">
        <v>4167</v>
      </c>
      <c r="F1959" s="50" t="n">
        <v>0</v>
      </c>
      <c r="G1959" s="49" t="s">
        <v>287</v>
      </c>
      <c r="H1959" s="51" t="n">
        <v>0.0048</v>
      </c>
      <c r="I1959" s="51" t="n">
        <v>0.1926</v>
      </c>
      <c r="J1959" s="51" t="n">
        <v>0.8026</v>
      </c>
      <c r="K1959" s="49"/>
      <c r="L1959" s="49"/>
      <c r="M1959" s="49"/>
      <c r="N1959" s="49"/>
      <c r="O1959" s="49"/>
      <c r="P1959" s="49"/>
      <c r="Q1959" s="49"/>
      <c r="R1959" s="49"/>
      <c r="S1959" s="49" t="n">
        <v>0</v>
      </c>
      <c r="T1959" s="49" t="n">
        <v>0</v>
      </c>
      <c r="U1959" s="49" t="s">
        <v>4168</v>
      </c>
    </row>
    <row r="1960" customFormat="false" ht="15" hidden="false" customHeight="false" outlineLevel="0" collapsed="false">
      <c r="B1960" s="48" t="n">
        <v>45643.7063194444</v>
      </c>
      <c r="C1960" s="4" t="n">
        <f aca="false">YEAR(B1960)</f>
        <v>2024</v>
      </c>
      <c r="D1960" s="49" t="s">
        <v>283</v>
      </c>
      <c r="E1960" s="49" t="s">
        <v>4169</v>
      </c>
      <c r="F1960" s="50" t="n">
        <v>0</v>
      </c>
      <c r="G1960" s="49" t="s">
        <v>287</v>
      </c>
      <c r="H1960" s="51" t="n">
        <v>0.0063</v>
      </c>
      <c r="I1960" s="51" t="n">
        <v>0.0499</v>
      </c>
      <c r="J1960" s="51" t="n">
        <v>0.9438</v>
      </c>
      <c r="K1960" s="49"/>
      <c r="L1960" s="49"/>
      <c r="M1960" s="49"/>
      <c r="N1960" s="49"/>
      <c r="O1960" s="49"/>
      <c r="P1960" s="49"/>
      <c r="Q1960" s="49"/>
      <c r="R1960" s="49"/>
      <c r="S1960" s="49" t="n">
        <v>0</v>
      </c>
      <c r="T1960" s="49" t="n">
        <v>0</v>
      </c>
      <c r="U1960" s="49" t="s">
        <v>4170</v>
      </c>
    </row>
    <row r="1961" customFormat="false" ht="15" hidden="false" customHeight="false" outlineLevel="0" collapsed="false">
      <c r="B1961" s="48" t="n">
        <v>45644.3479166667</v>
      </c>
      <c r="C1961" s="4" t="n">
        <f aca="false">YEAR(B1961)</f>
        <v>2024</v>
      </c>
      <c r="D1961" s="49" t="s">
        <v>283</v>
      </c>
      <c r="E1961" s="49" t="s">
        <v>4171</v>
      </c>
      <c r="F1961" s="50" t="n">
        <v>0</v>
      </c>
      <c r="G1961" s="49" t="s">
        <v>287</v>
      </c>
      <c r="H1961" s="51" t="n">
        <v>0.0081</v>
      </c>
      <c r="I1961" s="51" t="n">
        <v>0.1043</v>
      </c>
      <c r="J1961" s="51" t="n">
        <v>0.8876</v>
      </c>
      <c r="K1961" s="49"/>
      <c r="L1961" s="49"/>
      <c r="M1961" s="49"/>
      <c r="N1961" s="49"/>
      <c r="O1961" s="49"/>
      <c r="P1961" s="49"/>
      <c r="Q1961" s="49"/>
      <c r="R1961" s="49"/>
      <c r="S1961" s="49" t="n">
        <v>0</v>
      </c>
      <c r="T1961" s="49" t="n">
        <v>0</v>
      </c>
      <c r="U1961" s="49" t="s">
        <v>4172</v>
      </c>
    </row>
    <row r="1962" customFormat="false" ht="15" hidden="false" customHeight="false" outlineLevel="0" collapsed="false">
      <c r="B1962" s="48" t="n">
        <v>45644.5857291667</v>
      </c>
      <c r="C1962" s="4" t="n">
        <f aca="false">YEAR(B1962)</f>
        <v>2024</v>
      </c>
      <c r="D1962" s="49" t="s">
        <v>283</v>
      </c>
      <c r="E1962" s="49" t="s">
        <v>4173</v>
      </c>
      <c r="F1962" s="50" t="n">
        <v>25</v>
      </c>
      <c r="G1962" s="49" t="s">
        <v>287</v>
      </c>
      <c r="H1962" s="51" t="n">
        <v>0.0037</v>
      </c>
      <c r="I1962" s="51" t="n">
        <v>0.1003</v>
      </c>
      <c r="J1962" s="51" t="n">
        <v>0.896</v>
      </c>
      <c r="K1962" s="49"/>
      <c r="L1962" s="49"/>
      <c r="M1962" s="49"/>
      <c r="N1962" s="49"/>
      <c r="O1962" s="49"/>
      <c r="P1962" s="49"/>
      <c r="Q1962" s="49"/>
      <c r="R1962" s="49"/>
      <c r="S1962" s="49" t="n">
        <v>0</v>
      </c>
      <c r="T1962" s="49" t="n">
        <v>0</v>
      </c>
      <c r="U1962" s="49" t="s">
        <v>4174</v>
      </c>
    </row>
    <row r="1963" customFormat="false" ht="15" hidden="false" customHeight="false" outlineLevel="0" collapsed="false">
      <c r="B1963" s="48" t="n">
        <v>45644.5978356482</v>
      </c>
      <c r="C1963" s="4" t="n">
        <f aca="false">YEAR(B1963)</f>
        <v>2024</v>
      </c>
      <c r="D1963" s="49" t="s">
        <v>283</v>
      </c>
      <c r="E1963" s="49" t="s">
        <v>4175</v>
      </c>
      <c r="F1963" s="50" t="n">
        <v>3</v>
      </c>
      <c r="G1963" s="49" t="s">
        <v>287</v>
      </c>
      <c r="H1963" s="51" t="n">
        <v>0.0043</v>
      </c>
      <c r="I1963" s="51" t="n">
        <v>0.1544</v>
      </c>
      <c r="J1963" s="51" t="n">
        <v>0.8414</v>
      </c>
      <c r="K1963" s="49"/>
      <c r="L1963" s="49"/>
      <c r="M1963" s="49"/>
      <c r="N1963" s="49"/>
      <c r="O1963" s="49"/>
      <c r="P1963" s="49"/>
      <c r="Q1963" s="49"/>
      <c r="R1963" s="49"/>
      <c r="S1963" s="49" t="n">
        <v>0</v>
      </c>
      <c r="T1963" s="49" t="n">
        <v>0</v>
      </c>
      <c r="U1963" s="49" t="s">
        <v>4176</v>
      </c>
    </row>
    <row r="1964" customFormat="false" ht="15" hidden="false" customHeight="false" outlineLevel="0" collapsed="false">
      <c r="B1964" s="48" t="n">
        <v>45644.7694907407</v>
      </c>
      <c r="C1964" s="4" t="n">
        <f aca="false">YEAR(B1964)</f>
        <v>2024</v>
      </c>
      <c r="D1964" s="49" t="s">
        <v>283</v>
      </c>
      <c r="E1964" s="49" t="s">
        <v>4177</v>
      </c>
      <c r="F1964" s="50" t="n">
        <v>54</v>
      </c>
      <c r="G1964" s="49" t="s">
        <v>287</v>
      </c>
      <c r="H1964" s="51" t="n">
        <v>0.1399</v>
      </c>
      <c r="I1964" s="51" t="n">
        <v>0.3762</v>
      </c>
      <c r="J1964" s="51" t="n">
        <v>0.4839</v>
      </c>
      <c r="K1964" s="49"/>
      <c r="L1964" s="49"/>
      <c r="M1964" s="49"/>
      <c r="N1964" s="49"/>
      <c r="O1964" s="49"/>
      <c r="P1964" s="49"/>
      <c r="Q1964" s="49"/>
      <c r="R1964" s="49"/>
      <c r="S1964" s="49" t="n">
        <v>0</v>
      </c>
      <c r="T1964" s="49" t="n">
        <v>0</v>
      </c>
      <c r="U1964" s="49" t="s">
        <v>4178</v>
      </c>
    </row>
    <row r="1965" customFormat="false" ht="15" hidden="false" customHeight="false" outlineLevel="0" collapsed="false">
      <c r="B1965" s="48" t="n">
        <v>45645.1921412037</v>
      </c>
      <c r="C1965" s="4" t="n">
        <f aca="false">YEAR(B1965)</f>
        <v>2024</v>
      </c>
      <c r="D1965" s="49" t="s">
        <v>283</v>
      </c>
      <c r="E1965" s="49" t="s">
        <v>4179</v>
      </c>
      <c r="F1965" s="50" t="n">
        <v>0</v>
      </c>
      <c r="G1965" s="49" t="s">
        <v>287</v>
      </c>
      <c r="H1965" s="51" t="n">
        <v>0.0165</v>
      </c>
      <c r="I1965" s="51" t="n">
        <v>0.0991</v>
      </c>
      <c r="J1965" s="51" t="n">
        <v>0.8844</v>
      </c>
      <c r="K1965" s="49"/>
      <c r="L1965" s="49"/>
      <c r="M1965" s="49"/>
      <c r="N1965" s="49"/>
      <c r="O1965" s="49"/>
      <c r="P1965" s="49"/>
      <c r="Q1965" s="49"/>
      <c r="R1965" s="49"/>
      <c r="S1965" s="49" t="n">
        <v>0</v>
      </c>
      <c r="T1965" s="49" t="n">
        <v>0</v>
      </c>
      <c r="U1965" s="49" t="s">
        <v>4180</v>
      </c>
    </row>
    <row r="1966" customFormat="false" ht="15" hidden="false" customHeight="false" outlineLevel="0" collapsed="false">
      <c r="B1966" s="48" t="n">
        <v>45645.5577083333</v>
      </c>
      <c r="C1966" s="4" t="n">
        <f aca="false">YEAR(B1966)</f>
        <v>2024</v>
      </c>
      <c r="D1966" s="49" t="s">
        <v>283</v>
      </c>
      <c r="E1966" s="49" t="s">
        <v>4181</v>
      </c>
      <c r="F1966" s="50" t="n">
        <v>4</v>
      </c>
      <c r="G1966" s="49" t="s">
        <v>287</v>
      </c>
      <c r="H1966" s="51" t="n">
        <v>0.0103</v>
      </c>
      <c r="I1966" s="51" t="n">
        <v>0.0898</v>
      </c>
      <c r="J1966" s="51" t="n">
        <v>0.8999</v>
      </c>
      <c r="K1966" s="49"/>
      <c r="L1966" s="49"/>
      <c r="M1966" s="49"/>
      <c r="N1966" s="49"/>
      <c r="O1966" s="49"/>
      <c r="P1966" s="49"/>
      <c r="Q1966" s="49"/>
      <c r="R1966" s="49" t="s">
        <v>281</v>
      </c>
      <c r="S1966" s="49" t="n">
        <v>0</v>
      </c>
      <c r="T1966" s="49" t="n">
        <v>0</v>
      </c>
      <c r="U1966" s="49" t="s">
        <v>4182</v>
      </c>
    </row>
    <row r="1967" customFormat="false" ht="15" hidden="false" customHeight="false" outlineLevel="0" collapsed="false">
      <c r="B1967" s="48" t="n">
        <v>45645.6417592593</v>
      </c>
      <c r="C1967" s="4" t="n">
        <f aca="false">YEAR(B1967)</f>
        <v>2024</v>
      </c>
      <c r="D1967" s="49" t="s">
        <v>278</v>
      </c>
      <c r="E1967" s="49" t="s">
        <v>4183</v>
      </c>
      <c r="F1967" s="50" t="n">
        <v>19</v>
      </c>
      <c r="G1967" s="49" t="s">
        <v>280</v>
      </c>
      <c r="H1967" s="51" t="n">
        <v>0.4471</v>
      </c>
      <c r="I1967" s="51" t="n">
        <v>0.4275</v>
      </c>
      <c r="J1967" s="51" t="n">
        <v>0.1254</v>
      </c>
      <c r="K1967" s="49"/>
      <c r="L1967" s="49"/>
      <c r="M1967" s="49"/>
      <c r="N1967" s="49"/>
      <c r="O1967" s="49"/>
      <c r="P1967" s="49"/>
      <c r="Q1967" s="49"/>
      <c r="R1967" s="49" t="s">
        <v>281</v>
      </c>
      <c r="S1967" s="49" t="n">
        <v>0</v>
      </c>
      <c r="T1967" s="49" t="n">
        <v>0</v>
      </c>
      <c r="U1967" s="49" t="s">
        <v>4184</v>
      </c>
    </row>
    <row r="1968" customFormat="false" ht="15" hidden="false" customHeight="false" outlineLevel="0" collapsed="false">
      <c r="B1968" s="48" t="n">
        <v>45645.6481828704</v>
      </c>
      <c r="C1968" s="4" t="n">
        <f aca="false">YEAR(B1968)</f>
        <v>2024</v>
      </c>
      <c r="D1968" s="49" t="s">
        <v>278</v>
      </c>
      <c r="E1968" s="49" t="s">
        <v>4185</v>
      </c>
      <c r="F1968" s="50" t="n">
        <v>2</v>
      </c>
      <c r="G1968" s="49" t="s">
        <v>290</v>
      </c>
      <c r="H1968" s="51" t="n">
        <v>0.1952</v>
      </c>
      <c r="I1968" s="51" t="n">
        <v>0.6773</v>
      </c>
      <c r="J1968" s="51" t="n">
        <v>0.1275</v>
      </c>
      <c r="K1968" s="49"/>
      <c r="L1968" s="49"/>
      <c r="M1968" s="49"/>
      <c r="N1968" s="49"/>
      <c r="O1968" s="49"/>
      <c r="P1968" s="49"/>
      <c r="Q1968" s="49" t="s">
        <v>281</v>
      </c>
      <c r="R1968" s="49" t="s">
        <v>281</v>
      </c>
      <c r="S1968" s="49" t="n">
        <v>0</v>
      </c>
      <c r="T1968" s="49" t="n">
        <v>0</v>
      </c>
      <c r="U1968" s="49" t="s">
        <v>4186</v>
      </c>
    </row>
    <row r="1969" customFormat="false" ht="15" hidden="false" customHeight="false" outlineLevel="0" collapsed="false">
      <c r="B1969" s="48" t="n">
        <v>45645.8110069444</v>
      </c>
      <c r="C1969" s="4" t="n">
        <f aca="false">YEAR(B1969)</f>
        <v>2024</v>
      </c>
      <c r="D1969" s="49" t="s">
        <v>283</v>
      </c>
      <c r="E1969" s="49" t="s">
        <v>4187</v>
      </c>
      <c r="F1969" s="50" t="n">
        <v>1</v>
      </c>
      <c r="G1969" s="49" t="s">
        <v>280</v>
      </c>
      <c r="H1969" s="51" t="n">
        <v>0.7175</v>
      </c>
      <c r="I1969" s="51" t="n">
        <v>0.2698</v>
      </c>
      <c r="J1969" s="51" t="n">
        <v>0.0126</v>
      </c>
      <c r="K1969" s="49"/>
      <c r="L1969" s="49"/>
      <c r="M1969" s="49"/>
      <c r="N1969" s="49"/>
      <c r="O1969" s="49"/>
      <c r="P1969" s="49"/>
      <c r="Q1969" s="49"/>
      <c r="R1969" s="49"/>
      <c r="S1969" s="49" t="n">
        <v>0</v>
      </c>
      <c r="T1969" s="49" t="n">
        <v>0</v>
      </c>
      <c r="U1969" s="49" t="s">
        <v>4188</v>
      </c>
    </row>
    <row r="1970" customFormat="false" ht="15" hidden="false" customHeight="false" outlineLevel="0" collapsed="false">
      <c r="B1970" s="48" t="n">
        <v>45645.8834606482</v>
      </c>
      <c r="C1970" s="4" t="n">
        <f aca="false">YEAR(B1970)</f>
        <v>2024</v>
      </c>
      <c r="D1970" s="49" t="s">
        <v>283</v>
      </c>
      <c r="E1970" s="49" t="s">
        <v>4189</v>
      </c>
      <c r="F1970" s="50" t="n">
        <v>0</v>
      </c>
      <c r="G1970" s="49" t="s">
        <v>280</v>
      </c>
      <c r="H1970" s="51" t="n">
        <v>0.9206</v>
      </c>
      <c r="I1970" s="51" t="n">
        <v>0.0716</v>
      </c>
      <c r="J1970" s="51" t="n">
        <v>0.0078</v>
      </c>
      <c r="K1970" s="49"/>
      <c r="L1970" s="49" t="s">
        <v>281</v>
      </c>
      <c r="M1970" s="49"/>
      <c r="N1970" s="49"/>
      <c r="O1970" s="49"/>
      <c r="P1970" s="49"/>
      <c r="Q1970" s="49"/>
      <c r="R1970" s="49"/>
      <c r="S1970" s="49" t="n">
        <v>0</v>
      </c>
      <c r="T1970" s="49" t="n">
        <v>1</v>
      </c>
      <c r="U1970" s="49" t="s">
        <v>4190</v>
      </c>
    </row>
    <row r="1971" customFormat="false" ht="15" hidden="false" customHeight="false" outlineLevel="0" collapsed="false">
      <c r="B1971" s="48" t="n">
        <v>45645.9812037037</v>
      </c>
      <c r="C1971" s="4" t="n">
        <f aca="false">YEAR(B1971)</f>
        <v>2024</v>
      </c>
      <c r="D1971" s="49" t="s">
        <v>283</v>
      </c>
      <c r="E1971" s="49" t="s">
        <v>4191</v>
      </c>
      <c r="F1971" s="50" t="n">
        <v>1</v>
      </c>
      <c r="G1971" s="49" t="s">
        <v>280</v>
      </c>
      <c r="H1971" s="51" t="n">
        <v>0.8363</v>
      </c>
      <c r="I1971" s="51" t="n">
        <v>0.1558</v>
      </c>
      <c r="J1971" s="51" t="n">
        <v>0.0079</v>
      </c>
      <c r="K1971" s="49"/>
      <c r="L1971" s="49"/>
      <c r="M1971" s="49"/>
      <c r="N1971" s="49"/>
      <c r="O1971" s="49"/>
      <c r="P1971" s="49"/>
      <c r="Q1971" s="49"/>
      <c r="R1971" s="49"/>
      <c r="S1971" s="49" t="n">
        <v>0</v>
      </c>
      <c r="T1971" s="49" t="n">
        <v>0</v>
      </c>
      <c r="U1971" s="49" t="s">
        <v>4192</v>
      </c>
    </row>
    <row r="1972" customFormat="false" ht="15" hidden="false" customHeight="false" outlineLevel="0" collapsed="false">
      <c r="B1972" s="48" t="n">
        <v>45646.1712962963</v>
      </c>
      <c r="C1972" s="4" t="n">
        <f aca="false">YEAR(B1972)</f>
        <v>2024</v>
      </c>
      <c r="D1972" s="49" t="s">
        <v>283</v>
      </c>
      <c r="E1972" s="49" t="s">
        <v>4193</v>
      </c>
      <c r="F1972" s="50" t="n">
        <v>1</v>
      </c>
      <c r="G1972" s="49" t="s">
        <v>287</v>
      </c>
      <c r="H1972" s="51" t="n">
        <v>0.0381</v>
      </c>
      <c r="I1972" s="51" t="n">
        <v>0.2106</v>
      </c>
      <c r="J1972" s="51" t="n">
        <v>0.7513</v>
      </c>
      <c r="K1972" s="49"/>
      <c r="L1972" s="49"/>
      <c r="M1972" s="49"/>
      <c r="N1972" s="49"/>
      <c r="O1972" s="49"/>
      <c r="P1972" s="49"/>
      <c r="Q1972" s="49"/>
      <c r="R1972" s="49"/>
      <c r="S1972" s="49" t="n">
        <v>0</v>
      </c>
      <c r="T1972" s="49" t="n">
        <v>0</v>
      </c>
      <c r="U1972" s="49" t="s">
        <v>4194</v>
      </c>
    </row>
    <row r="1973" customFormat="false" ht="15" hidden="false" customHeight="false" outlineLevel="0" collapsed="false">
      <c r="B1973" s="48" t="n">
        <v>45646.6260416667</v>
      </c>
      <c r="C1973" s="4" t="n">
        <f aca="false">YEAR(B1973)</f>
        <v>2024</v>
      </c>
      <c r="D1973" s="49" t="s">
        <v>283</v>
      </c>
      <c r="E1973" s="49" t="s">
        <v>4195</v>
      </c>
      <c r="F1973" s="50" t="n">
        <v>1</v>
      </c>
      <c r="G1973" s="49" t="s">
        <v>290</v>
      </c>
      <c r="H1973" s="51" t="n">
        <v>0.0141</v>
      </c>
      <c r="I1973" s="51" t="n">
        <v>0.8838</v>
      </c>
      <c r="J1973" s="51" t="n">
        <v>0.1021</v>
      </c>
      <c r="K1973" s="49"/>
      <c r="L1973" s="49"/>
      <c r="M1973" s="49"/>
      <c r="N1973" s="49"/>
      <c r="O1973" s="49"/>
      <c r="P1973" s="49"/>
      <c r="Q1973" s="49"/>
      <c r="R1973" s="49"/>
      <c r="S1973" s="49" t="n">
        <v>1</v>
      </c>
      <c r="T1973" s="49" t="n">
        <v>0</v>
      </c>
      <c r="U1973" s="49" t="s">
        <v>4196</v>
      </c>
    </row>
    <row r="1974" customFormat="false" ht="15" hidden="false" customHeight="false" outlineLevel="0" collapsed="false">
      <c r="B1974" s="48" t="n">
        <v>45646.755162037</v>
      </c>
      <c r="C1974" s="4" t="n">
        <f aca="false">YEAR(B1974)</f>
        <v>2024</v>
      </c>
      <c r="D1974" s="49" t="s">
        <v>283</v>
      </c>
      <c r="E1974" s="49" t="s">
        <v>4197</v>
      </c>
      <c r="F1974" s="50" t="n">
        <v>2</v>
      </c>
      <c r="G1974" s="49" t="s">
        <v>280</v>
      </c>
      <c r="H1974" s="51" t="n">
        <v>0.9346</v>
      </c>
      <c r="I1974" s="51" t="n">
        <v>0.0581</v>
      </c>
      <c r="J1974" s="51" t="n">
        <v>0.0073</v>
      </c>
      <c r="K1974" s="49"/>
      <c r="L1974" s="49"/>
      <c r="M1974" s="49"/>
      <c r="N1974" s="49"/>
      <c r="O1974" s="49"/>
      <c r="P1974" s="49"/>
      <c r="Q1974" s="49"/>
      <c r="R1974" s="49" t="s">
        <v>281</v>
      </c>
      <c r="S1974" s="49" t="n">
        <v>0</v>
      </c>
      <c r="T1974" s="49" t="n">
        <v>0</v>
      </c>
      <c r="U1974" s="49" t="s">
        <v>4198</v>
      </c>
    </row>
    <row r="1975" customFormat="false" ht="15" hidden="false" customHeight="false" outlineLevel="0" collapsed="false">
      <c r="B1975" s="48" t="n">
        <v>45646.8757523148</v>
      </c>
      <c r="C1975" s="4" t="n">
        <f aca="false">YEAR(B1975)</f>
        <v>2024</v>
      </c>
      <c r="D1975" s="49" t="s">
        <v>278</v>
      </c>
      <c r="E1975" s="49" t="s">
        <v>4199</v>
      </c>
      <c r="F1975" s="50" t="n">
        <v>1</v>
      </c>
      <c r="G1975" s="49" t="s">
        <v>290</v>
      </c>
      <c r="H1975" s="51" t="n">
        <v>0.0176</v>
      </c>
      <c r="I1975" s="51" t="n">
        <v>0.7589</v>
      </c>
      <c r="J1975" s="51" t="n">
        <v>0.2235</v>
      </c>
      <c r="K1975" s="49"/>
      <c r="L1975" s="49"/>
      <c r="M1975" s="49"/>
      <c r="N1975" s="49"/>
      <c r="O1975" s="49"/>
      <c r="P1975" s="49"/>
      <c r="Q1975" s="49"/>
      <c r="R1975" s="49"/>
      <c r="S1975" s="49" t="n">
        <v>0</v>
      </c>
      <c r="T1975" s="49" t="n">
        <v>0</v>
      </c>
      <c r="U1975" s="49" t="s">
        <v>4200</v>
      </c>
    </row>
    <row r="1976" customFormat="false" ht="15" hidden="false" customHeight="false" outlineLevel="0" collapsed="false">
      <c r="B1976" s="48" t="n">
        <v>45647.2485648148</v>
      </c>
      <c r="C1976" s="4" t="n">
        <f aca="false">YEAR(B1976)</f>
        <v>2024</v>
      </c>
      <c r="D1976" s="49" t="s">
        <v>283</v>
      </c>
      <c r="E1976" s="49" t="s">
        <v>4201</v>
      </c>
      <c r="F1976" s="50" t="n">
        <v>1</v>
      </c>
      <c r="G1976" s="49" t="s">
        <v>290</v>
      </c>
      <c r="H1976" s="51" t="n">
        <v>0.0088</v>
      </c>
      <c r="I1976" s="51" t="n">
        <v>0.5082</v>
      </c>
      <c r="J1976" s="51" t="n">
        <v>0.483</v>
      </c>
      <c r="K1976" s="49"/>
      <c r="L1976" s="49"/>
      <c r="M1976" s="49"/>
      <c r="N1976" s="49"/>
      <c r="O1976" s="49"/>
      <c r="P1976" s="49"/>
      <c r="Q1976" s="49"/>
      <c r="R1976" s="49"/>
      <c r="S1976" s="49" t="n">
        <v>1</v>
      </c>
      <c r="T1976" s="49" t="n">
        <v>0</v>
      </c>
      <c r="U1976" s="49" t="s">
        <v>4202</v>
      </c>
    </row>
    <row r="1977" customFormat="false" ht="15" hidden="false" customHeight="false" outlineLevel="0" collapsed="false">
      <c r="B1977" s="48" t="n">
        <v>45647.4675810185</v>
      </c>
      <c r="C1977" s="4" t="n">
        <f aca="false">YEAR(B1977)</f>
        <v>2024</v>
      </c>
      <c r="D1977" s="49" t="s">
        <v>278</v>
      </c>
      <c r="E1977" s="49" t="s">
        <v>4203</v>
      </c>
      <c r="F1977" s="50" t="n">
        <v>3</v>
      </c>
      <c r="G1977" s="49" t="s">
        <v>290</v>
      </c>
      <c r="H1977" s="51" t="n">
        <v>0.1525</v>
      </c>
      <c r="I1977" s="51" t="n">
        <v>0.68</v>
      </c>
      <c r="J1977" s="51" t="n">
        <v>0.1675</v>
      </c>
      <c r="K1977" s="49"/>
      <c r="L1977" s="49"/>
      <c r="M1977" s="49"/>
      <c r="N1977" s="49"/>
      <c r="O1977" s="49"/>
      <c r="P1977" s="49"/>
      <c r="Q1977" s="49"/>
      <c r="R1977" s="49"/>
      <c r="S1977" s="49" t="n">
        <v>0</v>
      </c>
      <c r="T1977" s="49" t="n">
        <v>0</v>
      </c>
      <c r="U1977" s="49" t="s">
        <v>4204</v>
      </c>
    </row>
    <row r="1978" customFormat="false" ht="15" hidden="false" customHeight="false" outlineLevel="0" collapsed="false">
      <c r="B1978" s="48" t="n">
        <v>45647.6453125</v>
      </c>
      <c r="C1978" s="4" t="n">
        <f aca="false">YEAR(B1978)</f>
        <v>2024</v>
      </c>
      <c r="D1978" s="49" t="s">
        <v>283</v>
      </c>
      <c r="E1978" s="49" t="s">
        <v>4205</v>
      </c>
      <c r="F1978" s="50" t="n">
        <v>0</v>
      </c>
      <c r="G1978" s="49" t="s">
        <v>290</v>
      </c>
      <c r="H1978" s="51" t="n">
        <v>0.0135</v>
      </c>
      <c r="I1978" s="51" t="n">
        <v>0.7897</v>
      </c>
      <c r="J1978" s="51" t="n">
        <v>0.1968</v>
      </c>
      <c r="K1978" s="49"/>
      <c r="L1978" s="49"/>
      <c r="M1978" s="49"/>
      <c r="N1978" s="49"/>
      <c r="O1978" s="49"/>
      <c r="P1978" s="49"/>
      <c r="Q1978" s="49"/>
      <c r="R1978" s="49"/>
      <c r="S1978" s="49" t="n">
        <v>0</v>
      </c>
      <c r="T1978" s="49" t="n">
        <v>0</v>
      </c>
      <c r="U1978" s="49" t="s">
        <v>4206</v>
      </c>
    </row>
    <row r="1979" customFormat="false" ht="15" hidden="false" customHeight="false" outlineLevel="0" collapsed="false">
      <c r="B1979" s="48" t="n">
        <v>45647.900625</v>
      </c>
      <c r="C1979" s="4" t="n">
        <f aca="false">YEAR(B1979)</f>
        <v>2024</v>
      </c>
      <c r="D1979" s="49" t="s">
        <v>283</v>
      </c>
      <c r="E1979" s="49" t="s">
        <v>4207</v>
      </c>
      <c r="F1979" s="50" t="n">
        <v>0</v>
      </c>
      <c r="G1979" s="49" t="s">
        <v>280</v>
      </c>
      <c r="H1979" s="51" t="n">
        <v>0.8718</v>
      </c>
      <c r="I1979" s="51" t="n">
        <v>0.1228</v>
      </c>
      <c r="J1979" s="51" t="n">
        <v>0.0054</v>
      </c>
      <c r="K1979" s="49"/>
      <c r="L1979" s="49"/>
      <c r="M1979" s="49"/>
      <c r="N1979" s="49"/>
      <c r="O1979" s="49"/>
      <c r="P1979" s="49"/>
      <c r="Q1979" s="49"/>
      <c r="R1979" s="49" t="s">
        <v>281</v>
      </c>
      <c r="S1979" s="49" t="n">
        <v>0</v>
      </c>
      <c r="T1979" s="49" t="n">
        <v>0</v>
      </c>
      <c r="U1979" s="49" t="s">
        <v>4208</v>
      </c>
    </row>
    <row r="1980" customFormat="false" ht="15" hidden="false" customHeight="false" outlineLevel="0" collapsed="false">
      <c r="B1980" s="48" t="n">
        <v>45647.9141666667</v>
      </c>
      <c r="C1980" s="4" t="n">
        <f aca="false">YEAR(B1980)</f>
        <v>2024</v>
      </c>
      <c r="D1980" s="49" t="s">
        <v>278</v>
      </c>
      <c r="E1980" s="49" t="s">
        <v>4209</v>
      </c>
      <c r="F1980" s="50" t="n">
        <v>0</v>
      </c>
      <c r="G1980" s="49" t="s">
        <v>280</v>
      </c>
      <c r="H1980" s="51" t="n">
        <v>0.7079</v>
      </c>
      <c r="I1980" s="51" t="n">
        <v>0.2776</v>
      </c>
      <c r="J1980" s="51" t="n">
        <v>0.0145</v>
      </c>
      <c r="K1980" s="49"/>
      <c r="L1980" s="49"/>
      <c r="M1980" s="49"/>
      <c r="N1980" s="49"/>
      <c r="O1980" s="49"/>
      <c r="P1980" s="49"/>
      <c r="Q1980" s="49"/>
      <c r="R1980" s="49" t="s">
        <v>281</v>
      </c>
      <c r="S1980" s="49" t="n">
        <v>0</v>
      </c>
      <c r="T1980" s="49" t="n">
        <v>0</v>
      </c>
      <c r="U1980" s="49" t="s">
        <v>4210</v>
      </c>
    </row>
    <row r="1981" customFormat="false" ht="15" hidden="false" customHeight="false" outlineLevel="0" collapsed="false">
      <c r="B1981" s="48" t="n">
        <v>45648.5712037037</v>
      </c>
      <c r="C1981" s="4" t="n">
        <f aca="false">YEAR(B1981)</f>
        <v>2024</v>
      </c>
      <c r="D1981" s="49" t="s">
        <v>283</v>
      </c>
      <c r="E1981" s="49" t="s">
        <v>4211</v>
      </c>
      <c r="F1981" s="50" t="n">
        <v>3</v>
      </c>
      <c r="G1981" s="49" t="s">
        <v>287</v>
      </c>
      <c r="H1981" s="51" t="n">
        <v>0.0033</v>
      </c>
      <c r="I1981" s="51" t="n">
        <v>0.0622</v>
      </c>
      <c r="J1981" s="51" t="n">
        <v>0.9345</v>
      </c>
      <c r="K1981" s="49"/>
      <c r="L1981" s="49"/>
      <c r="M1981" s="49"/>
      <c r="N1981" s="49"/>
      <c r="O1981" s="49"/>
      <c r="P1981" s="49"/>
      <c r="Q1981" s="49"/>
      <c r="R1981" s="49"/>
      <c r="S1981" s="49" t="n">
        <v>0</v>
      </c>
      <c r="T1981" s="49" t="n">
        <v>0</v>
      </c>
      <c r="U1981" s="49" t="s">
        <v>4212</v>
      </c>
    </row>
    <row r="1982" customFormat="false" ht="15" hidden="false" customHeight="false" outlineLevel="0" collapsed="false">
      <c r="B1982" s="48" t="n">
        <v>45648.9965162037</v>
      </c>
      <c r="C1982" s="4" t="n">
        <f aca="false">YEAR(B1982)</f>
        <v>2024</v>
      </c>
      <c r="D1982" s="49" t="s">
        <v>278</v>
      </c>
      <c r="E1982" s="49" t="s">
        <v>4213</v>
      </c>
      <c r="F1982" s="50" t="n">
        <v>1</v>
      </c>
      <c r="G1982" s="49" t="s">
        <v>290</v>
      </c>
      <c r="H1982" s="51" t="n">
        <v>0.4436</v>
      </c>
      <c r="I1982" s="51" t="n">
        <v>0.5316</v>
      </c>
      <c r="J1982" s="51" t="n">
        <v>0.0248</v>
      </c>
      <c r="K1982" s="49"/>
      <c r="L1982" s="49"/>
      <c r="M1982" s="49"/>
      <c r="N1982" s="49"/>
      <c r="O1982" s="49"/>
      <c r="P1982" s="49"/>
      <c r="Q1982" s="49" t="s">
        <v>281</v>
      </c>
      <c r="R1982" s="49"/>
      <c r="S1982" s="49" t="n">
        <v>0</v>
      </c>
      <c r="T1982" s="49" t="n">
        <v>0</v>
      </c>
      <c r="U1982" s="49" t="s">
        <v>4214</v>
      </c>
    </row>
    <row r="1983" customFormat="false" ht="15" hidden="false" customHeight="false" outlineLevel="0" collapsed="false">
      <c r="B1983" s="48" t="n">
        <v>45649.4962384259</v>
      </c>
      <c r="C1983" s="4" t="n">
        <f aca="false">YEAR(B1983)</f>
        <v>2024</v>
      </c>
      <c r="D1983" s="49" t="s">
        <v>283</v>
      </c>
      <c r="E1983" s="49" t="s">
        <v>4215</v>
      </c>
      <c r="F1983" s="50" t="n">
        <v>5</v>
      </c>
      <c r="G1983" s="49" t="s">
        <v>280</v>
      </c>
      <c r="H1983" s="51" t="n">
        <v>0.7541</v>
      </c>
      <c r="I1983" s="51" t="n">
        <v>0.2249</v>
      </c>
      <c r="J1983" s="51" t="n">
        <v>0.0211</v>
      </c>
      <c r="K1983" s="49" t="s">
        <v>281</v>
      </c>
      <c r="L1983" s="49"/>
      <c r="M1983" s="49"/>
      <c r="N1983" s="49"/>
      <c r="O1983" s="49"/>
      <c r="P1983" s="49"/>
      <c r="Q1983" s="49"/>
      <c r="R1983" s="49"/>
      <c r="S1983" s="49" t="n">
        <v>0</v>
      </c>
      <c r="T1983" s="49" t="n">
        <v>0</v>
      </c>
      <c r="U1983" s="49" t="s">
        <v>4216</v>
      </c>
    </row>
    <row r="1984" customFormat="false" ht="15" hidden="false" customHeight="false" outlineLevel="0" collapsed="false">
      <c r="B1984" s="48" t="n">
        <v>45649.8154513889</v>
      </c>
      <c r="C1984" s="4" t="n">
        <f aca="false">YEAR(B1984)</f>
        <v>2024</v>
      </c>
      <c r="D1984" s="49" t="s">
        <v>278</v>
      </c>
      <c r="E1984" s="49" t="s">
        <v>4217</v>
      </c>
      <c r="F1984" s="50" t="n">
        <v>2</v>
      </c>
      <c r="G1984" s="49" t="s">
        <v>280</v>
      </c>
      <c r="H1984" s="51" t="n">
        <v>0.8499</v>
      </c>
      <c r="I1984" s="51" t="n">
        <v>0.1419</v>
      </c>
      <c r="J1984" s="51" t="n">
        <v>0.0082</v>
      </c>
      <c r="K1984" s="49"/>
      <c r="L1984" s="49" t="s">
        <v>281</v>
      </c>
      <c r="M1984" s="49"/>
      <c r="N1984" s="49"/>
      <c r="O1984" s="49"/>
      <c r="P1984" s="49"/>
      <c r="Q1984" s="49"/>
      <c r="R1984" s="49"/>
      <c r="S1984" s="49" t="n">
        <v>0</v>
      </c>
      <c r="T1984" s="49" t="n">
        <v>0</v>
      </c>
      <c r="U1984" s="49" t="s">
        <v>4218</v>
      </c>
    </row>
    <row r="1985" customFormat="false" ht="15" hidden="false" customHeight="false" outlineLevel="0" collapsed="false">
      <c r="B1985" s="48" t="n">
        <v>45650.376087963</v>
      </c>
      <c r="C1985" s="4" t="n">
        <f aca="false">YEAR(B1985)</f>
        <v>2024</v>
      </c>
      <c r="D1985" s="49" t="s">
        <v>283</v>
      </c>
      <c r="E1985" s="49" t="s">
        <v>4219</v>
      </c>
      <c r="F1985" s="50" t="n">
        <v>2</v>
      </c>
      <c r="G1985" s="49" t="s">
        <v>290</v>
      </c>
      <c r="H1985" s="51" t="n">
        <v>0.3649</v>
      </c>
      <c r="I1985" s="51" t="n">
        <v>0.5737</v>
      </c>
      <c r="J1985" s="51" t="n">
        <v>0.0615</v>
      </c>
      <c r="K1985" s="49" t="s">
        <v>281</v>
      </c>
      <c r="L1985" s="49"/>
      <c r="M1985" s="49"/>
      <c r="N1985" s="49"/>
      <c r="O1985" s="49"/>
      <c r="P1985" s="49"/>
      <c r="Q1985" s="49" t="s">
        <v>281</v>
      </c>
      <c r="R1985" s="49"/>
      <c r="S1985" s="49" t="n">
        <v>0</v>
      </c>
      <c r="T1985" s="49" t="n">
        <v>0</v>
      </c>
      <c r="U1985" s="49" t="s">
        <v>4220</v>
      </c>
    </row>
    <row r="1986" customFormat="false" ht="15" hidden="false" customHeight="false" outlineLevel="0" collapsed="false">
      <c r="B1986" s="48" t="n">
        <v>45650.9996990741</v>
      </c>
      <c r="C1986" s="4" t="n">
        <f aca="false">YEAR(B1986)</f>
        <v>2024</v>
      </c>
      <c r="D1986" s="49" t="s">
        <v>278</v>
      </c>
      <c r="E1986" s="49" t="s">
        <v>4221</v>
      </c>
      <c r="F1986" s="50" t="n">
        <v>0</v>
      </c>
      <c r="G1986" s="49" t="s">
        <v>280</v>
      </c>
      <c r="H1986" s="51" t="n">
        <v>0.5154</v>
      </c>
      <c r="I1986" s="51" t="n">
        <v>0.4523</v>
      </c>
      <c r="J1986" s="51" t="n">
        <v>0.0323</v>
      </c>
      <c r="K1986" s="49"/>
      <c r="L1986" s="49"/>
      <c r="M1986" s="49"/>
      <c r="N1986" s="49"/>
      <c r="O1986" s="49" t="s">
        <v>281</v>
      </c>
      <c r="P1986" s="49"/>
      <c r="Q1986" s="49"/>
      <c r="R1986" s="49"/>
      <c r="S1986" s="49" t="n">
        <v>0</v>
      </c>
      <c r="T1986" s="49" t="n">
        <v>0</v>
      </c>
      <c r="U1986" s="49" t="s">
        <v>4222</v>
      </c>
    </row>
    <row r="1987" customFormat="false" ht="15" hidden="false" customHeight="false" outlineLevel="0" collapsed="false">
      <c r="B1987" s="48" t="n">
        <v>45651.0571990741</v>
      </c>
      <c r="C1987" s="4" t="n">
        <f aca="false">YEAR(B1987)</f>
        <v>2024</v>
      </c>
      <c r="D1987" s="49" t="s">
        <v>283</v>
      </c>
      <c r="E1987" s="49" t="s">
        <v>4223</v>
      </c>
      <c r="F1987" s="50" t="n">
        <v>1</v>
      </c>
      <c r="G1987" s="49" t="s">
        <v>287</v>
      </c>
      <c r="H1987" s="51" t="n">
        <v>0.0032</v>
      </c>
      <c r="I1987" s="51" t="n">
        <v>0.0678</v>
      </c>
      <c r="J1987" s="51" t="n">
        <v>0.929</v>
      </c>
      <c r="K1987" s="49"/>
      <c r="L1987" s="49"/>
      <c r="M1987" s="49"/>
      <c r="N1987" s="49"/>
      <c r="O1987" s="49"/>
      <c r="P1987" s="49"/>
      <c r="Q1987" s="49"/>
      <c r="R1987" s="49"/>
      <c r="S1987" s="49" t="n">
        <v>0</v>
      </c>
      <c r="T1987" s="49" t="n">
        <v>0</v>
      </c>
      <c r="U1987" s="49" t="s">
        <v>4224</v>
      </c>
    </row>
    <row r="1988" customFormat="false" ht="15" hidden="false" customHeight="false" outlineLevel="0" collapsed="false">
      <c r="B1988" s="48" t="n">
        <v>45651.8104398148</v>
      </c>
      <c r="C1988" s="4" t="n">
        <f aca="false">YEAR(B1988)</f>
        <v>2024</v>
      </c>
      <c r="D1988" s="49" t="s">
        <v>283</v>
      </c>
      <c r="E1988" s="49" t="s">
        <v>4225</v>
      </c>
      <c r="F1988" s="50" t="n">
        <v>1</v>
      </c>
      <c r="G1988" s="49" t="s">
        <v>290</v>
      </c>
      <c r="H1988" s="51" t="n">
        <v>0.4883</v>
      </c>
      <c r="I1988" s="51" t="n">
        <v>0.4993</v>
      </c>
      <c r="J1988" s="51" t="n">
        <v>0.0124</v>
      </c>
      <c r="K1988" s="49"/>
      <c r="L1988" s="49"/>
      <c r="M1988" s="49"/>
      <c r="N1988" s="49"/>
      <c r="O1988" s="49"/>
      <c r="P1988" s="49"/>
      <c r="Q1988" s="49"/>
      <c r="R1988" s="49"/>
      <c r="S1988" s="49" t="n">
        <v>1</v>
      </c>
      <c r="T1988" s="49" t="n">
        <v>0</v>
      </c>
      <c r="U1988" s="49" t="s">
        <v>4226</v>
      </c>
    </row>
    <row r="1989" customFormat="false" ht="15" hidden="false" customHeight="false" outlineLevel="0" collapsed="false">
      <c r="B1989" s="48" t="n">
        <v>45653.8158333333</v>
      </c>
      <c r="C1989" s="4" t="n">
        <f aca="false">YEAR(B1989)</f>
        <v>2024</v>
      </c>
      <c r="D1989" s="49" t="s">
        <v>283</v>
      </c>
      <c r="E1989" s="49" t="s">
        <v>4227</v>
      </c>
      <c r="F1989" s="50" t="n">
        <v>4</v>
      </c>
      <c r="G1989" s="49" t="s">
        <v>290</v>
      </c>
      <c r="H1989" s="51" t="n">
        <v>0.0462</v>
      </c>
      <c r="I1989" s="51" t="n">
        <v>0.9169</v>
      </c>
      <c r="J1989" s="51" t="n">
        <v>0.037</v>
      </c>
      <c r="K1989" s="49"/>
      <c r="L1989" s="49"/>
      <c r="M1989" s="49"/>
      <c r="N1989" s="49"/>
      <c r="O1989" s="49"/>
      <c r="P1989" s="49"/>
      <c r="Q1989" s="49"/>
      <c r="R1989" s="49" t="s">
        <v>281</v>
      </c>
      <c r="S1989" s="49" t="n">
        <v>0</v>
      </c>
      <c r="T1989" s="49" t="n">
        <v>0</v>
      </c>
      <c r="U1989" s="49" t="s">
        <v>4228</v>
      </c>
    </row>
    <row r="1990" customFormat="false" ht="15" hidden="false" customHeight="false" outlineLevel="0" collapsed="false">
      <c r="B1990" s="48" t="n">
        <v>45653.9348032407</v>
      </c>
      <c r="C1990" s="4" t="n">
        <f aca="false">YEAR(B1990)</f>
        <v>2024</v>
      </c>
      <c r="D1990" s="49" t="s">
        <v>283</v>
      </c>
      <c r="E1990" s="49" t="s">
        <v>4229</v>
      </c>
      <c r="F1990" s="50" t="n">
        <v>0</v>
      </c>
      <c r="G1990" s="49" t="s">
        <v>280</v>
      </c>
      <c r="H1990" s="51" t="n">
        <v>0.8536</v>
      </c>
      <c r="I1990" s="51" t="n">
        <v>0.1323</v>
      </c>
      <c r="J1990" s="51" t="n">
        <v>0.0141</v>
      </c>
      <c r="K1990" s="49"/>
      <c r="L1990" s="49"/>
      <c r="M1990" s="49"/>
      <c r="N1990" s="49"/>
      <c r="O1990" s="49"/>
      <c r="P1990" s="49"/>
      <c r="Q1990" s="49"/>
      <c r="R1990" s="49"/>
      <c r="S1990" s="49" t="n">
        <v>0</v>
      </c>
      <c r="T1990" s="49" t="n">
        <v>0</v>
      </c>
      <c r="U1990" s="49" t="s">
        <v>4230</v>
      </c>
    </row>
    <row r="1991" customFormat="false" ht="15" hidden="false" customHeight="false" outlineLevel="0" collapsed="false">
      <c r="B1991" s="48" t="n">
        <v>45654.0746412037</v>
      </c>
      <c r="C1991" s="4" t="n">
        <f aca="false">YEAR(B1991)</f>
        <v>2024</v>
      </c>
      <c r="D1991" s="49" t="s">
        <v>283</v>
      </c>
      <c r="E1991" s="49" t="s">
        <v>4231</v>
      </c>
      <c r="F1991" s="50" t="n">
        <v>0</v>
      </c>
      <c r="G1991" s="49" t="s">
        <v>280</v>
      </c>
      <c r="H1991" s="51" t="n">
        <v>0.8053</v>
      </c>
      <c r="I1991" s="51" t="n">
        <v>0.1815</v>
      </c>
      <c r="J1991" s="51" t="n">
        <v>0.0132</v>
      </c>
      <c r="K1991" s="49"/>
      <c r="L1991" s="49"/>
      <c r="M1991" s="49"/>
      <c r="N1991" s="49"/>
      <c r="O1991" s="49"/>
      <c r="P1991" s="49"/>
      <c r="Q1991" s="49"/>
      <c r="R1991" s="49"/>
      <c r="S1991" s="49" t="n">
        <v>0</v>
      </c>
      <c r="T1991" s="49" t="n">
        <v>0</v>
      </c>
      <c r="U1991" s="49" t="s">
        <v>4232</v>
      </c>
    </row>
    <row r="1992" customFormat="false" ht="15" hidden="false" customHeight="false" outlineLevel="0" collapsed="false">
      <c r="B1992" s="48" t="n">
        <v>45654.251099537</v>
      </c>
      <c r="C1992" s="4" t="n">
        <f aca="false">YEAR(B1992)</f>
        <v>2024</v>
      </c>
      <c r="D1992" s="49" t="s">
        <v>283</v>
      </c>
      <c r="E1992" s="49" t="s">
        <v>4233</v>
      </c>
      <c r="F1992" s="50" t="n">
        <v>2</v>
      </c>
      <c r="G1992" s="49" t="s">
        <v>287</v>
      </c>
      <c r="H1992" s="51" t="n">
        <v>0.2142</v>
      </c>
      <c r="I1992" s="51" t="n">
        <v>0.3779</v>
      </c>
      <c r="J1992" s="51" t="n">
        <v>0.4079</v>
      </c>
      <c r="K1992" s="49"/>
      <c r="L1992" s="49"/>
      <c r="M1992" s="49"/>
      <c r="N1992" s="49"/>
      <c r="O1992" s="49"/>
      <c r="P1992" s="49"/>
      <c r="Q1992" s="49"/>
      <c r="R1992" s="49"/>
      <c r="S1992" s="49" t="n">
        <v>0</v>
      </c>
      <c r="T1992" s="49" t="n">
        <v>0</v>
      </c>
      <c r="U1992" s="49" t="s">
        <v>4234</v>
      </c>
    </row>
    <row r="1993" customFormat="false" ht="15" hidden="false" customHeight="false" outlineLevel="0" collapsed="false">
      <c r="B1993" s="48" t="n">
        <v>45654.9329166667</v>
      </c>
      <c r="C1993" s="4" t="n">
        <f aca="false">YEAR(B1993)</f>
        <v>2024</v>
      </c>
      <c r="D1993" s="49" t="s">
        <v>278</v>
      </c>
      <c r="E1993" s="49" t="s">
        <v>4235</v>
      </c>
      <c r="F1993" s="50" t="n">
        <v>0</v>
      </c>
      <c r="G1993" s="49" t="s">
        <v>287</v>
      </c>
      <c r="H1993" s="51" t="n">
        <v>0.0073</v>
      </c>
      <c r="I1993" s="51" t="n">
        <v>0.0446</v>
      </c>
      <c r="J1993" s="51" t="n">
        <v>0.9481</v>
      </c>
      <c r="K1993" s="49"/>
      <c r="L1993" s="49"/>
      <c r="M1993" s="49"/>
      <c r="N1993" s="49"/>
      <c r="O1993" s="49"/>
      <c r="P1993" s="49"/>
      <c r="Q1993" s="49"/>
      <c r="R1993" s="49" t="s">
        <v>281</v>
      </c>
      <c r="S1993" s="49" t="n">
        <v>0</v>
      </c>
      <c r="T1993" s="49" t="n">
        <v>0</v>
      </c>
      <c r="U1993" s="49" t="s">
        <v>4236</v>
      </c>
    </row>
    <row r="1994" customFormat="false" ht="15" hidden="false" customHeight="false" outlineLevel="0" collapsed="false">
      <c r="B1994" s="48" t="n">
        <v>45654.9329513889</v>
      </c>
      <c r="C1994" s="4" t="n">
        <f aca="false">YEAR(B1994)</f>
        <v>2024</v>
      </c>
      <c r="D1994" s="49" t="s">
        <v>283</v>
      </c>
      <c r="E1994" s="49" t="s">
        <v>4237</v>
      </c>
      <c r="F1994" s="50" t="n">
        <v>3</v>
      </c>
      <c r="G1994" s="49" t="s">
        <v>280</v>
      </c>
      <c r="H1994" s="51" t="n">
        <v>0.8057</v>
      </c>
      <c r="I1994" s="51" t="n">
        <v>0.1735</v>
      </c>
      <c r="J1994" s="51" t="n">
        <v>0.0208</v>
      </c>
      <c r="K1994" s="49" t="s">
        <v>281</v>
      </c>
      <c r="L1994" s="49"/>
      <c r="M1994" s="49"/>
      <c r="N1994" s="49"/>
      <c r="O1994" s="49"/>
      <c r="P1994" s="49"/>
      <c r="Q1994" s="49"/>
      <c r="R1994" s="49"/>
      <c r="S1994" s="49" t="n">
        <v>0</v>
      </c>
      <c r="T1994" s="49" t="n">
        <v>0</v>
      </c>
      <c r="U1994" s="49" t="s">
        <v>4238</v>
      </c>
    </row>
    <row r="1995" customFormat="false" ht="15" hidden="false" customHeight="false" outlineLevel="0" collapsed="false">
      <c r="B1995" s="48" t="n">
        <v>45655.05375</v>
      </c>
      <c r="C1995" s="4" t="n">
        <f aca="false">YEAR(B1995)</f>
        <v>2024</v>
      </c>
      <c r="D1995" s="49" t="s">
        <v>283</v>
      </c>
      <c r="E1995" s="49" t="s">
        <v>4239</v>
      </c>
      <c r="F1995" s="50" t="n">
        <v>1</v>
      </c>
      <c r="G1995" s="49" t="s">
        <v>280</v>
      </c>
      <c r="H1995" s="51" t="n">
        <v>0.8699</v>
      </c>
      <c r="I1995" s="51" t="n">
        <v>0.1191</v>
      </c>
      <c r="J1995" s="51" t="n">
        <v>0.011</v>
      </c>
      <c r="K1995" s="49"/>
      <c r="L1995" s="49"/>
      <c r="M1995" s="49"/>
      <c r="N1995" s="49"/>
      <c r="O1995" s="49"/>
      <c r="P1995" s="49"/>
      <c r="Q1995" s="49"/>
      <c r="R1995" s="49"/>
      <c r="S1995" s="49" t="n">
        <v>0</v>
      </c>
      <c r="T1995" s="49" t="n">
        <v>0</v>
      </c>
      <c r="U1995" s="49" t="s">
        <v>4240</v>
      </c>
    </row>
    <row r="1996" customFormat="false" ht="15" hidden="false" customHeight="false" outlineLevel="0" collapsed="false">
      <c r="B1996" s="48" t="n">
        <v>45655.8921875</v>
      </c>
      <c r="C1996" s="4" t="n">
        <f aca="false">YEAR(B1996)</f>
        <v>2024</v>
      </c>
      <c r="D1996" s="49" t="s">
        <v>278</v>
      </c>
      <c r="E1996" s="49" t="s">
        <v>4241</v>
      </c>
      <c r="F1996" s="50" t="n">
        <v>2</v>
      </c>
      <c r="G1996" s="49" t="s">
        <v>280</v>
      </c>
      <c r="H1996" s="51" t="n">
        <v>0.67</v>
      </c>
      <c r="I1996" s="51" t="n">
        <v>0.3105</v>
      </c>
      <c r="J1996" s="51" t="n">
        <v>0.0195</v>
      </c>
      <c r="K1996" s="49"/>
      <c r="L1996" s="49"/>
      <c r="M1996" s="49"/>
      <c r="N1996" s="49"/>
      <c r="O1996" s="49"/>
      <c r="P1996" s="49"/>
      <c r="Q1996" s="49"/>
      <c r="R1996" s="49"/>
      <c r="S1996" s="49" t="n">
        <v>0</v>
      </c>
      <c r="T1996" s="49" t="n">
        <v>0</v>
      </c>
      <c r="U1996" s="49" t="s">
        <v>4242</v>
      </c>
    </row>
    <row r="1997" customFormat="false" ht="15" hidden="false" customHeight="false" outlineLevel="0" collapsed="false">
      <c r="B1997" s="48" t="n">
        <v>45656.2400462963</v>
      </c>
      <c r="C1997" s="4" t="n">
        <f aca="false">YEAR(B1997)</f>
        <v>2024</v>
      </c>
      <c r="D1997" s="49" t="s">
        <v>283</v>
      </c>
      <c r="E1997" s="49" t="s">
        <v>4243</v>
      </c>
      <c r="F1997" s="50" t="n">
        <v>5</v>
      </c>
      <c r="G1997" s="49" t="s">
        <v>280</v>
      </c>
      <c r="H1997" s="51" t="n">
        <v>0.9374</v>
      </c>
      <c r="I1997" s="51" t="n">
        <v>0.0543</v>
      </c>
      <c r="J1997" s="51" t="n">
        <v>0.0083</v>
      </c>
      <c r="K1997" s="49"/>
      <c r="L1997" s="49"/>
      <c r="M1997" s="49"/>
      <c r="N1997" s="49"/>
      <c r="O1997" s="49"/>
      <c r="P1997" s="49"/>
      <c r="Q1997" s="49"/>
      <c r="R1997" s="49" t="s">
        <v>281</v>
      </c>
      <c r="S1997" s="49" t="n">
        <v>0</v>
      </c>
      <c r="T1997" s="49" t="n">
        <v>0</v>
      </c>
      <c r="U1997" s="49" t="s">
        <v>4244</v>
      </c>
    </row>
    <row r="1998" customFormat="false" ht="15" hidden="false" customHeight="false" outlineLevel="0" collapsed="false">
      <c r="B1998" s="48" t="n">
        <v>45656.5965162037</v>
      </c>
      <c r="C1998" s="4" t="n">
        <f aca="false">YEAR(B1998)</f>
        <v>2024</v>
      </c>
      <c r="D1998" s="49" t="s">
        <v>278</v>
      </c>
      <c r="E1998" s="49" t="s">
        <v>4245</v>
      </c>
      <c r="F1998" s="50" t="n">
        <v>1</v>
      </c>
      <c r="G1998" s="49" t="s">
        <v>290</v>
      </c>
      <c r="H1998" s="51" t="n">
        <v>0.0209</v>
      </c>
      <c r="I1998" s="51" t="n">
        <v>0.8197</v>
      </c>
      <c r="J1998" s="51" t="n">
        <v>0.1594</v>
      </c>
      <c r="K1998" s="49"/>
      <c r="L1998" s="49"/>
      <c r="M1998" s="49"/>
      <c r="N1998" s="49"/>
      <c r="O1998" s="49"/>
      <c r="P1998" s="49"/>
      <c r="Q1998" s="49" t="s">
        <v>281</v>
      </c>
      <c r="R1998" s="49"/>
      <c r="S1998" s="49" t="n">
        <v>0</v>
      </c>
      <c r="T1998" s="49" t="n">
        <v>0</v>
      </c>
      <c r="U1998" s="49" t="s">
        <v>4246</v>
      </c>
    </row>
    <row r="1999" customFormat="false" ht="15" hidden="false" customHeight="false" outlineLevel="0" collapsed="false">
      <c r="B1999" s="48" t="n">
        <v>45656.8777083333</v>
      </c>
      <c r="C1999" s="4" t="n">
        <f aca="false">YEAR(B1999)</f>
        <v>2024</v>
      </c>
      <c r="D1999" s="49" t="s">
        <v>283</v>
      </c>
      <c r="E1999" s="49" t="s">
        <v>4247</v>
      </c>
      <c r="F1999" s="50" t="n">
        <v>0</v>
      </c>
      <c r="G1999" s="49" t="s">
        <v>280</v>
      </c>
      <c r="H1999" s="51" t="n">
        <v>0.8597</v>
      </c>
      <c r="I1999" s="51" t="n">
        <v>0.1249</v>
      </c>
      <c r="J1999" s="51" t="n">
        <v>0.0154</v>
      </c>
      <c r="K1999" s="49"/>
      <c r="L1999" s="49"/>
      <c r="M1999" s="49"/>
      <c r="N1999" s="49"/>
      <c r="O1999" s="49"/>
      <c r="P1999" s="49"/>
      <c r="Q1999" s="49"/>
      <c r="R1999" s="49" t="s">
        <v>281</v>
      </c>
      <c r="S1999" s="49" t="n">
        <v>0</v>
      </c>
      <c r="T1999" s="49" t="n">
        <v>0</v>
      </c>
      <c r="U1999" s="49" t="s">
        <v>4248</v>
      </c>
    </row>
    <row r="2000" customFormat="false" ht="15" hidden="false" customHeight="false" outlineLevel="0" collapsed="false">
      <c r="B2000" s="48" t="n">
        <v>45656.9162962963</v>
      </c>
      <c r="C2000" s="4" t="n">
        <f aca="false">YEAR(B2000)</f>
        <v>2024</v>
      </c>
      <c r="D2000" s="49" t="s">
        <v>283</v>
      </c>
      <c r="E2000" s="49" t="s">
        <v>4249</v>
      </c>
      <c r="F2000" s="50" t="n">
        <v>8</v>
      </c>
      <c r="G2000" s="49" t="s">
        <v>287</v>
      </c>
      <c r="H2000" s="51" t="n">
        <v>0.0043</v>
      </c>
      <c r="I2000" s="51" t="n">
        <v>0.0587</v>
      </c>
      <c r="J2000" s="51" t="n">
        <v>0.937</v>
      </c>
      <c r="K2000" s="49"/>
      <c r="L2000" s="49"/>
      <c r="M2000" s="49"/>
      <c r="N2000" s="49"/>
      <c r="O2000" s="49"/>
      <c r="P2000" s="49"/>
      <c r="Q2000" s="49"/>
      <c r="R2000" s="49"/>
      <c r="S2000" s="49" t="n">
        <v>0</v>
      </c>
      <c r="T2000" s="49" t="n">
        <v>0</v>
      </c>
      <c r="U2000" s="49" t="s">
        <v>4250</v>
      </c>
    </row>
    <row r="2001" customFormat="false" ht="15" hidden="false" customHeight="false" outlineLevel="0" collapsed="false">
      <c r="B2001" s="48" t="n">
        <v>45657.3634143519</v>
      </c>
      <c r="C2001" s="4" t="n">
        <f aca="false">YEAR(B2001)</f>
        <v>2024</v>
      </c>
      <c r="D2001" s="49" t="s">
        <v>283</v>
      </c>
      <c r="E2001" s="49" t="s">
        <v>4251</v>
      </c>
      <c r="F2001" s="50" t="n">
        <v>1</v>
      </c>
      <c r="G2001" s="49" t="s">
        <v>287</v>
      </c>
      <c r="H2001" s="51" t="n">
        <v>0.0761</v>
      </c>
      <c r="I2001" s="51" t="n">
        <v>0.4004</v>
      </c>
      <c r="J2001" s="51" t="n">
        <v>0.5235</v>
      </c>
      <c r="K2001" s="49"/>
      <c r="L2001" s="49"/>
      <c r="M2001" s="49"/>
      <c r="N2001" s="49"/>
      <c r="O2001" s="49"/>
      <c r="P2001" s="49"/>
      <c r="Q2001" s="49"/>
      <c r="R2001" s="49"/>
      <c r="S2001" s="49" t="n">
        <v>0</v>
      </c>
      <c r="T2001" s="49" t="n">
        <v>0</v>
      </c>
      <c r="U2001" s="49" t="s">
        <v>4252</v>
      </c>
    </row>
    <row r="2002" customFormat="false" ht="15" hidden="false" customHeight="false" outlineLevel="0" collapsed="false">
      <c r="B2002" s="48" t="n">
        <v>45657.4919212963</v>
      </c>
      <c r="C2002" s="4" t="n">
        <f aca="false">YEAR(B2002)</f>
        <v>2024</v>
      </c>
      <c r="D2002" s="49" t="s">
        <v>283</v>
      </c>
      <c r="E2002" s="49" t="s">
        <v>4253</v>
      </c>
      <c r="F2002" s="50" t="n">
        <v>2</v>
      </c>
      <c r="G2002" s="49" t="s">
        <v>280</v>
      </c>
      <c r="H2002" s="51" t="n">
        <v>0.8515</v>
      </c>
      <c r="I2002" s="51" t="n">
        <v>0.1332</v>
      </c>
      <c r="J2002" s="51" t="n">
        <v>0.0153</v>
      </c>
      <c r="K2002" s="49"/>
      <c r="L2002" s="49"/>
      <c r="M2002" s="49"/>
      <c r="N2002" s="49"/>
      <c r="O2002" s="49"/>
      <c r="P2002" s="49"/>
      <c r="Q2002" s="49"/>
      <c r="R2002" s="49" t="s">
        <v>281</v>
      </c>
      <c r="S2002" s="49" t="n">
        <v>0</v>
      </c>
      <c r="T2002" s="49" t="n">
        <v>0</v>
      </c>
      <c r="U2002" s="49" t="s">
        <v>4254</v>
      </c>
    </row>
    <row r="2003" customFormat="false" ht="15" hidden="false" customHeight="false" outlineLevel="0" collapsed="false">
      <c r="B2003" s="48" t="n">
        <v>45657.6990393519</v>
      </c>
      <c r="C2003" s="4" t="n">
        <f aca="false">YEAR(B2003)</f>
        <v>2024</v>
      </c>
      <c r="D2003" s="49" t="s">
        <v>283</v>
      </c>
      <c r="E2003" s="49" t="s">
        <v>4255</v>
      </c>
      <c r="F2003" s="50" t="n">
        <v>5</v>
      </c>
      <c r="G2003" s="49" t="s">
        <v>290</v>
      </c>
      <c r="H2003" s="51" t="n">
        <v>0.0444</v>
      </c>
      <c r="I2003" s="51" t="n">
        <v>0.8141</v>
      </c>
      <c r="J2003" s="51" t="n">
        <v>0.1415</v>
      </c>
      <c r="K2003" s="49"/>
      <c r="L2003" s="49"/>
      <c r="M2003" s="49"/>
      <c r="N2003" s="49"/>
      <c r="O2003" s="49"/>
      <c r="P2003" s="49"/>
      <c r="Q2003" s="49"/>
      <c r="R2003" s="49" t="s">
        <v>281</v>
      </c>
      <c r="S2003" s="49" t="n">
        <v>0</v>
      </c>
      <c r="T2003" s="49" t="n">
        <v>0</v>
      </c>
      <c r="U2003" s="49" t="s">
        <v>4256</v>
      </c>
    </row>
    <row r="2004" customFormat="false" ht="15" hidden="false" customHeight="false" outlineLevel="0" collapsed="false">
      <c r="B2004" s="48" t="n">
        <v>45658.2591319445</v>
      </c>
      <c r="C2004" s="4" t="n">
        <f aca="false">YEAR(B2004)</f>
        <v>2025</v>
      </c>
      <c r="D2004" s="49" t="s">
        <v>283</v>
      </c>
      <c r="E2004" s="49" t="s">
        <v>4257</v>
      </c>
      <c r="F2004" s="50" t="n">
        <v>1</v>
      </c>
      <c r="G2004" s="49" t="s">
        <v>287</v>
      </c>
      <c r="H2004" s="51" t="n">
        <v>0.005</v>
      </c>
      <c r="I2004" s="51" t="n">
        <v>0.1216</v>
      </c>
      <c r="J2004" s="51" t="n">
        <v>0.8734</v>
      </c>
      <c r="K2004" s="49"/>
      <c r="L2004" s="49"/>
      <c r="M2004" s="49"/>
      <c r="N2004" s="49"/>
      <c r="O2004" s="49"/>
      <c r="P2004" s="49"/>
      <c r="Q2004" s="49"/>
      <c r="R2004" s="49"/>
      <c r="S2004" s="49" t="n">
        <v>0</v>
      </c>
      <c r="T2004" s="49" t="n">
        <v>0</v>
      </c>
      <c r="U2004" s="49" t="s">
        <v>4258</v>
      </c>
    </row>
    <row r="2005" customFormat="false" ht="15" hidden="false" customHeight="false" outlineLevel="0" collapsed="false">
      <c r="B2005" s="48" t="n">
        <v>45658.4120833333</v>
      </c>
      <c r="C2005" s="4" t="n">
        <f aca="false">YEAR(B2005)</f>
        <v>2025</v>
      </c>
      <c r="D2005" s="49" t="s">
        <v>283</v>
      </c>
      <c r="E2005" s="49" t="s">
        <v>4259</v>
      </c>
      <c r="F2005" s="50" t="n">
        <v>9</v>
      </c>
      <c r="G2005" s="49" t="s">
        <v>287</v>
      </c>
      <c r="H2005" s="51" t="n">
        <v>0.0031</v>
      </c>
      <c r="I2005" s="51" t="n">
        <v>0.1085</v>
      </c>
      <c r="J2005" s="51" t="n">
        <v>0.8884</v>
      </c>
      <c r="K2005" s="49"/>
      <c r="L2005" s="49"/>
      <c r="M2005" s="49"/>
      <c r="N2005" s="49"/>
      <c r="O2005" s="49"/>
      <c r="P2005" s="49"/>
      <c r="Q2005" s="49"/>
      <c r="R2005" s="49"/>
      <c r="S2005" s="49" t="n">
        <v>0</v>
      </c>
      <c r="T2005" s="49" t="n">
        <v>0</v>
      </c>
      <c r="U2005" s="49" t="s">
        <v>4260</v>
      </c>
    </row>
    <row r="2006" customFormat="false" ht="15" hidden="false" customHeight="false" outlineLevel="0" collapsed="false">
      <c r="B2006" s="48" t="n">
        <v>45658.9980208333</v>
      </c>
      <c r="C2006" s="4" t="n">
        <f aca="false">YEAR(B2006)</f>
        <v>2025</v>
      </c>
      <c r="D2006" s="49" t="s">
        <v>283</v>
      </c>
      <c r="E2006" s="49" t="s">
        <v>4261</v>
      </c>
      <c r="F2006" s="50" t="n">
        <v>20</v>
      </c>
      <c r="G2006" s="49" t="s">
        <v>287</v>
      </c>
      <c r="H2006" s="51" t="n">
        <v>0.0052</v>
      </c>
      <c r="I2006" s="51" t="n">
        <v>0.0923</v>
      </c>
      <c r="J2006" s="51" t="n">
        <v>0.9025</v>
      </c>
      <c r="K2006" s="49"/>
      <c r="L2006" s="49"/>
      <c r="M2006" s="49"/>
      <c r="N2006" s="49"/>
      <c r="O2006" s="49"/>
      <c r="P2006" s="49"/>
      <c r="Q2006" s="49"/>
      <c r="R2006" s="49"/>
      <c r="S2006" s="49" t="n">
        <v>0</v>
      </c>
      <c r="T2006" s="49" t="n">
        <v>0</v>
      </c>
      <c r="U2006" s="49" t="s">
        <v>4262</v>
      </c>
    </row>
    <row r="2007" customFormat="false" ht="15" hidden="false" customHeight="false" outlineLevel="0" collapsed="false">
      <c r="B2007" s="48" t="n">
        <v>45659.0548726852</v>
      </c>
      <c r="C2007" s="4" t="n">
        <f aca="false">YEAR(B2007)</f>
        <v>2025</v>
      </c>
      <c r="D2007" s="49" t="s">
        <v>283</v>
      </c>
      <c r="E2007" s="49" t="s">
        <v>4263</v>
      </c>
      <c r="F2007" s="50" t="n">
        <v>1</v>
      </c>
      <c r="G2007" s="49" t="s">
        <v>280</v>
      </c>
      <c r="H2007" s="51" t="n">
        <v>0.6618</v>
      </c>
      <c r="I2007" s="51" t="n">
        <v>0.3239</v>
      </c>
      <c r="J2007" s="51" t="n">
        <v>0.0142</v>
      </c>
      <c r="K2007" s="49"/>
      <c r="L2007" s="49"/>
      <c r="M2007" s="49"/>
      <c r="N2007" s="49"/>
      <c r="O2007" s="49"/>
      <c r="P2007" s="49"/>
      <c r="Q2007" s="49"/>
      <c r="R2007" s="49" t="s">
        <v>281</v>
      </c>
      <c r="S2007" s="49" t="n">
        <v>0</v>
      </c>
      <c r="T2007" s="49" t="n">
        <v>0</v>
      </c>
      <c r="U2007" s="49" t="s">
        <v>4264</v>
      </c>
    </row>
    <row r="2008" customFormat="false" ht="15" hidden="false" customHeight="false" outlineLevel="0" collapsed="false">
      <c r="B2008" s="48" t="n">
        <v>45659.7334722222</v>
      </c>
      <c r="C2008" s="4" t="n">
        <f aca="false">YEAR(B2008)</f>
        <v>2025</v>
      </c>
      <c r="D2008" s="49" t="s">
        <v>283</v>
      </c>
      <c r="E2008" s="49" t="s">
        <v>4265</v>
      </c>
      <c r="F2008" s="50" t="n">
        <v>2</v>
      </c>
      <c r="G2008" s="49" t="s">
        <v>290</v>
      </c>
      <c r="H2008" s="51" t="n">
        <v>0.0287</v>
      </c>
      <c r="I2008" s="51" t="n">
        <v>0.9338</v>
      </c>
      <c r="J2008" s="51" t="n">
        <v>0.0374</v>
      </c>
      <c r="K2008" s="49"/>
      <c r="L2008" s="49"/>
      <c r="M2008" s="49"/>
      <c r="N2008" s="49"/>
      <c r="O2008" s="49"/>
      <c r="P2008" s="49"/>
      <c r="Q2008" s="49"/>
      <c r="R2008" s="49"/>
      <c r="S2008" s="49" t="n">
        <v>0</v>
      </c>
      <c r="T2008" s="49" t="n">
        <v>0</v>
      </c>
      <c r="U2008" s="49" t="s">
        <v>4266</v>
      </c>
    </row>
    <row r="2009" customFormat="false" ht="15" hidden="false" customHeight="false" outlineLevel="0" collapsed="false">
      <c r="B2009" s="48" t="n">
        <v>45659.8708680556</v>
      </c>
      <c r="C2009" s="4" t="n">
        <f aca="false">YEAR(B2009)</f>
        <v>2025</v>
      </c>
      <c r="D2009" s="49" t="s">
        <v>283</v>
      </c>
      <c r="E2009" s="49" t="s">
        <v>4267</v>
      </c>
      <c r="F2009" s="50" t="n">
        <v>1</v>
      </c>
      <c r="G2009" s="49" t="s">
        <v>287</v>
      </c>
      <c r="H2009" s="51" t="n">
        <v>0.0107</v>
      </c>
      <c r="I2009" s="51" t="n">
        <v>0.2481</v>
      </c>
      <c r="J2009" s="51" t="n">
        <v>0.7412</v>
      </c>
      <c r="K2009" s="49"/>
      <c r="L2009" s="49"/>
      <c r="M2009" s="49"/>
      <c r="N2009" s="49"/>
      <c r="O2009" s="49"/>
      <c r="P2009" s="49"/>
      <c r="Q2009" s="49"/>
      <c r="R2009" s="49"/>
      <c r="S2009" s="49" t="n">
        <v>1</v>
      </c>
      <c r="T2009" s="49" t="n">
        <v>0</v>
      </c>
      <c r="U2009" s="49" t="s">
        <v>4268</v>
      </c>
    </row>
    <row r="2010" customFormat="false" ht="15" hidden="false" customHeight="false" outlineLevel="0" collapsed="false">
      <c r="B2010" s="48" t="n">
        <v>45659.9915509259</v>
      </c>
      <c r="C2010" s="4" t="n">
        <f aca="false">YEAR(B2010)</f>
        <v>2025</v>
      </c>
      <c r="D2010" s="49" t="s">
        <v>283</v>
      </c>
      <c r="E2010" s="49" t="s">
        <v>4269</v>
      </c>
      <c r="F2010" s="50" t="n">
        <v>1</v>
      </c>
      <c r="G2010" s="49" t="s">
        <v>290</v>
      </c>
      <c r="H2010" s="51" t="n">
        <v>0.0159</v>
      </c>
      <c r="I2010" s="51" t="n">
        <v>0.8954</v>
      </c>
      <c r="J2010" s="51" t="n">
        <v>0.0887</v>
      </c>
      <c r="K2010" s="49"/>
      <c r="L2010" s="49"/>
      <c r="M2010" s="49"/>
      <c r="N2010" s="49"/>
      <c r="O2010" s="49"/>
      <c r="P2010" s="49"/>
      <c r="Q2010" s="49"/>
      <c r="R2010" s="49"/>
      <c r="S2010" s="49" t="n">
        <v>0</v>
      </c>
      <c r="T2010" s="49" t="n">
        <v>0</v>
      </c>
      <c r="U2010" s="49" t="s">
        <v>4270</v>
      </c>
    </row>
    <row r="2011" customFormat="false" ht="15" hidden="false" customHeight="false" outlineLevel="0" collapsed="false">
      <c r="B2011" s="48" t="n">
        <v>45660.3370717593</v>
      </c>
      <c r="C2011" s="4" t="n">
        <f aca="false">YEAR(B2011)</f>
        <v>2025</v>
      </c>
      <c r="D2011" s="49" t="s">
        <v>283</v>
      </c>
      <c r="E2011" s="49" t="s">
        <v>4271</v>
      </c>
      <c r="F2011" s="50" t="n">
        <v>2</v>
      </c>
      <c r="G2011" s="49" t="s">
        <v>280</v>
      </c>
      <c r="H2011" s="51" t="n">
        <v>0.4752</v>
      </c>
      <c r="I2011" s="51" t="n">
        <v>0.4193</v>
      </c>
      <c r="J2011" s="51" t="n">
        <v>0.1055</v>
      </c>
      <c r="K2011" s="49"/>
      <c r="L2011" s="49"/>
      <c r="M2011" s="49"/>
      <c r="N2011" s="49"/>
      <c r="O2011" s="49"/>
      <c r="P2011" s="49"/>
      <c r="Q2011" s="49"/>
      <c r="R2011" s="49"/>
      <c r="S2011" s="49" t="n">
        <v>0</v>
      </c>
      <c r="T2011" s="49" t="n">
        <v>0</v>
      </c>
      <c r="U2011" s="49" t="s">
        <v>4272</v>
      </c>
    </row>
    <row r="2012" customFormat="false" ht="15" hidden="false" customHeight="false" outlineLevel="0" collapsed="false">
      <c r="B2012" s="48" t="n">
        <v>45660.5604513889</v>
      </c>
      <c r="C2012" s="4" t="n">
        <f aca="false">YEAR(B2012)</f>
        <v>2025</v>
      </c>
      <c r="D2012" s="49" t="s">
        <v>283</v>
      </c>
      <c r="E2012" s="49" t="s">
        <v>4273</v>
      </c>
      <c r="F2012" s="50" t="n">
        <v>1</v>
      </c>
      <c r="G2012" s="49" t="s">
        <v>290</v>
      </c>
      <c r="H2012" s="51" t="n">
        <v>0.1748</v>
      </c>
      <c r="I2012" s="51" t="n">
        <v>0.805</v>
      </c>
      <c r="J2012" s="51" t="n">
        <v>0.0202</v>
      </c>
      <c r="K2012" s="49"/>
      <c r="L2012" s="49"/>
      <c r="M2012" s="49"/>
      <c r="N2012" s="49"/>
      <c r="O2012" s="49"/>
      <c r="P2012" s="49"/>
      <c r="Q2012" s="49"/>
      <c r="R2012" s="49"/>
      <c r="S2012" s="49" t="n">
        <v>1</v>
      </c>
      <c r="T2012" s="49" t="n">
        <v>0</v>
      </c>
      <c r="U2012" s="49" t="s">
        <v>4274</v>
      </c>
    </row>
    <row r="2013" customFormat="false" ht="15" hidden="false" customHeight="false" outlineLevel="0" collapsed="false">
      <c r="B2013" s="48" t="n">
        <v>45660.8088078704</v>
      </c>
      <c r="C2013" s="4" t="n">
        <f aca="false">YEAR(B2013)</f>
        <v>2025</v>
      </c>
      <c r="D2013" s="49" t="s">
        <v>283</v>
      </c>
      <c r="E2013" s="49" t="s">
        <v>4275</v>
      </c>
      <c r="F2013" s="50" t="n">
        <v>8</v>
      </c>
      <c r="G2013" s="49" t="s">
        <v>280</v>
      </c>
      <c r="H2013" s="51" t="n">
        <v>0.7158</v>
      </c>
      <c r="I2013" s="51" t="n">
        <v>0.2521</v>
      </c>
      <c r="J2013" s="51" t="n">
        <v>0.0321</v>
      </c>
      <c r="K2013" s="49"/>
      <c r="L2013" s="49"/>
      <c r="M2013" s="49"/>
      <c r="N2013" s="49"/>
      <c r="O2013" s="49"/>
      <c r="P2013" s="49"/>
      <c r="Q2013" s="49"/>
      <c r="R2013" s="49"/>
      <c r="S2013" s="49" t="n">
        <v>0</v>
      </c>
      <c r="T2013" s="49" t="n">
        <v>0</v>
      </c>
      <c r="U2013" s="49" t="s">
        <v>4276</v>
      </c>
    </row>
    <row r="2014" customFormat="false" ht="15" hidden="false" customHeight="false" outlineLevel="0" collapsed="false">
      <c r="B2014" s="48" t="n">
        <v>45661.0347337963</v>
      </c>
      <c r="C2014" s="4" t="n">
        <f aca="false">YEAR(B2014)</f>
        <v>2025</v>
      </c>
      <c r="D2014" s="49" t="s">
        <v>283</v>
      </c>
      <c r="E2014" s="49" t="s">
        <v>4277</v>
      </c>
      <c r="F2014" s="50" t="n">
        <v>1</v>
      </c>
      <c r="G2014" s="49" t="s">
        <v>280</v>
      </c>
      <c r="H2014" s="51" t="n">
        <v>0.9128</v>
      </c>
      <c r="I2014" s="51" t="n">
        <v>0.0806</v>
      </c>
      <c r="J2014" s="51" t="n">
        <v>0.0066</v>
      </c>
      <c r="K2014" s="49"/>
      <c r="L2014" s="49"/>
      <c r="M2014" s="49"/>
      <c r="N2014" s="49"/>
      <c r="O2014" s="49"/>
      <c r="P2014" s="49"/>
      <c r="Q2014" s="49"/>
      <c r="R2014" s="49"/>
      <c r="S2014" s="49" t="n">
        <v>0</v>
      </c>
      <c r="T2014" s="49" t="n">
        <v>0</v>
      </c>
      <c r="U2014" s="49" t="s">
        <v>4278</v>
      </c>
    </row>
    <row r="2015" customFormat="false" ht="15" hidden="false" customHeight="false" outlineLevel="0" collapsed="false">
      <c r="B2015" s="48" t="n">
        <v>45661.0473032407</v>
      </c>
      <c r="C2015" s="4" t="n">
        <f aca="false">YEAR(B2015)</f>
        <v>2025</v>
      </c>
      <c r="D2015" s="49" t="s">
        <v>283</v>
      </c>
      <c r="E2015" s="49" t="s">
        <v>4279</v>
      </c>
      <c r="F2015" s="50" t="n">
        <v>93</v>
      </c>
      <c r="G2015" s="49" t="s">
        <v>290</v>
      </c>
      <c r="H2015" s="51" t="n">
        <v>0.0642</v>
      </c>
      <c r="I2015" s="51" t="n">
        <v>0.742</v>
      </c>
      <c r="J2015" s="51" t="n">
        <v>0.1938</v>
      </c>
      <c r="K2015" s="49" t="s">
        <v>281</v>
      </c>
      <c r="L2015" s="49"/>
      <c r="M2015" s="49"/>
      <c r="N2015" s="49"/>
      <c r="O2015" s="49"/>
      <c r="P2015" s="49"/>
      <c r="Q2015" s="49"/>
      <c r="R2015" s="49" t="s">
        <v>281</v>
      </c>
      <c r="S2015" s="49" t="n">
        <v>0</v>
      </c>
      <c r="T2015" s="49" t="n">
        <v>0</v>
      </c>
      <c r="U2015" s="49" t="s">
        <v>4280</v>
      </c>
    </row>
    <row r="2016" customFormat="false" ht="15" hidden="false" customHeight="false" outlineLevel="0" collapsed="false">
      <c r="B2016" s="48" t="n">
        <v>45661.7002083333</v>
      </c>
      <c r="C2016" s="4" t="n">
        <f aca="false">YEAR(B2016)</f>
        <v>2025</v>
      </c>
      <c r="D2016" s="49" t="s">
        <v>283</v>
      </c>
      <c r="E2016" s="49" t="s">
        <v>4281</v>
      </c>
      <c r="F2016" s="50" t="n">
        <v>1</v>
      </c>
      <c r="G2016" s="49" t="s">
        <v>287</v>
      </c>
      <c r="H2016" s="51" t="n">
        <v>0.005</v>
      </c>
      <c r="I2016" s="51" t="n">
        <v>0.4316</v>
      </c>
      <c r="J2016" s="51" t="n">
        <v>0.5634</v>
      </c>
      <c r="K2016" s="49"/>
      <c r="L2016" s="49"/>
      <c r="M2016" s="49"/>
      <c r="N2016" s="49"/>
      <c r="O2016" s="49"/>
      <c r="P2016" s="49"/>
      <c r="Q2016" s="49"/>
      <c r="R2016" s="49"/>
      <c r="S2016" s="49" t="n">
        <v>0</v>
      </c>
      <c r="T2016" s="49" t="n">
        <v>0</v>
      </c>
      <c r="U2016" s="49" t="s">
        <v>4282</v>
      </c>
    </row>
    <row r="2017" customFormat="false" ht="15" hidden="false" customHeight="false" outlineLevel="0" collapsed="false">
      <c r="B2017" s="48" t="n">
        <v>45661.7276736111</v>
      </c>
      <c r="C2017" s="4" t="n">
        <f aca="false">YEAR(B2017)</f>
        <v>2025</v>
      </c>
      <c r="D2017" s="49" t="s">
        <v>283</v>
      </c>
      <c r="E2017" s="49" t="s">
        <v>4283</v>
      </c>
      <c r="F2017" s="50" t="n">
        <v>1</v>
      </c>
      <c r="G2017" s="49" t="s">
        <v>287</v>
      </c>
      <c r="H2017" s="51" t="n">
        <v>0.0107</v>
      </c>
      <c r="I2017" s="51" t="n">
        <v>0.2564</v>
      </c>
      <c r="J2017" s="51" t="n">
        <v>0.7329</v>
      </c>
      <c r="K2017" s="49"/>
      <c r="L2017" s="49"/>
      <c r="M2017" s="49"/>
      <c r="N2017" s="49"/>
      <c r="O2017" s="49"/>
      <c r="P2017" s="49"/>
      <c r="Q2017" s="49"/>
      <c r="R2017" s="49"/>
      <c r="S2017" s="49" t="n">
        <v>0</v>
      </c>
      <c r="T2017" s="49" t="n">
        <v>0</v>
      </c>
      <c r="U2017" s="49" t="s">
        <v>4284</v>
      </c>
    </row>
    <row r="2018" customFormat="false" ht="15" hidden="false" customHeight="false" outlineLevel="0" collapsed="false">
      <c r="B2018" s="48" t="n">
        <v>45661.8982291667</v>
      </c>
      <c r="C2018" s="4" t="n">
        <f aca="false">YEAR(B2018)</f>
        <v>2025</v>
      </c>
      <c r="D2018" s="49" t="s">
        <v>278</v>
      </c>
      <c r="E2018" s="49" t="s">
        <v>4285</v>
      </c>
      <c r="F2018" s="50" t="n">
        <v>1</v>
      </c>
      <c r="G2018" s="49" t="s">
        <v>290</v>
      </c>
      <c r="H2018" s="51" t="n">
        <v>0.0614</v>
      </c>
      <c r="I2018" s="51" t="n">
        <v>0.7602</v>
      </c>
      <c r="J2018" s="51" t="n">
        <v>0.1784</v>
      </c>
      <c r="K2018" s="49" t="s">
        <v>281</v>
      </c>
      <c r="L2018" s="49"/>
      <c r="M2018" s="49"/>
      <c r="N2018" s="49"/>
      <c r="O2018" s="49"/>
      <c r="P2018" s="49"/>
      <c r="Q2018" s="49"/>
      <c r="R2018" s="49"/>
      <c r="S2018" s="49" t="n">
        <v>0</v>
      </c>
      <c r="T2018" s="49" t="n">
        <v>0</v>
      </c>
      <c r="U2018" s="49" t="s">
        <v>4286</v>
      </c>
    </row>
    <row r="2019" customFormat="false" ht="15" hidden="false" customHeight="false" outlineLevel="0" collapsed="false">
      <c r="B2019" s="48" t="n">
        <v>45661.924849537</v>
      </c>
      <c r="C2019" s="4" t="n">
        <f aca="false">YEAR(B2019)</f>
        <v>2025</v>
      </c>
      <c r="D2019" s="49" t="s">
        <v>283</v>
      </c>
      <c r="E2019" s="49" t="s">
        <v>4287</v>
      </c>
      <c r="F2019" s="50" t="n">
        <v>0</v>
      </c>
      <c r="G2019" s="49" t="s">
        <v>290</v>
      </c>
      <c r="H2019" s="51" t="n">
        <v>0.2616</v>
      </c>
      <c r="I2019" s="51" t="n">
        <v>0.5873</v>
      </c>
      <c r="J2019" s="51" t="n">
        <v>0.1512</v>
      </c>
      <c r="K2019" s="49"/>
      <c r="L2019" s="49"/>
      <c r="M2019" s="49"/>
      <c r="N2019" s="49"/>
      <c r="O2019" s="49"/>
      <c r="P2019" s="49"/>
      <c r="Q2019" s="49"/>
      <c r="R2019" s="49"/>
      <c r="S2019" s="49" t="n">
        <v>0</v>
      </c>
      <c r="T2019" s="49" t="n">
        <v>0</v>
      </c>
      <c r="U2019" s="49" t="s">
        <v>4288</v>
      </c>
    </row>
    <row r="2020" customFormat="false" ht="15" hidden="false" customHeight="false" outlineLevel="0" collapsed="false">
      <c r="B2020" s="48" t="n">
        <v>45661.9710532407</v>
      </c>
      <c r="C2020" s="4" t="n">
        <f aca="false">YEAR(B2020)</f>
        <v>2025</v>
      </c>
      <c r="D2020" s="49" t="s">
        <v>278</v>
      </c>
      <c r="E2020" s="49" t="s">
        <v>4289</v>
      </c>
      <c r="F2020" s="50" t="n">
        <v>1</v>
      </c>
      <c r="G2020" s="49" t="s">
        <v>287</v>
      </c>
      <c r="H2020" s="51" t="n">
        <v>0.0075</v>
      </c>
      <c r="I2020" s="51" t="n">
        <v>0.1598</v>
      </c>
      <c r="J2020" s="51" t="n">
        <v>0.8327</v>
      </c>
      <c r="K2020" s="49"/>
      <c r="L2020" s="49"/>
      <c r="M2020" s="49"/>
      <c r="N2020" s="49"/>
      <c r="O2020" s="49"/>
      <c r="P2020" s="49"/>
      <c r="Q2020" s="49"/>
      <c r="R2020" s="49"/>
      <c r="S2020" s="49" t="n">
        <v>0</v>
      </c>
      <c r="T2020" s="49" t="n">
        <v>0</v>
      </c>
      <c r="U2020" s="49" t="s">
        <v>4290</v>
      </c>
    </row>
    <row r="2021" customFormat="false" ht="15" hidden="false" customHeight="false" outlineLevel="0" collapsed="false">
      <c r="B2021" s="48" t="n">
        <v>45662.4125115741</v>
      </c>
      <c r="C2021" s="4" t="n">
        <f aca="false">YEAR(B2021)</f>
        <v>2025</v>
      </c>
      <c r="D2021" s="49" t="s">
        <v>278</v>
      </c>
      <c r="E2021" s="49" t="s">
        <v>4291</v>
      </c>
      <c r="F2021" s="50" t="n">
        <v>21</v>
      </c>
      <c r="G2021" s="49" t="s">
        <v>287</v>
      </c>
      <c r="H2021" s="51" t="n">
        <v>0.0061</v>
      </c>
      <c r="I2021" s="51" t="n">
        <v>0.1083</v>
      </c>
      <c r="J2021" s="51" t="n">
        <v>0.8856</v>
      </c>
      <c r="K2021" s="49"/>
      <c r="L2021" s="49"/>
      <c r="M2021" s="49"/>
      <c r="N2021" s="49"/>
      <c r="O2021" s="49"/>
      <c r="P2021" s="49"/>
      <c r="Q2021" s="49"/>
      <c r="R2021" s="49"/>
      <c r="S2021" s="49" t="n">
        <v>0</v>
      </c>
      <c r="T2021" s="49" t="n">
        <v>0</v>
      </c>
      <c r="U2021" s="49" t="s">
        <v>4292</v>
      </c>
    </row>
    <row r="2022" customFormat="false" ht="15" hidden="false" customHeight="false" outlineLevel="0" collapsed="false">
      <c r="B2022" s="48" t="n">
        <v>45662.9342939815</v>
      </c>
      <c r="C2022" s="4" t="n">
        <f aca="false">YEAR(B2022)</f>
        <v>2025</v>
      </c>
      <c r="D2022" s="49" t="s">
        <v>283</v>
      </c>
      <c r="E2022" s="49" t="s">
        <v>4293</v>
      </c>
      <c r="F2022" s="50" t="n">
        <v>106</v>
      </c>
      <c r="G2022" s="49" t="s">
        <v>287</v>
      </c>
      <c r="H2022" s="51" t="n">
        <v>0.0039</v>
      </c>
      <c r="I2022" s="51" t="n">
        <v>0.0309</v>
      </c>
      <c r="J2022" s="51" t="n">
        <v>0.9651</v>
      </c>
      <c r="K2022" s="49"/>
      <c r="L2022" s="49"/>
      <c r="M2022" s="49"/>
      <c r="N2022" s="49"/>
      <c r="O2022" s="49"/>
      <c r="P2022" s="49"/>
      <c r="Q2022" s="49"/>
      <c r="R2022" s="49"/>
      <c r="S2022" s="49" t="n">
        <v>0</v>
      </c>
      <c r="T2022" s="49" t="n">
        <v>0</v>
      </c>
      <c r="U2022" s="49" t="s">
        <v>4294</v>
      </c>
    </row>
    <row r="2023" customFormat="false" ht="15" hidden="false" customHeight="false" outlineLevel="0" collapsed="false">
      <c r="B2023" s="48" t="n">
        <v>45662.9390509259</v>
      </c>
      <c r="C2023" s="4" t="n">
        <f aca="false">YEAR(B2023)</f>
        <v>2025</v>
      </c>
      <c r="D2023" s="49" t="s">
        <v>283</v>
      </c>
      <c r="E2023" s="49" t="s">
        <v>4295</v>
      </c>
      <c r="F2023" s="50" t="n">
        <v>2</v>
      </c>
      <c r="G2023" s="49" t="s">
        <v>280</v>
      </c>
      <c r="H2023" s="51" t="n">
        <v>0.876</v>
      </c>
      <c r="I2023" s="51" t="n">
        <v>0.1161</v>
      </c>
      <c r="J2023" s="51" t="n">
        <v>0.0079</v>
      </c>
      <c r="K2023" s="49"/>
      <c r="L2023" s="49"/>
      <c r="M2023" s="49"/>
      <c r="N2023" s="49"/>
      <c r="O2023" s="49"/>
      <c r="P2023" s="49"/>
      <c r="Q2023" s="49"/>
      <c r="R2023" s="49"/>
      <c r="S2023" s="49" t="n">
        <v>0</v>
      </c>
      <c r="T2023" s="49" t="n">
        <v>0</v>
      </c>
      <c r="U2023" s="49" t="s">
        <v>4296</v>
      </c>
    </row>
    <row r="2024" customFormat="false" ht="15" hidden="false" customHeight="false" outlineLevel="0" collapsed="false">
      <c r="B2024" s="48" t="n">
        <v>45662.9452662037</v>
      </c>
      <c r="C2024" s="4" t="n">
        <f aca="false">YEAR(B2024)</f>
        <v>2025</v>
      </c>
      <c r="D2024" s="49" t="s">
        <v>283</v>
      </c>
      <c r="E2024" s="49" t="s">
        <v>4297</v>
      </c>
      <c r="F2024" s="50" t="n">
        <v>1</v>
      </c>
      <c r="G2024" s="49" t="s">
        <v>290</v>
      </c>
      <c r="H2024" s="51" t="n">
        <v>0.0065</v>
      </c>
      <c r="I2024" s="51" t="n">
        <v>0.9094</v>
      </c>
      <c r="J2024" s="51" t="n">
        <v>0.0841</v>
      </c>
      <c r="K2024" s="49"/>
      <c r="L2024" s="49"/>
      <c r="M2024" s="49"/>
      <c r="N2024" s="49"/>
      <c r="O2024" s="49"/>
      <c r="P2024" s="49"/>
      <c r="Q2024" s="49"/>
      <c r="R2024" s="49"/>
      <c r="S2024" s="49" t="n">
        <v>1</v>
      </c>
      <c r="T2024" s="49" t="n">
        <v>0</v>
      </c>
      <c r="U2024" s="49" t="s">
        <v>4298</v>
      </c>
    </row>
    <row r="2025" customFormat="false" ht="15" hidden="false" customHeight="false" outlineLevel="0" collapsed="false">
      <c r="B2025" s="48" t="n">
        <v>45663.9418865741</v>
      </c>
      <c r="C2025" s="4" t="n">
        <f aca="false">YEAR(B2025)</f>
        <v>2025</v>
      </c>
      <c r="D2025" s="49" t="s">
        <v>283</v>
      </c>
      <c r="E2025" s="49" t="s">
        <v>4299</v>
      </c>
      <c r="F2025" s="50" t="n">
        <v>236</v>
      </c>
      <c r="G2025" s="49" t="s">
        <v>280</v>
      </c>
      <c r="H2025" s="51" t="n">
        <v>0.8291</v>
      </c>
      <c r="I2025" s="51" t="n">
        <v>0.1429</v>
      </c>
      <c r="J2025" s="51" t="n">
        <v>0.028</v>
      </c>
      <c r="K2025" s="49"/>
      <c r="L2025" s="49"/>
      <c r="M2025" s="49"/>
      <c r="N2025" s="49"/>
      <c r="O2025" s="49"/>
      <c r="P2025" s="49"/>
      <c r="Q2025" s="49"/>
      <c r="R2025" s="49"/>
      <c r="S2025" s="49" t="n">
        <v>0</v>
      </c>
      <c r="T2025" s="49" t="n">
        <v>0</v>
      </c>
      <c r="U2025" s="49" t="s">
        <v>4300</v>
      </c>
    </row>
    <row r="2026" customFormat="false" ht="15" hidden="false" customHeight="false" outlineLevel="0" collapsed="false">
      <c r="B2026" s="48" t="n">
        <v>45664.0997337963</v>
      </c>
      <c r="C2026" s="4" t="n">
        <f aca="false">YEAR(B2026)</f>
        <v>2025</v>
      </c>
      <c r="D2026" s="49" t="s">
        <v>283</v>
      </c>
      <c r="E2026" s="49" t="s">
        <v>4301</v>
      </c>
      <c r="F2026" s="50" t="n">
        <v>23</v>
      </c>
      <c r="G2026" s="49" t="s">
        <v>287</v>
      </c>
      <c r="H2026" s="51" t="n">
        <v>0.0103</v>
      </c>
      <c r="I2026" s="51" t="n">
        <v>0.4285</v>
      </c>
      <c r="J2026" s="51" t="n">
        <v>0.5612</v>
      </c>
      <c r="K2026" s="49"/>
      <c r="L2026" s="49"/>
      <c r="M2026" s="49"/>
      <c r="N2026" s="49"/>
      <c r="O2026" s="49"/>
      <c r="P2026" s="49"/>
      <c r="Q2026" s="49"/>
      <c r="R2026" s="49"/>
      <c r="S2026" s="49" t="n">
        <v>0</v>
      </c>
      <c r="T2026" s="49" t="n">
        <v>0</v>
      </c>
      <c r="U2026" s="49" t="s">
        <v>4302</v>
      </c>
    </row>
    <row r="2027" customFormat="false" ht="15" hidden="false" customHeight="false" outlineLevel="0" collapsed="false">
      <c r="B2027" s="48" t="n">
        <v>45664.1822222222</v>
      </c>
      <c r="C2027" s="4" t="n">
        <f aca="false">YEAR(B2027)</f>
        <v>2025</v>
      </c>
      <c r="D2027" s="49" t="s">
        <v>283</v>
      </c>
      <c r="E2027" s="49" t="s">
        <v>4303</v>
      </c>
      <c r="F2027" s="50" t="n">
        <v>1</v>
      </c>
      <c r="G2027" s="49" t="s">
        <v>280</v>
      </c>
      <c r="H2027" s="51" t="n">
        <v>0.9268</v>
      </c>
      <c r="I2027" s="51" t="n">
        <v>0.0692</v>
      </c>
      <c r="J2027" s="51" t="n">
        <v>0.004</v>
      </c>
      <c r="K2027" s="49"/>
      <c r="L2027" s="49"/>
      <c r="M2027" s="49"/>
      <c r="N2027" s="49"/>
      <c r="O2027" s="49"/>
      <c r="P2027" s="49"/>
      <c r="Q2027" s="49"/>
      <c r="R2027" s="49"/>
      <c r="S2027" s="49" t="n">
        <v>1</v>
      </c>
      <c r="T2027" s="49" t="n">
        <v>0</v>
      </c>
      <c r="U2027" s="49" t="s">
        <v>4304</v>
      </c>
    </row>
    <row r="2028" customFormat="false" ht="15" hidden="false" customHeight="false" outlineLevel="0" collapsed="false">
      <c r="B2028" s="48" t="n">
        <v>45664.3876967593</v>
      </c>
      <c r="C2028" s="4" t="n">
        <f aca="false">YEAR(B2028)</f>
        <v>2025</v>
      </c>
      <c r="D2028" s="49" t="s">
        <v>283</v>
      </c>
      <c r="E2028" s="49" t="s">
        <v>4305</v>
      </c>
      <c r="F2028" s="50" t="n">
        <v>1</v>
      </c>
      <c r="G2028" s="49" t="s">
        <v>287</v>
      </c>
      <c r="H2028" s="51" t="n">
        <v>0.0107</v>
      </c>
      <c r="I2028" s="51" t="n">
        <v>0.4211</v>
      </c>
      <c r="J2028" s="51" t="n">
        <v>0.5682</v>
      </c>
      <c r="K2028" s="49"/>
      <c r="L2028" s="49"/>
      <c r="M2028" s="49"/>
      <c r="N2028" s="49"/>
      <c r="O2028" s="49"/>
      <c r="P2028" s="49"/>
      <c r="Q2028" s="49"/>
      <c r="R2028" s="49"/>
      <c r="S2028" s="49" t="n">
        <v>0</v>
      </c>
      <c r="T2028" s="49" t="n">
        <v>0</v>
      </c>
      <c r="U2028" s="49" t="s">
        <v>4306</v>
      </c>
    </row>
    <row r="2029" customFormat="false" ht="15" hidden="false" customHeight="false" outlineLevel="0" collapsed="false">
      <c r="B2029" s="48" t="n">
        <v>45664.5083217593</v>
      </c>
      <c r="C2029" s="4" t="n">
        <f aca="false">YEAR(B2029)</f>
        <v>2025</v>
      </c>
      <c r="D2029" s="49" t="s">
        <v>283</v>
      </c>
      <c r="E2029" s="49" t="s">
        <v>4307</v>
      </c>
      <c r="F2029" s="50" t="n">
        <v>1</v>
      </c>
      <c r="G2029" s="49" t="s">
        <v>290</v>
      </c>
      <c r="H2029" s="51" t="n">
        <v>0.0276</v>
      </c>
      <c r="I2029" s="51" t="n">
        <v>0.8709</v>
      </c>
      <c r="J2029" s="51" t="n">
        <v>0.1015</v>
      </c>
      <c r="K2029" s="49"/>
      <c r="L2029" s="49"/>
      <c r="M2029" s="49"/>
      <c r="N2029" s="49"/>
      <c r="O2029" s="49"/>
      <c r="P2029" s="49"/>
      <c r="Q2029" s="49"/>
      <c r="R2029" s="49"/>
      <c r="S2029" s="49" t="n">
        <v>1</v>
      </c>
      <c r="T2029" s="49" t="n">
        <v>0</v>
      </c>
      <c r="U2029" s="49" t="s">
        <v>4308</v>
      </c>
    </row>
    <row r="2030" customFormat="false" ht="15" hidden="false" customHeight="false" outlineLevel="0" collapsed="false">
      <c r="B2030" s="48" t="n">
        <v>45664.6566666667</v>
      </c>
      <c r="C2030" s="4" t="n">
        <f aca="false">YEAR(B2030)</f>
        <v>2025</v>
      </c>
      <c r="D2030" s="49" t="s">
        <v>283</v>
      </c>
      <c r="E2030" s="49" t="s">
        <v>4309</v>
      </c>
      <c r="F2030" s="50" t="n">
        <v>4</v>
      </c>
      <c r="G2030" s="49" t="s">
        <v>280</v>
      </c>
      <c r="H2030" s="51" t="n">
        <v>0.7748</v>
      </c>
      <c r="I2030" s="51" t="n">
        <v>0.2106</v>
      </c>
      <c r="J2030" s="51" t="n">
        <v>0.0146</v>
      </c>
      <c r="K2030" s="49" t="s">
        <v>281</v>
      </c>
      <c r="L2030" s="49"/>
      <c r="M2030" s="49"/>
      <c r="N2030" s="49"/>
      <c r="O2030" s="49"/>
      <c r="P2030" s="49"/>
      <c r="Q2030" s="49"/>
      <c r="R2030" s="49"/>
      <c r="S2030" s="49" t="n">
        <v>0</v>
      </c>
      <c r="T2030" s="49" t="n">
        <v>0</v>
      </c>
      <c r="U2030" s="49" t="s">
        <v>4310</v>
      </c>
    </row>
    <row r="2031" customFormat="false" ht="15" hidden="false" customHeight="false" outlineLevel="0" collapsed="false">
      <c r="B2031" s="48" t="n">
        <v>45665.0692939815</v>
      </c>
      <c r="C2031" s="4" t="n">
        <f aca="false">YEAR(B2031)</f>
        <v>2025</v>
      </c>
      <c r="D2031" s="49" t="s">
        <v>283</v>
      </c>
      <c r="E2031" s="49" t="s">
        <v>4311</v>
      </c>
      <c r="F2031" s="50" t="n">
        <v>6</v>
      </c>
      <c r="G2031" s="49" t="s">
        <v>287</v>
      </c>
      <c r="H2031" s="51" t="n">
        <v>0.0053</v>
      </c>
      <c r="I2031" s="51" t="n">
        <v>0.0213</v>
      </c>
      <c r="J2031" s="51" t="n">
        <v>0.9733</v>
      </c>
      <c r="K2031" s="49"/>
      <c r="L2031" s="49"/>
      <c r="M2031" s="49"/>
      <c r="N2031" s="49"/>
      <c r="O2031" s="49"/>
      <c r="P2031" s="49" t="s">
        <v>281</v>
      </c>
      <c r="Q2031" s="49"/>
      <c r="R2031" s="49"/>
      <c r="S2031" s="49" t="n">
        <v>0</v>
      </c>
      <c r="T2031" s="49" t="n">
        <v>0</v>
      </c>
      <c r="U2031" s="49" t="s">
        <v>4312</v>
      </c>
    </row>
    <row r="2032" customFormat="false" ht="15" hidden="false" customHeight="false" outlineLevel="0" collapsed="false">
      <c r="B2032" s="48" t="n">
        <v>45665.5053703704</v>
      </c>
      <c r="C2032" s="4" t="n">
        <f aca="false">YEAR(B2032)</f>
        <v>2025</v>
      </c>
      <c r="D2032" s="49" t="s">
        <v>283</v>
      </c>
      <c r="E2032" s="49" t="s">
        <v>4313</v>
      </c>
      <c r="F2032" s="50" t="n">
        <v>2</v>
      </c>
      <c r="G2032" s="49" t="s">
        <v>287</v>
      </c>
      <c r="H2032" s="51" t="n">
        <v>0.0043</v>
      </c>
      <c r="I2032" s="51" t="n">
        <v>0.2557</v>
      </c>
      <c r="J2032" s="51" t="n">
        <v>0.74</v>
      </c>
      <c r="K2032" s="49"/>
      <c r="L2032" s="49"/>
      <c r="M2032" s="49"/>
      <c r="N2032" s="49"/>
      <c r="O2032" s="49"/>
      <c r="P2032" s="49"/>
      <c r="Q2032" s="49"/>
      <c r="R2032" s="49"/>
      <c r="S2032" s="49" t="n">
        <v>0</v>
      </c>
      <c r="T2032" s="49" t="n">
        <v>0</v>
      </c>
      <c r="U2032" s="49" t="s">
        <v>4314</v>
      </c>
    </row>
    <row r="2033" customFormat="false" ht="15" hidden="false" customHeight="false" outlineLevel="0" collapsed="false">
      <c r="B2033" s="48" t="n">
        <v>45665.6167361111</v>
      </c>
      <c r="C2033" s="4" t="n">
        <f aca="false">YEAR(B2033)</f>
        <v>2025</v>
      </c>
      <c r="D2033" s="49" t="s">
        <v>278</v>
      </c>
      <c r="E2033" s="49" t="s">
        <v>4315</v>
      </c>
      <c r="F2033" s="50" t="n">
        <v>19</v>
      </c>
      <c r="G2033" s="49" t="s">
        <v>280</v>
      </c>
      <c r="H2033" s="51" t="n">
        <v>0.9107</v>
      </c>
      <c r="I2033" s="51" t="n">
        <v>0.0807</v>
      </c>
      <c r="J2033" s="51" t="n">
        <v>0.0086</v>
      </c>
      <c r="K2033" s="49" t="s">
        <v>281</v>
      </c>
      <c r="L2033" s="49"/>
      <c r="M2033" s="49"/>
      <c r="N2033" s="49"/>
      <c r="O2033" s="49"/>
      <c r="P2033" s="49"/>
      <c r="Q2033" s="49"/>
      <c r="R2033" s="49"/>
      <c r="S2033" s="49" t="n">
        <v>0</v>
      </c>
      <c r="T2033" s="49" t="n">
        <v>0</v>
      </c>
      <c r="U2033" s="49" t="s">
        <v>4316</v>
      </c>
    </row>
    <row r="2034" customFormat="false" ht="15" hidden="false" customHeight="false" outlineLevel="0" collapsed="false">
      <c r="B2034" s="48" t="n">
        <v>45665.6605671296</v>
      </c>
      <c r="C2034" s="4" t="n">
        <f aca="false">YEAR(B2034)</f>
        <v>2025</v>
      </c>
      <c r="D2034" s="49" t="s">
        <v>283</v>
      </c>
      <c r="E2034" s="49" t="s">
        <v>4317</v>
      </c>
      <c r="F2034" s="50" t="n">
        <v>82</v>
      </c>
      <c r="G2034" s="49" t="s">
        <v>280</v>
      </c>
      <c r="H2034" s="51" t="n">
        <v>0.7224</v>
      </c>
      <c r="I2034" s="51" t="n">
        <v>0.2513</v>
      </c>
      <c r="J2034" s="51" t="n">
        <v>0.0262</v>
      </c>
      <c r="K2034" s="49"/>
      <c r="L2034" s="49"/>
      <c r="M2034" s="49"/>
      <c r="N2034" s="49"/>
      <c r="O2034" s="49"/>
      <c r="P2034" s="49"/>
      <c r="Q2034" s="49"/>
      <c r="R2034" s="49"/>
      <c r="S2034" s="49" t="n">
        <v>0</v>
      </c>
      <c r="T2034" s="49" t="n">
        <v>0</v>
      </c>
      <c r="U2034" s="49" t="s">
        <v>4318</v>
      </c>
    </row>
    <row r="2035" customFormat="false" ht="15" hidden="false" customHeight="false" outlineLevel="0" collapsed="false">
      <c r="B2035" s="48" t="n">
        <v>45665.7689351852</v>
      </c>
      <c r="C2035" s="4" t="n">
        <f aca="false">YEAR(B2035)</f>
        <v>2025</v>
      </c>
      <c r="D2035" s="49" t="s">
        <v>283</v>
      </c>
      <c r="E2035" s="49" t="s">
        <v>4319</v>
      </c>
      <c r="F2035" s="50" t="n">
        <v>1</v>
      </c>
      <c r="G2035" s="49" t="s">
        <v>290</v>
      </c>
      <c r="H2035" s="51" t="n">
        <v>0.0106</v>
      </c>
      <c r="I2035" s="51" t="n">
        <v>0.904</v>
      </c>
      <c r="J2035" s="51" t="n">
        <v>0.0853</v>
      </c>
      <c r="K2035" s="49"/>
      <c r="L2035" s="49"/>
      <c r="M2035" s="49"/>
      <c r="N2035" s="49"/>
      <c r="O2035" s="49"/>
      <c r="P2035" s="49"/>
      <c r="Q2035" s="49"/>
      <c r="R2035" s="49"/>
      <c r="S2035" s="49" t="n">
        <v>1</v>
      </c>
      <c r="T2035" s="49" t="n">
        <v>0</v>
      </c>
      <c r="U2035" s="49" t="s">
        <v>4320</v>
      </c>
    </row>
    <row r="2036" customFormat="false" ht="15" hidden="false" customHeight="false" outlineLevel="0" collapsed="false">
      <c r="B2036" s="48" t="n">
        <v>45666.1299537037</v>
      </c>
      <c r="C2036" s="4" t="n">
        <f aca="false">YEAR(B2036)</f>
        <v>2025</v>
      </c>
      <c r="D2036" s="49" t="s">
        <v>283</v>
      </c>
      <c r="E2036" s="49" t="s">
        <v>4321</v>
      </c>
      <c r="F2036" s="50" t="n">
        <v>1</v>
      </c>
      <c r="G2036" s="49" t="s">
        <v>290</v>
      </c>
      <c r="H2036" s="51" t="n">
        <v>0.009</v>
      </c>
      <c r="I2036" s="51" t="n">
        <v>0.8776</v>
      </c>
      <c r="J2036" s="51" t="n">
        <v>0.1133</v>
      </c>
      <c r="K2036" s="49"/>
      <c r="L2036" s="49"/>
      <c r="M2036" s="49"/>
      <c r="N2036" s="49"/>
      <c r="O2036" s="49"/>
      <c r="P2036" s="49"/>
      <c r="Q2036" s="49"/>
      <c r="R2036" s="49"/>
      <c r="S2036" s="49" t="n">
        <v>0</v>
      </c>
      <c r="T2036" s="49" t="n">
        <v>0</v>
      </c>
      <c r="U2036" s="49" t="s">
        <v>4322</v>
      </c>
    </row>
    <row r="2037" customFormat="false" ht="15" hidden="false" customHeight="false" outlineLevel="0" collapsed="false">
      <c r="B2037" s="48" t="n">
        <v>45666.5417708333</v>
      </c>
      <c r="C2037" s="4" t="n">
        <f aca="false">YEAR(B2037)</f>
        <v>2025</v>
      </c>
      <c r="D2037" s="49" t="s">
        <v>283</v>
      </c>
      <c r="E2037" s="49" t="s">
        <v>4323</v>
      </c>
      <c r="F2037" s="50" t="n">
        <v>31</v>
      </c>
      <c r="G2037" s="49" t="s">
        <v>290</v>
      </c>
      <c r="H2037" s="51" t="n">
        <v>0.3634</v>
      </c>
      <c r="I2037" s="51" t="n">
        <v>0.4209</v>
      </c>
      <c r="J2037" s="51" t="n">
        <v>0.2157</v>
      </c>
      <c r="K2037" s="49"/>
      <c r="L2037" s="49"/>
      <c r="M2037" s="49"/>
      <c r="N2037" s="49"/>
      <c r="O2037" s="49"/>
      <c r="P2037" s="49"/>
      <c r="Q2037" s="49"/>
      <c r="R2037" s="49"/>
      <c r="S2037" s="49" t="n">
        <v>0</v>
      </c>
      <c r="T2037" s="49" t="n">
        <v>0</v>
      </c>
      <c r="U2037" s="49" t="s">
        <v>4324</v>
      </c>
    </row>
    <row r="2038" customFormat="false" ht="15" hidden="false" customHeight="false" outlineLevel="0" collapsed="false">
      <c r="B2038" s="48" t="n">
        <v>45666.7371412037</v>
      </c>
      <c r="C2038" s="4" t="n">
        <f aca="false">YEAR(B2038)</f>
        <v>2025</v>
      </c>
      <c r="D2038" s="49" t="s">
        <v>283</v>
      </c>
      <c r="E2038" s="49" t="s">
        <v>4325</v>
      </c>
      <c r="F2038" s="50" t="n">
        <v>11</v>
      </c>
      <c r="G2038" s="49" t="s">
        <v>287</v>
      </c>
      <c r="H2038" s="51" t="n">
        <v>0.0294</v>
      </c>
      <c r="I2038" s="51" t="n">
        <v>0.2898</v>
      </c>
      <c r="J2038" s="51" t="n">
        <v>0.6808</v>
      </c>
      <c r="K2038" s="49"/>
      <c r="L2038" s="49"/>
      <c r="M2038" s="49"/>
      <c r="N2038" s="49"/>
      <c r="O2038" s="49"/>
      <c r="P2038" s="49"/>
      <c r="Q2038" s="49"/>
      <c r="R2038" s="49"/>
      <c r="S2038" s="49" t="n">
        <v>0</v>
      </c>
      <c r="T2038" s="49" t="n">
        <v>0</v>
      </c>
      <c r="U2038" s="49" t="s">
        <v>4326</v>
      </c>
    </row>
    <row r="2039" customFormat="false" ht="15" hidden="false" customHeight="false" outlineLevel="0" collapsed="false">
      <c r="B2039" s="48" t="n">
        <v>45667.6015277778</v>
      </c>
      <c r="C2039" s="4" t="n">
        <f aca="false">YEAR(B2039)</f>
        <v>2025</v>
      </c>
      <c r="D2039" s="49" t="s">
        <v>283</v>
      </c>
      <c r="E2039" s="49" t="s">
        <v>4327</v>
      </c>
      <c r="F2039" s="50" t="n">
        <v>17</v>
      </c>
      <c r="G2039" s="49" t="s">
        <v>287</v>
      </c>
      <c r="H2039" s="51" t="n">
        <v>0.0081</v>
      </c>
      <c r="I2039" s="51" t="n">
        <v>0.1774</v>
      </c>
      <c r="J2039" s="51" t="n">
        <v>0.8145</v>
      </c>
      <c r="K2039" s="49"/>
      <c r="L2039" s="49"/>
      <c r="M2039" s="49"/>
      <c r="N2039" s="49"/>
      <c r="O2039" s="49"/>
      <c r="P2039" s="49"/>
      <c r="Q2039" s="49"/>
      <c r="R2039" s="49"/>
      <c r="S2039" s="49" t="n">
        <v>0</v>
      </c>
      <c r="T2039" s="49" t="n">
        <v>0</v>
      </c>
      <c r="U2039" s="49" t="s">
        <v>4328</v>
      </c>
    </row>
    <row r="2040" customFormat="false" ht="15" hidden="false" customHeight="false" outlineLevel="0" collapsed="false">
      <c r="B2040" s="48" t="n">
        <v>45667.77</v>
      </c>
      <c r="C2040" s="4" t="n">
        <f aca="false">YEAR(B2040)</f>
        <v>2025</v>
      </c>
      <c r="D2040" s="49" t="s">
        <v>283</v>
      </c>
      <c r="E2040" s="49" t="s">
        <v>4329</v>
      </c>
      <c r="F2040" s="50" t="n">
        <v>1</v>
      </c>
      <c r="G2040" s="49" t="s">
        <v>290</v>
      </c>
      <c r="H2040" s="51" t="n">
        <v>0.009</v>
      </c>
      <c r="I2040" s="51" t="n">
        <v>0.9314</v>
      </c>
      <c r="J2040" s="51" t="n">
        <v>0.0596</v>
      </c>
      <c r="K2040" s="49"/>
      <c r="L2040" s="49"/>
      <c r="M2040" s="49"/>
      <c r="N2040" s="49"/>
      <c r="O2040" s="49"/>
      <c r="P2040" s="49"/>
      <c r="Q2040" s="49"/>
      <c r="R2040" s="49"/>
      <c r="S2040" s="49" t="n">
        <v>1</v>
      </c>
      <c r="T2040" s="49" t="n">
        <v>0</v>
      </c>
      <c r="U2040" s="49" t="s">
        <v>4330</v>
      </c>
    </row>
    <row r="2041" customFormat="false" ht="15" hidden="false" customHeight="false" outlineLevel="0" collapsed="false">
      <c r="B2041" s="48" t="n">
        <v>45668.0505555556</v>
      </c>
      <c r="C2041" s="4" t="n">
        <f aca="false">YEAR(B2041)</f>
        <v>2025</v>
      </c>
      <c r="D2041" s="49" t="s">
        <v>283</v>
      </c>
      <c r="E2041" s="49" t="s">
        <v>4331</v>
      </c>
      <c r="F2041" s="50" t="n">
        <v>2</v>
      </c>
      <c r="G2041" s="49" t="s">
        <v>287</v>
      </c>
      <c r="H2041" s="51" t="n">
        <v>0.0031</v>
      </c>
      <c r="I2041" s="51" t="n">
        <v>0.147</v>
      </c>
      <c r="J2041" s="51" t="n">
        <v>0.8499</v>
      </c>
      <c r="K2041" s="49"/>
      <c r="L2041" s="49"/>
      <c r="M2041" s="49"/>
      <c r="N2041" s="49"/>
      <c r="O2041" s="49"/>
      <c r="P2041" s="49"/>
      <c r="Q2041" s="49"/>
      <c r="R2041" s="49" t="s">
        <v>281</v>
      </c>
      <c r="S2041" s="49" t="n">
        <v>0</v>
      </c>
      <c r="T2041" s="49" t="n">
        <v>0</v>
      </c>
      <c r="U2041" s="49" t="s">
        <v>4332</v>
      </c>
    </row>
    <row r="2042" customFormat="false" ht="15" hidden="false" customHeight="false" outlineLevel="0" collapsed="false">
      <c r="B2042" s="48" t="n">
        <v>45668.7807986111</v>
      </c>
      <c r="C2042" s="4" t="n">
        <f aca="false">YEAR(B2042)</f>
        <v>2025</v>
      </c>
      <c r="D2042" s="49" t="s">
        <v>283</v>
      </c>
      <c r="E2042" s="49" t="s">
        <v>4333</v>
      </c>
      <c r="F2042" s="50" t="n">
        <v>1</v>
      </c>
      <c r="G2042" s="49" t="s">
        <v>290</v>
      </c>
      <c r="H2042" s="51" t="n">
        <v>0.016</v>
      </c>
      <c r="I2042" s="51" t="n">
        <v>0.7179</v>
      </c>
      <c r="J2042" s="51" t="n">
        <v>0.2661</v>
      </c>
      <c r="K2042" s="49"/>
      <c r="L2042" s="49"/>
      <c r="M2042" s="49"/>
      <c r="N2042" s="49"/>
      <c r="O2042" s="49"/>
      <c r="P2042" s="49"/>
      <c r="Q2042" s="49"/>
      <c r="R2042" s="49"/>
      <c r="S2042" s="49" t="n">
        <v>1</v>
      </c>
      <c r="T2042" s="49" t="n">
        <v>0</v>
      </c>
      <c r="U2042" s="49" t="s">
        <v>4334</v>
      </c>
    </row>
    <row r="2043" customFormat="false" ht="15" hidden="false" customHeight="false" outlineLevel="0" collapsed="false">
      <c r="B2043" s="48" t="n">
        <v>45668.8790277778</v>
      </c>
      <c r="C2043" s="4" t="n">
        <f aca="false">YEAR(B2043)</f>
        <v>2025</v>
      </c>
      <c r="D2043" s="49" t="s">
        <v>283</v>
      </c>
      <c r="E2043" s="49" t="s">
        <v>4335</v>
      </c>
      <c r="F2043" s="50" t="n">
        <v>2</v>
      </c>
      <c r="G2043" s="49" t="s">
        <v>280</v>
      </c>
      <c r="H2043" s="51" t="n">
        <v>0.7268</v>
      </c>
      <c r="I2043" s="51" t="n">
        <v>0.2577</v>
      </c>
      <c r="J2043" s="51" t="n">
        <v>0.0155</v>
      </c>
      <c r="K2043" s="49"/>
      <c r="L2043" s="49"/>
      <c r="M2043" s="49"/>
      <c r="N2043" s="49"/>
      <c r="O2043" s="49"/>
      <c r="P2043" s="49"/>
      <c r="Q2043" s="49"/>
      <c r="R2043" s="49"/>
      <c r="S2043" s="49" t="n">
        <v>0</v>
      </c>
      <c r="T2043" s="49" t="n">
        <v>0</v>
      </c>
      <c r="U2043" s="49" t="s">
        <v>4336</v>
      </c>
    </row>
    <row r="2044" customFormat="false" ht="15" hidden="false" customHeight="false" outlineLevel="0" collapsed="false">
      <c r="B2044" s="48" t="n">
        <v>45669.0718055556</v>
      </c>
      <c r="C2044" s="4" t="n">
        <f aca="false">YEAR(B2044)</f>
        <v>2025</v>
      </c>
      <c r="D2044" s="49" t="s">
        <v>278</v>
      </c>
      <c r="E2044" s="49" t="s">
        <v>4337</v>
      </c>
      <c r="F2044" s="50" t="n">
        <v>9</v>
      </c>
      <c r="G2044" s="49" t="s">
        <v>280</v>
      </c>
      <c r="H2044" s="51" t="n">
        <v>0.7781</v>
      </c>
      <c r="I2044" s="51" t="n">
        <v>0.208</v>
      </c>
      <c r="J2044" s="51" t="n">
        <v>0.0139</v>
      </c>
      <c r="K2044" s="49"/>
      <c r="L2044" s="49"/>
      <c r="M2044" s="49"/>
      <c r="N2044" s="49"/>
      <c r="O2044" s="49"/>
      <c r="P2044" s="49"/>
      <c r="Q2044" s="49"/>
      <c r="R2044" s="49"/>
      <c r="S2044" s="49" t="n">
        <v>0</v>
      </c>
      <c r="T2044" s="49" t="n">
        <v>0</v>
      </c>
      <c r="U2044" s="49" t="s">
        <v>4338</v>
      </c>
    </row>
    <row r="2045" customFormat="false" ht="15" hidden="false" customHeight="false" outlineLevel="0" collapsed="false">
      <c r="B2045" s="48" t="n">
        <v>45669.4016550926</v>
      </c>
      <c r="C2045" s="4" t="n">
        <f aca="false">YEAR(B2045)</f>
        <v>2025</v>
      </c>
      <c r="D2045" s="49" t="s">
        <v>283</v>
      </c>
      <c r="E2045" s="49" t="s">
        <v>4339</v>
      </c>
      <c r="F2045" s="50" t="n">
        <v>1</v>
      </c>
      <c r="G2045" s="49" t="s">
        <v>290</v>
      </c>
      <c r="H2045" s="51" t="n">
        <v>0.0087</v>
      </c>
      <c r="I2045" s="51" t="n">
        <v>0.9089</v>
      </c>
      <c r="J2045" s="51" t="n">
        <v>0.0824</v>
      </c>
      <c r="K2045" s="49"/>
      <c r="L2045" s="49"/>
      <c r="M2045" s="49"/>
      <c r="N2045" s="49"/>
      <c r="O2045" s="49"/>
      <c r="P2045" s="49"/>
      <c r="Q2045" s="49"/>
      <c r="R2045" s="49"/>
      <c r="S2045" s="49" t="n">
        <v>1</v>
      </c>
      <c r="T2045" s="49" t="n">
        <v>0</v>
      </c>
      <c r="U2045" s="49" t="s">
        <v>4340</v>
      </c>
    </row>
    <row r="2046" customFormat="false" ht="15" hidden="false" customHeight="false" outlineLevel="0" collapsed="false">
      <c r="B2046" s="48" t="n">
        <v>45669.4284375</v>
      </c>
      <c r="C2046" s="4" t="n">
        <f aca="false">YEAR(B2046)</f>
        <v>2025</v>
      </c>
      <c r="D2046" s="49" t="s">
        <v>283</v>
      </c>
      <c r="E2046" s="49" t="s">
        <v>4341</v>
      </c>
      <c r="F2046" s="50" t="n">
        <v>4</v>
      </c>
      <c r="G2046" s="49" t="s">
        <v>287</v>
      </c>
      <c r="H2046" s="51" t="n">
        <v>0.0233</v>
      </c>
      <c r="I2046" s="51" t="n">
        <v>0.274</v>
      </c>
      <c r="J2046" s="51" t="n">
        <v>0.7027</v>
      </c>
      <c r="K2046" s="49"/>
      <c r="L2046" s="49"/>
      <c r="M2046" s="49"/>
      <c r="N2046" s="49"/>
      <c r="O2046" s="49"/>
      <c r="P2046" s="49"/>
      <c r="Q2046" s="49"/>
      <c r="R2046" s="49"/>
      <c r="S2046" s="49" t="n">
        <v>0</v>
      </c>
      <c r="T2046" s="49" t="n">
        <v>0</v>
      </c>
      <c r="U2046" s="49" t="s">
        <v>4342</v>
      </c>
    </row>
    <row r="2047" customFormat="false" ht="15" hidden="false" customHeight="false" outlineLevel="0" collapsed="false">
      <c r="B2047" s="48" t="n">
        <v>45669.5234027778</v>
      </c>
      <c r="C2047" s="4" t="n">
        <f aca="false">YEAR(B2047)</f>
        <v>2025</v>
      </c>
      <c r="D2047" s="49" t="s">
        <v>278</v>
      </c>
      <c r="E2047" s="49" t="s">
        <v>4343</v>
      </c>
      <c r="F2047" s="50" t="n">
        <v>3</v>
      </c>
      <c r="G2047" s="49" t="s">
        <v>280</v>
      </c>
      <c r="H2047" s="51" t="n">
        <v>0.5676</v>
      </c>
      <c r="I2047" s="51" t="n">
        <v>0.3282</v>
      </c>
      <c r="J2047" s="51" t="n">
        <v>0.1042</v>
      </c>
      <c r="K2047" s="49"/>
      <c r="L2047" s="49"/>
      <c r="M2047" s="49"/>
      <c r="N2047" s="49"/>
      <c r="O2047" s="49"/>
      <c r="P2047" s="49"/>
      <c r="Q2047" s="49"/>
      <c r="R2047" s="49"/>
      <c r="S2047" s="49" t="n">
        <v>0</v>
      </c>
      <c r="T2047" s="49" t="n">
        <v>0</v>
      </c>
      <c r="U2047" s="49" t="s">
        <v>4344</v>
      </c>
    </row>
    <row r="2048" customFormat="false" ht="15" hidden="false" customHeight="false" outlineLevel="0" collapsed="false">
      <c r="B2048" s="48" t="n">
        <v>45669.7131018519</v>
      </c>
      <c r="C2048" s="4" t="n">
        <f aca="false">YEAR(B2048)</f>
        <v>2025</v>
      </c>
      <c r="D2048" s="49" t="s">
        <v>283</v>
      </c>
      <c r="E2048" s="49" t="s">
        <v>4345</v>
      </c>
      <c r="F2048" s="50" t="n">
        <v>1</v>
      </c>
      <c r="G2048" s="49" t="s">
        <v>280</v>
      </c>
      <c r="H2048" s="51" t="n">
        <v>0.6741</v>
      </c>
      <c r="I2048" s="51" t="n">
        <v>0.2908</v>
      </c>
      <c r="J2048" s="51" t="n">
        <v>0.0351</v>
      </c>
      <c r="K2048" s="49"/>
      <c r="L2048" s="49"/>
      <c r="M2048" s="49"/>
      <c r="N2048" s="49"/>
      <c r="O2048" s="49"/>
      <c r="P2048" s="49"/>
      <c r="Q2048" s="49"/>
      <c r="R2048" s="49"/>
      <c r="S2048" s="49" t="n">
        <v>0</v>
      </c>
      <c r="T2048" s="49" t="n">
        <v>0</v>
      </c>
      <c r="U2048" s="49" t="s">
        <v>4346</v>
      </c>
    </row>
    <row r="2049" customFormat="false" ht="15" hidden="false" customHeight="false" outlineLevel="0" collapsed="false">
      <c r="B2049" s="48" t="n">
        <v>45669.8894328704</v>
      </c>
      <c r="C2049" s="4" t="n">
        <f aca="false">YEAR(B2049)</f>
        <v>2025</v>
      </c>
      <c r="D2049" s="49" t="s">
        <v>283</v>
      </c>
      <c r="E2049" s="49" t="s">
        <v>4347</v>
      </c>
      <c r="F2049" s="50" t="n">
        <v>1</v>
      </c>
      <c r="G2049" s="49" t="s">
        <v>290</v>
      </c>
      <c r="H2049" s="51" t="n">
        <v>0.0187</v>
      </c>
      <c r="I2049" s="51" t="n">
        <v>0.6326</v>
      </c>
      <c r="J2049" s="51" t="n">
        <v>0.3488</v>
      </c>
      <c r="K2049" s="49"/>
      <c r="L2049" s="49"/>
      <c r="M2049" s="49"/>
      <c r="N2049" s="49"/>
      <c r="O2049" s="49"/>
      <c r="P2049" s="49"/>
      <c r="Q2049" s="49"/>
      <c r="R2049" s="49"/>
      <c r="S2049" s="49" t="n">
        <v>1</v>
      </c>
      <c r="T2049" s="49" t="n">
        <v>0</v>
      </c>
      <c r="U2049" s="49" t="s">
        <v>4348</v>
      </c>
    </row>
    <row r="2050" customFormat="false" ht="15" hidden="false" customHeight="false" outlineLevel="0" collapsed="false">
      <c r="B2050" s="48" t="n">
        <v>45670.0358796296</v>
      </c>
      <c r="C2050" s="4" t="n">
        <f aca="false">YEAR(B2050)</f>
        <v>2025</v>
      </c>
      <c r="D2050" s="49" t="s">
        <v>283</v>
      </c>
      <c r="E2050" s="49" t="s">
        <v>4349</v>
      </c>
      <c r="F2050" s="50" t="n">
        <v>1</v>
      </c>
      <c r="G2050" s="49" t="s">
        <v>287</v>
      </c>
      <c r="H2050" s="51" t="n">
        <v>0.0052</v>
      </c>
      <c r="I2050" s="51" t="n">
        <v>0.233</v>
      </c>
      <c r="J2050" s="51" t="n">
        <v>0.7619</v>
      </c>
      <c r="K2050" s="49"/>
      <c r="L2050" s="49"/>
      <c r="M2050" s="49"/>
      <c r="N2050" s="49"/>
      <c r="O2050" s="49"/>
      <c r="P2050" s="49"/>
      <c r="Q2050" s="49"/>
      <c r="R2050" s="49"/>
      <c r="S2050" s="49" t="n">
        <v>0</v>
      </c>
      <c r="T2050" s="49" t="n">
        <v>0</v>
      </c>
      <c r="U2050" s="49" t="s">
        <v>4350</v>
      </c>
    </row>
    <row r="2051" customFormat="false" ht="15" hidden="false" customHeight="false" outlineLevel="0" collapsed="false">
      <c r="B2051" s="48" t="n">
        <v>45670.2937731482</v>
      </c>
      <c r="C2051" s="4" t="n">
        <f aca="false">YEAR(B2051)</f>
        <v>2025</v>
      </c>
      <c r="D2051" s="49" t="s">
        <v>283</v>
      </c>
      <c r="E2051" s="49" t="s">
        <v>4351</v>
      </c>
      <c r="F2051" s="50" t="n">
        <v>1</v>
      </c>
      <c r="G2051" s="49" t="s">
        <v>290</v>
      </c>
      <c r="H2051" s="51" t="n">
        <v>0.2991</v>
      </c>
      <c r="I2051" s="51" t="n">
        <v>0.6486</v>
      </c>
      <c r="J2051" s="51" t="n">
        <v>0.0524</v>
      </c>
      <c r="K2051" s="49"/>
      <c r="L2051" s="49"/>
      <c r="M2051" s="49"/>
      <c r="N2051" s="49"/>
      <c r="O2051" s="49"/>
      <c r="P2051" s="49"/>
      <c r="Q2051" s="49"/>
      <c r="R2051" s="49"/>
      <c r="S2051" s="49" t="n">
        <v>1</v>
      </c>
      <c r="T2051" s="49" t="n">
        <v>0</v>
      </c>
      <c r="U2051" s="49" t="s">
        <v>4352</v>
      </c>
    </row>
    <row r="2052" customFormat="false" ht="15" hidden="false" customHeight="false" outlineLevel="0" collapsed="false">
      <c r="B2052" s="48" t="n">
        <v>45670.2953472222</v>
      </c>
      <c r="C2052" s="4" t="n">
        <f aca="false">YEAR(B2052)</f>
        <v>2025</v>
      </c>
      <c r="D2052" s="49" t="s">
        <v>283</v>
      </c>
      <c r="E2052" s="49" t="s">
        <v>4353</v>
      </c>
      <c r="F2052" s="50" t="n">
        <v>0</v>
      </c>
      <c r="G2052" s="49" t="s">
        <v>280</v>
      </c>
      <c r="H2052" s="51" t="n">
        <v>0.7166</v>
      </c>
      <c r="I2052" s="51" t="n">
        <v>0.2487</v>
      </c>
      <c r="J2052" s="51" t="n">
        <v>0.0347</v>
      </c>
      <c r="K2052" s="49" t="s">
        <v>281</v>
      </c>
      <c r="L2052" s="49"/>
      <c r="M2052" s="49"/>
      <c r="N2052" s="49"/>
      <c r="O2052" s="49"/>
      <c r="P2052" s="49"/>
      <c r="Q2052" s="49"/>
      <c r="R2052" s="49"/>
      <c r="S2052" s="49" t="n">
        <v>0</v>
      </c>
      <c r="T2052" s="49" t="n">
        <v>0</v>
      </c>
      <c r="U2052" s="49" t="s">
        <v>4354</v>
      </c>
    </row>
    <row r="2053" customFormat="false" ht="15" hidden="false" customHeight="false" outlineLevel="0" collapsed="false">
      <c r="B2053" s="48" t="n">
        <v>45670.7324768519</v>
      </c>
      <c r="C2053" s="4" t="n">
        <f aca="false">YEAR(B2053)</f>
        <v>2025</v>
      </c>
      <c r="D2053" s="49" t="s">
        <v>283</v>
      </c>
      <c r="E2053" s="49" t="s">
        <v>4355</v>
      </c>
      <c r="F2053" s="50" t="n">
        <v>1</v>
      </c>
      <c r="G2053" s="49" t="s">
        <v>280</v>
      </c>
      <c r="H2053" s="51" t="n">
        <v>0.9223</v>
      </c>
      <c r="I2053" s="51" t="n">
        <v>0.0698</v>
      </c>
      <c r="J2053" s="51" t="n">
        <v>0.008</v>
      </c>
      <c r="K2053" s="49"/>
      <c r="L2053" s="49"/>
      <c r="M2053" s="49"/>
      <c r="N2053" s="49"/>
      <c r="O2053" s="49"/>
      <c r="P2053" s="49"/>
      <c r="Q2053" s="49"/>
      <c r="R2053" s="49"/>
      <c r="S2053" s="49" t="n">
        <v>0</v>
      </c>
      <c r="T2053" s="49" t="n">
        <v>0</v>
      </c>
      <c r="U2053" s="49" t="s">
        <v>4356</v>
      </c>
    </row>
    <row r="2054" customFormat="false" ht="15" hidden="false" customHeight="false" outlineLevel="0" collapsed="false">
      <c r="B2054" s="48" t="n">
        <v>45671.2524421296</v>
      </c>
      <c r="C2054" s="4" t="n">
        <f aca="false">YEAR(B2054)</f>
        <v>2025</v>
      </c>
      <c r="D2054" s="49" t="s">
        <v>278</v>
      </c>
      <c r="E2054" s="49" t="s">
        <v>4357</v>
      </c>
      <c r="F2054" s="50" t="n">
        <v>1</v>
      </c>
      <c r="G2054" s="49" t="s">
        <v>290</v>
      </c>
      <c r="H2054" s="51" t="n">
        <v>0.2153</v>
      </c>
      <c r="I2054" s="51" t="n">
        <v>0.7304</v>
      </c>
      <c r="J2054" s="51" t="n">
        <v>0.0543</v>
      </c>
      <c r="K2054" s="49"/>
      <c r="L2054" s="49"/>
      <c r="M2054" s="49"/>
      <c r="N2054" s="49"/>
      <c r="O2054" s="49"/>
      <c r="P2054" s="49"/>
      <c r="Q2054" s="49"/>
      <c r="R2054" s="49" t="s">
        <v>281</v>
      </c>
      <c r="S2054" s="49" t="n">
        <v>0</v>
      </c>
      <c r="T2054" s="49" t="n">
        <v>0</v>
      </c>
      <c r="U2054" s="49" t="s">
        <v>4358</v>
      </c>
    </row>
    <row r="2055" customFormat="false" ht="15" hidden="false" customHeight="false" outlineLevel="0" collapsed="false">
      <c r="B2055" s="48" t="n">
        <v>45671.2588194445</v>
      </c>
      <c r="C2055" s="4" t="n">
        <f aca="false">YEAR(B2055)</f>
        <v>2025</v>
      </c>
      <c r="D2055" s="49" t="s">
        <v>283</v>
      </c>
      <c r="E2055" s="49" t="s">
        <v>4359</v>
      </c>
      <c r="F2055" s="50" t="n">
        <v>1</v>
      </c>
      <c r="G2055" s="49" t="s">
        <v>280</v>
      </c>
      <c r="H2055" s="51" t="n">
        <v>0.8202</v>
      </c>
      <c r="I2055" s="51" t="n">
        <v>0.1682</v>
      </c>
      <c r="J2055" s="51" t="n">
        <v>0.0116</v>
      </c>
      <c r="K2055" s="49"/>
      <c r="L2055" s="49"/>
      <c r="M2055" s="49"/>
      <c r="N2055" s="49"/>
      <c r="O2055" s="49"/>
      <c r="P2055" s="49"/>
      <c r="Q2055" s="49"/>
      <c r="R2055" s="49"/>
      <c r="S2055" s="49" t="n">
        <v>0</v>
      </c>
      <c r="T2055" s="49" t="n">
        <v>0</v>
      </c>
      <c r="U2055" s="49" t="s">
        <v>4360</v>
      </c>
    </row>
    <row r="2056" customFormat="false" ht="15" hidden="false" customHeight="false" outlineLevel="0" collapsed="false">
      <c r="B2056" s="48" t="n">
        <v>45671.3642708333</v>
      </c>
      <c r="C2056" s="4" t="n">
        <f aca="false">YEAR(B2056)</f>
        <v>2025</v>
      </c>
      <c r="D2056" s="49" t="s">
        <v>283</v>
      </c>
      <c r="E2056" s="49" t="s">
        <v>4361</v>
      </c>
      <c r="F2056" s="50" t="n">
        <v>1</v>
      </c>
      <c r="G2056" s="49" t="s">
        <v>290</v>
      </c>
      <c r="H2056" s="51" t="n">
        <v>0.0187</v>
      </c>
      <c r="I2056" s="51" t="n">
        <v>0.87</v>
      </c>
      <c r="J2056" s="51" t="n">
        <v>0.1113</v>
      </c>
      <c r="K2056" s="49"/>
      <c r="L2056" s="49"/>
      <c r="M2056" s="49"/>
      <c r="N2056" s="49"/>
      <c r="O2056" s="49"/>
      <c r="P2056" s="49"/>
      <c r="Q2056" s="49"/>
      <c r="R2056" s="49"/>
      <c r="S2056" s="49" t="n">
        <v>1</v>
      </c>
      <c r="T2056" s="49" t="n">
        <v>0</v>
      </c>
      <c r="U2056" s="49" t="s">
        <v>4362</v>
      </c>
    </row>
    <row r="2057" customFormat="false" ht="15" hidden="false" customHeight="false" outlineLevel="0" collapsed="false">
      <c r="B2057" s="48" t="n">
        <v>45672.0333796296</v>
      </c>
      <c r="C2057" s="4" t="n">
        <f aca="false">YEAR(B2057)</f>
        <v>2025</v>
      </c>
      <c r="D2057" s="49" t="s">
        <v>278</v>
      </c>
      <c r="E2057" s="49" t="s">
        <v>4363</v>
      </c>
      <c r="F2057" s="50" t="n">
        <v>1</v>
      </c>
      <c r="G2057" s="49" t="s">
        <v>280</v>
      </c>
      <c r="H2057" s="51" t="n">
        <v>0.7462</v>
      </c>
      <c r="I2057" s="51" t="n">
        <v>0.2407</v>
      </c>
      <c r="J2057" s="51" t="n">
        <v>0.0131</v>
      </c>
      <c r="K2057" s="49"/>
      <c r="L2057" s="49"/>
      <c r="M2057" s="49"/>
      <c r="N2057" s="49"/>
      <c r="O2057" s="49"/>
      <c r="P2057" s="49"/>
      <c r="Q2057" s="49"/>
      <c r="R2057" s="49"/>
      <c r="S2057" s="49" t="n">
        <v>0</v>
      </c>
      <c r="T2057" s="49" t="n">
        <v>0</v>
      </c>
      <c r="U2057" s="49" t="s">
        <v>4364</v>
      </c>
    </row>
    <row r="2058" customFormat="false" ht="15" hidden="false" customHeight="false" outlineLevel="0" collapsed="false">
      <c r="B2058" s="48" t="n">
        <v>45672.718587963</v>
      </c>
      <c r="C2058" s="4" t="n">
        <f aca="false">YEAR(B2058)</f>
        <v>2025</v>
      </c>
      <c r="D2058" s="49" t="s">
        <v>283</v>
      </c>
      <c r="E2058" s="49" t="s">
        <v>4365</v>
      </c>
      <c r="F2058" s="50" t="n">
        <v>2</v>
      </c>
      <c r="G2058" s="49" t="s">
        <v>287</v>
      </c>
      <c r="H2058" s="51" t="n">
        <v>0.0044</v>
      </c>
      <c r="I2058" s="51" t="n">
        <v>0.1957</v>
      </c>
      <c r="J2058" s="51" t="n">
        <v>0.7998</v>
      </c>
      <c r="K2058" s="49"/>
      <c r="L2058" s="49"/>
      <c r="M2058" s="49"/>
      <c r="N2058" s="49"/>
      <c r="O2058" s="49"/>
      <c r="P2058" s="49"/>
      <c r="Q2058" s="49"/>
      <c r="R2058" s="49"/>
      <c r="S2058" s="49" t="n">
        <v>0</v>
      </c>
      <c r="T2058" s="49" t="n">
        <v>0</v>
      </c>
      <c r="U2058" s="49" t="s">
        <v>4366</v>
      </c>
    </row>
    <row r="2059" customFormat="false" ht="15" hidden="false" customHeight="false" outlineLevel="0" collapsed="false">
      <c r="B2059" s="48" t="n">
        <v>45672.8696412037</v>
      </c>
      <c r="C2059" s="4" t="n">
        <f aca="false">YEAR(B2059)</f>
        <v>2025</v>
      </c>
      <c r="D2059" s="49" t="s">
        <v>283</v>
      </c>
      <c r="E2059" s="49" t="s">
        <v>4367</v>
      </c>
      <c r="F2059" s="50" t="n">
        <v>2</v>
      </c>
      <c r="G2059" s="49" t="s">
        <v>280</v>
      </c>
      <c r="H2059" s="51" t="n">
        <v>0.8899</v>
      </c>
      <c r="I2059" s="51" t="n">
        <v>0.097</v>
      </c>
      <c r="J2059" s="51" t="n">
        <v>0.0131</v>
      </c>
      <c r="K2059" s="49"/>
      <c r="L2059" s="49"/>
      <c r="M2059" s="49"/>
      <c r="N2059" s="49"/>
      <c r="O2059" s="49"/>
      <c r="P2059" s="49"/>
      <c r="Q2059" s="49" t="s">
        <v>281</v>
      </c>
      <c r="R2059" s="49"/>
      <c r="S2059" s="49" t="n">
        <v>0</v>
      </c>
      <c r="T2059" s="49" t="n">
        <v>0</v>
      </c>
      <c r="U2059" s="49" t="s">
        <v>4368</v>
      </c>
    </row>
    <row r="2060" customFormat="false" ht="15" hidden="false" customHeight="false" outlineLevel="0" collapsed="false">
      <c r="B2060" s="48" t="n">
        <v>45672.9430671296</v>
      </c>
      <c r="C2060" s="4" t="n">
        <f aca="false">YEAR(B2060)</f>
        <v>2025</v>
      </c>
      <c r="D2060" s="49" t="s">
        <v>283</v>
      </c>
      <c r="E2060" s="49" t="s">
        <v>4369</v>
      </c>
      <c r="F2060" s="50" t="n">
        <v>1</v>
      </c>
      <c r="G2060" s="49" t="s">
        <v>287</v>
      </c>
      <c r="H2060" s="51" t="n">
        <v>0.0039</v>
      </c>
      <c r="I2060" s="51" t="n">
        <v>0.0333</v>
      </c>
      <c r="J2060" s="51" t="n">
        <v>0.9628</v>
      </c>
      <c r="K2060" s="49"/>
      <c r="L2060" s="49"/>
      <c r="M2060" s="49"/>
      <c r="N2060" s="49"/>
      <c r="O2060" s="49"/>
      <c r="P2060" s="49"/>
      <c r="Q2060" s="49"/>
      <c r="R2060" s="49"/>
      <c r="S2060" s="49" t="n">
        <v>0</v>
      </c>
      <c r="T2060" s="49" t="n">
        <v>0</v>
      </c>
      <c r="U2060" s="49" t="s">
        <v>4370</v>
      </c>
    </row>
    <row r="2061" customFormat="false" ht="15" hidden="false" customHeight="false" outlineLevel="0" collapsed="false">
      <c r="B2061" s="48" t="n">
        <v>45673.1125925926</v>
      </c>
      <c r="C2061" s="4" t="n">
        <f aca="false">YEAR(B2061)</f>
        <v>2025</v>
      </c>
      <c r="D2061" s="49" t="s">
        <v>278</v>
      </c>
      <c r="E2061" s="49" t="s">
        <v>4371</v>
      </c>
      <c r="F2061" s="50" t="n">
        <v>0</v>
      </c>
      <c r="G2061" s="49" t="s">
        <v>280</v>
      </c>
      <c r="H2061" s="51" t="n">
        <v>0.7977</v>
      </c>
      <c r="I2061" s="51" t="n">
        <v>0.188</v>
      </c>
      <c r="J2061" s="51" t="n">
        <v>0.0144</v>
      </c>
      <c r="K2061" s="49"/>
      <c r="L2061" s="49"/>
      <c r="M2061" s="49"/>
      <c r="N2061" s="49"/>
      <c r="O2061" s="49"/>
      <c r="P2061" s="49"/>
      <c r="Q2061" s="49"/>
      <c r="R2061" s="49"/>
      <c r="S2061" s="49" t="n">
        <v>0</v>
      </c>
      <c r="T2061" s="49" t="n">
        <v>0</v>
      </c>
      <c r="U2061" s="49" t="s">
        <v>4372</v>
      </c>
    </row>
    <row r="2062" customFormat="false" ht="15" hidden="false" customHeight="false" outlineLevel="0" collapsed="false">
      <c r="B2062" s="48" t="n">
        <v>45673.2206365741</v>
      </c>
      <c r="C2062" s="4" t="n">
        <f aca="false">YEAR(B2062)</f>
        <v>2025</v>
      </c>
      <c r="D2062" s="49" t="s">
        <v>278</v>
      </c>
      <c r="E2062" s="49" t="s">
        <v>4373</v>
      </c>
      <c r="F2062" s="50" t="n">
        <v>0</v>
      </c>
      <c r="G2062" s="49" t="s">
        <v>280</v>
      </c>
      <c r="H2062" s="51" t="n">
        <v>0.4812</v>
      </c>
      <c r="I2062" s="51" t="n">
        <v>0.4789</v>
      </c>
      <c r="J2062" s="51" t="n">
        <v>0.04</v>
      </c>
      <c r="K2062" s="49"/>
      <c r="L2062" s="49"/>
      <c r="M2062" s="49"/>
      <c r="N2062" s="49"/>
      <c r="O2062" s="49"/>
      <c r="P2062" s="49" t="s">
        <v>281</v>
      </c>
      <c r="Q2062" s="49"/>
      <c r="R2062" s="49"/>
      <c r="S2062" s="49" t="n">
        <v>0</v>
      </c>
      <c r="T2062" s="49" t="n">
        <v>0</v>
      </c>
      <c r="U2062" s="49" t="s">
        <v>4374</v>
      </c>
    </row>
    <row r="2063" customFormat="false" ht="15" hidden="false" customHeight="false" outlineLevel="0" collapsed="false">
      <c r="B2063" s="48" t="n">
        <v>45673.2493171296</v>
      </c>
      <c r="C2063" s="4" t="n">
        <f aca="false">YEAR(B2063)</f>
        <v>2025</v>
      </c>
      <c r="D2063" s="49" t="s">
        <v>278</v>
      </c>
      <c r="E2063" s="49" t="s">
        <v>4375</v>
      </c>
      <c r="F2063" s="50" t="n">
        <v>9</v>
      </c>
      <c r="G2063" s="49" t="s">
        <v>280</v>
      </c>
      <c r="H2063" s="51" t="n">
        <v>0.8339</v>
      </c>
      <c r="I2063" s="51" t="n">
        <v>0.1496</v>
      </c>
      <c r="J2063" s="51" t="n">
        <v>0.0165</v>
      </c>
      <c r="K2063" s="49"/>
      <c r="L2063" s="49"/>
      <c r="M2063" s="49"/>
      <c r="N2063" s="49"/>
      <c r="O2063" s="49"/>
      <c r="P2063" s="49"/>
      <c r="Q2063" s="49"/>
      <c r="R2063" s="49"/>
      <c r="S2063" s="49" t="n">
        <v>0</v>
      </c>
      <c r="T2063" s="49" t="n">
        <v>0</v>
      </c>
      <c r="U2063" s="49" t="s">
        <v>4376</v>
      </c>
    </row>
    <row r="2064" customFormat="false" ht="15" hidden="false" customHeight="false" outlineLevel="0" collapsed="false">
      <c r="B2064" s="48" t="n">
        <v>45673.9347685185</v>
      </c>
      <c r="C2064" s="4" t="n">
        <f aca="false">YEAR(B2064)</f>
        <v>2025</v>
      </c>
      <c r="D2064" s="49" t="s">
        <v>278</v>
      </c>
      <c r="E2064" s="49" t="s">
        <v>4377</v>
      </c>
      <c r="F2064" s="50" t="n">
        <v>0</v>
      </c>
      <c r="G2064" s="49" t="s">
        <v>280</v>
      </c>
      <c r="H2064" s="51" t="n">
        <v>0.3635</v>
      </c>
      <c r="I2064" s="51" t="n">
        <v>0.3049</v>
      </c>
      <c r="J2064" s="51" t="n">
        <v>0.3316</v>
      </c>
      <c r="K2064" s="49"/>
      <c r="L2064" s="49"/>
      <c r="M2064" s="49"/>
      <c r="N2064" s="49"/>
      <c r="O2064" s="49"/>
      <c r="P2064" s="49"/>
      <c r="Q2064" s="49"/>
      <c r="R2064" s="49"/>
      <c r="S2064" s="49" t="n">
        <v>0</v>
      </c>
      <c r="T2064" s="49" t="n">
        <v>0</v>
      </c>
      <c r="U2064" s="49" t="s">
        <v>4378</v>
      </c>
    </row>
    <row r="2065" customFormat="false" ht="15" hidden="false" customHeight="false" outlineLevel="0" collapsed="false">
      <c r="B2065" s="48" t="n">
        <v>45674.4384143519</v>
      </c>
      <c r="C2065" s="4" t="n">
        <f aca="false">YEAR(B2065)</f>
        <v>2025</v>
      </c>
      <c r="D2065" s="49" t="s">
        <v>283</v>
      </c>
      <c r="E2065" s="49" t="s">
        <v>4379</v>
      </c>
      <c r="F2065" s="50" t="n">
        <v>3</v>
      </c>
      <c r="G2065" s="49" t="s">
        <v>280</v>
      </c>
      <c r="H2065" s="51" t="n">
        <v>0.7147</v>
      </c>
      <c r="I2065" s="51" t="n">
        <v>0.2485</v>
      </c>
      <c r="J2065" s="51" t="n">
        <v>0.0368</v>
      </c>
      <c r="K2065" s="49"/>
      <c r="L2065" s="49"/>
      <c r="M2065" s="49"/>
      <c r="N2065" s="49"/>
      <c r="O2065" s="49"/>
      <c r="P2065" s="49"/>
      <c r="Q2065" s="49"/>
      <c r="R2065" s="49"/>
      <c r="S2065" s="49" t="n">
        <v>0</v>
      </c>
      <c r="T2065" s="49" t="n">
        <v>0</v>
      </c>
      <c r="U2065" s="49" t="s">
        <v>4380</v>
      </c>
    </row>
    <row r="2066" customFormat="false" ht="15" hidden="false" customHeight="false" outlineLevel="0" collapsed="false">
      <c r="B2066" s="48" t="n">
        <v>45674.4559143519</v>
      </c>
      <c r="C2066" s="4" t="n">
        <f aca="false">YEAR(B2066)</f>
        <v>2025</v>
      </c>
      <c r="D2066" s="49" t="s">
        <v>283</v>
      </c>
      <c r="E2066" s="49" t="s">
        <v>4381</v>
      </c>
      <c r="F2066" s="50" t="n">
        <v>1</v>
      </c>
      <c r="G2066" s="49" t="s">
        <v>290</v>
      </c>
      <c r="H2066" s="51" t="n">
        <v>0.0283</v>
      </c>
      <c r="I2066" s="51" t="n">
        <v>0.8377</v>
      </c>
      <c r="J2066" s="51" t="n">
        <v>0.134</v>
      </c>
      <c r="K2066" s="49"/>
      <c r="L2066" s="49"/>
      <c r="M2066" s="49"/>
      <c r="N2066" s="49"/>
      <c r="O2066" s="49"/>
      <c r="P2066" s="49"/>
      <c r="Q2066" s="49"/>
      <c r="R2066" s="49"/>
      <c r="S2066" s="49" t="n">
        <v>0</v>
      </c>
      <c r="T2066" s="49" t="n">
        <v>0</v>
      </c>
      <c r="U2066" s="49" t="s">
        <v>4382</v>
      </c>
    </row>
    <row r="2067" customFormat="false" ht="15" hidden="false" customHeight="false" outlineLevel="0" collapsed="false">
      <c r="B2067" s="48" t="n">
        <v>45674.5699305556</v>
      </c>
      <c r="C2067" s="4" t="n">
        <f aca="false">YEAR(B2067)</f>
        <v>2025</v>
      </c>
      <c r="D2067" s="49" t="s">
        <v>278</v>
      </c>
      <c r="E2067" s="49" t="s">
        <v>4383</v>
      </c>
      <c r="F2067" s="50" t="n">
        <v>5</v>
      </c>
      <c r="G2067" s="49" t="s">
        <v>280</v>
      </c>
      <c r="H2067" s="51" t="n">
        <v>0.6531</v>
      </c>
      <c r="I2067" s="51" t="n">
        <v>0.3334</v>
      </c>
      <c r="J2067" s="51" t="n">
        <v>0.0135</v>
      </c>
      <c r="K2067" s="49"/>
      <c r="L2067" s="49"/>
      <c r="M2067" s="49"/>
      <c r="N2067" s="49"/>
      <c r="O2067" s="49"/>
      <c r="P2067" s="49"/>
      <c r="Q2067" s="49"/>
      <c r="R2067" s="49" t="s">
        <v>281</v>
      </c>
      <c r="S2067" s="49" t="n">
        <v>0</v>
      </c>
      <c r="T2067" s="49" t="n">
        <v>0</v>
      </c>
      <c r="U2067" s="49" t="s">
        <v>4384</v>
      </c>
    </row>
    <row r="2068" customFormat="false" ht="15" hidden="false" customHeight="false" outlineLevel="0" collapsed="false">
      <c r="B2068" s="48" t="n">
        <v>45674.6384375</v>
      </c>
      <c r="C2068" s="4" t="n">
        <f aca="false">YEAR(B2068)</f>
        <v>2025</v>
      </c>
      <c r="D2068" s="49" t="s">
        <v>283</v>
      </c>
      <c r="E2068" s="49" t="s">
        <v>4385</v>
      </c>
      <c r="F2068" s="50" t="n">
        <v>1</v>
      </c>
      <c r="G2068" s="49" t="s">
        <v>290</v>
      </c>
      <c r="H2068" s="51" t="n">
        <v>0.3588</v>
      </c>
      <c r="I2068" s="51" t="n">
        <v>0.5982</v>
      </c>
      <c r="J2068" s="51" t="n">
        <v>0.043</v>
      </c>
      <c r="K2068" s="49"/>
      <c r="L2068" s="49"/>
      <c r="M2068" s="49"/>
      <c r="N2068" s="49"/>
      <c r="O2068" s="49"/>
      <c r="P2068" s="49"/>
      <c r="Q2068" s="49"/>
      <c r="R2068" s="49"/>
      <c r="S2068" s="49" t="n">
        <v>0</v>
      </c>
      <c r="T2068" s="49" t="n">
        <v>0</v>
      </c>
      <c r="U2068" s="49" t="s">
        <v>4386</v>
      </c>
    </row>
    <row r="2069" customFormat="false" ht="15" hidden="false" customHeight="false" outlineLevel="0" collapsed="false">
      <c r="B2069" s="48" t="n">
        <v>45674.9461574074</v>
      </c>
      <c r="C2069" s="4" t="n">
        <f aca="false">YEAR(B2069)</f>
        <v>2025</v>
      </c>
      <c r="D2069" s="49" t="s">
        <v>283</v>
      </c>
      <c r="E2069" s="49" t="s">
        <v>4387</v>
      </c>
      <c r="F2069" s="50" t="n">
        <v>1</v>
      </c>
      <c r="G2069" s="49" t="s">
        <v>290</v>
      </c>
      <c r="H2069" s="51" t="n">
        <v>0.0195</v>
      </c>
      <c r="I2069" s="51" t="n">
        <v>0.9472</v>
      </c>
      <c r="J2069" s="51" t="n">
        <v>0.0333</v>
      </c>
      <c r="K2069" s="49"/>
      <c r="L2069" s="49"/>
      <c r="M2069" s="49"/>
      <c r="N2069" s="49"/>
      <c r="O2069" s="49"/>
      <c r="P2069" s="49"/>
      <c r="Q2069" s="49"/>
      <c r="R2069" s="49"/>
      <c r="S2069" s="49" t="n">
        <v>1</v>
      </c>
      <c r="T2069" s="49" t="n">
        <v>0</v>
      </c>
      <c r="U2069" s="49" t="s">
        <v>4388</v>
      </c>
    </row>
    <row r="2070" customFormat="false" ht="15" hidden="false" customHeight="false" outlineLevel="0" collapsed="false">
      <c r="B2070" s="48" t="n">
        <v>45675.8702314815</v>
      </c>
      <c r="C2070" s="4" t="n">
        <f aca="false">YEAR(B2070)</f>
        <v>2025</v>
      </c>
      <c r="D2070" s="49" t="s">
        <v>283</v>
      </c>
      <c r="E2070" s="49" t="s">
        <v>4389</v>
      </c>
      <c r="F2070" s="50" t="n">
        <v>1</v>
      </c>
      <c r="G2070" s="49" t="s">
        <v>290</v>
      </c>
      <c r="H2070" s="51" t="n">
        <v>0.0079</v>
      </c>
      <c r="I2070" s="51" t="n">
        <v>0.9458</v>
      </c>
      <c r="J2070" s="51" t="n">
        <v>0.0463</v>
      </c>
      <c r="K2070" s="49"/>
      <c r="L2070" s="49"/>
      <c r="M2070" s="49"/>
      <c r="N2070" s="49"/>
      <c r="O2070" s="49"/>
      <c r="P2070" s="49"/>
      <c r="Q2070" s="49"/>
      <c r="R2070" s="49" t="s">
        <v>281</v>
      </c>
      <c r="S2070" s="49" t="n">
        <v>1</v>
      </c>
      <c r="T2070" s="49" t="n">
        <v>0</v>
      </c>
      <c r="U2070" s="49" t="s">
        <v>4390</v>
      </c>
    </row>
    <row r="2071" customFormat="false" ht="15" hidden="false" customHeight="false" outlineLevel="0" collapsed="false">
      <c r="B2071" s="48" t="n">
        <v>45675.9639236111</v>
      </c>
      <c r="C2071" s="4" t="n">
        <f aca="false">YEAR(B2071)</f>
        <v>2025</v>
      </c>
      <c r="D2071" s="49" t="s">
        <v>283</v>
      </c>
      <c r="E2071" s="49" t="s">
        <v>4391</v>
      </c>
      <c r="F2071" s="50" t="n">
        <v>1</v>
      </c>
      <c r="G2071" s="49" t="s">
        <v>290</v>
      </c>
      <c r="H2071" s="51" t="n">
        <v>0.0126</v>
      </c>
      <c r="I2071" s="51" t="n">
        <v>0.8703</v>
      </c>
      <c r="J2071" s="51" t="n">
        <v>0.1171</v>
      </c>
      <c r="K2071" s="49"/>
      <c r="L2071" s="49"/>
      <c r="M2071" s="49"/>
      <c r="N2071" s="49"/>
      <c r="O2071" s="49"/>
      <c r="P2071" s="49"/>
      <c r="Q2071" s="49"/>
      <c r="R2071" s="49"/>
      <c r="S2071" s="49" t="n">
        <v>1</v>
      </c>
      <c r="T2071" s="49" t="n">
        <v>0</v>
      </c>
      <c r="U2071" s="49" t="s">
        <v>4392</v>
      </c>
    </row>
    <row r="2072" customFormat="false" ht="15" hidden="false" customHeight="false" outlineLevel="0" collapsed="false">
      <c r="B2072" s="48" t="n">
        <v>45676.4183796296</v>
      </c>
      <c r="C2072" s="4" t="n">
        <f aca="false">YEAR(B2072)</f>
        <v>2025</v>
      </c>
      <c r="D2072" s="49" t="s">
        <v>283</v>
      </c>
      <c r="E2072" s="49" t="s">
        <v>4393</v>
      </c>
      <c r="F2072" s="50" t="n">
        <v>2</v>
      </c>
      <c r="G2072" s="49" t="s">
        <v>287</v>
      </c>
      <c r="H2072" s="51" t="n">
        <v>0.0066</v>
      </c>
      <c r="I2072" s="51" t="n">
        <v>0.4313</v>
      </c>
      <c r="J2072" s="51" t="n">
        <v>0.5621</v>
      </c>
      <c r="K2072" s="49"/>
      <c r="L2072" s="49"/>
      <c r="M2072" s="49"/>
      <c r="N2072" s="49"/>
      <c r="O2072" s="49"/>
      <c r="P2072" s="49"/>
      <c r="Q2072" s="49"/>
      <c r="R2072" s="49"/>
      <c r="S2072" s="49" t="n">
        <v>0</v>
      </c>
      <c r="T2072" s="49" t="n">
        <v>0</v>
      </c>
      <c r="U2072" s="49" t="s">
        <v>4394</v>
      </c>
    </row>
    <row r="2073" customFormat="false" ht="15" hidden="false" customHeight="false" outlineLevel="0" collapsed="false">
      <c r="B2073" s="48" t="n">
        <v>45676.8215046296</v>
      </c>
      <c r="C2073" s="4" t="n">
        <f aca="false">YEAR(B2073)</f>
        <v>2025</v>
      </c>
      <c r="D2073" s="49" t="s">
        <v>283</v>
      </c>
      <c r="E2073" s="49" t="s">
        <v>4395</v>
      </c>
      <c r="F2073" s="50" t="n">
        <v>1</v>
      </c>
      <c r="G2073" s="49" t="s">
        <v>280</v>
      </c>
      <c r="H2073" s="51" t="n">
        <v>0.6685</v>
      </c>
      <c r="I2073" s="51" t="n">
        <v>0.3076</v>
      </c>
      <c r="J2073" s="51" t="n">
        <v>0.0238</v>
      </c>
      <c r="K2073" s="49"/>
      <c r="L2073" s="49"/>
      <c r="M2073" s="49"/>
      <c r="N2073" s="49"/>
      <c r="O2073" s="49"/>
      <c r="P2073" s="49"/>
      <c r="Q2073" s="49"/>
      <c r="R2073" s="49"/>
      <c r="S2073" s="49" t="n">
        <v>0</v>
      </c>
      <c r="T2073" s="49" t="n">
        <v>0</v>
      </c>
      <c r="U2073" s="49" t="s">
        <v>4396</v>
      </c>
    </row>
    <row r="2074" customFormat="false" ht="15" hidden="false" customHeight="false" outlineLevel="0" collapsed="false">
      <c r="B2074" s="48" t="n">
        <v>45676.8921875</v>
      </c>
      <c r="C2074" s="4" t="n">
        <f aca="false">YEAR(B2074)</f>
        <v>2025</v>
      </c>
      <c r="D2074" s="49" t="s">
        <v>283</v>
      </c>
      <c r="E2074" s="49" t="s">
        <v>4397</v>
      </c>
      <c r="F2074" s="50" t="n">
        <v>1</v>
      </c>
      <c r="G2074" s="49" t="s">
        <v>280</v>
      </c>
      <c r="H2074" s="51" t="n">
        <v>0.5572</v>
      </c>
      <c r="I2074" s="51" t="n">
        <v>0.4305</v>
      </c>
      <c r="J2074" s="51" t="n">
        <v>0.0123</v>
      </c>
      <c r="K2074" s="49"/>
      <c r="L2074" s="49"/>
      <c r="M2074" s="49"/>
      <c r="N2074" s="49"/>
      <c r="O2074" s="49"/>
      <c r="P2074" s="49"/>
      <c r="Q2074" s="49"/>
      <c r="R2074" s="49" t="s">
        <v>281</v>
      </c>
      <c r="S2074" s="49" t="n">
        <v>1</v>
      </c>
      <c r="T2074" s="49" t="n">
        <v>0</v>
      </c>
      <c r="U2074" s="49" t="s">
        <v>4398</v>
      </c>
    </row>
    <row r="2075" customFormat="false" ht="15" hidden="false" customHeight="false" outlineLevel="0" collapsed="false">
      <c r="B2075" s="48" t="n">
        <v>45676.8953819444</v>
      </c>
      <c r="C2075" s="4" t="n">
        <f aca="false">YEAR(B2075)</f>
        <v>2025</v>
      </c>
      <c r="D2075" s="49" t="s">
        <v>278</v>
      </c>
      <c r="E2075" s="49" t="s">
        <v>4399</v>
      </c>
      <c r="F2075" s="50" t="n">
        <v>4</v>
      </c>
      <c r="G2075" s="49" t="s">
        <v>287</v>
      </c>
      <c r="H2075" s="51" t="n">
        <v>0.0229</v>
      </c>
      <c r="I2075" s="51" t="n">
        <v>0.4189</v>
      </c>
      <c r="J2075" s="51" t="n">
        <v>0.5582</v>
      </c>
      <c r="K2075" s="49"/>
      <c r="L2075" s="49"/>
      <c r="M2075" s="49"/>
      <c r="N2075" s="49"/>
      <c r="O2075" s="49"/>
      <c r="P2075" s="49"/>
      <c r="Q2075" s="49"/>
      <c r="R2075" s="49"/>
      <c r="S2075" s="49" t="n">
        <v>0</v>
      </c>
      <c r="T2075" s="49" t="n">
        <v>0</v>
      </c>
      <c r="U2075" s="49" t="s">
        <v>4400</v>
      </c>
    </row>
    <row r="2076" customFormat="false" ht="15" hidden="false" customHeight="false" outlineLevel="0" collapsed="false">
      <c r="B2076" s="48" t="n">
        <v>45677.5114467593</v>
      </c>
      <c r="C2076" s="4" t="n">
        <f aca="false">YEAR(B2076)</f>
        <v>2025</v>
      </c>
      <c r="D2076" s="49" t="s">
        <v>283</v>
      </c>
      <c r="E2076" s="49" t="s">
        <v>4401</v>
      </c>
      <c r="F2076" s="50" t="n">
        <v>2</v>
      </c>
      <c r="G2076" s="49" t="s">
        <v>287</v>
      </c>
      <c r="H2076" s="51" t="n">
        <v>0.0797</v>
      </c>
      <c r="I2076" s="51" t="n">
        <v>0.423</v>
      </c>
      <c r="J2076" s="51" t="n">
        <v>0.4972</v>
      </c>
      <c r="K2076" s="49"/>
      <c r="L2076" s="49"/>
      <c r="M2076" s="49"/>
      <c r="N2076" s="49"/>
      <c r="O2076" s="49"/>
      <c r="P2076" s="49"/>
      <c r="Q2076" s="49"/>
      <c r="R2076" s="49"/>
      <c r="S2076" s="49" t="n">
        <v>0</v>
      </c>
      <c r="T2076" s="49" t="n">
        <v>0</v>
      </c>
      <c r="U2076" s="49" t="s">
        <v>4402</v>
      </c>
    </row>
    <row r="2077" customFormat="false" ht="15" hidden="false" customHeight="false" outlineLevel="0" collapsed="false">
      <c r="B2077" s="48" t="n">
        <v>45677.6687615741</v>
      </c>
      <c r="C2077" s="4" t="n">
        <f aca="false">YEAR(B2077)</f>
        <v>2025</v>
      </c>
      <c r="D2077" s="49" t="s">
        <v>283</v>
      </c>
      <c r="E2077" s="49" t="s">
        <v>4403</v>
      </c>
      <c r="F2077" s="50" t="n">
        <v>6</v>
      </c>
      <c r="G2077" s="49" t="s">
        <v>287</v>
      </c>
      <c r="H2077" s="51" t="n">
        <v>0.0044</v>
      </c>
      <c r="I2077" s="51" t="n">
        <v>0.0822</v>
      </c>
      <c r="J2077" s="51" t="n">
        <v>0.9134</v>
      </c>
      <c r="K2077" s="49"/>
      <c r="L2077" s="49"/>
      <c r="M2077" s="49"/>
      <c r="N2077" s="49"/>
      <c r="O2077" s="49"/>
      <c r="P2077" s="49" t="s">
        <v>281</v>
      </c>
      <c r="Q2077" s="49"/>
      <c r="R2077" s="49"/>
      <c r="S2077" s="49" t="n">
        <v>0</v>
      </c>
      <c r="T2077" s="49" t="n">
        <v>0</v>
      </c>
      <c r="U2077" s="49" t="s">
        <v>4404</v>
      </c>
    </row>
    <row r="2078" customFormat="false" ht="15" hidden="false" customHeight="false" outlineLevel="0" collapsed="false">
      <c r="B2078" s="48" t="n">
        <v>45677.6828356482</v>
      </c>
      <c r="C2078" s="4" t="n">
        <f aca="false">YEAR(B2078)</f>
        <v>2025</v>
      </c>
      <c r="D2078" s="49" t="s">
        <v>283</v>
      </c>
      <c r="E2078" s="49" t="s">
        <v>4405</v>
      </c>
      <c r="F2078" s="50" t="n">
        <v>1</v>
      </c>
      <c r="G2078" s="49" t="s">
        <v>287</v>
      </c>
      <c r="H2078" s="51" t="n">
        <v>0.0024</v>
      </c>
      <c r="I2078" s="51" t="n">
        <v>0.1308</v>
      </c>
      <c r="J2078" s="51" t="n">
        <v>0.8668</v>
      </c>
      <c r="K2078" s="49"/>
      <c r="L2078" s="49"/>
      <c r="M2078" s="49"/>
      <c r="N2078" s="49"/>
      <c r="O2078" s="49"/>
      <c r="P2078" s="49"/>
      <c r="Q2078" s="49"/>
      <c r="R2078" s="49"/>
      <c r="S2078" s="49" t="n">
        <v>0</v>
      </c>
      <c r="T2078" s="49" t="n">
        <v>0</v>
      </c>
      <c r="U2078" s="49" t="s">
        <v>4406</v>
      </c>
    </row>
    <row r="2079" customFormat="false" ht="15" hidden="false" customHeight="false" outlineLevel="0" collapsed="false">
      <c r="B2079" s="48" t="n">
        <v>45677.9143634259</v>
      </c>
      <c r="C2079" s="4" t="n">
        <f aca="false">YEAR(B2079)</f>
        <v>2025</v>
      </c>
      <c r="D2079" s="49" t="s">
        <v>283</v>
      </c>
      <c r="E2079" s="49" t="s">
        <v>4407</v>
      </c>
      <c r="F2079" s="50" t="n">
        <v>3</v>
      </c>
      <c r="G2079" s="49" t="s">
        <v>290</v>
      </c>
      <c r="H2079" s="51" t="n">
        <v>0.4651</v>
      </c>
      <c r="I2079" s="51" t="n">
        <v>0.5155</v>
      </c>
      <c r="J2079" s="51" t="n">
        <v>0.0193</v>
      </c>
      <c r="K2079" s="49"/>
      <c r="L2079" s="49"/>
      <c r="M2079" s="49"/>
      <c r="N2079" s="49"/>
      <c r="O2079" s="49"/>
      <c r="P2079" s="49"/>
      <c r="Q2079" s="49"/>
      <c r="R2079" s="49"/>
      <c r="S2079" s="49" t="n">
        <v>0</v>
      </c>
      <c r="T2079" s="49" t="n">
        <v>0</v>
      </c>
      <c r="U2079" s="49" t="s">
        <v>4408</v>
      </c>
    </row>
    <row r="2080" customFormat="false" ht="15" hidden="false" customHeight="false" outlineLevel="0" collapsed="false">
      <c r="B2080" s="48" t="n">
        <v>45678.0584837963</v>
      </c>
      <c r="C2080" s="4" t="n">
        <f aca="false">YEAR(B2080)</f>
        <v>2025</v>
      </c>
      <c r="D2080" s="49" t="s">
        <v>283</v>
      </c>
      <c r="E2080" s="49" t="s">
        <v>4409</v>
      </c>
      <c r="F2080" s="50" t="n">
        <v>11</v>
      </c>
      <c r="G2080" s="49" t="s">
        <v>287</v>
      </c>
      <c r="H2080" s="51" t="n">
        <v>0.0622</v>
      </c>
      <c r="I2080" s="51" t="n">
        <v>0.3265</v>
      </c>
      <c r="J2080" s="51" t="n">
        <v>0.6113</v>
      </c>
      <c r="K2080" s="49"/>
      <c r="L2080" s="49"/>
      <c r="M2080" s="49"/>
      <c r="N2080" s="49"/>
      <c r="O2080" s="49"/>
      <c r="P2080" s="49"/>
      <c r="Q2080" s="49"/>
      <c r="R2080" s="49"/>
      <c r="S2080" s="49" t="n">
        <v>0</v>
      </c>
      <c r="T2080" s="49" t="n">
        <v>0</v>
      </c>
      <c r="U2080" s="49" t="s">
        <v>4410</v>
      </c>
    </row>
    <row r="2081" customFormat="false" ht="15" hidden="false" customHeight="false" outlineLevel="0" collapsed="false">
      <c r="B2081" s="48" t="n">
        <v>45678.8911111111</v>
      </c>
      <c r="C2081" s="4" t="n">
        <f aca="false">YEAR(B2081)</f>
        <v>2025</v>
      </c>
      <c r="D2081" s="49" t="s">
        <v>283</v>
      </c>
      <c r="E2081" s="49" t="s">
        <v>4411</v>
      </c>
      <c r="F2081" s="50" t="n">
        <v>1</v>
      </c>
      <c r="G2081" s="49" t="s">
        <v>287</v>
      </c>
      <c r="H2081" s="51" t="n">
        <v>0.0026</v>
      </c>
      <c r="I2081" s="51" t="n">
        <v>0.1355</v>
      </c>
      <c r="J2081" s="51" t="n">
        <v>0.8619</v>
      </c>
      <c r="K2081" s="49"/>
      <c r="L2081" s="49"/>
      <c r="M2081" s="49"/>
      <c r="N2081" s="49"/>
      <c r="O2081" s="49"/>
      <c r="P2081" s="49"/>
      <c r="Q2081" s="49"/>
      <c r="R2081" s="49"/>
      <c r="S2081" s="49" t="n">
        <v>0</v>
      </c>
      <c r="T2081" s="49" t="n">
        <v>0</v>
      </c>
      <c r="U2081" s="49" t="s">
        <v>4412</v>
      </c>
    </row>
    <row r="2082" customFormat="false" ht="15" hidden="false" customHeight="false" outlineLevel="0" collapsed="false">
      <c r="B2082" s="48" t="n">
        <v>45678.9840393519</v>
      </c>
      <c r="C2082" s="4" t="n">
        <f aca="false">YEAR(B2082)</f>
        <v>2025</v>
      </c>
      <c r="D2082" s="49" t="s">
        <v>283</v>
      </c>
      <c r="E2082" s="49" t="s">
        <v>4413</v>
      </c>
      <c r="F2082" s="50" t="n">
        <v>2</v>
      </c>
      <c r="G2082" s="49" t="s">
        <v>290</v>
      </c>
      <c r="H2082" s="51" t="n">
        <v>0.008</v>
      </c>
      <c r="I2082" s="51" t="n">
        <v>0.623</v>
      </c>
      <c r="J2082" s="51" t="n">
        <v>0.3689</v>
      </c>
      <c r="K2082" s="49"/>
      <c r="L2082" s="49"/>
      <c r="M2082" s="49"/>
      <c r="N2082" s="49"/>
      <c r="O2082" s="49"/>
      <c r="P2082" s="49"/>
      <c r="Q2082" s="49"/>
      <c r="R2082" s="49"/>
      <c r="S2082" s="49" t="n">
        <v>0</v>
      </c>
      <c r="T2082" s="49" t="n">
        <v>0</v>
      </c>
      <c r="U2082" s="49" t="s">
        <v>4414</v>
      </c>
    </row>
    <row r="2083" customFormat="false" ht="15" hidden="false" customHeight="false" outlineLevel="0" collapsed="false">
      <c r="B2083" s="48" t="n">
        <v>45679.1125694444</v>
      </c>
      <c r="C2083" s="4" t="n">
        <f aca="false">YEAR(B2083)</f>
        <v>2025</v>
      </c>
      <c r="D2083" s="49" t="s">
        <v>283</v>
      </c>
      <c r="E2083" s="49" t="s">
        <v>4415</v>
      </c>
      <c r="F2083" s="50" t="n">
        <v>17</v>
      </c>
      <c r="G2083" s="49" t="s">
        <v>280</v>
      </c>
      <c r="H2083" s="51" t="n">
        <v>0.5266</v>
      </c>
      <c r="I2083" s="51" t="n">
        <v>0.4281</v>
      </c>
      <c r="J2083" s="51" t="n">
        <v>0.0453</v>
      </c>
      <c r="K2083" s="49"/>
      <c r="L2083" s="49"/>
      <c r="M2083" s="49"/>
      <c r="N2083" s="49"/>
      <c r="O2083" s="49"/>
      <c r="P2083" s="49"/>
      <c r="Q2083" s="49"/>
      <c r="R2083" s="49"/>
      <c r="S2083" s="49" t="n">
        <v>0</v>
      </c>
      <c r="T2083" s="49" t="n">
        <v>0</v>
      </c>
      <c r="U2083" s="49" t="s">
        <v>4416</v>
      </c>
    </row>
    <row r="2084" customFormat="false" ht="15" hidden="false" customHeight="false" outlineLevel="0" collapsed="false">
      <c r="B2084" s="48" t="n">
        <v>45679.2557986111</v>
      </c>
      <c r="C2084" s="4" t="n">
        <f aca="false">YEAR(B2084)</f>
        <v>2025</v>
      </c>
      <c r="D2084" s="49" t="s">
        <v>283</v>
      </c>
      <c r="E2084" s="49" t="s">
        <v>4417</v>
      </c>
      <c r="F2084" s="50" t="n">
        <v>2</v>
      </c>
      <c r="G2084" s="49" t="s">
        <v>287</v>
      </c>
      <c r="H2084" s="51" t="n">
        <v>0.0077</v>
      </c>
      <c r="I2084" s="51" t="n">
        <v>0.2251</v>
      </c>
      <c r="J2084" s="51" t="n">
        <v>0.7673</v>
      </c>
      <c r="K2084" s="49"/>
      <c r="L2084" s="49"/>
      <c r="M2084" s="49"/>
      <c r="N2084" s="49"/>
      <c r="O2084" s="49"/>
      <c r="P2084" s="49"/>
      <c r="Q2084" s="49"/>
      <c r="R2084" s="49"/>
      <c r="S2084" s="49" t="n">
        <v>0</v>
      </c>
      <c r="T2084" s="49" t="n">
        <v>0</v>
      </c>
      <c r="U2084" s="49" t="s">
        <v>4418</v>
      </c>
    </row>
    <row r="2085" customFormat="false" ht="15" hidden="false" customHeight="false" outlineLevel="0" collapsed="false">
      <c r="B2085" s="48" t="n">
        <v>45679.5644212963</v>
      </c>
      <c r="C2085" s="4" t="n">
        <f aca="false">YEAR(B2085)</f>
        <v>2025</v>
      </c>
      <c r="D2085" s="49" t="s">
        <v>278</v>
      </c>
      <c r="E2085" s="49" t="s">
        <v>4419</v>
      </c>
      <c r="F2085" s="50" t="n">
        <v>3</v>
      </c>
      <c r="G2085" s="49" t="s">
        <v>280</v>
      </c>
      <c r="H2085" s="51" t="n">
        <v>0.8024</v>
      </c>
      <c r="I2085" s="51" t="n">
        <v>0.1859</v>
      </c>
      <c r="J2085" s="51" t="n">
        <v>0.0117</v>
      </c>
      <c r="K2085" s="49"/>
      <c r="L2085" s="49"/>
      <c r="M2085" s="49"/>
      <c r="N2085" s="49"/>
      <c r="O2085" s="49"/>
      <c r="P2085" s="49"/>
      <c r="Q2085" s="49"/>
      <c r="R2085" s="49"/>
      <c r="S2085" s="49" t="n">
        <v>0</v>
      </c>
      <c r="T2085" s="49" t="n">
        <v>0</v>
      </c>
      <c r="U2085" s="49" t="s">
        <v>4420</v>
      </c>
    </row>
    <row r="2086" customFormat="false" ht="15" hidden="false" customHeight="false" outlineLevel="0" collapsed="false">
      <c r="B2086" s="48" t="n">
        <v>45679.5835416667</v>
      </c>
      <c r="C2086" s="4" t="n">
        <f aca="false">YEAR(B2086)</f>
        <v>2025</v>
      </c>
      <c r="D2086" s="49" t="s">
        <v>283</v>
      </c>
      <c r="E2086" s="49" t="s">
        <v>4421</v>
      </c>
      <c r="F2086" s="50" t="n">
        <v>1</v>
      </c>
      <c r="G2086" s="49" t="s">
        <v>290</v>
      </c>
      <c r="H2086" s="51" t="n">
        <v>0.0333</v>
      </c>
      <c r="I2086" s="51" t="n">
        <v>0.8666</v>
      </c>
      <c r="J2086" s="51" t="n">
        <v>0.1001</v>
      </c>
      <c r="K2086" s="49"/>
      <c r="L2086" s="49"/>
      <c r="M2086" s="49"/>
      <c r="N2086" s="49"/>
      <c r="O2086" s="49"/>
      <c r="P2086" s="49"/>
      <c r="Q2086" s="49"/>
      <c r="R2086" s="49"/>
      <c r="S2086" s="49" t="n">
        <v>0</v>
      </c>
      <c r="T2086" s="49" t="n">
        <v>0</v>
      </c>
      <c r="U2086" s="49" t="s">
        <v>4422</v>
      </c>
    </row>
    <row r="2087" customFormat="false" ht="15" hidden="false" customHeight="false" outlineLevel="0" collapsed="false">
      <c r="B2087" s="48" t="n">
        <v>45679.672650463</v>
      </c>
      <c r="C2087" s="4" t="n">
        <f aca="false">YEAR(B2087)</f>
        <v>2025</v>
      </c>
      <c r="D2087" s="49" t="s">
        <v>283</v>
      </c>
      <c r="E2087" s="49" t="s">
        <v>4423</v>
      </c>
      <c r="F2087" s="50" t="n">
        <v>3</v>
      </c>
      <c r="G2087" s="49" t="s">
        <v>287</v>
      </c>
      <c r="H2087" s="51" t="n">
        <v>0.0195</v>
      </c>
      <c r="I2087" s="51" t="n">
        <v>0.4707</v>
      </c>
      <c r="J2087" s="51" t="n">
        <v>0.5098</v>
      </c>
      <c r="K2087" s="49"/>
      <c r="L2087" s="49"/>
      <c r="M2087" s="49"/>
      <c r="N2087" s="49"/>
      <c r="O2087" s="49"/>
      <c r="P2087" s="49" t="s">
        <v>281</v>
      </c>
      <c r="Q2087" s="49"/>
      <c r="R2087" s="49"/>
      <c r="S2087" s="49" t="n">
        <v>0</v>
      </c>
      <c r="T2087" s="49" t="n">
        <v>0</v>
      </c>
      <c r="U2087" s="49" t="s">
        <v>4424</v>
      </c>
    </row>
    <row r="2088" customFormat="false" ht="15" hidden="false" customHeight="false" outlineLevel="0" collapsed="false">
      <c r="B2088" s="48" t="n">
        <v>45680.0035648148</v>
      </c>
      <c r="C2088" s="4" t="n">
        <f aca="false">YEAR(B2088)</f>
        <v>2025</v>
      </c>
      <c r="D2088" s="49" t="s">
        <v>283</v>
      </c>
      <c r="E2088" s="49" t="s">
        <v>4425</v>
      </c>
      <c r="F2088" s="50" t="n">
        <v>4</v>
      </c>
      <c r="G2088" s="49" t="s">
        <v>290</v>
      </c>
      <c r="H2088" s="51" t="n">
        <v>0.0095</v>
      </c>
      <c r="I2088" s="51" t="n">
        <v>0.7908</v>
      </c>
      <c r="J2088" s="51" t="n">
        <v>0.1996</v>
      </c>
      <c r="K2088" s="49"/>
      <c r="L2088" s="49"/>
      <c r="M2088" s="49"/>
      <c r="N2088" s="49"/>
      <c r="O2088" s="49"/>
      <c r="P2088" s="49"/>
      <c r="Q2088" s="49"/>
      <c r="R2088" s="49"/>
      <c r="S2088" s="49" t="n">
        <v>0</v>
      </c>
      <c r="T2088" s="49" t="n">
        <v>0</v>
      </c>
      <c r="U2088" s="49" t="s">
        <v>4426</v>
      </c>
    </row>
    <row r="2089" customFormat="false" ht="15" hidden="false" customHeight="false" outlineLevel="0" collapsed="false">
      <c r="B2089" s="48" t="n">
        <v>45680.0150694445</v>
      </c>
      <c r="C2089" s="4" t="n">
        <f aca="false">YEAR(B2089)</f>
        <v>2025</v>
      </c>
      <c r="D2089" s="49" t="s">
        <v>283</v>
      </c>
      <c r="E2089" s="49" t="s">
        <v>4427</v>
      </c>
      <c r="F2089" s="50" t="n">
        <v>2</v>
      </c>
      <c r="G2089" s="49" t="s">
        <v>280</v>
      </c>
      <c r="H2089" s="51" t="n">
        <v>0.5078</v>
      </c>
      <c r="I2089" s="51" t="n">
        <v>0.4691</v>
      </c>
      <c r="J2089" s="51" t="n">
        <v>0.0231</v>
      </c>
      <c r="K2089" s="49"/>
      <c r="L2089" s="49"/>
      <c r="M2089" s="49"/>
      <c r="N2089" s="49"/>
      <c r="O2089" s="49"/>
      <c r="P2089" s="49"/>
      <c r="Q2089" s="49"/>
      <c r="R2089" s="49"/>
      <c r="S2089" s="49" t="n">
        <v>0</v>
      </c>
      <c r="T2089" s="49" t="n">
        <v>0</v>
      </c>
      <c r="U2089" s="49" t="s">
        <v>4428</v>
      </c>
    </row>
    <row r="2090" customFormat="false" ht="15" hidden="false" customHeight="false" outlineLevel="0" collapsed="false">
      <c r="B2090" s="48" t="n">
        <v>45680.4287268519</v>
      </c>
      <c r="C2090" s="4" t="n">
        <f aca="false">YEAR(B2090)</f>
        <v>2025</v>
      </c>
      <c r="D2090" s="49" t="s">
        <v>283</v>
      </c>
      <c r="E2090" s="49" t="s">
        <v>4429</v>
      </c>
      <c r="F2090" s="50" t="n">
        <v>1</v>
      </c>
      <c r="G2090" s="49" t="s">
        <v>290</v>
      </c>
      <c r="H2090" s="51" t="n">
        <v>0.0076</v>
      </c>
      <c r="I2090" s="51" t="n">
        <v>0.9383</v>
      </c>
      <c r="J2090" s="51" t="n">
        <v>0.0541</v>
      </c>
      <c r="K2090" s="49"/>
      <c r="L2090" s="49"/>
      <c r="M2090" s="49"/>
      <c r="N2090" s="49"/>
      <c r="O2090" s="49"/>
      <c r="P2090" s="49"/>
      <c r="Q2090" s="49"/>
      <c r="R2090" s="49"/>
      <c r="S2090" s="49" t="n">
        <v>1</v>
      </c>
      <c r="T2090" s="49" t="n">
        <v>0</v>
      </c>
      <c r="U2090" s="49" t="s">
        <v>4430</v>
      </c>
    </row>
    <row r="2091" customFormat="false" ht="15" hidden="false" customHeight="false" outlineLevel="0" collapsed="false">
      <c r="B2091" s="48" t="n">
        <v>45680.9444907407</v>
      </c>
      <c r="C2091" s="4" t="n">
        <f aca="false">YEAR(B2091)</f>
        <v>2025</v>
      </c>
      <c r="D2091" s="49" t="s">
        <v>283</v>
      </c>
      <c r="E2091" s="49" t="s">
        <v>4431</v>
      </c>
      <c r="F2091" s="50" t="n">
        <v>3</v>
      </c>
      <c r="G2091" s="49" t="s">
        <v>287</v>
      </c>
      <c r="H2091" s="51" t="n">
        <v>0.0102</v>
      </c>
      <c r="I2091" s="51" t="n">
        <v>0.3441</v>
      </c>
      <c r="J2091" s="51" t="n">
        <v>0.6456</v>
      </c>
      <c r="K2091" s="49"/>
      <c r="L2091" s="49"/>
      <c r="M2091" s="49"/>
      <c r="N2091" s="49"/>
      <c r="O2091" s="49"/>
      <c r="P2091" s="49"/>
      <c r="Q2091" s="49"/>
      <c r="R2091" s="49"/>
      <c r="S2091" s="49" t="n">
        <v>0</v>
      </c>
      <c r="T2091" s="49" t="n">
        <v>0</v>
      </c>
      <c r="U2091" s="49" t="s">
        <v>4432</v>
      </c>
    </row>
    <row r="2092" customFormat="false" ht="15" hidden="false" customHeight="false" outlineLevel="0" collapsed="false">
      <c r="B2092" s="48" t="n">
        <v>45681.2639583333</v>
      </c>
      <c r="C2092" s="4" t="n">
        <f aca="false">YEAR(B2092)</f>
        <v>2025</v>
      </c>
      <c r="D2092" s="49" t="s">
        <v>283</v>
      </c>
      <c r="E2092" s="49" t="s">
        <v>4433</v>
      </c>
      <c r="F2092" s="50" t="n">
        <v>2</v>
      </c>
      <c r="G2092" s="49" t="s">
        <v>287</v>
      </c>
      <c r="H2092" s="51" t="n">
        <v>0.0055</v>
      </c>
      <c r="I2092" s="51" t="n">
        <v>0.1434</v>
      </c>
      <c r="J2092" s="51" t="n">
        <v>0.8511</v>
      </c>
      <c r="K2092" s="49"/>
      <c r="L2092" s="49"/>
      <c r="M2092" s="49"/>
      <c r="N2092" s="49"/>
      <c r="O2092" s="49"/>
      <c r="P2092" s="49"/>
      <c r="Q2092" s="49"/>
      <c r="R2092" s="49"/>
      <c r="S2092" s="49" t="n">
        <v>0</v>
      </c>
      <c r="T2092" s="49" t="n">
        <v>0</v>
      </c>
      <c r="U2092" s="49" t="s">
        <v>4434</v>
      </c>
    </row>
    <row r="2093" customFormat="false" ht="15" hidden="false" customHeight="false" outlineLevel="0" collapsed="false">
      <c r="B2093" s="48" t="n">
        <v>45681.7829513889</v>
      </c>
      <c r="C2093" s="4" t="n">
        <f aca="false">YEAR(B2093)</f>
        <v>2025</v>
      </c>
      <c r="D2093" s="49" t="s">
        <v>278</v>
      </c>
      <c r="E2093" s="49" t="s">
        <v>4435</v>
      </c>
      <c r="F2093" s="50" t="n">
        <v>6</v>
      </c>
      <c r="G2093" s="49" t="s">
        <v>290</v>
      </c>
      <c r="H2093" s="51" t="n">
        <v>0.0088</v>
      </c>
      <c r="I2093" s="51" t="n">
        <v>0.9267</v>
      </c>
      <c r="J2093" s="51" t="n">
        <v>0.0645</v>
      </c>
      <c r="K2093" s="49"/>
      <c r="L2093" s="49"/>
      <c r="M2093" s="49"/>
      <c r="N2093" s="49"/>
      <c r="O2093" s="49"/>
      <c r="P2093" s="49"/>
      <c r="Q2093" s="49"/>
      <c r="R2093" s="49" t="s">
        <v>281</v>
      </c>
      <c r="S2093" s="49" t="n">
        <v>0</v>
      </c>
      <c r="T2093" s="49" t="n">
        <v>0</v>
      </c>
      <c r="U2093" s="49" t="s">
        <v>4436</v>
      </c>
    </row>
    <row r="2094" customFormat="false" ht="15" hidden="false" customHeight="false" outlineLevel="0" collapsed="false">
      <c r="B2094" s="48" t="n">
        <v>45681.8986805556</v>
      </c>
      <c r="C2094" s="4" t="n">
        <f aca="false">YEAR(B2094)</f>
        <v>2025</v>
      </c>
      <c r="D2094" s="49" t="s">
        <v>283</v>
      </c>
      <c r="E2094" s="49" t="s">
        <v>4437</v>
      </c>
      <c r="F2094" s="50" t="n">
        <v>1</v>
      </c>
      <c r="G2094" s="49" t="s">
        <v>287</v>
      </c>
      <c r="H2094" s="51" t="n">
        <v>0.0605</v>
      </c>
      <c r="I2094" s="51" t="n">
        <v>0.239</v>
      </c>
      <c r="J2094" s="51" t="n">
        <v>0.7005</v>
      </c>
      <c r="K2094" s="49"/>
      <c r="L2094" s="49"/>
      <c r="M2094" s="49"/>
      <c r="N2094" s="49"/>
      <c r="O2094" s="49"/>
      <c r="P2094" s="49"/>
      <c r="Q2094" s="49"/>
      <c r="R2094" s="49"/>
      <c r="S2094" s="49" t="n">
        <v>0</v>
      </c>
      <c r="T2094" s="49" t="n">
        <v>0</v>
      </c>
      <c r="U2094" s="49" t="s">
        <v>4438</v>
      </c>
    </row>
    <row r="2095" customFormat="false" ht="15" hidden="false" customHeight="false" outlineLevel="0" collapsed="false">
      <c r="B2095" s="48" t="n">
        <v>45682.0950925926</v>
      </c>
      <c r="C2095" s="4" t="n">
        <f aca="false">YEAR(B2095)</f>
        <v>2025</v>
      </c>
      <c r="D2095" s="49" t="s">
        <v>278</v>
      </c>
      <c r="E2095" s="49" t="s">
        <v>4439</v>
      </c>
      <c r="F2095" s="50" t="n">
        <v>1</v>
      </c>
      <c r="G2095" s="49" t="s">
        <v>287</v>
      </c>
      <c r="H2095" s="51" t="n">
        <v>0.0296</v>
      </c>
      <c r="I2095" s="51" t="n">
        <v>0.3028</v>
      </c>
      <c r="J2095" s="51" t="n">
        <v>0.6676</v>
      </c>
      <c r="K2095" s="49"/>
      <c r="L2095" s="49"/>
      <c r="M2095" s="49"/>
      <c r="N2095" s="49"/>
      <c r="O2095" s="49"/>
      <c r="P2095" s="49"/>
      <c r="Q2095" s="49"/>
      <c r="R2095" s="49"/>
      <c r="S2095" s="49" t="n">
        <v>0</v>
      </c>
      <c r="T2095" s="49" t="n">
        <v>0</v>
      </c>
      <c r="U2095" s="49" t="s">
        <v>4440</v>
      </c>
    </row>
    <row r="2096" customFormat="false" ht="15" hidden="false" customHeight="false" outlineLevel="0" collapsed="false">
      <c r="B2096" s="48" t="n">
        <v>45682.5989236111</v>
      </c>
      <c r="C2096" s="4" t="n">
        <f aca="false">YEAR(B2096)</f>
        <v>2025</v>
      </c>
      <c r="D2096" s="49" t="s">
        <v>283</v>
      </c>
      <c r="E2096" s="49" t="s">
        <v>4441</v>
      </c>
      <c r="F2096" s="50" t="n">
        <v>2</v>
      </c>
      <c r="G2096" s="49" t="s">
        <v>287</v>
      </c>
      <c r="H2096" s="51" t="n">
        <v>0.0053</v>
      </c>
      <c r="I2096" s="51" t="n">
        <v>0.1071</v>
      </c>
      <c r="J2096" s="51" t="n">
        <v>0.8876</v>
      </c>
      <c r="K2096" s="49"/>
      <c r="L2096" s="49"/>
      <c r="M2096" s="49"/>
      <c r="N2096" s="49"/>
      <c r="O2096" s="49"/>
      <c r="P2096" s="49"/>
      <c r="Q2096" s="49"/>
      <c r="R2096" s="49"/>
      <c r="S2096" s="49" t="n">
        <v>0</v>
      </c>
      <c r="T2096" s="49" t="n">
        <v>0</v>
      </c>
      <c r="U2096" s="49" t="s">
        <v>4442</v>
      </c>
    </row>
    <row r="2097" customFormat="false" ht="15" hidden="false" customHeight="false" outlineLevel="0" collapsed="false">
      <c r="B2097" s="48" t="n">
        <v>45682.6691203704</v>
      </c>
      <c r="C2097" s="4" t="n">
        <f aca="false">YEAR(B2097)</f>
        <v>2025</v>
      </c>
      <c r="D2097" s="49" t="s">
        <v>278</v>
      </c>
      <c r="E2097" s="49" t="s">
        <v>4443</v>
      </c>
      <c r="F2097" s="50" t="n">
        <v>11</v>
      </c>
      <c r="G2097" s="49" t="s">
        <v>290</v>
      </c>
      <c r="H2097" s="51" t="n">
        <v>0.0225</v>
      </c>
      <c r="I2097" s="51" t="n">
        <v>0.9119</v>
      </c>
      <c r="J2097" s="51" t="n">
        <v>0.0656</v>
      </c>
      <c r="K2097" s="49"/>
      <c r="L2097" s="49"/>
      <c r="M2097" s="49"/>
      <c r="N2097" s="49"/>
      <c r="O2097" s="49"/>
      <c r="P2097" s="49"/>
      <c r="Q2097" s="49" t="s">
        <v>281</v>
      </c>
      <c r="R2097" s="49"/>
      <c r="S2097" s="49" t="n">
        <v>0</v>
      </c>
      <c r="T2097" s="49" t="n">
        <v>0</v>
      </c>
      <c r="U2097" s="49" t="s">
        <v>4444</v>
      </c>
    </row>
    <row r="2098" customFormat="false" ht="15" hidden="false" customHeight="false" outlineLevel="0" collapsed="false">
      <c r="B2098" s="48" t="n">
        <v>45682.7700578704</v>
      </c>
      <c r="C2098" s="4" t="n">
        <f aca="false">YEAR(B2098)</f>
        <v>2025</v>
      </c>
      <c r="D2098" s="49" t="s">
        <v>278</v>
      </c>
      <c r="E2098" s="49" t="s">
        <v>4445</v>
      </c>
      <c r="F2098" s="50" t="n">
        <v>0</v>
      </c>
      <c r="G2098" s="49" t="s">
        <v>280</v>
      </c>
      <c r="H2098" s="51" t="n">
        <v>0.8018</v>
      </c>
      <c r="I2098" s="51" t="n">
        <v>0.1874</v>
      </c>
      <c r="J2098" s="51" t="n">
        <v>0.0109</v>
      </c>
      <c r="K2098" s="49"/>
      <c r="L2098" s="49"/>
      <c r="M2098" s="49"/>
      <c r="N2098" s="49"/>
      <c r="O2098" s="49"/>
      <c r="P2098" s="49"/>
      <c r="Q2098" s="49"/>
      <c r="R2098" s="49"/>
      <c r="S2098" s="49" t="n">
        <v>0</v>
      </c>
      <c r="T2098" s="49" t="n">
        <v>0</v>
      </c>
      <c r="U2098" s="49" t="s">
        <v>4446</v>
      </c>
    </row>
    <row r="2099" customFormat="false" ht="15" hidden="false" customHeight="false" outlineLevel="0" collapsed="false">
      <c r="B2099" s="48" t="n">
        <v>45683.5759143519</v>
      </c>
      <c r="C2099" s="4" t="n">
        <f aca="false">YEAR(B2099)</f>
        <v>2025</v>
      </c>
      <c r="D2099" s="49" t="s">
        <v>283</v>
      </c>
      <c r="E2099" s="49" t="s">
        <v>4447</v>
      </c>
      <c r="F2099" s="50" t="n">
        <v>2</v>
      </c>
      <c r="G2099" s="49" t="s">
        <v>290</v>
      </c>
      <c r="H2099" s="51" t="n">
        <v>0.3727</v>
      </c>
      <c r="I2099" s="51" t="n">
        <v>0.5927</v>
      </c>
      <c r="J2099" s="51" t="n">
        <v>0.0347</v>
      </c>
      <c r="K2099" s="49"/>
      <c r="L2099" s="49"/>
      <c r="M2099" s="49"/>
      <c r="N2099" s="49"/>
      <c r="O2099" s="49"/>
      <c r="P2099" s="49"/>
      <c r="Q2099" s="49"/>
      <c r="R2099" s="49"/>
      <c r="S2099" s="49" t="n">
        <v>0</v>
      </c>
      <c r="T2099" s="49" t="n">
        <v>0</v>
      </c>
      <c r="U2099" s="49" t="s">
        <v>4448</v>
      </c>
    </row>
    <row r="2100" customFormat="false" ht="15" hidden="false" customHeight="false" outlineLevel="0" collapsed="false">
      <c r="B2100" s="48" t="n">
        <v>45683.8172916667</v>
      </c>
      <c r="C2100" s="4" t="n">
        <f aca="false">YEAR(B2100)</f>
        <v>2025</v>
      </c>
      <c r="D2100" s="49" t="s">
        <v>283</v>
      </c>
      <c r="E2100" s="49" t="s">
        <v>4449</v>
      </c>
      <c r="F2100" s="50" t="n">
        <v>2</v>
      </c>
      <c r="G2100" s="49" t="s">
        <v>287</v>
      </c>
      <c r="H2100" s="51" t="n">
        <v>0.0024</v>
      </c>
      <c r="I2100" s="51" t="n">
        <v>0.0742</v>
      </c>
      <c r="J2100" s="51" t="n">
        <v>0.9233</v>
      </c>
      <c r="K2100" s="49"/>
      <c r="L2100" s="49"/>
      <c r="M2100" s="49"/>
      <c r="N2100" s="49"/>
      <c r="O2100" s="49"/>
      <c r="P2100" s="49"/>
      <c r="Q2100" s="49"/>
      <c r="R2100" s="49"/>
      <c r="S2100" s="49" t="n">
        <v>0</v>
      </c>
      <c r="T2100" s="49" t="n">
        <v>0</v>
      </c>
      <c r="U2100" s="49" t="s">
        <v>4450</v>
      </c>
    </row>
    <row r="2101" customFormat="false" ht="15" hidden="false" customHeight="false" outlineLevel="0" collapsed="false">
      <c r="B2101" s="48" t="n">
        <v>45684.1256828704</v>
      </c>
      <c r="C2101" s="4" t="n">
        <f aca="false">YEAR(B2101)</f>
        <v>2025</v>
      </c>
      <c r="D2101" s="49" t="s">
        <v>283</v>
      </c>
      <c r="E2101" s="49" t="s">
        <v>4451</v>
      </c>
      <c r="F2101" s="50" t="n">
        <v>1</v>
      </c>
      <c r="G2101" s="49" t="s">
        <v>280</v>
      </c>
      <c r="H2101" s="51" t="n">
        <v>0.7775</v>
      </c>
      <c r="I2101" s="51" t="n">
        <v>0.2099</v>
      </c>
      <c r="J2101" s="51" t="n">
        <v>0.0125</v>
      </c>
      <c r="K2101" s="49"/>
      <c r="L2101" s="49"/>
      <c r="M2101" s="49"/>
      <c r="N2101" s="49"/>
      <c r="O2101" s="49"/>
      <c r="P2101" s="49"/>
      <c r="Q2101" s="49"/>
      <c r="R2101" s="49" t="s">
        <v>281</v>
      </c>
      <c r="S2101" s="49" t="n">
        <v>1</v>
      </c>
      <c r="T2101" s="49" t="n">
        <v>0</v>
      </c>
      <c r="U2101" s="49" t="s">
        <v>4452</v>
      </c>
    </row>
    <row r="2102" customFormat="false" ht="15" hidden="false" customHeight="false" outlineLevel="0" collapsed="false">
      <c r="B2102" s="48" t="n">
        <v>45684.1402083333</v>
      </c>
      <c r="C2102" s="4" t="n">
        <f aca="false">YEAR(B2102)</f>
        <v>2025</v>
      </c>
      <c r="D2102" s="49" t="s">
        <v>283</v>
      </c>
      <c r="E2102" s="49" t="s">
        <v>4453</v>
      </c>
      <c r="F2102" s="50" t="n">
        <v>1</v>
      </c>
      <c r="G2102" s="49" t="s">
        <v>290</v>
      </c>
      <c r="H2102" s="51" t="n">
        <v>0.0118</v>
      </c>
      <c r="I2102" s="51" t="n">
        <v>0.7682</v>
      </c>
      <c r="J2102" s="51" t="n">
        <v>0.22</v>
      </c>
      <c r="K2102" s="49"/>
      <c r="L2102" s="49"/>
      <c r="M2102" s="49"/>
      <c r="N2102" s="49"/>
      <c r="O2102" s="49"/>
      <c r="P2102" s="49"/>
      <c r="Q2102" s="49"/>
      <c r="R2102" s="49"/>
      <c r="S2102" s="49" t="n">
        <v>1</v>
      </c>
      <c r="T2102" s="49" t="n">
        <v>0</v>
      </c>
      <c r="U2102" s="49" t="s">
        <v>4454</v>
      </c>
    </row>
    <row r="2103" customFormat="false" ht="15" hidden="false" customHeight="false" outlineLevel="0" collapsed="false">
      <c r="B2103" s="48" t="n">
        <v>45684.318125</v>
      </c>
      <c r="C2103" s="4" t="n">
        <f aca="false">YEAR(B2103)</f>
        <v>2025</v>
      </c>
      <c r="D2103" s="49" t="s">
        <v>283</v>
      </c>
      <c r="E2103" s="49" t="s">
        <v>4455</v>
      </c>
      <c r="F2103" s="50" t="n">
        <v>19</v>
      </c>
      <c r="G2103" s="49" t="s">
        <v>287</v>
      </c>
      <c r="H2103" s="51" t="n">
        <v>0.0062</v>
      </c>
      <c r="I2103" s="51" t="n">
        <v>0.4776</v>
      </c>
      <c r="J2103" s="51" t="n">
        <v>0.5161</v>
      </c>
      <c r="K2103" s="49"/>
      <c r="L2103" s="49"/>
      <c r="M2103" s="49"/>
      <c r="N2103" s="49"/>
      <c r="O2103" s="49"/>
      <c r="P2103" s="49"/>
      <c r="Q2103" s="49"/>
      <c r="R2103" s="49"/>
      <c r="S2103" s="49" t="n">
        <v>0</v>
      </c>
      <c r="T2103" s="49" t="n">
        <v>0</v>
      </c>
      <c r="U2103" s="49" t="s">
        <v>4456</v>
      </c>
    </row>
    <row r="2104" customFormat="false" ht="15" hidden="false" customHeight="false" outlineLevel="0" collapsed="false">
      <c r="B2104" s="48" t="n">
        <v>45684.8119097222</v>
      </c>
      <c r="C2104" s="4" t="n">
        <f aca="false">YEAR(B2104)</f>
        <v>2025</v>
      </c>
      <c r="D2104" s="49" t="s">
        <v>283</v>
      </c>
      <c r="E2104" s="49" t="s">
        <v>4457</v>
      </c>
      <c r="F2104" s="50" t="n">
        <v>9</v>
      </c>
      <c r="G2104" s="49" t="s">
        <v>280</v>
      </c>
      <c r="H2104" s="51" t="n">
        <v>0.7434</v>
      </c>
      <c r="I2104" s="51" t="n">
        <v>0.2291</v>
      </c>
      <c r="J2104" s="51" t="n">
        <v>0.0274</v>
      </c>
      <c r="K2104" s="49" t="s">
        <v>281</v>
      </c>
      <c r="L2104" s="49"/>
      <c r="M2104" s="49"/>
      <c r="N2104" s="49"/>
      <c r="O2104" s="49"/>
      <c r="P2104" s="49"/>
      <c r="Q2104" s="49"/>
      <c r="R2104" s="49"/>
      <c r="S2104" s="49" t="n">
        <v>0</v>
      </c>
      <c r="T2104" s="49" t="n">
        <v>0</v>
      </c>
      <c r="U2104" s="49" t="s">
        <v>4458</v>
      </c>
    </row>
    <row r="2105" customFormat="false" ht="15" hidden="false" customHeight="false" outlineLevel="0" collapsed="false">
      <c r="B2105" s="48" t="n">
        <v>45685.1734606482</v>
      </c>
      <c r="C2105" s="4" t="n">
        <f aca="false">YEAR(B2105)</f>
        <v>2025</v>
      </c>
      <c r="D2105" s="49" t="s">
        <v>283</v>
      </c>
      <c r="E2105" s="49" t="s">
        <v>4459</v>
      </c>
      <c r="F2105" s="50" t="n">
        <v>1</v>
      </c>
      <c r="G2105" s="49" t="s">
        <v>280</v>
      </c>
      <c r="H2105" s="51" t="n">
        <v>0.7583</v>
      </c>
      <c r="I2105" s="51" t="n">
        <v>0.2217</v>
      </c>
      <c r="J2105" s="51" t="n">
        <v>0.02</v>
      </c>
      <c r="K2105" s="49"/>
      <c r="L2105" s="49"/>
      <c r="M2105" s="49"/>
      <c r="N2105" s="49"/>
      <c r="O2105" s="49"/>
      <c r="P2105" s="49"/>
      <c r="Q2105" s="49"/>
      <c r="R2105" s="49"/>
      <c r="S2105" s="49" t="n">
        <v>0</v>
      </c>
      <c r="T2105" s="49" t="n">
        <v>0</v>
      </c>
      <c r="U2105" s="49" t="s">
        <v>4460</v>
      </c>
    </row>
    <row r="2106" customFormat="false" ht="15" hidden="false" customHeight="false" outlineLevel="0" collapsed="false">
      <c r="B2106" s="48" t="n">
        <v>45685.2084143519</v>
      </c>
      <c r="C2106" s="4" t="n">
        <f aca="false">YEAR(B2106)</f>
        <v>2025</v>
      </c>
      <c r="D2106" s="49" t="s">
        <v>283</v>
      </c>
      <c r="E2106" s="49" t="s">
        <v>4461</v>
      </c>
      <c r="F2106" s="50" t="n">
        <v>2</v>
      </c>
      <c r="G2106" s="49" t="s">
        <v>290</v>
      </c>
      <c r="H2106" s="51" t="n">
        <v>0.0709</v>
      </c>
      <c r="I2106" s="51" t="n">
        <v>0.7703</v>
      </c>
      <c r="J2106" s="51" t="n">
        <v>0.1589</v>
      </c>
      <c r="K2106" s="49"/>
      <c r="L2106" s="49"/>
      <c r="M2106" s="49"/>
      <c r="N2106" s="49"/>
      <c r="O2106" s="49"/>
      <c r="P2106" s="49"/>
      <c r="Q2106" s="49"/>
      <c r="R2106" s="49"/>
      <c r="S2106" s="49" t="n">
        <v>0</v>
      </c>
      <c r="T2106" s="49" t="n">
        <v>0</v>
      </c>
      <c r="U2106" s="49" t="s">
        <v>4462</v>
      </c>
    </row>
    <row r="2107" customFormat="false" ht="15" hidden="false" customHeight="false" outlineLevel="0" collapsed="false">
      <c r="B2107" s="48" t="n">
        <v>45685.3931134259</v>
      </c>
      <c r="C2107" s="4" t="n">
        <f aca="false">YEAR(B2107)</f>
        <v>2025</v>
      </c>
      <c r="D2107" s="49" t="s">
        <v>283</v>
      </c>
      <c r="E2107" s="49" t="s">
        <v>4463</v>
      </c>
      <c r="F2107" s="50" t="n">
        <v>2</v>
      </c>
      <c r="G2107" s="49" t="s">
        <v>287</v>
      </c>
      <c r="H2107" s="51" t="n">
        <v>0.0068</v>
      </c>
      <c r="I2107" s="51" t="n">
        <v>0.1158</v>
      </c>
      <c r="J2107" s="51" t="n">
        <v>0.8774</v>
      </c>
      <c r="K2107" s="49"/>
      <c r="L2107" s="49"/>
      <c r="M2107" s="49"/>
      <c r="N2107" s="49"/>
      <c r="O2107" s="49"/>
      <c r="P2107" s="49"/>
      <c r="Q2107" s="49"/>
      <c r="R2107" s="49"/>
      <c r="S2107" s="49" t="n">
        <v>0</v>
      </c>
      <c r="T2107" s="49" t="n">
        <v>0</v>
      </c>
      <c r="U2107" s="49" t="s">
        <v>4464</v>
      </c>
    </row>
    <row r="2108" customFormat="false" ht="15" hidden="false" customHeight="false" outlineLevel="0" collapsed="false">
      <c r="B2108" s="48" t="n">
        <v>45685.5893634259</v>
      </c>
      <c r="C2108" s="4" t="n">
        <f aca="false">YEAR(B2108)</f>
        <v>2025</v>
      </c>
      <c r="D2108" s="49" t="s">
        <v>278</v>
      </c>
      <c r="E2108" s="49" t="s">
        <v>4465</v>
      </c>
      <c r="F2108" s="50" t="n">
        <v>3</v>
      </c>
      <c r="G2108" s="49" t="s">
        <v>287</v>
      </c>
      <c r="H2108" s="51" t="n">
        <v>0.0161</v>
      </c>
      <c r="I2108" s="51" t="n">
        <v>0.1525</v>
      </c>
      <c r="J2108" s="51" t="n">
        <v>0.8314</v>
      </c>
      <c r="K2108" s="49"/>
      <c r="L2108" s="49"/>
      <c r="M2108" s="49" t="s">
        <v>281</v>
      </c>
      <c r="N2108" s="49"/>
      <c r="O2108" s="49"/>
      <c r="P2108" s="49"/>
      <c r="Q2108" s="49"/>
      <c r="R2108" s="49"/>
      <c r="S2108" s="49" t="n">
        <v>0</v>
      </c>
      <c r="T2108" s="49" t="n">
        <v>0</v>
      </c>
      <c r="U2108" s="49" t="s">
        <v>4466</v>
      </c>
    </row>
    <row r="2109" customFormat="false" ht="15" hidden="false" customHeight="false" outlineLevel="0" collapsed="false">
      <c r="B2109" s="48" t="n">
        <v>45685.6943634259</v>
      </c>
      <c r="C2109" s="4" t="n">
        <f aca="false">YEAR(B2109)</f>
        <v>2025</v>
      </c>
      <c r="D2109" s="49" t="s">
        <v>283</v>
      </c>
      <c r="E2109" s="49" t="s">
        <v>4467</v>
      </c>
      <c r="F2109" s="50" t="n">
        <v>7</v>
      </c>
      <c r="G2109" s="49" t="s">
        <v>280</v>
      </c>
      <c r="H2109" s="51" t="n">
        <v>0.7995</v>
      </c>
      <c r="I2109" s="51" t="n">
        <v>0.18</v>
      </c>
      <c r="J2109" s="51" t="n">
        <v>0.0205</v>
      </c>
      <c r="K2109" s="49"/>
      <c r="L2109" s="49"/>
      <c r="M2109" s="49"/>
      <c r="N2109" s="49"/>
      <c r="O2109" s="49"/>
      <c r="P2109" s="49"/>
      <c r="Q2109" s="49"/>
      <c r="R2109" s="49" t="s">
        <v>281</v>
      </c>
      <c r="S2109" s="49" t="n">
        <v>0</v>
      </c>
      <c r="T2109" s="49" t="n">
        <v>0</v>
      </c>
      <c r="U2109" s="49" t="s">
        <v>4468</v>
      </c>
    </row>
    <row r="2110" customFormat="false" ht="15" hidden="false" customHeight="false" outlineLevel="0" collapsed="false">
      <c r="B2110" s="48" t="n">
        <v>45685.8815856482</v>
      </c>
      <c r="C2110" s="4" t="n">
        <f aca="false">YEAR(B2110)</f>
        <v>2025</v>
      </c>
      <c r="D2110" s="49" t="s">
        <v>283</v>
      </c>
      <c r="E2110" s="49" t="s">
        <v>4469</v>
      </c>
      <c r="F2110" s="50" t="n">
        <v>1</v>
      </c>
      <c r="G2110" s="49" t="s">
        <v>280</v>
      </c>
      <c r="H2110" s="51" t="n">
        <v>0.7427</v>
      </c>
      <c r="I2110" s="51" t="n">
        <v>0.2365</v>
      </c>
      <c r="J2110" s="51" t="n">
        <v>0.0208</v>
      </c>
      <c r="K2110" s="49"/>
      <c r="L2110" s="49"/>
      <c r="M2110" s="49"/>
      <c r="N2110" s="49"/>
      <c r="O2110" s="49"/>
      <c r="P2110" s="49"/>
      <c r="Q2110" s="49"/>
      <c r="R2110" s="49"/>
      <c r="S2110" s="49" t="n">
        <v>0</v>
      </c>
      <c r="T2110" s="49" t="n">
        <v>0</v>
      </c>
      <c r="U2110" s="49" t="s">
        <v>4470</v>
      </c>
    </row>
    <row r="2111" customFormat="false" ht="15" hidden="false" customHeight="false" outlineLevel="0" collapsed="false">
      <c r="B2111" s="48" t="n">
        <v>45686.3597106482</v>
      </c>
      <c r="C2111" s="4" t="n">
        <f aca="false">YEAR(B2111)</f>
        <v>2025</v>
      </c>
      <c r="D2111" s="49" t="s">
        <v>283</v>
      </c>
      <c r="E2111" s="49" t="s">
        <v>4471</v>
      </c>
      <c r="F2111" s="50" t="n">
        <v>16</v>
      </c>
      <c r="G2111" s="49" t="s">
        <v>287</v>
      </c>
      <c r="H2111" s="51" t="n">
        <v>0.0125</v>
      </c>
      <c r="I2111" s="51" t="n">
        <v>0.2061</v>
      </c>
      <c r="J2111" s="51" t="n">
        <v>0.7814</v>
      </c>
      <c r="K2111" s="49"/>
      <c r="L2111" s="49"/>
      <c r="M2111" s="49"/>
      <c r="N2111" s="49"/>
      <c r="O2111" s="49"/>
      <c r="P2111" s="49"/>
      <c r="Q2111" s="49"/>
      <c r="R2111" s="49"/>
      <c r="S2111" s="49" t="n">
        <v>0</v>
      </c>
      <c r="T2111" s="49" t="n">
        <v>0</v>
      </c>
      <c r="U2111" s="49" t="s">
        <v>4472</v>
      </c>
    </row>
    <row r="2112" customFormat="false" ht="15" hidden="false" customHeight="false" outlineLevel="0" collapsed="false">
      <c r="B2112" s="48" t="n">
        <v>45686.7074421296</v>
      </c>
      <c r="C2112" s="4" t="n">
        <f aca="false">YEAR(B2112)</f>
        <v>2025</v>
      </c>
      <c r="D2112" s="49" t="s">
        <v>278</v>
      </c>
      <c r="E2112" s="49" t="s">
        <v>4473</v>
      </c>
      <c r="F2112" s="50" t="n">
        <v>2</v>
      </c>
      <c r="G2112" s="49" t="s">
        <v>290</v>
      </c>
      <c r="H2112" s="51" t="n">
        <v>0.3957</v>
      </c>
      <c r="I2112" s="51" t="n">
        <v>0.5844</v>
      </c>
      <c r="J2112" s="51" t="n">
        <v>0.0199</v>
      </c>
      <c r="K2112" s="49"/>
      <c r="L2112" s="49"/>
      <c r="M2112" s="49"/>
      <c r="N2112" s="49"/>
      <c r="O2112" s="49"/>
      <c r="P2112" s="49"/>
      <c r="Q2112" s="49"/>
      <c r="R2112" s="49" t="s">
        <v>281</v>
      </c>
      <c r="S2112" s="49" t="n">
        <v>0</v>
      </c>
      <c r="T2112" s="49" t="n">
        <v>0</v>
      </c>
      <c r="U2112" s="49" t="s">
        <v>4474</v>
      </c>
    </row>
    <row r="2113" customFormat="false" ht="15" hidden="false" customHeight="false" outlineLevel="0" collapsed="false">
      <c r="B2113" s="48" t="n">
        <v>45686.8186921296</v>
      </c>
      <c r="C2113" s="4" t="n">
        <f aca="false">YEAR(B2113)</f>
        <v>2025</v>
      </c>
      <c r="D2113" s="49" t="s">
        <v>283</v>
      </c>
      <c r="E2113" s="49" t="s">
        <v>4475</v>
      </c>
      <c r="F2113" s="50" t="n">
        <v>1</v>
      </c>
      <c r="G2113" s="49" t="s">
        <v>287</v>
      </c>
      <c r="H2113" s="51" t="n">
        <v>0.0065</v>
      </c>
      <c r="I2113" s="51" t="n">
        <v>0.3102</v>
      </c>
      <c r="J2113" s="51" t="n">
        <v>0.6833</v>
      </c>
      <c r="K2113" s="49"/>
      <c r="L2113" s="49"/>
      <c r="M2113" s="49"/>
      <c r="N2113" s="49"/>
      <c r="O2113" s="49"/>
      <c r="P2113" s="49"/>
      <c r="Q2113" s="49"/>
      <c r="R2113" s="49"/>
      <c r="S2113" s="49" t="n">
        <v>0</v>
      </c>
      <c r="T2113" s="49" t="n">
        <v>0</v>
      </c>
      <c r="U2113" s="49" t="s">
        <v>4476</v>
      </c>
    </row>
    <row r="2114" customFormat="false" ht="15" hidden="false" customHeight="false" outlineLevel="0" collapsed="false">
      <c r="B2114" s="48" t="n">
        <v>45687.0128819444</v>
      </c>
      <c r="C2114" s="4" t="n">
        <f aca="false">YEAR(B2114)</f>
        <v>2025</v>
      </c>
      <c r="D2114" s="49" t="s">
        <v>283</v>
      </c>
      <c r="E2114" s="49" t="s">
        <v>4477</v>
      </c>
      <c r="F2114" s="50" t="n">
        <v>41</v>
      </c>
      <c r="G2114" s="49" t="s">
        <v>280</v>
      </c>
      <c r="H2114" s="51" t="n">
        <v>0.5925</v>
      </c>
      <c r="I2114" s="51" t="n">
        <v>0.2755</v>
      </c>
      <c r="J2114" s="51" t="n">
        <v>0.132</v>
      </c>
      <c r="K2114" s="49"/>
      <c r="L2114" s="49"/>
      <c r="M2114" s="49"/>
      <c r="N2114" s="49"/>
      <c r="O2114" s="49"/>
      <c r="P2114" s="49"/>
      <c r="Q2114" s="49"/>
      <c r="R2114" s="49" t="s">
        <v>281</v>
      </c>
      <c r="S2114" s="49" t="n">
        <v>0</v>
      </c>
      <c r="T2114" s="49" t="n">
        <v>0</v>
      </c>
      <c r="U2114" s="49" t="s">
        <v>4478</v>
      </c>
    </row>
    <row r="2115" customFormat="false" ht="15" hidden="false" customHeight="false" outlineLevel="0" collapsed="false">
      <c r="B2115" s="48" t="n">
        <v>45687.6690972222</v>
      </c>
      <c r="C2115" s="4" t="n">
        <f aca="false">YEAR(B2115)</f>
        <v>2025</v>
      </c>
      <c r="D2115" s="49" t="s">
        <v>283</v>
      </c>
      <c r="E2115" s="49" t="s">
        <v>4479</v>
      </c>
      <c r="F2115" s="50" t="n">
        <v>1</v>
      </c>
      <c r="G2115" s="49" t="s">
        <v>280</v>
      </c>
      <c r="H2115" s="51" t="n">
        <v>0.5985</v>
      </c>
      <c r="I2115" s="51" t="n">
        <v>0.3808</v>
      </c>
      <c r="J2115" s="51" t="n">
        <v>0.0207</v>
      </c>
      <c r="K2115" s="49"/>
      <c r="L2115" s="49"/>
      <c r="M2115" s="49"/>
      <c r="N2115" s="49"/>
      <c r="O2115" s="49"/>
      <c r="P2115" s="49"/>
      <c r="Q2115" s="49"/>
      <c r="R2115" s="49" t="s">
        <v>281</v>
      </c>
      <c r="S2115" s="49" t="n">
        <v>0</v>
      </c>
      <c r="T2115" s="49" t="n">
        <v>0</v>
      </c>
      <c r="U2115" s="49" t="s">
        <v>4480</v>
      </c>
    </row>
    <row r="2116" customFormat="false" ht="15" hidden="false" customHeight="false" outlineLevel="0" collapsed="false">
      <c r="B2116" s="48" t="n">
        <v>45687.7969560185</v>
      </c>
      <c r="C2116" s="4" t="n">
        <f aca="false">YEAR(B2116)</f>
        <v>2025</v>
      </c>
      <c r="D2116" s="49" t="s">
        <v>283</v>
      </c>
      <c r="E2116" s="49" t="s">
        <v>4481</v>
      </c>
      <c r="F2116" s="50" t="n">
        <v>1</v>
      </c>
      <c r="G2116" s="49" t="s">
        <v>290</v>
      </c>
      <c r="H2116" s="51" t="n">
        <v>0.4034</v>
      </c>
      <c r="I2116" s="51" t="n">
        <v>0.5619</v>
      </c>
      <c r="J2116" s="51" t="n">
        <v>0.0347</v>
      </c>
      <c r="K2116" s="49"/>
      <c r="L2116" s="49"/>
      <c r="M2116" s="49"/>
      <c r="N2116" s="49"/>
      <c r="O2116" s="49"/>
      <c r="P2116" s="49"/>
      <c r="Q2116" s="49" t="s">
        <v>281</v>
      </c>
      <c r="R2116" s="49"/>
      <c r="S2116" s="49" t="n">
        <v>0</v>
      </c>
      <c r="T2116" s="49" t="n">
        <v>0</v>
      </c>
      <c r="U2116" s="49" t="s">
        <v>4482</v>
      </c>
    </row>
    <row r="2117" customFormat="false" ht="15" hidden="false" customHeight="false" outlineLevel="0" collapsed="false">
      <c r="B2117" s="48" t="n">
        <v>45688.0183796296</v>
      </c>
      <c r="C2117" s="4" t="n">
        <f aca="false">YEAR(B2117)</f>
        <v>2025</v>
      </c>
      <c r="D2117" s="49" t="s">
        <v>283</v>
      </c>
      <c r="E2117" s="49" t="s">
        <v>4483</v>
      </c>
      <c r="F2117" s="50" t="n">
        <v>1</v>
      </c>
      <c r="G2117" s="49" t="s">
        <v>287</v>
      </c>
      <c r="H2117" s="51" t="n">
        <v>0.011</v>
      </c>
      <c r="I2117" s="51" t="n">
        <v>0.3625</v>
      </c>
      <c r="J2117" s="51" t="n">
        <v>0.6265</v>
      </c>
      <c r="K2117" s="49"/>
      <c r="L2117" s="49"/>
      <c r="M2117" s="49"/>
      <c r="N2117" s="49"/>
      <c r="O2117" s="49"/>
      <c r="P2117" s="49"/>
      <c r="Q2117" s="49"/>
      <c r="R2117" s="49"/>
      <c r="S2117" s="49" t="n">
        <v>0</v>
      </c>
      <c r="T2117" s="49" t="n">
        <v>0</v>
      </c>
      <c r="U2117" s="49" t="s">
        <v>4484</v>
      </c>
    </row>
    <row r="2118" customFormat="false" ht="15" hidden="false" customHeight="false" outlineLevel="0" collapsed="false">
      <c r="B2118" s="48" t="n">
        <v>45688.0381828704</v>
      </c>
      <c r="C2118" s="4" t="n">
        <f aca="false">YEAR(B2118)</f>
        <v>2025</v>
      </c>
      <c r="D2118" s="49" t="s">
        <v>283</v>
      </c>
      <c r="E2118" s="49" t="s">
        <v>4485</v>
      </c>
      <c r="F2118" s="50" t="n">
        <v>1</v>
      </c>
      <c r="G2118" s="49" t="s">
        <v>290</v>
      </c>
      <c r="H2118" s="51" t="n">
        <v>0.1426</v>
      </c>
      <c r="I2118" s="51" t="n">
        <v>0.8042</v>
      </c>
      <c r="J2118" s="51" t="n">
        <v>0.0532</v>
      </c>
      <c r="K2118" s="49"/>
      <c r="L2118" s="49"/>
      <c r="M2118" s="49"/>
      <c r="N2118" s="49"/>
      <c r="O2118" s="49"/>
      <c r="P2118" s="49"/>
      <c r="Q2118" s="49"/>
      <c r="R2118" s="49"/>
      <c r="S2118" s="49" t="n">
        <v>1</v>
      </c>
      <c r="T2118" s="49" t="n">
        <v>0</v>
      </c>
      <c r="U2118" s="49" t="s">
        <v>4486</v>
      </c>
    </row>
    <row r="2119" customFormat="false" ht="15" hidden="false" customHeight="false" outlineLevel="0" collapsed="false">
      <c r="B2119" s="48" t="n">
        <v>45688.2018055556</v>
      </c>
      <c r="C2119" s="4" t="n">
        <f aca="false">YEAR(B2119)</f>
        <v>2025</v>
      </c>
      <c r="D2119" s="49" t="s">
        <v>283</v>
      </c>
      <c r="E2119" s="49" t="s">
        <v>4487</v>
      </c>
      <c r="F2119" s="50" t="n">
        <v>3</v>
      </c>
      <c r="G2119" s="49" t="s">
        <v>280</v>
      </c>
      <c r="H2119" s="51" t="n">
        <v>0.9251</v>
      </c>
      <c r="I2119" s="51" t="n">
        <v>0.0696</v>
      </c>
      <c r="J2119" s="51" t="n">
        <v>0.0053</v>
      </c>
      <c r="K2119" s="49" t="s">
        <v>281</v>
      </c>
      <c r="L2119" s="49"/>
      <c r="M2119" s="49"/>
      <c r="N2119" s="49"/>
      <c r="O2119" s="49"/>
      <c r="P2119" s="49"/>
      <c r="Q2119" s="49" t="s">
        <v>281</v>
      </c>
      <c r="R2119" s="49"/>
      <c r="S2119" s="49" t="n">
        <v>0</v>
      </c>
      <c r="T2119" s="49" t="n">
        <v>0</v>
      </c>
      <c r="U2119" s="49" t="s">
        <v>4488</v>
      </c>
    </row>
    <row r="2120" customFormat="false" ht="15" hidden="false" customHeight="false" outlineLevel="0" collapsed="false">
      <c r="B2120" s="48" t="n">
        <v>45688.5962731482</v>
      </c>
      <c r="C2120" s="4" t="n">
        <f aca="false">YEAR(B2120)</f>
        <v>2025</v>
      </c>
      <c r="D2120" s="49" t="s">
        <v>283</v>
      </c>
      <c r="E2120" s="49" t="s">
        <v>4489</v>
      </c>
      <c r="F2120" s="50" t="n">
        <v>1</v>
      </c>
      <c r="G2120" s="49" t="s">
        <v>280</v>
      </c>
      <c r="H2120" s="51" t="n">
        <v>0.7983</v>
      </c>
      <c r="I2120" s="51" t="n">
        <v>0.1947</v>
      </c>
      <c r="J2120" s="51" t="n">
        <v>0.0069</v>
      </c>
      <c r="K2120" s="49"/>
      <c r="L2120" s="49"/>
      <c r="M2120" s="49"/>
      <c r="N2120" s="49"/>
      <c r="O2120" s="49"/>
      <c r="P2120" s="49"/>
      <c r="Q2120" s="49"/>
      <c r="R2120" s="49"/>
      <c r="S2120" s="49" t="n">
        <v>1</v>
      </c>
      <c r="T2120" s="49" t="n">
        <v>0</v>
      </c>
      <c r="U2120" s="49" t="s">
        <v>4490</v>
      </c>
    </row>
    <row r="2121" customFormat="false" ht="15" hidden="false" customHeight="false" outlineLevel="0" collapsed="false">
      <c r="B2121" s="48" t="n">
        <v>45688.6273032407</v>
      </c>
      <c r="C2121" s="4" t="n">
        <f aca="false">YEAR(B2121)</f>
        <v>2025</v>
      </c>
      <c r="D2121" s="49" t="s">
        <v>283</v>
      </c>
      <c r="E2121" s="49" t="s">
        <v>4491</v>
      </c>
      <c r="F2121" s="50" t="n">
        <v>14</v>
      </c>
      <c r="G2121" s="49" t="s">
        <v>280</v>
      </c>
      <c r="H2121" s="51" t="n">
        <v>0.8528</v>
      </c>
      <c r="I2121" s="51" t="n">
        <v>0.1365</v>
      </c>
      <c r="J2121" s="51" t="n">
        <v>0.0107</v>
      </c>
      <c r="K2121" s="49"/>
      <c r="L2121" s="49"/>
      <c r="M2121" s="49"/>
      <c r="N2121" s="49"/>
      <c r="O2121" s="49"/>
      <c r="P2121" s="49"/>
      <c r="Q2121" s="49"/>
      <c r="R2121" s="49"/>
      <c r="S2121" s="49" t="n">
        <v>0</v>
      </c>
      <c r="T2121" s="49" t="n">
        <v>0</v>
      </c>
      <c r="U2121" s="49" t="s">
        <v>4492</v>
      </c>
    </row>
    <row r="2122" customFormat="false" ht="15" hidden="false" customHeight="false" outlineLevel="0" collapsed="false">
      <c r="B2122" s="48" t="n">
        <v>45688.6763310185</v>
      </c>
      <c r="C2122" s="4" t="n">
        <f aca="false">YEAR(B2122)</f>
        <v>2025</v>
      </c>
      <c r="D2122" s="49" t="s">
        <v>278</v>
      </c>
      <c r="E2122" s="49" t="s">
        <v>4493</v>
      </c>
      <c r="F2122" s="50" t="n">
        <v>1</v>
      </c>
      <c r="G2122" s="49" t="s">
        <v>290</v>
      </c>
      <c r="H2122" s="51" t="n">
        <v>0.0422</v>
      </c>
      <c r="I2122" s="51" t="n">
        <v>0.6021</v>
      </c>
      <c r="J2122" s="51" t="n">
        <v>0.3557</v>
      </c>
      <c r="K2122" s="49"/>
      <c r="L2122" s="49"/>
      <c r="M2122" s="49"/>
      <c r="N2122" s="49"/>
      <c r="O2122" s="49"/>
      <c r="P2122" s="49"/>
      <c r="Q2122" s="49"/>
      <c r="R2122" s="49"/>
      <c r="S2122" s="49" t="n">
        <v>0</v>
      </c>
      <c r="T2122" s="49" t="n">
        <v>0</v>
      </c>
      <c r="U2122" s="49" t="s">
        <v>4494</v>
      </c>
    </row>
    <row r="2123" customFormat="false" ht="15" hidden="false" customHeight="false" outlineLevel="0" collapsed="false">
      <c r="B2123" s="48" t="n">
        <v>45690.0409259259</v>
      </c>
      <c r="C2123" s="4" t="n">
        <f aca="false">YEAR(B2123)</f>
        <v>2025</v>
      </c>
      <c r="D2123" s="49" t="s">
        <v>283</v>
      </c>
      <c r="E2123" s="49" t="s">
        <v>4495</v>
      </c>
      <c r="F2123" s="50" t="n">
        <v>1</v>
      </c>
      <c r="G2123" s="49" t="s">
        <v>280</v>
      </c>
      <c r="H2123" s="51" t="n">
        <v>0.878</v>
      </c>
      <c r="I2123" s="51" t="n">
        <v>0.1102</v>
      </c>
      <c r="J2123" s="51" t="n">
        <v>0.0117</v>
      </c>
      <c r="K2123" s="49"/>
      <c r="L2123" s="49"/>
      <c r="M2123" s="49"/>
      <c r="N2123" s="49"/>
      <c r="O2123" s="49"/>
      <c r="P2123" s="49"/>
      <c r="Q2123" s="49"/>
      <c r="R2123" s="49" t="s">
        <v>281</v>
      </c>
      <c r="S2123" s="49" t="n">
        <v>0</v>
      </c>
      <c r="T2123" s="49" t="n">
        <v>0</v>
      </c>
      <c r="U2123" s="49" t="s">
        <v>4496</v>
      </c>
    </row>
    <row r="2124" customFormat="false" ht="15" hidden="false" customHeight="false" outlineLevel="0" collapsed="false">
      <c r="B2124" s="48" t="n">
        <v>45690.4419444444</v>
      </c>
      <c r="C2124" s="4" t="n">
        <f aca="false">YEAR(B2124)</f>
        <v>2025</v>
      </c>
      <c r="D2124" s="49" t="s">
        <v>283</v>
      </c>
      <c r="E2124" s="49" t="s">
        <v>4497</v>
      </c>
      <c r="F2124" s="50" t="n">
        <v>1</v>
      </c>
      <c r="G2124" s="49" t="s">
        <v>287</v>
      </c>
      <c r="H2124" s="51" t="n">
        <v>0.004</v>
      </c>
      <c r="I2124" s="51" t="n">
        <v>0.2332</v>
      </c>
      <c r="J2124" s="51" t="n">
        <v>0.7628</v>
      </c>
      <c r="K2124" s="49"/>
      <c r="L2124" s="49"/>
      <c r="M2124" s="49"/>
      <c r="N2124" s="49"/>
      <c r="O2124" s="49"/>
      <c r="P2124" s="49"/>
      <c r="Q2124" s="49"/>
      <c r="R2124" s="49"/>
      <c r="S2124" s="49" t="n">
        <v>0</v>
      </c>
      <c r="T2124" s="49" t="n">
        <v>0</v>
      </c>
      <c r="U2124" s="49" t="s">
        <v>4498</v>
      </c>
    </row>
    <row r="2125" customFormat="false" ht="15" hidden="false" customHeight="false" outlineLevel="0" collapsed="false">
      <c r="B2125" s="48" t="n">
        <v>45690.5593402778</v>
      </c>
      <c r="C2125" s="4" t="n">
        <f aca="false">YEAR(B2125)</f>
        <v>2025</v>
      </c>
      <c r="D2125" s="49" t="s">
        <v>283</v>
      </c>
      <c r="E2125" s="49" t="s">
        <v>4499</v>
      </c>
      <c r="F2125" s="50" t="n">
        <v>1</v>
      </c>
      <c r="G2125" s="49" t="s">
        <v>287</v>
      </c>
      <c r="H2125" s="51" t="n">
        <v>0.0079</v>
      </c>
      <c r="I2125" s="51" t="n">
        <v>0.2614</v>
      </c>
      <c r="J2125" s="51" t="n">
        <v>0.7307</v>
      </c>
      <c r="K2125" s="49"/>
      <c r="L2125" s="49"/>
      <c r="M2125" s="49"/>
      <c r="N2125" s="49"/>
      <c r="O2125" s="49"/>
      <c r="P2125" s="49"/>
      <c r="Q2125" s="49"/>
      <c r="R2125" s="49"/>
      <c r="S2125" s="49" t="n">
        <v>1</v>
      </c>
      <c r="T2125" s="49" t="n">
        <v>0</v>
      </c>
      <c r="U2125" s="49" t="s">
        <v>4500</v>
      </c>
    </row>
    <row r="2126" customFormat="false" ht="15" hidden="false" customHeight="false" outlineLevel="0" collapsed="false">
      <c r="B2126" s="48" t="n">
        <v>45690.6619097222</v>
      </c>
      <c r="C2126" s="4" t="n">
        <f aca="false">YEAR(B2126)</f>
        <v>2025</v>
      </c>
      <c r="D2126" s="49" t="s">
        <v>278</v>
      </c>
      <c r="E2126" s="49" t="s">
        <v>4501</v>
      </c>
      <c r="F2126" s="50" t="n">
        <v>2</v>
      </c>
      <c r="G2126" s="49" t="s">
        <v>280</v>
      </c>
      <c r="H2126" s="51" t="n">
        <v>0.6064</v>
      </c>
      <c r="I2126" s="51" t="n">
        <v>0.3526</v>
      </c>
      <c r="J2126" s="51" t="n">
        <v>0.041</v>
      </c>
      <c r="K2126" s="49"/>
      <c r="L2126" s="49"/>
      <c r="M2126" s="49"/>
      <c r="N2126" s="49"/>
      <c r="O2126" s="49"/>
      <c r="P2126" s="49"/>
      <c r="Q2126" s="49"/>
      <c r="R2126" s="49"/>
      <c r="S2126" s="49" t="n">
        <v>0</v>
      </c>
      <c r="T2126" s="49" t="n">
        <v>0</v>
      </c>
      <c r="U2126" s="49" t="s">
        <v>4502</v>
      </c>
    </row>
    <row r="2127" customFormat="false" ht="15" hidden="false" customHeight="false" outlineLevel="0" collapsed="false">
      <c r="B2127" s="48" t="n">
        <v>45690.8088310185</v>
      </c>
      <c r="C2127" s="4" t="n">
        <f aca="false">YEAR(B2127)</f>
        <v>2025</v>
      </c>
      <c r="D2127" s="49" t="s">
        <v>278</v>
      </c>
      <c r="E2127" s="49" t="s">
        <v>4503</v>
      </c>
      <c r="F2127" s="50" t="n">
        <v>1</v>
      </c>
      <c r="G2127" s="49" t="s">
        <v>280</v>
      </c>
      <c r="H2127" s="51" t="n">
        <v>0.7743</v>
      </c>
      <c r="I2127" s="51" t="n">
        <v>0.1959</v>
      </c>
      <c r="J2127" s="51" t="n">
        <v>0.0297</v>
      </c>
      <c r="K2127" s="49"/>
      <c r="L2127" s="49"/>
      <c r="M2127" s="49"/>
      <c r="N2127" s="49"/>
      <c r="O2127" s="49"/>
      <c r="P2127" s="49"/>
      <c r="Q2127" s="49"/>
      <c r="R2127" s="49"/>
      <c r="S2127" s="49" t="n">
        <v>0</v>
      </c>
      <c r="T2127" s="49" t="n">
        <v>0</v>
      </c>
      <c r="U2127" s="49" t="s">
        <v>4504</v>
      </c>
    </row>
    <row r="2128" customFormat="false" ht="15" hidden="false" customHeight="false" outlineLevel="0" collapsed="false">
      <c r="B2128" s="48" t="n">
        <v>45691.065775463</v>
      </c>
      <c r="C2128" s="4" t="n">
        <f aca="false">YEAR(B2128)</f>
        <v>2025</v>
      </c>
      <c r="D2128" s="49" t="s">
        <v>283</v>
      </c>
      <c r="E2128" s="49" t="s">
        <v>4505</v>
      </c>
      <c r="F2128" s="50" t="n">
        <v>1</v>
      </c>
      <c r="G2128" s="49" t="s">
        <v>290</v>
      </c>
      <c r="H2128" s="51" t="n">
        <v>0.0171</v>
      </c>
      <c r="I2128" s="51" t="n">
        <v>0.871</v>
      </c>
      <c r="J2128" s="51" t="n">
        <v>0.1118</v>
      </c>
      <c r="K2128" s="49"/>
      <c r="L2128" s="49"/>
      <c r="M2128" s="49"/>
      <c r="N2128" s="49"/>
      <c r="O2128" s="49"/>
      <c r="P2128" s="49"/>
      <c r="Q2128" s="49"/>
      <c r="R2128" s="49"/>
      <c r="S2128" s="49" t="n">
        <v>1</v>
      </c>
      <c r="T2128" s="49" t="n">
        <v>0</v>
      </c>
      <c r="U2128" s="49" t="s">
        <v>4506</v>
      </c>
    </row>
    <row r="2129" customFormat="false" ht="15" hidden="false" customHeight="false" outlineLevel="0" collapsed="false">
      <c r="B2129" s="48" t="n">
        <v>45691.0759259259</v>
      </c>
      <c r="C2129" s="4" t="n">
        <f aca="false">YEAR(B2129)</f>
        <v>2025</v>
      </c>
      <c r="D2129" s="49" t="s">
        <v>283</v>
      </c>
      <c r="E2129" s="49" t="s">
        <v>4507</v>
      </c>
      <c r="F2129" s="50" t="n">
        <v>1</v>
      </c>
      <c r="G2129" s="49" t="s">
        <v>280</v>
      </c>
      <c r="H2129" s="51" t="n">
        <v>0.8228</v>
      </c>
      <c r="I2129" s="51" t="n">
        <v>0.169</v>
      </c>
      <c r="J2129" s="51" t="n">
        <v>0.0081</v>
      </c>
      <c r="K2129" s="49"/>
      <c r="L2129" s="49"/>
      <c r="M2129" s="49"/>
      <c r="N2129" s="49"/>
      <c r="O2129" s="49"/>
      <c r="P2129" s="49"/>
      <c r="Q2129" s="49"/>
      <c r="R2129" s="49"/>
      <c r="S2129" s="49" t="n">
        <v>0</v>
      </c>
      <c r="T2129" s="49" t="n">
        <v>0</v>
      </c>
      <c r="U2129" s="49" t="s">
        <v>4508</v>
      </c>
    </row>
    <row r="2130" customFormat="false" ht="15" hidden="false" customHeight="false" outlineLevel="0" collapsed="false">
      <c r="B2130" s="48" t="n">
        <v>45691.1103587963</v>
      </c>
      <c r="C2130" s="4" t="n">
        <f aca="false">YEAR(B2130)</f>
        <v>2025</v>
      </c>
      <c r="D2130" s="49" t="s">
        <v>283</v>
      </c>
      <c r="E2130" s="49" t="s">
        <v>4509</v>
      </c>
      <c r="F2130" s="50" t="n">
        <v>1</v>
      </c>
      <c r="G2130" s="49" t="s">
        <v>280</v>
      </c>
      <c r="H2130" s="51" t="n">
        <v>0.8466</v>
      </c>
      <c r="I2130" s="51" t="n">
        <v>0.145</v>
      </c>
      <c r="J2130" s="51" t="n">
        <v>0.0084</v>
      </c>
      <c r="K2130" s="49"/>
      <c r="L2130" s="49"/>
      <c r="M2130" s="49"/>
      <c r="N2130" s="49"/>
      <c r="O2130" s="49"/>
      <c r="P2130" s="49"/>
      <c r="Q2130" s="49"/>
      <c r="R2130" s="49"/>
      <c r="S2130" s="49" t="n">
        <v>0</v>
      </c>
      <c r="T2130" s="49" t="n">
        <v>0</v>
      </c>
      <c r="U2130" s="49" t="s">
        <v>4510</v>
      </c>
    </row>
    <row r="2131" customFormat="false" ht="15" hidden="false" customHeight="false" outlineLevel="0" collapsed="false">
      <c r="B2131" s="48" t="n">
        <v>45691.1884722222</v>
      </c>
      <c r="C2131" s="4" t="n">
        <f aca="false">YEAR(B2131)</f>
        <v>2025</v>
      </c>
      <c r="D2131" s="49" t="s">
        <v>283</v>
      </c>
      <c r="E2131" s="49" t="s">
        <v>4511</v>
      </c>
      <c r="F2131" s="50" t="n">
        <v>7</v>
      </c>
      <c r="G2131" s="49" t="s">
        <v>287</v>
      </c>
      <c r="H2131" s="51" t="n">
        <v>0.0053</v>
      </c>
      <c r="I2131" s="51" t="n">
        <v>0.3179</v>
      </c>
      <c r="J2131" s="51" t="n">
        <v>0.6768</v>
      </c>
      <c r="K2131" s="49"/>
      <c r="L2131" s="49"/>
      <c r="M2131" s="49"/>
      <c r="N2131" s="49"/>
      <c r="O2131" s="49"/>
      <c r="P2131" s="49"/>
      <c r="Q2131" s="49"/>
      <c r="R2131" s="49"/>
      <c r="S2131" s="49" t="n">
        <v>0</v>
      </c>
      <c r="T2131" s="49" t="n">
        <v>0</v>
      </c>
      <c r="U2131" s="49" t="s">
        <v>4512</v>
      </c>
    </row>
    <row r="2132" customFormat="false" ht="15" hidden="false" customHeight="false" outlineLevel="0" collapsed="false">
      <c r="B2132" s="48" t="n">
        <v>45691.1950925926</v>
      </c>
      <c r="C2132" s="4" t="n">
        <f aca="false">YEAR(B2132)</f>
        <v>2025</v>
      </c>
      <c r="D2132" s="49" t="s">
        <v>283</v>
      </c>
      <c r="E2132" s="49" t="s">
        <v>4513</v>
      </c>
      <c r="F2132" s="50" t="n">
        <v>3</v>
      </c>
      <c r="G2132" s="49" t="s">
        <v>287</v>
      </c>
      <c r="H2132" s="51" t="n">
        <v>0.003</v>
      </c>
      <c r="I2132" s="51" t="n">
        <v>0.2147</v>
      </c>
      <c r="J2132" s="51" t="n">
        <v>0.7823</v>
      </c>
      <c r="K2132" s="49"/>
      <c r="L2132" s="49"/>
      <c r="M2132" s="49"/>
      <c r="N2132" s="49"/>
      <c r="O2132" s="49"/>
      <c r="P2132" s="49"/>
      <c r="Q2132" s="49"/>
      <c r="R2132" s="49"/>
      <c r="S2132" s="49" t="n">
        <v>0</v>
      </c>
      <c r="T2132" s="49" t="n">
        <v>0</v>
      </c>
      <c r="U2132" s="49" t="s">
        <v>4514</v>
      </c>
    </row>
    <row r="2133" customFormat="false" ht="15" hidden="false" customHeight="false" outlineLevel="0" collapsed="false">
      <c r="B2133" s="48" t="n">
        <v>45691.2994675926</v>
      </c>
      <c r="C2133" s="4" t="n">
        <f aca="false">YEAR(B2133)</f>
        <v>2025</v>
      </c>
      <c r="D2133" s="49" t="s">
        <v>283</v>
      </c>
      <c r="E2133" s="49" t="s">
        <v>4515</v>
      </c>
      <c r="F2133" s="50" t="n">
        <v>1</v>
      </c>
      <c r="G2133" s="49" t="s">
        <v>290</v>
      </c>
      <c r="H2133" s="51" t="n">
        <v>0.0081</v>
      </c>
      <c r="I2133" s="51" t="n">
        <v>0.8878</v>
      </c>
      <c r="J2133" s="51" t="n">
        <v>0.1041</v>
      </c>
      <c r="K2133" s="49"/>
      <c r="L2133" s="49"/>
      <c r="M2133" s="49"/>
      <c r="N2133" s="49"/>
      <c r="O2133" s="49"/>
      <c r="P2133" s="49"/>
      <c r="Q2133" s="49"/>
      <c r="R2133" s="49"/>
      <c r="S2133" s="49" t="n">
        <v>1</v>
      </c>
      <c r="T2133" s="49" t="n">
        <v>0</v>
      </c>
      <c r="U2133" s="49" t="s">
        <v>4516</v>
      </c>
    </row>
    <row r="2134" customFormat="false" ht="15" hidden="false" customHeight="false" outlineLevel="0" collapsed="false">
      <c r="B2134" s="48" t="n">
        <v>45691.6914583333</v>
      </c>
      <c r="C2134" s="4" t="n">
        <f aca="false">YEAR(B2134)</f>
        <v>2025</v>
      </c>
      <c r="D2134" s="49" t="s">
        <v>283</v>
      </c>
      <c r="E2134" s="49" t="s">
        <v>4517</v>
      </c>
      <c r="F2134" s="50" t="n">
        <v>1</v>
      </c>
      <c r="G2134" s="49" t="s">
        <v>290</v>
      </c>
      <c r="H2134" s="51" t="n">
        <v>0.0212</v>
      </c>
      <c r="I2134" s="51" t="n">
        <v>0.9297</v>
      </c>
      <c r="J2134" s="51" t="n">
        <v>0.049</v>
      </c>
      <c r="K2134" s="49"/>
      <c r="L2134" s="49"/>
      <c r="M2134" s="49"/>
      <c r="N2134" s="49"/>
      <c r="O2134" s="49"/>
      <c r="P2134" s="49"/>
      <c r="Q2134" s="49"/>
      <c r="R2134" s="49"/>
      <c r="S2134" s="49" t="n">
        <v>1</v>
      </c>
      <c r="T2134" s="49" t="n">
        <v>0</v>
      </c>
      <c r="U2134" s="49" t="s">
        <v>4518</v>
      </c>
    </row>
    <row r="2135" customFormat="false" ht="15" hidden="false" customHeight="false" outlineLevel="0" collapsed="false">
      <c r="B2135" s="48" t="n">
        <v>45691.6924652778</v>
      </c>
      <c r="C2135" s="4" t="n">
        <f aca="false">YEAR(B2135)</f>
        <v>2025</v>
      </c>
      <c r="D2135" s="49" t="s">
        <v>278</v>
      </c>
      <c r="E2135" s="49" t="s">
        <v>4519</v>
      </c>
      <c r="F2135" s="50" t="n">
        <v>1</v>
      </c>
      <c r="G2135" s="49" t="s">
        <v>290</v>
      </c>
      <c r="H2135" s="51" t="n">
        <v>0.0651</v>
      </c>
      <c r="I2135" s="51" t="n">
        <v>0.8676</v>
      </c>
      <c r="J2135" s="51" t="n">
        <v>0.0673</v>
      </c>
      <c r="K2135" s="49"/>
      <c r="L2135" s="49"/>
      <c r="M2135" s="49"/>
      <c r="N2135" s="49"/>
      <c r="O2135" s="49"/>
      <c r="P2135" s="49"/>
      <c r="Q2135" s="49"/>
      <c r="R2135" s="49"/>
      <c r="S2135" s="49" t="n">
        <v>0</v>
      </c>
      <c r="T2135" s="49" t="n">
        <v>0</v>
      </c>
      <c r="U2135" s="49" t="s">
        <v>4520</v>
      </c>
    </row>
    <row r="2136" customFormat="false" ht="15" hidden="false" customHeight="false" outlineLevel="0" collapsed="false">
      <c r="B2136" s="48" t="n">
        <v>45692.3817824074</v>
      </c>
      <c r="C2136" s="4" t="n">
        <f aca="false">YEAR(B2136)</f>
        <v>2025</v>
      </c>
      <c r="D2136" s="49" t="s">
        <v>278</v>
      </c>
      <c r="E2136" s="49" t="s">
        <v>4521</v>
      </c>
      <c r="F2136" s="50" t="n">
        <v>1</v>
      </c>
      <c r="G2136" s="49" t="s">
        <v>290</v>
      </c>
      <c r="H2136" s="51" t="n">
        <v>0.2745</v>
      </c>
      <c r="I2136" s="51" t="n">
        <v>0.6736</v>
      </c>
      <c r="J2136" s="51" t="n">
        <v>0.0519</v>
      </c>
      <c r="K2136" s="49" t="s">
        <v>281</v>
      </c>
      <c r="L2136" s="49"/>
      <c r="M2136" s="49"/>
      <c r="N2136" s="49"/>
      <c r="O2136" s="49"/>
      <c r="P2136" s="49"/>
      <c r="Q2136" s="49"/>
      <c r="R2136" s="49"/>
      <c r="S2136" s="49" t="n">
        <v>0</v>
      </c>
      <c r="T2136" s="49" t="n">
        <v>0</v>
      </c>
      <c r="U2136" s="49" t="s">
        <v>4522</v>
      </c>
    </row>
    <row r="2137" customFormat="false" ht="15" hidden="false" customHeight="false" outlineLevel="0" collapsed="false">
      <c r="B2137" s="48" t="n">
        <v>45692.5925578704</v>
      </c>
      <c r="C2137" s="4" t="n">
        <f aca="false">YEAR(B2137)</f>
        <v>2025</v>
      </c>
      <c r="D2137" s="49" t="s">
        <v>283</v>
      </c>
      <c r="E2137" s="49" t="s">
        <v>4523</v>
      </c>
      <c r="F2137" s="50" t="n">
        <v>3</v>
      </c>
      <c r="G2137" s="49" t="s">
        <v>287</v>
      </c>
      <c r="H2137" s="51" t="n">
        <v>0.0047</v>
      </c>
      <c r="I2137" s="51" t="n">
        <v>0.0985</v>
      </c>
      <c r="J2137" s="51" t="n">
        <v>0.8968</v>
      </c>
      <c r="K2137" s="49"/>
      <c r="L2137" s="49"/>
      <c r="M2137" s="49"/>
      <c r="N2137" s="49"/>
      <c r="O2137" s="49"/>
      <c r="P2137" s="49" t="s">
        <v>281</v>
      </c>
      <c r="Q2137" s="49"/>
      <c r="R2137" s="49"/>
      <c r="S2137" s="49" t="n">
        <v>0</v>
      </c>
      <c r="T2137" s="49" t="n">
        <v>0</v>
      </c>
      <c r="U2137" s="49" t="s">
        <v>4524</v>
      </c>
    </row>
    <row r="2138" customFormat="false" ht="15" hidden="false" customHeight="false" outlineLevel="0" collapsed="false">
      <c r="B2138" s="48" t="n">
        <v>45692.6189467593</v>
      </c>
      <c r="C2138" s="4" t="n">
        <f aca="false">YEAR(B2138)</f>
        <v>2025</v>
      </c>
      <c r="D2138" s="49" t="s">
        <v>283</v>
      </c>
      <c r="E2138" s="49" t="s">
        <v>4525</v>
      </c>
      <c r="F2138" s="50" t="n">
        <v>0</v>
      </c>
      <c r="G2138" s="49" t="s">
        <v>290</v>
      </c>
      <c r="H2138" s="51" t="n">
        <v>0.1826</v>
      </c>
      <c r="I2138" s="51" t="n">
        <v>0.6547</v>
      </c>
      <c r="J2138" s="51" t="n">
        <v>0.1627</v>
      </c>
      <c r="K2138" s="49"/>
      <c r="L2138" s="49"/>
      <c r="M2138" s="49"/>
      <c r="N2138" s="49"/>
      <c r="O2138" s="49"/>
      <c r="P2138" s="49"/>
      <c r="Q2138" s="49"/>
      <c r="R2138" s="49"/>
      <c r="S2138" s="49" t="n">
        <v>0</v>
      </c>
      <c r="T2138" s="49" t="n">
        <v>0</v>
      </c>
      <c r="U2138" s="49" t="s">
        <v>4526</v>
      </c>
    </row>
    <row r="2139" customFormat="false" ht="15" hidden="false" customHeight="false" outlineLevel="0" collapsed="false">
      <c r="B2139" s="48" t="n">
        <v>45692.6812268519</v>
      </c>
      <c r="C2139" s="4" t="n">
        <f aca="false">YEAR(B2139)</f>
        <v>2025</v>
      </c>
      <c r="D2139" s="49" t="s">
        <v>278</v>
      </c>
      <c r="E2139" s="49" t="s">
        <v>4527</v>
      </c>
      <c r="F2139" s="50" t="n">
        <v>31</v>
      </c>
      <c r="G2139" s="49" t="s">
        <v>287</v>
      </c>
      <c r="H2139" s="51" t="n">
        <v>0.0127</v>
      </c>
      <c r="I2139" s="51" t="n">
        <v>0.118</v>
      </c>
      <c r="J2139" s="51" t="n">
        <v>0.8694</v>
      </c>
      <c r="K2139" s="49"/>
      <c r="L2139" s="49"/>
      <c r="M2139" s="49"/>
      <c r="N2139" s="49"/>
      <c r="O2139" s="49"/>
      <c r="P2139" s="49"/>
      <c r="Q2139" s="49"/>
      <c r="R2139" s="49"/>
      <c r="S2139" s="49" t="n">
        <v>0</v>
      </c>
      <c r="T2139" s="49" t="n">
        <v>0</v>
      </c>
      <c r="U2139" s="49" t="s">
        <v>4528</v>
      </c>
    </row>
    <row r="2140" customFormat="false" ht="15" hidden="false" customHeight="false" outlineLevel="0" collapsed="false">
      <c r="B2140" s="48" t="n">
        <v>45692.9491435185</v>
      </c>
      <c r="C2140" s="4" t="n">
        <f aca="false">YEAR(B2140)</f>
        <v>2025</v>
      </c>
      <c r="D2140" s="49" t="s">
        <v>283</v>
      </c>
      <c r="E2140" s="49" t="s">
        <v>4529</v>
      </c>
      <c r="F2140" s="50" t="n">
        <v>0</v>
      </c>
      <c r="G2140" s="49" t="s">
        <v>280</v>
      </c>
      <c r="H2140" s="51" t="n">
        <v>0.7339</v>
      </c>
      <c r="I2140" s="51" t="n">
        <v>0.2543</v>
      </c>
      <c r="J2140" s="51" t="n">
        <v>0.0118</v>
      </c>
      <c r="K2140" s="49"/>
      <c r="L2140" s="49"/>
      <c r="M2140" s="49"/>
      <c r="N2140" s="49"/>
      <c r="O2140" s="49"/>
      <c r="P2140" s="49"/>
      <c r="Q2140" s="49"/>
      <c r="R2140" s="49"/>
      <c r="S2140" s="49" t="n">
        <v>0</v>
      </c>
      <c r="T2140" s="49" t="n">
        <v>0</v>
      </c>
      <c r="U2140" s="49" t="s">
        <v>4530</v>
      </c>
    </row>
    <row r="2141" customFormat="false" ht="15" hidden="false" customHeight="false" outlineLevel="0" collapsed="false">
      <c r="B2141" s="48" t="n">
        <v>45692.9673263889</v>
      </c>
      <c r="C2141" s="4" t="n">
        <f aca="false">YEAR(B2141)</f>
        <v>2025</v>
      </c>
      <c r="D2141" s="49" t="s">
        <v>283</v>
      </c>
      <c r="E2141" s="49" t="s">
        <v>4531</v>
      </c>
      <c r="F2141" s="50" t="n">
        <v>0</v>
      </c>
      <c r="G2141" s="49" t="s">
        <v>287</v>
      </c>
      <c r="H2141" s="51" t="n">
        <v>0.0061</v>
      </c>
      <c r="I2141" s="51" t="n">
        <v>0.2118</v>
      </c>
      <c r="J2141" s="51" t="n">
        <v>0.7821</v>
      </c>
      <c r="K2141" s="49"/>
      <c r="L2141" s="49"/>
      <c r="M2141" s="49"/>
      <c r="N2141" s="49"/>
      <c r="O2141" s="49"/>
      <c r="P2141" s="49"/>
      <c r="Q2141" s="49"/>
      <c r="R2141" s="49"/>
      <c r="S2141" s="49" t="n">
        <v>0</v>
      </c>
      <c r="T2141" s="49" t="n">
        <v>0</v>
      </c>
      <c r="U2141" s="49" t="s">
        <v>4532</v>
      </c>
    </row>
    <row r="2142" customFormat="false" ht="15" hidden="false" customHeight="false" outlineLevel="0" collapsed="false">
      <c r="B2142" s="48" t="n">
        <v>45692.9808796296</v>
      </c>
      <c r="C2142" s="4" t="n">
        <f aca="false">YEAR(B2142)</f>
        <v>2025</v>
      </c>
      <c r="D2142" s="49" t="s">
        <v>278</v>
      </c>
      <c r="E2142" s="49" t="s">
        <v>4533</v>
      </c>
      <c r="F2142" s="50" t="n">
        <v>42</v>
      </c>
      <c r="G2142" s="49" t="s">
        <v>290</v>
      </c>
      <c r="H2142" s="51" t="n">
        <v>0.0298</v>
      </c>
      <c r="I2142" s="51" t="n">
        <v>0.6464</v>
      </c>
      <c r="J2142" s="51" t="n">
        <v>0.3238</v>
      </c>
      <c r="K2142" s="49"/>
      <c r="L2142" s="49"/>
      <c r="M2142" s="49"/>
      <c r="N2142" s="49"/>
      <c r="O2142" s="49"/>
      <c r="P2142" s="49"/>
      <c r="Q2142" s="49"/>
      <c r="R2142" s="49"/>
      <c r="S2142" s="49" t="n">
        <v>0</v>
      </c>
      <c r="T2142" s="49" t="n">
        <v>0</v>
      </c>
      <c r="U2142" s="49" t="s">
        <v>4534</v>
      </c>
    </row>
    <row r="2143" customFormat="false" ht="15" hidden="false" customHeight="false" outlineLevel="0" collapsed="false">
      <c r="B2143" s="48" t="n">
        <v>45693.0228819445</v>
      </c>
      <c r="C2143" s="4" t="n">
        <f aca="false">YEAR(B2143)</f>
        <v>2025</v>
      </c>
      <c r="D2143" s="49" t="s">
        <v>283</v>
      </c>
      <c r="E2143" s="49" t="s">
        <v>4535</v>
      </c>
      <c r="F2143" s="50" t="n">
        <v>1</v>
      </c>
      <c r="G2143" s="49" t="s">
        <v>280</v>
      </c>
      <c r="H2143" s="51" t="n">
        <v>0.8347</v>
      </c>
      <c r="I2143" s="51" t="n">
        <v>0.1542</v>
      </c>
      <c r="J2143" s="51" t="n">
        <v>0.0111</v>
      </c>
      <c r="K2143" s="49"/>
      <c r="L2143" s="49"/>
      <c r="M2143" s="49"/>
      <c r="N2143" s="49"/>
      <c r="O2143" s="49"/>
      <c r="P2143" s="49"/>
      <c r="Q2143" s="49"/>
      <c r="R2143" s="49"/>
      <c r="S2143" s="49" t="n">
        <v>0</v>
      </c>
      <c r="T2143" s="49" t="n">
        <v>0</v>
      </c>
      <c r="U2143" s="49" t="s">
        <v>4536</v>
      </c>
    </row>
    <row r="2144" customFormat="false" ht="15" hidden="false" customHeight="false" outlineLevel="0" collapsed="false">
      <c r="B2144" s="48" t="n">
        <v>45693.4152199074</v>
      </c>
      <c r="C2144" s="4" t="n">
        <f aca="false">YEAR(B2144)</f>
        <v>2025</v>
      </c>
      <c r="D2144" s="49" t="s">
        <v>283</v>
      </c>
      <c r="E2144" s="49" t="s">
        <v>4537</v>
      </c>
      <c r="F2144" s="50" t="n">
        <v>1</v>
      </c>
      <c r="G2144" s="49" t="s">
        <v>287</v>
      </c>
      <c r="H2144" s="51" t="n">
        <v>0.0043</v>
      </c>
      <c r="I2144" s="51" t="n">
        <v>0.1834</v>
      </c>
      <c r="J2144" s="51" t="n">
        <v>0.8123</v>
      </c>
      <c r="K2144" s="49"/>
      <c r="L2144" s="49"/>
      <c r="M2144" s="49"/>
      <c r="N2144" s="49"/>
      <c r="O2144" s="49"/>
      <c r="P2144" s="49"/>
      <c r="Q2144" s="49"/>
      <c r="R2144" s="49"/>
      <c r="S2144" s="49" t="n">
        <v>0</v>
      </c>
      <c r="T2144" s="49" t="n">
        <v>0</v>
      </c>
      <c r="U2144" s="49" t="s">
        <v>4538</v>
      </c>
    </row>
    <row r="2145" customFormat="false" ht="15" hidden="false" customHeight="false" outlineLevel="0" collapsed="false">
      <c r="B2145" s="48" t="n">
        <v>45693.4152314815</v>
      </c>
      <c r="C2145" s="4" t="n">
        <f aca="false">YEAR(B2145)</f>
        <v>2025</v>
      </c>
      <c r="D2145" s="49" t="s">
        <v>283</v>
      </c>
      <c r="E2145" s="49" t="s">
        <v>4537</v>
      </c>
      <c r="F2145" s="50" t="n">
        <v>2</v>
      </c>
      <c r="G2145" s="49" t="s">
        <v>287</v>
      </c>
      <c r="H2145" s="51" t="n">
        <v>0.0043</v>
      </c>
      <c r="I2145" s="51" t="n">
        <v>0.1834</v>
      </c>
      <c r="J2145" s="51" t="n">
        <v>0.8123</v>
      </c>
      <c r="K2145" s="49"/>
      <c r="L2145" s="49"/>
      <c r="M2145" s="49"/>
      <c r="N2145" s="49"/>
      <c r="O2145" s="49"/>
      <c r="P2145" s="49"/>
      <c r="Q2145" s="49"/>
      <c r="R2145" s="49"/>
      <c r="S2145" s="49" t="n">
        <v>0</v>
      </c>
      <c r="T2145" s="49" t="n">
        <v>0</v>
      </c>
      <c r="U2145" s="49" t="s">
        <v>4539</v>
      </c>
    </row>
    <row r="2146" customFormat="false" ht="15" hidden="false" customHeight="false" outlineLevel="0" collapsed="false">
      <c r="B2146" s="48" t="n">
        <v>45693.5094907407</v>
      </c>
      <c r="C2146" s="4" t="n">
        <f aca="false">YEAR(B2146)</f>
        <v>2025</v>
      </c>
      <c r="D2146" s="49" t="s">
        <v>283</v>
      </c>
      <c r="E2146" s="49" t="s">
        <v>4540</v>
      </c>
      <c r="F2146" s="50" t="n">
        <v>1</v>
      </c>
      <c r="G2146" s="49" t="s">
        <v>290</v>
      </c>
      <c r="H2146" s="51" t="n">
        <v>0.214</v>
      </c>
      <c r="I2146" s="51" t="n">
        <v>0.5419</v>
      </c>
      <c r="J2146" s="51" t="n">
        <v>0.2441</v>
      </c>
      <c r="K2146" s="49"/>
      <c r="L2146" s="49"/>
      <c r="M2146" s="49"/>
      <c r="N2146" s="49"/>
      <c r="O2146" s="49"/>
      <c r="P2146" s="49"/>
      <c r="Q2146" s="49"/>
      <c r="R2146" s="49"/>
      <c r="S2146" s="49" t="n">
        <v>0</v>
      </c>
      <c r="T2146" s="49" t="n">
        <v>0</v>
      </c>
      <c r="U2146" s="49" t="s">
        <v>4541</v>
      </c>
    </row>
    <row r="2147" customFormat="false" ht="15" hidden="false" customHeight="false" outlineLevel="0" collapsed="false">
      <c r="B2147" s="48" t="n">
        <v>45693.5981365741</v>
      </c>
      <c r="C2147" s="4" t="n">
        <f aca="false">YEAR(B2147)</f>
        <v>2025</v>
      </c>
      <c r="D2147" s="49" t="s">
        <v>283</v>
      </c>
      <c r="E2147" s="49" t="s">
        <v>4542</v>
      </c>
      <c r="F2147" s="50" t="n">
        <v>1</v>
      </c>
      <c r="G2147" s="49" t="s">
        <v>290</v>
      </c>
      <c r="H2147" s="51" t="n">
        <v>0.0183</v>
      </c>
      <c r="I2147" s="51" t="n">
        <v>0.9425</v>
      </c>
      <c r="J2147" s="51" t="n">
        <v>0.0392</v>
      </c>
      <c r="K2147" s="49"/>
      <c r="L2147" s="49"/>
      <c r="M2147" s="49"/>
      <c r="N2147" s="49"/>
      <c r="O2147" s="49"/>
      <c r="P2147" s="49"/>
      <c r="Q2147" s="49"/>
      <c r="R2147" s="49"/>
      <c r="S2147" s="49" t="n">
        <v>1</v>
      </c>
      <c r="T2147" s="49" t="n">
        <v>0</v>
      </c>
      <c r="U2147" s="49" t="s">
        <v>4543</v>
      </c>
    </row>
    <row r="2148" customFormat="false" ht="15" hidden="false" customHeight="false" outlineLevel="0" collapsed="false">
      <c r="B2148" s="48" t="n">
        <v>45693.9816203704</v>
      </c>
      <c r="C2148" s="4" t="n">
        <f aca="false">YEAR(B2148)</f>
        <v>2025</v>
      </c>
      <c r="D2148" s="49" t="s">
        <v>283</v>
      </c>
      <c r="E2148" s="49" t="s">
        <v>4544</v>
      </c>
      <c r="F2148" s="50" t="n">
        <v>1</v>
      </c>
      <c r="G2148" s="49" t="s">
        <v>290</v>
      </c>
      <c r="H2148" s="51" t="n">
        <v>0.0067</v>
      </c>
      <c r="I2148" s="51" t="n">
        <v>0.6329</v>
      </c>
      <c r="J2148" s="51" t="n">
        <v>0.3604</v>
      </c>
      <c r="K2148" s="49"/>
      <c r="L2148" s="49"/>
      <c r="M2148" s="49"/>
      <c r="N2148" s="49"/>
      <c r="O2148" s="49"/>
      <c r="P2148" s="49"/>
      <c r="Q2148" s="49"/>
      <c r="R2148" s="49"/>
      <c r="S2148" s="49" t="n">
        <v>0</v>
      </c>
      <c r="T2148" s="49" t="n">
        <v>0</v>
      </c>
      <c r="U2148" s="49" t="s">
        <v>4545</v>
      </c>
    </row>
    <row r="2149" customFormat="false" ht="15" hidden="false" customHeight="false" outlineLevel="0" collapsed="false">
      <c r="B2149" s="48" t="n">
        <v>45694.2196875</v>
      </c>
      <c r="C2149" s="4" t="n">
        <f aca="false">YEAR(B2149)</f>
        <v>2025</v>
      </c>
      <c r="D2149" s="49" t="s">
        <v>283</v>
      </c>
      <c r="E2149" s="49" t="s">
        <v>4546</v>
      </c>
      <c r="F2149" s="50" t="n">
        <v>8</v>
      </c>
      <c r="G2149" s="49" t="s">
        <v>290</v>
      </c>
      <c r="H2149" s="51" t="n">
        <v>0.0898</v>
      </c>
      <c r="I2149" s="51" t="n">
        <v>0.8127</v>
      </c>
      <c r="J2149" s="51" t="n">
        <v>0.0974</v>
      </c>
      <c r="K2149" s="49"/>
      <c r="L2149" s="49"/>
      <c r="M2149" s="49"/>
      <c r="N2149" s="49"/>
      <c r="O2149" s="49"/>
      <c r="P2149" s="49"/>
      <c r="Q2149" s="49"/>
      <c r="R2149" s="49"/>
      <c r="S2149" s="49" t="n">
        <v>0</v>
      </c>
      <c r="T2149" s="49" t="n">
        <v>0</v>
      </c>
      <c r="U2149" s="49" t="s">
        <v>4547</v>
      </c>
    </row>
    <row r="2150" customFormat="false" ht="15" hidden="false" customHeight="false" outlineLevel="0" collapsed="false">
      <c r="B2150" s="48" t="n">
        <v>45694.8914699074</v>
      </c>
      <c r="C2150" s="4" t="n">
        <f aca="false">YEAR(B2150)</f>
        <v>2025</v>
      </c>
      <c r="D2150" s="49" t="s">
        <v>283</v>
      </c>
      <c r="E2150" s="49" t="s">
        <v>4548</v>
      </c>
      <c r="F2150" s="50" t="n">
        <v>1</v>
      </c>
      <c r="G2150" s="49" t="s">
        <v>290</v>
      </c>
      <c r="H2150" s="51" t="n">
        <v>0.244</v>
      </c>
      <c r="I2150" s="51" t="n">
        <v>0.7358</v>
      </c>
      <c r="J2150" s="51" t="n">
        <v>0.0202</v>
      </c>
      <c r="K2150" s="49"/>
      <c r="L2150" s="49"/>
      <c r="M2150" s="49"/>
      <c r="N2150" s="49"/>
      <c r="O2150" s="49"/>
      <c r="P2150" s="49"/>
      <c r="Q2150" s="49"/>
      <c r="R2150" s="49"/>
      <c r="S2150" s="49" t="n">
        <v>0</v>
      </c>
      <c r="T2150" s="49" t="n">
        <v>0</v>
      </c>
      <c r="U2150" s="49" t="s">
        <v>4549</v>
      </c>
    </row>
    <row r="2151" customFormat="false" ht="15" hidden="false" customHeight="false" outlineLevel="0" collapsed="false">
      <c r="B2151" s="48" t="n">
        <v>45695.6765046296</v>
      </c>
      <c r="C2151" s="4" t="n">
        <f aca="false">YEAR(B2151)</f>
        <v>2025</v>
      </c>
      <c r="D2151" s="49" t="s">
        <v>283</v>
      </c>
      <c r="E2151" s="49" t="s">
        <v>4550</v>
      </c>
      <c r="F2151" s="50" t="n">
        <v>1</v>
      </c>
      <c r="G2151" s="49" t="s">
        <v>290</v>
      </c>
      <c r="H2151" s="51" t="n">
        <v>0.0113</v>
      </c>
      <c r="I2151" s="51" t="n">
        <v>0.887</v>
      </c>
      <c r="J2151" s="51" t="n">
        <v>0.1018</v>
      </c>
      <c r="K2151" s="49"/>
      <c r="L2151" s="49"/>
      <c r="M2151" s="49"/>
      <c r="N2151" s="49"/>
      <c r="O2151" s="49"/>
      <c r="P2151" s="49"/>
      <c r="Q2151" s="49"/>
      <c r="R2151" s="49"/>
      <c r="S2151" s="49" t="n">
        <v>0</v>
      </c>
      <c r="T2151" s="49" t="n">
        <v>0</v>
      </c>
      <c r="U2151" s="49" t="s">
        <v>4551</v>
      </c>
    </row>
    <row r="2152" customFormat="false" ht="15" hidden="false" customHeight="false" outlineLevel="0" collapsed="false">
      <c r="B2152" s="48" t="n">
        <v>45696.1325347222</v>
      </c>
      <c r="C2152" s="4" t="n">
        <f aca="false">YEAR(B2152)</f>
        <v>2025</v>
      </c>
      <c r="D2152" s="49" t="s">
        <v>283</v>
      </c>
      <c r="E2152" s="49" t="s">
        <v>4552</v>
      </c>
      <c r="F2152" s="50" t="n">
        <v>1</v>
      </c>
      <c r="G2152" s="49" t="s">
        <v>287</v>
      </c>
      <c r="H2152" s="51" t="n">
        <v>0.0064</v>
      </c>
      <c r="I2152" s="51" t="n">
        <v>0.4721</v>
      </c>
      <c r="J2152" s="51" t="n">
        <v>0.5215</v>
      </c>
      <c r="K2152" s="49"/>
      <c r="L2152" s="49"/>
      <c r="M2152" s="49"/>
      <c r="N2152" s="49"/>
      <c r="O2152" s="49"/>
      <c r="P2152" s="49"/>
      <c r="Q2152" s="49"/>
      <c r="R2152" s="49"/>
      <c r="S2152" s="49" t="n">
        <v>0</v>
      </c>
      <c r="T2152" s="49" t="n">
        <v>0</v>
      </c>
      <c r="U2152" s="49" t="s">
        <v>4553</v>
      </c>
    </row>
    <row r="2153" customFormat="false" ht="15" hidden="false" customHeight="false" outlineLevel="0" collapsed="false">
      <c r="B2153" s="48" t="n">
        <v>45696.1757986111</v>
      </c>
      <c r="C2153" s="4" t="n">
        <f aca="false">YEAR(B2153)</f>
        <v>2025</v>
      </c>
      <c r="D2153" s="49" t="s">
        <v>283</v>
      </c>
      <c r="E2153" s="49" t="s">
        <v>4554</v>
      </c>
      <c r="F2153" s="50" t="n">
        <v>2</v>
      </c>
      <c r="G2153" s="49" t="s">
        <v>280</v>
      </c>
      <c r="H2153" s="51" t="n">
        <v>0.728</v>
      </c>
      <c r="I2153" s="51" t="n">
        <v>0.2592</v>
      </c>
      <c r="J2153" s="51" t="n">
        <v>0.0128</v>
      </c>
      <c r="K2153" s="49"/>
      <c r="L2153" s="49"/>
      <c r="M2153" s="49"/>
      <c r="N2153" s="49"/>
      <c r="O2153" s="49"/>
      <c r="P2153" s="49"/>
      <c r="Q2153" s="49"/>
      <c r="R2153" s="49"/>
      <c r="S2153" s="49" t="n">
        <v>0</v>
      </c>
      <c r="T2153" s="49" t="n">
        <v>0</v>
      </c>
      <c r="U2153" s="49" t="s">
        <v>4555</v>
      </c>
    </row>
    <row r="2154" customFormat="false" ht="15" hidden="false" customHeight="false" outlineLevel="0" collapsed="false">
      <c r="B2154" s="48" t="n">
        <v>45696.2601967593</v>
      </c>
      <c r="C2154" s="4" t="n">
        <f aca="false">YEAR(B2154)</f>
        <v>2025</v>
      </c>
      <c r="D2154" s="49" t="s">
        <v>283</v>
      </c>
      <c r="E2154" s="49" t="s">
        <v>4556</v>
      </c>
      <c r="F2154" s="50" t="n">
        <v>16</v>
      </c>
      <c r="G2154" s="49" t="s">
        <v>287</v>
      </c>
      <c r="H2154" s="51" t="n">
        <v>0.0055</v>
      </c>
      <c r="I2154" s="51" t="n">
        <v>0.1548</v>
      </c>
      <c r="J2154" s="51" t="n">
        <v>0.8397</v>
      </c>
      <c r="K2154" s="49"/>
      <c r="L2154" s="49" t="s">
        <v>281</v>
      </c>
      <c r="M2154" s="49"/>
      <c r="N2154" s="49"/>
      <c r="O2154" s="49"/>
      <c r="P2154" s="49"/>
      <c r="Q2154" s="49" t="s">
        <v>281</v>
      </c>
      <c r="R2154" s="49"/>
      <c r="S2154" s="49" t="n">
        <v>0</v>
      </c>
      <c r="T2154" s="49" t="n">
        <v>0</v>
      </c>
      <c r="U2154" s="49" t="s">
        <v>4557</v>
      </c>
    </row>
    <row r="2155" customFormat="false" ht="15" hidden="false" customHeight="false" outlineLevel="0" collapsed="false">
      <c r="B2155" s="48" t="n">
        <v>45696.395474537</v>
      </c>
      <c r="C2155" s="4" t="n">
        <f aca="false">YEAR(B2155)</f>
        <v>2025</v>
      </c>
      <c r="D2155" s="49" t="s">
        <v>283</v>
      </c>
      <c r="E2155" s="49" t="s">
        <v>4558</v>
      </c>
      <c r="F2155" s="50" t="n">
        <v>2</v>
      </c>
      <c r="G2155" s="49" t="s">
        <v>290</v>
      </c>
      <c r="H2155" s="51" t="n">
        <v>0.0213</v>
      </c>
      <c r="I2155" s="51" t="n">
        <v>0.6753</v>
      </c>
      <c r="J2155" s="51" t="n">
        <v>0.3035</v>
      </c>
      <c r="K2155" s="49"/>
      <c r="L2155" s="49"/>
      <c r="M2155" s="49"/>
      <c r="N2155" s="49"/>
      <c r="O2155" s="49"/>
      <c r="P2155" s="49"/>
      <c r="Q2155" s="49"/>
      <c r="R2155" s="49"/>
      <c r="S2155" s="49" t="n">
        <v>0</v>
      </c>
      <c r="T2155" s="49" t="n">
        <v>0</v>
      </c>
      <c r="U2155" s="49" t="s">
        <v>4559</v>
      </c>
    </row>
    <row r="2156" customFormat="false" ht="15" hidden="false" customHeight="false" outlineLevel="0" collapsed="false">
      <c r="B2156" s="48" t="n">
        <v>45696.4252893519</v>
      </c>
      <c r="C2156" s="4" t="n">
        <f aca="false">YEAR(B2156)</f>
        <v>2025</v>
      </c>
      <c r="D2156" s="49" t="s">
        <v>283</v>
      </c>
      <c r="E2156" s="49" t="s">
        <v>4560</v>
      </c>
      <c r="F2156" s="50" t="n">
        <v>1</v>
      </c>
      <c r="G2156" s="49" t="s">
        <v>290</v>
      </c>
      <c r="H2156" s="51" t="n">
        <v>0.4517</v>
      </c>
      <c r="I2156" s="51" t="n">
        <v>0.5297</v>
      </c>
      <c r="J2156" s="51" t="n">
        <v>0.0186</v>
      </c>
      <c r="K2156" s="49"/>
      <c r="L2156" s="49"/>
      <c r="M2156" s="49"/>
      <c r="N2156" s="49"/>
      <c r="O2156" s="49"/>
      <c r="P2156" s="49"/>
      <c r="Q2156" s="49"/>
      <c r="R2156" s="49"/>
      <c r="S2156" s="49" t="n">
        <v>0</v>
      </c>
      <c r="T2156" s="49" t="n">
        <v>0</v>
      </c>
      <c r="U2156" s="49" t="s">
        <v>4561</v>
      </c>
    </row>
    <row r="2157" customFormat="false" ht="15" hidden="false" customHeight="false" outlineLevel="0" collapsed="false">
      <c r="B2157" s="48" t="n">
        <v>45697.7547453704</v>
      </c>
      <c r="C2157" s="4" t="n">
        <f aca="false">YEAR(B2157)</f>
        <v>2025</v>
      </c>
      <c r="D2157" s="49" t="s">
        <v>278</v>
      </c>
      <c r="E2157" s="49" t="s">
        <v>4562</v>
      </c>
      <c r="F2157" s="50" t="n">
        <v>9</v>
      </c>
      <c r="G2157" s="49" t="s">
        <v>280</v>
      </c>
      <c r="H2157" s="51" t="n">
        <v>0.6789</v>
      </c>
      <c r="I2157" s="51" t="n">
        <v>0.3064</v>
      </c>
      <c r="J2157" s="51" t="n">
        <v>0.0147</v>
      </c>
      <c r="K2157" s="49"/>
      <c r="L2157" s="49"/>
      <c r="M2157" s="49"/>
      <c r="N2157" s="49"/>
      <c r="O2157" s="49"/>
      <c r="P2157" s="49"/>
      <c r="Q2157" s="49"/>
      <c r="R2157" s="49"/>
      <c r="S2157" s="49" t="n">
        <v>0</v>
      </c>
      <c r="T2157" s="49" t="n">
        <v>0</v>
      </c>
      <c r="U2157" s="49" t="s">
        <v>4563</v>
      </c>
    </row>
    <row r="2158" customFormat="false" ht="15" hidden="false" customHeight="false" outlineLevel="0" collapsed="false">
      <c r="B2158" s="48" t="n">
        <v>45697.7581481482</v>
      </c>
      <c r="C2158" s="4" t="n">
        <f aca="false">YEAR(B2158)</f>
        <v>2025</v>
      </c>
      <c r="D2158" s="49" t="s">
        <v>283</v>
      </c>
      <c r="E2158" s="49" t="s">
        <v>4564</v>
      </c>
      <c r="F2158" s="50" t="n">
        <v>1</v>
      </c>
      <c r="G2158" s="49" t="s">
        <v>290</v>
      </c>
      <c r="H2158" s="51" t="n">
        <v>0.2614</v>
      </c>
      <c r="I2158" s="51" t="n">
        <v>0.7076</v>
      </c>
      <c r="J2158" s="51" t="n">
        <v>0.031</v>
      </c>
      <c r="K2158" s="49"/>
      <c r="L2158" s="49"/>
      <c r="M2158" s="49"/>
      <c r="N2158" s="49"/>
      <c r="O2158" s="49"/>
      <c r="P2158" s="49"/>
      <c r="Q2158" s="49" t="s">
        <v>281</v>
      </c>
      <c r="R2158" s="49"/>
      <c r="S2158" s="49" t="n">
        <v>1</v>
      </c>
      <c r="T2158" s="49" t="n">
        <v>0</v>
      </c>
      <c r="U2158" s="49" t="s">
        <v>4565</v>
      </c>
    </row>
    <row r="2159" customFormat="false" ht="15" hidden="false" customHeight="false" outlineLevel="0" collapsed="false">
      <c r="B2159" s="48" t="n">
        <v>45698.147349537</v>
      </c>
      <c r="C2159" s="4" t="n">
        <f aca="false">YEAR(B2159)</f>
        <v>2025</v>
      </c>
      <c r="D2159" s="49" t="s">
        <v>278</v>
      </c>
      <c r="E2159" s="49" t="s">
        <v>4566</v>
      </c>
      <c r="F2159" s="50" t="n">
        <v>1</v>
      </c>
      <c r="G2159" s="49" t="s">
        <v>287</v>
      </c>
      <c r="H2159" s="51" t="n">
        <v>0.0106</v>
      </c>
      <c r="I2159" s="51" t="n">
        <v>0.1037</v>
      </c>
      <c r="J2159" s="51" t="n">
        <v>0.8856</v>
      </c>
      <c r="K2159" s="49"/>
      <c r="L2159" s="49"/>
      <c r="M2159" s="49"/>
      <c r="N2159" s="49"/>
      <c r="O2159" s="49"/>
      <c r="P2159" s="49"/>
      <c r="Q2159" s="49"/>
      <c r="R2159" s="49" t="s">
        <v>281</v>
      </c>
      <c r="S2159" s="49" t="n">
        <v>0</v>
      </c>
      <c r="T2159" s="49" t="n">
        <v>0</v>
      </c>
      <c r="U2159" s="49" t="s">
        <v>4567</v>
      </c>
    </row>
    <row r="2160" customFormat="false" ht="15" hidden="false" customHeight="false" outlineLevel="0" collapsed="false">
      <c r="B2160" s="48" t="n">
        <v>45698.476400463</v>
      </c>
      <c r="C2160" s="4" t="n">
        <f aca="false">YEAR(B2160)</f>
        <v>2025</v>
      </c>
      <c r="D2160" s="49" t="s">
        <v>283</v>
      </c>
      <c r="E2160" s="49" t="s">
        <v>4568</v>
      </c>
      <c r="F2160" s="50" t="n">
        <v>7</v>
      </c>
      <c r="G2160" s="49" t="s">
        <v>290</v>
      </c>
      <c r="H2160" s="51" t="n">
        <v>0.4588</v>
      </c>
      <c r="I2160" s="51" t="n">
        <v>0.489</v>
      </c>
      <c r="J2160" s="51" t="n">
        <v>0.0522</v>
      </c>
      <c r="K2160" s="49"/>
      <c r="L2160" s="49"/>
      <c r="M2160" s="49"/>
      <c r="N2160" s="49"/>
      <c r="O2160" s="49"/>
      <c r="P2160" s="49"/>
      <c r="Q2160" s="49" t="s">
        <v>281</v>
      </c>
      <c r="R2160" s="49"/>
      <c r="S2160" s="49" t="n">
        <v>0</v>
      </c>
      <c r="T2160" s="49" t="n">
        <v>0</v>
      </c>
      <c r="U2160" s="49" t="s">
        <v>4569</v>
      </c>
    </row>
    <row r="2161" customFormat="false" ht="15" hidden="false" customHeight="false" outlineLevel="0" collapsed="false">
      <c r="B2161" s="48" t="n">
        <v>45698.6887731482</v>
      </c>
      <c r="C2161" s="4" t="n">
        <f aca="false">YEAR(B2161)</f>
        <v>2025</v>
      </c>
      <c r="D2161" s="49" t="s">
        <v>283</v>
      </c>
      <c r="E2161" s="49" t="s">
        <v>4570</v>
      </c>
      <c r="F2161" s="50" t="n">
        <v>4</v>
      </c>
      <c r="G2161" s="49" t="s">
        <v>287</v>
      </c>
      <c r="H2161" s="51" t="n">
        <v>0.0036</v>
      </c>
      <c r="I2161" s="51" t="n">
        <v>0.1862</v>
      </c>
      <c r="J2161" s="51" t="n">
        <v>0.8102</v>
      </c>
      <c r="K2161" s="49"/>
      <c r="L2161" s="49"/>
      <c r="M2161" s="49"/>
      <c r="N2161" s="49"/>
      <c r="O2161" s="49"/>
      <c r="P2161" s="49"/>
      <c r="Q2161" s="49"/>
      <c r="R2161" s="49"/>
      <c r="S2161" s="49" t="n">
        <v>0</v>
      </c>
      <c r="T2161" s="49" t="n">
        <v>0</v>
      </c>
      <c r="U2161" s="49" t="s">
        <v>4571</v>
      </c>
    </row>
    <row r="2162" customFormat="false" ht="15" hidden="false" customHeight="false" outlineLevel="0" collapsed="false">
      <c r="B2162" s="48" t="n">
        <v>45698.9071180556</v>
      </c>
      <c r="C2162" s="4" t="n">
        <f aca="false">YEAR(B2162)</f>
        <v>2025</v>
      </c>
      <c r="D2162" s="49" t="s">
        <v>283</v>
      </c>
      <c r="E2162" s="49" t="s">
        <v>4572</v>
      </c>
      <c r="F2162" s="50" t="n">
        <v>1</v>
      </c>
      <c r="G2162" s="49" t="s">
        <v>280</v>
      </c>
      <c r="H2162" s="51" t="n">
        <v>0.7357</v>
      </c>
      <c r="I2162" s="51" t="n">
        <v>0.2391</v>
      </c>
      <c r="J2162" s="51" t="n">
        <v>0.0253</v>
      </c>
      <c r="K2162" s="49" t="s">
        <v>281</v>
      </c>
      <c r="L2162" s="49" t="s">
        <v>281</v>
      </c>
      <c r="M2162" s="49"/>
      <c r="N2162" s="49"/>
      <c r="O2162" s="49"/>
      <c r="P2162" s="49"/>
      <c r="Q2162" s="49"/>
      <c r="R2162" s="49"/>
      <c r="S2162" s="49" t="n">
        <v>0</v>
      </c>
      <c r="T2162" s="49" t="n">
        <v>0</v>
      </c>
      <c r="U2162" s="49" t="s">
        <v>4573</v>
      </c>
    </row>
    <row r="2163" customFormat="false" ht="15" hidden="false" customHeight="false" outlineLevel="0" collapsed="false">
      <c r="B2163" s="48" t="n">
        <v>45699.0024537037</v>
      </c>
      <c r="C2163" s="4" t="n">
        <f aca="false">YEAR(B2163)</f>
        <v>2025</v>
      </c>
      <c r="D2163" s="49" t="s">
        <v>283</v>
      </c>
      <c r="E2163" s="49" t="s">
        <v>4574</v>
      </c>
      <c r="F2163" s="50" t="n">
        <v>1</v>
      </c>
      <c r="G2163" s="49" t="s">
        <v>287</v>
      </c>
      <c r="H2163" s="51" t="n">
        <v>0.0046</v>
      </c>
      <c r="I2163" s="51" t="n">
        <v>0.0796</v>
      </c>
      <c r="J2163" s="51" t="n">
        <v>0.9158</v>
      </c>
      <c r="K2163" s="49"/>
      <c r="L2163" s="49"/>
      <c r="M2163" s="49"/>
      <c r="N2163" s="49"/>
      <c r="O2163" s="49"/>
      <c r="P2163" s="49"/>
      <c r="Q2163" s="49"/>
      <c r="R2163" s="49"/>
      <c r="S2163" s="49" t="n">
        <v>0</v>
      </c>
      <c r="T2163" s="49" t="n">
        <v>0</v>
      </c>
      <c r="U2163" s="49" t="s">
        <v>4575</v>
      </c>
    </row>
    <row r="2164" customFormat="false" ht="15" hidden="false" customHeight="false" outlineLevel="0" collapsed="false">
      <c r="B2164" s="48" t="n">
        <v>45699.0822106482</v>
      </c>
      <c r="C2164" s="4" t="n">
        <f aca="false">YEAR(B2164)</f>
        <v>2025</v>
      </c>
      <c r="D2164" s="49" t="s">
        <v>278</v>
      </c>
      <c r="E2164" s="49" t="s">
        <v>4576</v>
      </c>
      <c r="F2164" s="50" t="n">
        <v>1</v>
      </c>
      <c r="G2164" s="49" t="s">
        <v>280</v>
      </c>
      <c r="H2164" s="51" t="n">
        <v>0.9517</v>
      </c>
      <c r="I2164" s="51" t="n">
        <v>0.0433</v>
      </c>
      <c r="J2164" s="51" t="n">
        <v>0.005</v>
      </c>
      <c r="K2164" s="49"/>
      <c r="L2164" s="49"/>
      <c r="M2164" s="49"/>
      <c r="N2164" s="49"/>
      <c r="O2164" s="49"/>
      <c r="P2164" s="49"/>
      <c r="Q2164" s="49"/>
      <c r="R2164" s="49" t="s">
        <v>281</v>
      </c>
      <c r="S2164" s="49" t="n">
        <v>0</v>
      </c>
      <c r="T2164" s="49" t="n">
        <v>0</v>
      </c>
      <c r="U2164" s="49" t="s">
        <v>4577</v>
      </c>
    </row>
    <row r="2165" customFormat="false" ht="15" hidden="false" customHeight="false" outlineLevel="0" collapsed="false">
      <c r="B2165" s="48" t="n">
        <v>45699.4834259259</v>
      </c>
      <c r="C2165" s="4" t="n">
        <f aca="false">YEAR(B2165)</f>
        <v>2025</v>
      </c>
      <c r="D2165" s="49" t="s">
        <v>278</v>
      </c>
      <c r="E2165" s="49" t="s">
        <v>4578</v>
      </c>
      <c r="F2165" s="50" t="n">
        <v>2</v>
      </c>
      <c r="G2165" s="49" t="s">
        <v>280</v>
      </c>
      <c r="H2165" s="51" t="n">
        <v>0.6426</v>
      </c>
      <c r="I2165" s="51" t="n">
        <v>0.3292</v>
      </c>
      <c r="J2165" s="51" t="n">
        <v>0.0282</v>
      </c>
      <c r="K2165" s="49"/>
      <c r="L2165" s="49"/>
      <c r="M2165" s="49"/>
      <c r="N2165" s="49"/>
      <c r="O2165" s="49"/>
      <c r="P2165" s="49"/>
      <c r="Q2165" s="49"/>
      <c r="R2165" s="49"/>
      <c r="S2165" s="49" t="n">
        <v>0</v>
      </c>
      <c r="T2165" s="49" t="n">
        <v>0</v>
      </c>
      <c r="U2165" s="49" t="s">
        <v>4579</v>
      </c>
    </row>
    <row r="2166" customFormat="false" ht="15" hidden="false" customHeight="false" outlineLevel="0" collapsed="false">
      <c r="B2166" s="48" t="n">
        <v>45699.5972337963</v>
      </c>
      <c r="C2166" s="4" t="n">
        <f aca="false">YEAR(B2166)</f>
        <v>2025</v>
      </c>
      <c r="D2166" s="49" t="s">
        <v>283</v>
      </c>
      <c r="E2166" s="49" t="s">
        <v>4580</v>
      </c>
      <c r="F2166" s="50" t="n">
        <v>3</v>
      </c>
      <c r="G2166" s="49" t="s">
        <v>287</v>
      </c>
      <c r="H2166" s="51" t="n">
        <v>0.0031</v>
      </c>
      <c r="I2166" s="51" t="n">
        <v>0.1543</v>
      </c>
      <c r="J2166" s="51" t="n">
        <v>0.8426</v>
      </c>
      <c r="K2166" s="49"/>
      <c r="L2166" s="49"/>
      <c r="M2166" s="49"/>
      <c r="N2166" s="49"/>
      <c r="O2166" s="49"/>
      <c r="P2166" s="49"/>
      <c r="Q2166" s="49"/>
      <c r="R2166" s="49"/>
      <c r="S2166" s="49" t="n">
        <v>0</v>
      </c>
      <c r="T2166" s="49" t="n">
        <v>0</v>
      </c>
      <c r="U2166" s="49" t="s">
        <v>4581</v>
      </c>
    </row>
    <row r="2167" customFormat="false" ht="15" hidden="false" customHeight="false" outlineLevel="0" collapsed="false">
      <c r="B2167" s="48" t="n">
        <v>45699.8350231482</v>
      </c>
      <c r="C2167" s="4" t="n">
        <f aca="false">YEAR(B2167)</f>
        <v>2025</v>
      </c>
      <c r="D2167" s="49" t="s">
        <v>283</v>
      </c>
      <c r="E2167" s="49" t="s">
        <v>4582</v>
      </c>
      <c r="F2167" s="50" t="n">
        <v>24</v>
      </c>
      <c r="G2167" s="49" t="s">
        <v>290</v>
      </c>
      <c r="H2167" s="51" t="n">
        <v>0.031</v>
      </c>
      <c r="I2167" s="51" t="n">
        <v>0.6648</v>
      </c>
      <c r="J2167" s="51" t="n">
        <v>0.3042</v>
      </c>
      <c r="K2167" s="49"/>
      <c r="L2167" s="49"/>
      <c r="M2167" s="49"/>
      <c r="N2167" s="49"/>
      <c r="O2167" s="49"/>
      <c r="P2167" s="49"/>
      <c r="Q2167" s="49"/>
      <c r="R2167" s="49"/>
      <c r="S2167" s="49" t="n">
        <v>0</v>
      </c>
      <c r="T2167" s="49" t="n">
        <v>0</v>
      </c>
      <c r="U2167" s="49" t="s">
        <v>4583</v>
      </c>
    </row>
    <row r="2168" customFormat="false" ht="15" hidden="false" customHeight="false" outlineLevel="0" collapsed="false">
      <c r="B2168" s="48" t="n">
        <v>45699.9628009259</v>
      </c>
      <c r="C2168" s="4" t="n">
        <f aca="false">YEAR(B2168)</f>
        <v>2025</v>
      </c>
      <c r="D2168" s="49" t="s">
        <v>283</v>
      </c>
      <c r="E2168" s="49" t="s">
        <v>4584</v>
      </c>
      <c r="F2168" s="50" t="n">
        <v>1</v>
      </c>
      <c r="G2168" s="49" t="s">
        <v>290</v>
      </c>
      <c r="H2168" s="51" t="n">
        <v>0.0471</v>
      </c>
      <c r="I2168" s="51" t="n">
        <v>0.7242</v>
      </c>
      <c r="J2168" s="51" t="n">
        <v>0.2287</v>
      </c>
      <c r="K2168" s="49"/>
      <c r="L2168" s="49"/>
      <c r="M2168" s="49"/>
      <c r="N2168" s="49"/>
      <c r="O2168" s="49"/>
      <c r="P2168" s="49"/>
      <c r="Q2168" s="49"/>
      <c r="R2168" s="49"/>
      <c r="S2168" s="49" t="n">
        <v>0</v>
      </c>
      <c r="T2168" s="49" t="n">
        <v>0</v>
      </c>
      <c r="U2168" s="49" t="s">
        <v>4585</v>
      </c>
    </row>
    <row r="2169" customFormat="false" ht="15" hidden="false" customHeight="false" outlineLevel="0" collapsed="false">
      <c r="B2169" s="48" t="n">
        <v>45700.8603935185</v>
      </c>
      <c r="C2169" s="4" t="n">
        <f aca="false">YEAR(B2169)</f>
        <v>2025</v>
      </c>
      <c r="D2169" s="49" t="s">
        <v>283</v>
      </c>
      <c r="E2169" s="49" t="s">
        <v>4586</v>
      </c>
      <c r="F2169" s="50" t="n">
        <v>1</v>
      </c>
      <c r="G2169" s="49" t="s">
        <v>290</v>
      </c>
      <c r="H2169" s="51" t="n">
        <v>0.2703</v>
      </c>
      <c r="I2169" s="51" t="n">
        <v>0.6882</v>
      </c>
      <c r="J2169" s="51" t="n">
        <v>0.0415</v>
      </c>
      <c r="K2169" s="49"/>
      <c r="L2169" s="49"/>
      <c r="M2169" s="49"/>
      <c r="N2169" s="49"/>
      <c r="O2169" s="49"/>
      <c r="P2169" s="49"/>
      <c r="Q2169" s="49"/>
      <c r="R2169" s="49" t="s">
        <v>281</v>
      </c>
      <c r="S2169" s="49" t="n">
        <v>1</v>
      </c>
      <c r="T2169" s="49" t="n">
        <v>0</v>
      </c>
      <c r="U2169" s="49" t="s">
        <v>4587</v>
      </c>
    </row>
    <row r="2170" customFormat="false" ht="15" hidden="false" customHeight="false" outlineLevel="0" collapsed="false">
      <c r="B2170" s="48" t="n">
        <v>45700.8628009259</v>
      </c>
      <c r="C2170" s="4" t="n">
        <f aca="false">YEAR(B2170)</f>
        <v>2025</v>
      </c>
      <c r="D2170" s="49" t="s">
        <v>283</v>
      </c>
      <c r="E2170" s="49" t="s">
        <v>4588</v>
      </c>
      <c r="F2170" s="50" t="n">
        <v>33</v>
      </c>
      <c r="G2170" s="49" t="s">
        <v>290</v>
      </c>
      <c r="H2170" s="51" t="n">
        <v>0.4125</v>
      </c>
      <c r="I2170" s="51" t="n">
        <v>0.4671</v>
      </c>
      <c r="J2170" s="51" t="n">
        <v>0.1204</v>
      </c>
      <c r="K2170" s="49"/>
      <c r="L2170" s="49"/>
      <c r="M2170" s="49"/>
      <c r="N2170" s="49"/>
      <c r="O2170" s="49"/>
      <c r="P2170" s="49"/>
      <c r="Q2170" s="49"/>
      <c r="R2170" s="49"/>
      <c r="S2170" s="49" t="n">
        <v>0</v>
      </c>
      <c r="T2170" s="49" t="n">
        <v>0</v>
      </c>
      <c r="U2170" s="49" t="s">
        <v>4589</v>
      </c>
    </row>
    <row r="2171" customFormat="false" ht="15" hidden="false" customHeight="false" outlineLevel="0" collapsed="false">
      <c r="B2171" s="48" t="n">
        <v>45701.1668634259</v>
      </c>
      <c r="C2171" s="4" t="n">
        <f aca="false">YEAR(B2171)</f>
        <v>2025</v>
      </c>
      <c r="D2171" s="49" t="s">
        <v>283</v>
      </c>
      <c r="E2171" s="49" t="s">
        <v>4590</v>
      </c>
      <c r="F2171" s="50" t="n">
        <v>2</v>
      </c>
      <c r="G2171" s="49" t="s">
        <v>287</v>
      </c>
      <c r="H2171" s="51" t="n">
        <v>0.0155</v>
      </c>
      <c r="I2171" s="51" t="n">
        <v>0.4202</v>
      </c>
      <c r="J2171" s="51" t="n">
        <v>0.5643</v>
      </c>
      <c r="K2171" s="49"/>
      <c r="L2171" s="49"/>
      <c r="M2171" s="49"/>
      <c r="N2171" s="49"/>
      <c r="O2171" s="49"/>
      <c r="P2171" s="49"/>
      <c r="Q2171" s="49"/>
      <c r="R2171" s="49"/>
      <c r="S2171" s="49" t="n">
        <v>0</v>
      </c>
      <c r="T2171" s="49" t="n">
        <v>0</v>
      </c>
      <c r="U2171" s="49" t="s">
        <v>4591</v>
      </c>
    </row>
    <row r="2172" customFormat="false" ht="15" hidden="false" customHeight="false" outlineLevel="0" collapsed="false">
      <c r="B2172" s="48" t="n">
        <v>45701.267662037</v>
      </c>
      <c r="C2172" s="4" t="n">
        <f aca="false">YEAR(B2172)</f>
        <v>2025</v>
      </c>
      <c r="D2172" s="49" t="s">
        <v>283</v>
      </c>
      <c r="E2172" s="49" t="s">
        <v>4592</v>
      </c>
      <c r="F2172" s="50" t="n">
        <v>1</v>
      </c>
      <c r="G2172" s="49" t="s">
        <v>287</v>
      </c>
      <c r="H2172" s="51" t="n">
        <v>0.0071</v>
      </c>
      <c r="I2172" s="51" t="n">
        <v>0.2436</v>
      </c>
      <c r="J2172" s="51" t="n">
        <v>0.7493</v>
      </c>
      <c r="K2172" s="49"/>
      <c r="L2172" s="49"/>
      <c r="M2172" s="49"/>
      <c r="N2172" s="49"/>
      <c r="O2172" s="49"/>
      <c r="P2172" s="49"/>
      <c r="Q2172" s="49"/>
      <c r="R2172" s="49"/>
      <c r="S2172" s="49" t="n">
        <v>0</v>
      </c>
      <c r="T2172" s="49" t="n">
        <v>0</v>
      </c>
      <c r="U2172" s="49" t="s">
        <v>4593</v>
      </c>
    </row>
    <row r="2173" customFormat="false" ht="15" hidden="false" customHeight="false" outlineLevel="0" collapsed="false">
      <c r="B2173" s="48" t="n">
        <v>45701.2694791667</v>
      </c>
      <c r="C2173" s="4" t="n">
        <f aca="false">YEAR(B2173)</f>
        <v>2025</v>
      </c>
      <c r="D2173" s="49" t="s">
        <v>278</v>
      </c>
      <c r="E2173" s="49" t="s">
        <v>4594</v>
      </c>
      <c r="F2173" s="50" t="n">
        <v>4</v>
      </c>
      <c r="G2173" s="49" t="s">
        <v>280</v>
      </c>
      <c r="H2173" s="51" t="n">
        <v>0.7927</v>
      </c>
      <c r="I2173" s="51" t="n">
        <v>0.1891</v>
      </c>
      <c r="J2173" s="51" t="n">
        <v>0.0182</v>
      </c>
      <c r="K2173" s="49"/>
      <c r="L2173" s="49"/>
      <c r="M2173" s="49"/>
      <c r="N2173" s="49"/>
      <c r="O2173" s="49"/>
      <c r="P2173" s="49"/>
      <c r="Q2173" s="49"/>
      <c r="R2173" s="49"/>
      <c r="S2173" s="49" t="n">
        <v>0</v>
      </c>
      <c r="T2173" s="49" t="n">
        <v>0</v>
      </c>
      <c r="U2173" s="49" t="s">
        <v>4595</v>
      </c>
    </row>
    <row r="2174" customFormat="false" ht="15" hidden="false" customHeight="false" outlineLevel="0" collapsed="false">
      <c r="B2174" s="48" t="n">
        <v>45701.5878356482</v>
      </c>
      <c r="C2174" s="4" t="n">
        <f aca="false">YEAR(B2174)</f>
        <v>2025</v>
      </c>
      <c r="D2174" s="49" t="s">
        <v>283</v>
      </c>
      <c r="E2174" s="49" t="s">
        <v>4596</v>
      </c>
      <c r="F2174" s="50" t="n">
        <v>19</v>
      </c>
      <c r="G2174" s="49" t="s">
        <v>287</v>
      </c>
      <c r="H2174" s="51" t="n">
        <v>0.0055</v>
      </c>
      <c r="I2174" s="51" t="n">
        <v>0.0693</v>
      </c>
      <c r="J2174" s="51" t="n">
        <v>0.9253</v>
      </c>
      <c r="K2174" s="49"/>
      <c r="L2174" s="49"/>
      <c r="M2174" s="49"/>
      <c r="N2174" s="49"/>
      <c r="O2174" s="49"/>
      <c r="P2174" s="49"/>
      <c r="Q2174" s="49"/>
      <c r="R2174" s="49"/>
      <c r="S2174" s="49" t="n">
        <v>0</v>
      </c>
      <c r="T2174" s="49" t="n">
        <v>0</v>
      </c>
      <c r="U2174" s="49" t="s">
        <v>4597</v>
      </c>
    </row>
    <row r="2175" customFormat="false" ht="15" hidden="false" customHeight="false" outlineLevel="0" collapsed="false">
      <c r="B2175" s="48" t="n">
        <v>45702.6401157407</v>
      </c>
      <c r="C2175" s="4" t="n">
        <f aca="false">YEAR(B2175)</f>
        <v>2025</v>
      </c>
      <c r="D2175" s="49" t="s">
        <v>283</v>
      </c>
      <c r="E2175" s="49" t="s">
        <v>4598</v>
      </c>
      <c r="F2175" s="50" t="n">
        <v>6</v>
      </c>
      <c r="G2175" s="49" t="s">
        <v>280</v>
      </c>
      <c r="H2175" s="51" t="n">
        <v>0.8962</v>
      </c>
      <c r="I2175" s="51" t="n">
        <v>0.0946</v>
      </c>
      <c r="J2175" s="51" t="n">
        <v>0.0092</v>
      </c>
      <c r="K2175" s="49" t="s">
        <v>281</v>
      </c>
      <c r="L2175" s="49"/>
      <c r="M2175" s="49"/>
      <c r="N2175" s="49"/>
      <c r="O2175" s="49"/>
      <c r="P2175" s="49"/>
      <c r="Q2175" s="49"/>
      <c r="R2175" s="49"/>
      <c r="S2175" s="49" t="n">
        <v>0</v>
      </c>
      <c r="T2175" s="49" t="n">
        <v>0</v>
      </c>
      <c r="U2175" s="49" t="s">
        <v>4599</v>
      </c>
    </row>
    <row r="2176" customFormat="false" ht="15" hidden="false" customHeight="false" outlineLevel="0" collapsed="false">
      <c r="B2176" s="48" t="n">
        <v>45703.8866782407</v>
      </c>
      <c r="C2176" s="4" t="n">
        <f aca="false">YEAR(B2176)</f>
        <v>2025</v>
      </c>
      <c r="D2176" s="49" t="s">
        <v>278</v>
      </c>
      <c r="E2176" s="49" t="s">
        <v>4600</v>
      </c>
      <c r="F2176" s="50" t="n">
        <v>0</v>
      </c>
      <c r="G2176" s="49" t="s">
        <v>280</v>
      </c>
      <c r="H2176" s="51" t="n">
        <v>0.7075</v>
      </c>
      <c r="I2176" s="51" t="n">
        <v>0.2792</v>
      </c>
      <c r="J2176" s="51" t="n">
        <v>0.0133</v>
      </c>
      <c r="K2176" s="49"/>
      <c r="L2176" s="49"/>
      <c r="M2176" s="49"/>
      <c r="N2176" s="49"/>
      <c r="O2176" s="49"/>
      <c r="P2176" s="49"/>
      <c r="Q2176" s="49"/>
      <c r="R2176" s="49"/>
      <c r="S2176" s="49" t="n">
        <v>0</v>
      </c>
      <c r="T2176" s="49" t="n">
        <v>0</v>
      </c>
      <c r="U2176" s="49" t="s">
        <v>4601</v>
      </c>
    </row>
    <row r="2177" customFormat="false" ht="15" hidden="false" customHeight="false" outlineLevel="0" collapsed="false">
      <c r="B2177" s="48" t="n">
        <v>45703.9085763889</v>
      </c>
      <c r="C2177" s="4" t="n">
        <f aca="false">YEAR(B2177)</f>
        <v>2025</v>
      </c>
      <c r="D2177" s="49" t="s">
        <v>283</v>
      </c>
      <c r="E2177" s="49" t="s">
        <v>4602</v>
      </c>
      <c r="F2177" s="50" t="n">
        <v>1</v>
      </c>
      <c r="G2177" s="49" t="s">
        <v>290</v>
      </c>
      <c r="H2177" s="51" t="n">
        <v>0.0233</v>
      </c>
      <c r="I2177" s="51" t="n">
        <v>0.8003</v>
      </c>
      <c r="J2177" s="51" t="n">
        <v>0.1764</v>
      </c>
      <c r="K2177" s="49"/>
      <c r="L2177" s="49"/>
      <c r="M2177" s="49"/>
      <c r="N2177" s="49"/>
      <c r="O2177" s="49"/>
      <c r="P2177" s="49"/>
      <c r="Q2177" s="49"/>
      <c r="R2177" s="49"/>
      <c r="S2177" s="49" t="n">
        <v>0</v>
      </c>
      <c r="T2177" s="49" t="n">
        <v>0</v>
      </c>
      <c r="U2177" s="49" t="s">
        <v>4603</v>
      </c>
    </row>
    <row r="2178" customFormat="false" ht="15" hidden="false" customHeight="false" outlineLevel="0" collapsed="false">
      <c r="B2178" s="48" t="n">
        <v>45704.1996759259</v>
      </c>
      <c r="C2178" s="4" t="n">
        <f aca="false">YEAR(B2178)</f>
        <v>2025</v>
      </c>
      <c r="D2178" s="49" t="s">
        <v>283</v>
      </c>
      <c r="E2178" s="49" t="s">
        <v>4604</v>
      </c>
      <c r="F2178" s="50" t="n">
        <v>1</v>
      </c>
      <c r="G2178" s="49" t="s">
        <v>290</v>
      </c>
      <c r="H2178" s="51" t="n">
        <v>0.0105</v>
      </c>
      <c r="I2178" s="51" t="n">
        <v>0.8012</v>
      </c>
      <c r="J2178" s="51" t="n">
        <v>0.1883</v>
      </c>
      <c r="K2178" s="49"/>
      <c r="L2178" s="49"/>
      <c r="M2178" s="49"/>
      <c r="N2178" s="49"/>
      <c r="O2178" s="49"/>
      <c r="P2178" s="49"/>
      <c r="Q2178" s="49"/>
      <c r="R2178" s="49"/>
      <c r="S2178" s="49" t="n">
        <v>0</v>
      </c>
      <c r="T2178" s="49" t="n">
        <v>0</v>
      </c>
      <c r="U2178" s="49" t="s">
        <v>4605</v>
      </c>
    </row>
    <row r="2179" customFormat="false" ht="15" hidden="false" customHeight="false" outlineLevel="0" collapsed="false">
      <c r="B2179" s="48" t="n">
        <v>45704.3518865741</v>
      </c>
      <c r="C2179" s="4" t="n">
        <f aca="false">YEAR(B2179)</f>
        <v>2025</v>
      </c>
      <c r="D2179" s="49" t="s">
        <v>283</v>
      </c>
      <c r="E2179" s="49" t="s">
        <v>4606</v>
      </c>
      <c r="F2179" s="50" t="n">
        <v>1</v>
      </c>
      <c r="G2179" s="49" t="s">
        <v>287</v>
      </c>
      <c r="H2179" s="51" t="n">
        <v>0.0671</v>
      </c>
      <c r="I2179" s="51" t="n">
        <v>0.3645</v>
      </c>
      <c r="J2179" s="51" t="n">
        <v>0.5685</v>
      </c>
      <c r="K2179" s="49"/>
      <c r="L2179" s="49"/>
      <c r="M2179" s="49"/>
      <c r="N2179" s="49"/>
      <c r="O2179" s="49"/>
      <c r="P2179" s="49"/>
      <c r="Q2179" s="49"/>
      <c r="R2179" s="49"/>
      <c r="S2179" s="49" t="n">
        <v>0</v>
      </c>
      <c r="T2179" s="49" t="n">
        <v>0</v>
      </c>
      <c r="U2179" s="49" t="s">
        <v>4607</v>
      </c>
    </row>
    <row r="2180" customFormat="false" ht="15" hidden="false" customHeight="false" outlineLevel="0" collapsed="false">
      <c r="B2180" s="48" t="n">
        <v>45705.1747916667</v>
      </c>
      <c r="C2180" s="4" t="n">
        <f aca="false">YEAR(B2180)</f>
        <v>2025</v>
      </c>
      <c r="D2180" s="49" t="s">
        <v>283</v>
      </c>
      <c r="E2180" s="49" t="s">
        <v>4608</v>
      </c>
      <c r="F2180" s="50" t="n">
        <v>0</v>
      </c>
      <c r="G2180" s="49" t="s">
        <v>280</v>
      </c>
      <c r="H2180" s="51" t="n">
        <v>0.8485</v>
      </c>
      <c r="I2180" s="51" t="n">
        <v>0.1421</v>
      </c>
      <c r="J2180" s="51" t="n">
        <v>0.0094</v>
      </c>
      <c r="K2180" s="49"/>
      <c r="L2180" s="49"/>
      <c r="M2180" s="49"/>
      <c r="N2180" s="49"/>
      <c r="O2180" s="49"/>
      <c r="P2180" s="49"/>
      <c r="Q2180" s="49"/>
      <c r="R2180" s="49"/>
      <c r="S2180" s="49" t="n">
        <v>0</v>
      </c>
      <c r="T2180" s="49" t="n">
        <v>0</v>
      </c>
      <c r="U2180" s="49" t="s">
        <v>4609</v>
      </c>
    </row>
    <row r="2181" customFormat="false" ht="15" hidden="false" customHeight="false" outlineLevel="0" collapsed="false">
      <c r="B2181" s="48" t="n">
        <v>45705.4858680556</v>
      </c>
      <c r="C2181" s="4" t="n">
        <f aca="false">YEAR(B2181)</f>
        <v>2025</v>
      </c>
      <c r="D2181" s="49" t="s">
        <v>283</v>
      </c>
      <c r="E2181" s="49" t="s">
        <v>4610</v>
      </c>
      <c r="F2181" s="50" t="n">
        <v>2</v>
      </c>
      <c r="G2181" s="49" t="s">
        <v>287</v>
      </c>
      <c r="H2181" s="51" t="n">
        <v>0.0024</v>
      </c>
      <c r="I2181" s="51" t="n">
        <v>0.2255</v>
      </c>
      <c r="J2181" s="51" t="n">
        <v>0.7721</v>
      </c>
      <c r="K2181" s="49"/>
      <c r="L2181" s="49"/>
      <c r="M2181" s="49"/>
      <c r="N2181" s="49"/>
      <c r="O2181" s="49"/>
      <c r="P2181" s="49"/>
      <c r="Q2181" s="49"/>
      <c r="R2181" s="49"/>
      <c r="S2181" s="49" t="n">
        <v>0</v>
      </c>
      <c r="T2181" s="49" t="n">
        <v>0</v>
      </c>
      <c r="U2181" s="49" t="s">
        <v>4611</v>
      </c>
    </row>
    <row r="2182" customFormat="false" ht="15" hidden="false" customHeight="false" outlineLevel="0" collapsed="false">
      <c r="B2182" s="48" t="n">
        <v>45705.5144791667</v>
      </c>
      <c r="C2182" s="4" t="n">
        <f aca="false">YEAR(B2182)</f>
        <v>2025</v>
      </c>
      <c r="D2182" s="49" t="s">
        <v>278</v>
      </c>
      <c r="E2182" s="49" t="s">
        <v>4612</v>
      </c>
      <c r="F2182" s="50" t="n">
        <v>2</v>
      </c>
      <c r="G2182" s="49" t="s">
        <v>280</v>
      </c>
      <c r="H2182" s="51" t="n">
        <v>0.6319</v>
      </c>
      <c r="I2182" s="51" t="n">
        <v>0.3557</v>
      </c>
      <c r="J2182" s="51" t="n">
        <v>0.0124</v>
      </c>
      <c r="K2182" s="49"/>
      <c r="L2182" s="49"/>
      <c r="M2182" s="49"/>
      <c r="N2182" s="49"/>
      <c r="O2182" s="49"/>
      <c r="P2182" s="49"/>
      <c r="Q2182" s="49"/>
      <c r="R2182" s="49" t="s">
        <v>281</v>
      </c>
      <c r="S2182" s="49" t="n">
        <v>0</v>
      </c>
      <c r="T2182" s="49" t="n">
        <v>0</v>
      </c>
      <c r="U2182" s="49" t="s">
        <v>4613</v>
      </c>
    </row>
    <row r="2183" customFormat="false" ht="15" hidden="false" customHeight="false" outlineLevel="0" collapsed="false">
      <c r="B2183" s="48" t="n">
        <v>45705.6461226852</v>
      </c>
      <c r="C2183" s="4" t="n">
        <f aca="false">YEAR(B2183)</f>
        <v>2025</v>
      </c>
      <c r="D2183" s="49" t="s">
        <v>283</v>
      </c>
      <c r="E2183" s="49" t="s">
        <v>4614</v>
      </c>
      <c r="F2183" s="50" t="n">
        <v>1</v>
      </c>
      <c r="G2183" s="49" t="s">
        <v>290</v>
      </c>
      <c r="H2183" s="51" t="n">
        <v>0.2197</v>
      </c>
      <c r="I2183" s="51" t="n">
        <v>0.7223</v>
      </c>
      <c r="J2183" s="51" t="n">
        <v>0.058</v>
      </c>
      <c r="K2183" s="49"/>
      <c r="L2183" s="49"/>
      <c r="M2183" s="49"/>
      <c r="N2183" s="49"/>
      <c r="O2183" s="49"/>
      <c r="P2183" s="49"/>
      <c r="Q2183" s="49"/>
      <c r="R2183" s="49"/>
      <c r="S2183" s="49" t="n">
        <v>0</v>
      </c>
      <c r="T2183" s="49" t="n">
        <v>0</v>
      </c>
      <c r="U2183" s="49" t="s">
        <v>4615</v>
      </c>
    </row>
    <row r="2184" customFormat="false" ht="15" hidden="false" customHeight="false" outlineLevel="0" collapsed="false">
      <c r="B2184" s="48" t="n">
        <v>45706.7522569444</v>
      </c>
      <c r="C2184" s="4" t="n">
        <f aca="false">YEAR(B2184)</f>
        <v>2025</v>
      </c>
      <c r="D2184" s="49" t="s">
        <v>283</v>
      </c>
      <c r="E2184" s="49" t="s">
        <v>4616</v>
      </c>
      <c r="F2184" s="50" t="n">
        <v>2</v>
      </c>
      <c r="G2184" s="49" t="s">
        <v>290</v>
      </c>
      <c r="H2184" s="51" t="n">
        <v>0.108</v>
      </c>
      <c r="I2184" s="51" t="n">
        <v>0.8092</v>
      </c>
      <c r="J2184" s="51" t="n">
        <v>0.0828</v>
      </c>
      <c r="K2184" s="49"/>
      <c r="L2184" s="49"/>
      <c r="M2184" s="49"/>
      <c r="N2184" s="49"/>
      <c r="O2184" s="49"/>
      <c r="P2184" s="49"/>
      <c r="Q2184" s="49"/>
      <c r="R2184" s="49"/>
      <c r="S2184" s="49" t="n">
        <v>0</v>
      </c>
      <c r="T2184" s="49" t="n">
        <v>0</v>
      </c>
      <c r="U2184" s="49" t="s">
        <v>4617</v>
      </c>
    </row>
    <row r="2185" customFormat="false" ht="15" hidden="false" customHeight="false" outlineLevel="0" collapsed="false">
      <c r="B2185" s="48" t="n">
        <v>45706.8741319445</v>
      </c>
      <c r="C2185" s="4" t="n">
        <f aca="false">YEAR(B2185)</f>
        <v>2025</v>
      </c>
      <c r="D2185" s="49" t="s">
        <v>278</v>
      </c>
      <c r="E2185" s="49" t="s">
        <v>4618</v>
      </c>
      <c r="F2185" s="50" t="n">
        <v>0</v>
      </c>
      <c r="G2185" s="49" t="s">
        <v>290</v>
      </c>
      <c r="H2185" s="51" t="n">
        <v>0.1681</v>
      </c>
      <c r="I2185" s="51" t="n">
        <v>0.7515</v>
      </c>
      <c r="J2185" s="51" t="n">
        <v>0.0803</v>
      </c>
      <c r="K2185" s="49"/>
      <c r="L2185" s="49"/>
      <c r="M2185" s="49"/>
      <c r="N2185" s="49"/>
      <c r="O2185" s="49"/>
      <c r="P2185" s="49"/>
      <c r="Q2185" s="49"/>
      <c r="R2185" s="49"/>
      <c r="S2185" s="49" t="n">
        <v>0</v>
      </c>
      <c r="T2185" s="49" t="n">
        <v>0</v>
      </c>
      <c r="U2185" s="49" t="s">
        <v>4619</v>
      </c>
    </row>
    <row r="2186" customFormat="false" ht="15" hidden="false" customHeight="false" outlineLevel="0" collapsed="false">
      <c r="B2186" s="48" t="n">
        <v>45706.936400463</v>
      </c>
      <c r="C2186" s="4" t="n">
        <f aca="false">YEAR(B2186)</f>
        <v>2025</v>
      </c>
      <c r="D2186" s="49" t="s">
        <v>283</v>
      </c>
      <c r="E2186" s="49" t="s">
        <v>4620</v>
      </c>
      <c r="F2186" s="50" t="n">
        <v>2</v>
      </c>
      <c r="G2186" s="49" t="s">
        <v>290</v>
      </c>
      <c r="H2186" s="51" t="n">
        <v>0.0228</v>
      </c>
      <c r="I2186" s="51" t="n">
        <v>0.6361</v>
      </c>
      <c r="J2186" s="51" t="n">
        <v>0.3411</v>
      </c>
      <c r="K2186" s="49"/>
      <c r="L2186" s="49"/>
      <c r="M2186" s="49"/>
      <c r="N2186" s="49"/>
      <c r="O2186" s="49"/>
      <c r="P2186" s="49"/>
      <c r="Q2186" s="49"/>
      <c r="R2186" s="49"/>
      <c r="S2186" s="49" t="n">
        <v>0</v>
      </c>
      <c r="T2186" s="49" t="n">
        <v>0</v>
      </c>
      <c r="U2186" s="49" t="s">
        <v>4621</v>
      </c>
    </row>
    <row r="2187" customFormat="false" ht="15" hidden="false" customHeight="false" outlineLevel="0" collapsed="false">
      <c r="B2187" s="48" t="n">
        <v>45706.9502199074</v>
      </c>
      <c r="C2187" s="4" t="n">
        <f aca="false">YEAR(B2187)</f>
        <v>2025</v>
      </c>
      <c r="D2187" s="49" t="s">
        <v>283</v>
      </c>
      <c r="E2187" s="49" t="s">
        <v>4622</v>
      </c>
      <c r="F2187" s="50" t="n">
        <v>3</v>
      </c>
      <c r="G2187" s="49" t="s">
        <v>290</v>
      </c>
      <c r="H2187" s="51" t="n">
        <v>0.0231</v>
      </c>
      <c r="I2187" s="51" t="n">
        <v>0.9117</v>
      </c>
      <c r="J2187" s="51" t="n">
        <v>0.0652</v>
      </c>
      <c r="K2187" s="49"/>
      <c r="L2187" s="49"/>
      <c r="M2187" s="49"/>
      <c r="N2187" s="49"/>
      <c r="O2187" s="49"/>
      <c r="P2187" s="49"/>
      <c r="Q2187" s="49"/>
      <c r="R2187" s="49"/>
      <c r="S2187" s="49" t="n">
        <v>0</v>
      </c>
      <c r="T2187" s="49" t="n">
        <v>0</v>
      </c>
      <c r="U2187" s="49" t="s">
        <v>4623</v>
      </c>
    </row>
    <row r="2188" customFormat="false" ht="15" hidden="false" customHeight="false" outlineLevel="0" collapsed="false">
      <c r="B2188" s="48" t="n">
        <v>45707.0992476852</v>
      </c>
      <c r="C2188" s="4" t="n">
        <f aca="false">YEAR(B2188)</f>
        <v>2025</v>
      </c>
      <c r="D2188" s="49" t="s">
        <v>278</v>
      </c>
      <c r="E2188" s="49" t="s">
        <v>4624</v>
      </c>
      <c r="F2188" s="50" t="n">
        <v>1</v>
      </c>
      <c r="G2188" s="49" t="s">
        <v>290</v>
      </c>
      <c r="H2188" s="51" t="n">
        <v>0.0347</v>
      </c>
      <c r="I2188" s="51" t="n">
        <v>0.8784</v>
      </c>
      <c r="J2188" s="51" t="n">
        <v>0.0868</v>
      </c>
      <c r="K2188" s="49"/>
      <c r="L2188" s="49"/>
      <c r="M2188" s="49"/>
      <c r="N2188" s="49"/>
      <c r="O2188" s="49"/>
      <c r="P2188" s="49"/>
      <c r="Q2188" s="49"/>
      <c r="R2188" s="49"/>
      <c r="S2188" s="49" t="n">
        <v>0</v>
      </c>
      <c r="T2188" s="49" t="n">
        <v>0</v>
      </c>
      <c r="U2188" s="49" t="s">
        <v>4625</v>
      </c>
    </row>
    <row r="2189" customFormat="false" ht="15" hidden="false" customHeight="false" outlineLevel="0" collapsed="false">
      <c r="B2189" s="48" t="n">
        <v>45707.2545717593</v>
      </c>
      <c r="C2189" s="4" t="n">
        <f aca="false">YEAR(B2189)</f>
        <v>2025</v>
      </c>
      <c r="D2189" s="49" t="s">
        <v>283</v>
      </c>
      <c r="E2189" s="49" t="s">
        <v>4626</v>
      </c>
      <c r="F2189" s="50" t="n">
        <v>6</v>
      </c>
      <c r="G2189" s="49" t="s">
        <v>287</v>
      </c>
      <c r="H2189" s="51" t="n">
        <v>0.0303</v>
      </c>
      <c r="I2189" s="51" t="n">
        <v>0.4041</v>
      </c>
      <c r="J2189" s="51" t="n">
        <v>0.5657</v>
      </c>
      <c r="K2189" s="49" t="s">
        <v>281</v>
      </c>
      <c r="L2189" s="49"/>
      <c r="M2189" s="49"/>
      <c r="N2189" s="49"/>
      <c r="O2189" s="49"/>
      <c r="P2189" s="49"/>
      <c r="Q2189" s="49"/>
      <c r="R2189" s="49" t="s">
        <v>281</v>
      </c>
      <c r="S2189" s="49" t="n">
        <v>0</v>
      </c>
      <c r="T2189" s="49" t="n">
        <v>0</v>
      </c>
      <c r="U2189" s="49" t="s">
        <v>4627</v>
      </c>
    </row>
    <row r="2190" customFormat="false" ht="15" hidden="false" customHeight="false" outlineLevel="0" collapsed="false">
      <c r="B2190" s="48" t="n">
        <v>45707.8976157407</v>
      </c>
      <c r="C2190" s="4" t="n">
        <f aca="false">YEAR(B2190)</f>
        <v>2025</v>
      </c>
      <c r="D2190" s="49" t="s">
        <v>278</v>
      </c>
      <c r="E2190" s="49" t="s">
        <v>4628</v>
      </c>
      <c r="F2190" s="50" t="n">
        <v>0</v>
      </c>
      <c r="G2190" s="49" t="s">
        <v>280</v>
      </c>
      <c r="H2190" s="51" t="n">
        <v>0.7915</v>
      </c>
      <c r="I2190" s="51" t="n">
        <v>0.1989</v>
      </c>
      <c r="J2190" s="51" t="n">
        <v>0.0096</v>
      </c>
      <c r="K2190" s="49"/>
      <c r="L2190" s="49"/>
      <c r="M2190" s="49"/>
      <c r="N2190" s="49"/>
      <c r="O2190" s="49"/>
      <c r="P2190" s="49"/>
      <c r="Q2190" s="49"/>
      <c r="R2190" s="49" t="s">
        <v>281</v>
      </c>
      <c r="S2190" s="49" t="n">
        <v>0</v>
      </c>
      <c r="T2190" s="49" t="n">
        <v>0</v>
      </c>
      <c r="U2190" s="49" t="s">
        <v>4629</v>
      </c>
    </row>
    <row r="2191" customFormat="false" ht="15" hidden="false" customHeight="false" outlineLevel="0" collapsed="false">
      <c r="B2191" s="48" t="n">
        <v>45707.937025463</v>
      </c>
      <c r="C2191" s="4" t="n">
        <f aca="false">YEAR(B2191)</f>
        <v>2025</v>
      </c>
      <c r="D2191" s="49" t="s">
        <v>283</v>
      </c>
      <c r="E2191" s="49" t="s">
        <v>4630</v>
      </c>
      <c r="F2191" s="50" t="n">
        <v>17</v>
      </c>
      <c r="G2191" s="49" t="s">
        <v>287</v>
      </c>
      <c r="H2191" s="51" t="n">
        <v>0.0128</v>
      </c>
      <c r="I2191" s="51" t="n">
        <v>0.3527</v>
      </c>
      <c r="J2191" s="51" t="n">
        <v>0.6344</v>
      </c>
      <c r="K2191" s="49"/>
      <c r="L2191" s="49"/>
      <c r="M2191" s="49"/>
      <c r="N2191" s="49"/>
      <c r="O2191" s="49"/>
      <c r="P2191" s="49"/>
      <c r="Q2191" s="49"/>
      <c r="R2191" s="49"/>
      <c r="S2191" s="49" t="n">
        <v>0</v>
      </c>
      <c r="T2191" s="49" t="n">
        <v>0</v>
      </c>
      <c r="U2191" s="49" t="s">
        <v>4631</v>
      </c>
    </row>
    <row r="2192" customFormat="false" ht="15" hidden="false" customHeight="false" outlineLevel="0" collapsed="false">
      <c r="B2192" s="48" t="n">
        <v>45708.8786342593</v>
      </c>
      <c r="C2192" s="4" t="n">
        <f aca="false">YEAR(B2192)</f>
        <v>2025</v>
      </c>
      <c r="D2192" s="49" t="s">
        <v>278</v>
      </c>
      <c r="E2192" s="49" t="s">
        <v>4632</v>
      </c>
      <c r="F2192" s="50" t="n">
        <v>5</v>
      </c>
      <c r="G2192" s="49" t="s">
        <v>280</v>
      </c>
      <c r="H2192" s="51" t="n">
        <v>0.7871</v>
      </c>
      <c r="I2192" s="51" t="n">
        <v>0.1982</v>
      </c>
      <c r="J2192" s="51" t="n">
        <v>0.0147</v>
      </c>
      <c r="K2192" s="49"/>
      <c r="L2192" s="49"/>
      <c r="M2192" s="49"/>
      <c r="N2192" s="49"/>
      <c r="O2192" s="49"/>
      <c r="P2192" s="49"/>
      <c r="Q2192" s="49"/>
      <c r="R2192" s="49"/>
      <c r="S2192" s="49" t="n">
        <v>0</v>
      </c>
      <c r="T2192" s="49" t="n">
        <v>0</v>
      </c>
      <c r="U2192" s="49" t="s">
        <v>4633</v>
      </c>
    </row>
    <row r="2193" customFormat="false" ht="15" hidden="false" customHeight="false" outlineLevel="0" collapsed="false">
      <c r="B2193" s="48" t="n">
        <v>45710.0777546296</v>
      </c>
      <c r="C2193" s="4" t="n">
        <f aca="false">YEAR(B2193)</f>
        <v>2025</v>
      </c>
      <c r="D2193" s="49" t="s">
        <v>283</v>
      </c>
      <c r="E2193" s="49" t="s">
        <v>4634</v>
      </c>
      <c r="F2193" s="50" t="n">
        <v>1</v>
      </c>
      <c r="G2193" s="49" t="s">
        <v>287</v>
      </c>
      <c r="H2193" s="51" t="n">
        <v>0.0713</v>
      </c>
      <c r="I2193" s="51" t="n">
        <v>0.3815</v>
      </c>
      <c r="J2193" s="51" t="n">
        <v>0.5472</v>
      </c>
      <c r="K2193" s="49"/>
      <c r="L2193" s="49"/>
      <c r="M2193" s="49"/>
      <c r="N2193" s="49"/>
      <c r="O2193" s="49"/>
      <c r="P2193" s="49"/>
      <c r="Q2193" s="49"/>
      <c r="R2193" s="49"/>
      <c r="S2193" s="49" t="n">
        <v>0</v>
      </c>
      <c r="T2193" s="49" t="n">
        <v>0</v>
      </c>
      <c r="U2193" s="49" t="s">
        <v>4635</v>
      </c>
    </row>
    <row r="2194" customFormat="false" ht="15" hidden="false" customHeight="false" outlineLevel="0" collapsed="false">
      <c r="B2194" s="48" t="n">
        <v>45710.1033564815</v>
      </c>
      <c r="C2194" s="4" t="n">
        <f aca="false">YEAR(B2194)</f>
        <v>2025</v>
      </c>
      <c r="D2194" s="49" t="s">
        <v>283</v>
      </c>
      <c r="E2194" s="49" t="s">
        <v>4636</v>
      </c>
      <c r="F2194" s="50" t="n">
        <v>7</v>
      </c>
      <c r="G2194" s="49" t="s">
        <v>287</v>
      </c>
      <c r="H2194" s="51" t="n">
        <v>0.0022</v>
      </c>
      <c r="I2194" s="51" t="n">
        <v>0.0765</v>
      </c>
      <c r="J2194" s="51" t="n">
        <v>0.9213</v>
      </c>
      <c r="K2194" s="49"/>
      <c r="L2194" s="49"/>
      <c r="M2194" s="49"/>
      <c r="N2194" s="49"/>
      <c r="O2194" s="49"/>
      <c r="P2194" s="49"/>
      <c r="Q2194" s="49"/>
      <c r="R2194" s="49"/>
      <c r="S2194" s="49" t="n">
        <v>0</v>
      </c>
      <c r="T2194" s="49" t="n">
        <v>0</v>
      </c>
      <c r="U2194" s="49" t="s">
        <v>4637</v>
      </c>
    </row>
    <row r="2195" customFormat="false" ht="15" hidden="false" customHeight="false" outlineLevel="0" collapsed="false">
      <c r="B2195" s="48" t="n">
        <v>45710.4261111111</v>
      </c>
      <c r="C2195" s="4" t="n">
        <f aca="false">YEAR(B2195)</f>
        <v>2025</v>
      </c>
      <c r="D2195" s="49" t="s">
        <v>283</v>
      </c>
      <c r="E2195" s="49" t="s">
        <v>4638</v>
      </c>
      <c r="F2195" s="50" t="n">
        <v>1</v>
      </c>
      <c r="G2195" s="49" t="s">
        <v>287</v>
      </c>
      <c r="H2195" s="51" t="n">
        <v>0.0033</v>
      </c>
      <c r="I2195" s="51" t="n">
        <v>0.3079</v>
      </c>
      <c r="J2195" s="51" t="n">
        <v>0.6889</v>
      </c>
      <c r="K2195" s="49"/>
      <c r="L2195" s="49"/>
      <c r="M2195" s="49"/>
      <c r="N2195" s="49"/>
      <c r="O2195" s="49"/>
      <c r="P2195" s="49"/>
      <c r="Q2195" s="49"/>
      <c r="R2195" s="49"/>
      <c r="S2195" s="49" t="n">
        <v>0</v>
      </c>
      <c r="T2195" s="49" t="n">
        <v>0</v>
      </c>
      <c r="U2195" s="49" t="s">
        <v>4639</v>
      </c>
    </row>
    <row r="2196" customFormat="false" ht="15" hidden="false" customHeight="false" outlineLevel="0" collapsed="false">
      <c r="B2196" s="48" t="n">
        <v>45710.4268171296</v>
      </c>
      <c r="C2196" s="4" t="n">
        <f aca="false">YEAR(B2196)</f>
        <v>2025</v>
      </c>
      <c r="D2196" s="49" t="s">
        <v>283</v>
      </c>
      <c r="E2196" s="49" t="s">
        <v>4640</v>
      </c>
      <c r="F2196" s="50" t="n">
        <v>1</v>
      </c>
      <c r="G2196" s="49" t="s">
        <v>280</v>
      </c>
      <c r="H2196" s="51" t="n">
        <v>0.8266</v>
      </c>
      <c r="I2196" s="51" t="n">
        <v>0.1524</v>
      </c>
      <c r="J2196" s="51" t="n">
        <v>0.021</v>
      </c>
      <c r="K2196" s="49"/>
      <c r="L2196" s="49"/>
      <c r="M2196" s="49"/>
      <c r="N2196" s="49"/>
      <c r="O2196" s="49"/>
      <c r="P2196" s="49"/>
      <c r="Q2196" s="49"/>
      <c r="R2196" s="49"/>
      <c r="S2196" s="49" t="n">
        <v>0</v>
      </c>
      <c r="T2196" s="49" t="n">
        <v>0</v>
      </c>
      <c r="U2196" s="49" t="s">
        <v>4641</v>
      </c>
    </row>
    <row r="2197" customFormat="false" ht="15" hidden="false" customHeight="false" outlineLevel="0" collapsed="false">
      <c r="B2197" s="48" t="n">
        <v>45710.9091666667</v>
      </c>
      <c r="C2197" s="4" t="n">
        <f aca="false">YEAR(B2197)</f>
        <v>2025</v>
      </c>
      <c r="D2197" s="49" t="s">
        <v>283</v>
      </c>
      <c r="E2197" s="49" t="s">
        <v>4642</v>
      </c>
      <c r="F2197" s="50" t="n">
        <v>1</v>
      </c>
      <c r="G2197" s="49" t="s">
        <v>290</v>
      </c>
      <c r="H2197" s="51" t="n">
        <v>0.3363</v>
      </c>
      <c r="I2197" s="51" t="n">
        <v>0.502</v>
      </c>
      <c r="J2197" s="51" t="n">
        <v>0.1617</v>
      </c>
      <c r="K2197" s="49"/>
      <c r="L2197" s="49"/>
      <c r="M2197" s="49"/>
      <c r="N2197" s="49"/>
      <c r="O2197" s="49"/>
      <c r="P2197" s="49"/>
      <c r="Q2197" s="49"/>
      <c r="R2197" s="49"/>
      <c r="S2197" s="49" t="n">
        <v>0</v>
      </c>
      <c r="T2197" s="49" t="n">
        <v>0</v>
      </c>
      <c r="U2197" s="49" t="s">
        <v>4643</v>
      </c>
    </row>
    <row r="2198" customFormat="false" ht="15" hidden="false" customHeight="false" outlineLevel="0" collapsed="false">
      <c r="B2198" s="48" t="n">
        <v>45710.9558680556</v>
      </c>
      <c r="C2198" s="4" t="n">
        <f aca="false">YEAR(B2198)</f>
        <v>2025</v>
      </c>
      <c r="D2198" s="49" t="s">
        <v>283</v>
      </c>
      <c r="E2198" s="49" t="s">
        <v>4644</v>
      </c>
      <c r="F2198" s="50" t="n">
        <v>1</v>
      </c>
      <c r="G2198" s="49" t="s">
        <v>287</v>
      </c>
      <c r="H2198" s="51" t="n">
        <v>0.0041</v>
      </c>
      <c r="I2198" s="51" t="n">
        <v>0.1322</v>
      </c>
      <c r="J2198" s="51" t="n">
        <v>0.8637</v>
      </c>
      <c r="K2198" s="49"/>
      <c r="L2198" s="49"/>
      <c r="M2198" s="49"/>
      <c r="N2198" s="49"/>
      <c r="O2198" s="49"/>
      <c r="P2198" s="49"/>
      <c r="Q2198" s="49"/>
      <c r="R2198" s="49"/>
      <c r="S2198" s="49" t="n">
        <v>0</v>
      </c>
      <c r="T2198" s="49" t="n">
        <v>0</v>
      </c>
      <c r="U2198" s="49" t="s">
        <v>4645</v>
      </c>
    </row>
    <row r="2199" customFormat="false" ht="15" hidden="false" customHeight="false" outlineLevel="0" collapsed="false">
      <c r="B2199" s="48" t="n">
        <v>45711.7479050926</v>
      </c>
      <c r="C2199" s="4" t="n">
        <f aca="false">YEAR(B2199)</f>
        <v>2025</v>
      </c>
      <c r="D2199" s="49" t="s">
        <v>283</v>
      </c>
      <c r="E2199" s="49" t="s">
        <v>4646</v>
      </c>
      <c r="F2199" s="50" t="n">
        <v>1</v>
      </c>
      <c r="G2199" s="49" t="s">
        <v>287</v>
      </c>
      <c r="H2199" s="51" t="n">
        <v>0.0088</v>
      </c>
      <c r="I2199" s="51" t="n">
        <v>0.2701</v>
      </c>
      <c r="J2199" s="51" t="n">
        <v>0.7211</v>
      </c>
      <c r="K2199" s="49"/>
      <c r="L2199" s="49"/>
      <c r="M2199" s="49"/>
      <c r="N2199" s="49"/>
      <c r="O2199" s="49"/>
      <c r="P2199" s="49"/>
      <c r="Q2199" s="49"/>
      <c r="R2199" s="49"/>
      <c r="S2199" s="49" t="n">
        <v>0</v>
      </c>
      <c r="T2199" s="49" t="n">
        <v>0</v>
      </c>
      <c r="U2199" s="49" t="s">
        <v>4647</v>
      </c>
    </row>
    <row r="2200" customFormat="false" ht="15" hidden="false" customHeight="false" outlineLevel="0" collapsed="false">
      <c r="B2200" s="48" t="n">
        <v>45711.9497916667</v>
      </c>
      <c r="C2200" s="4" t="n">
        <f aca="false">YEAR(B2200)</f>
        <v>2025</v>
      </c>
      <c r="D2200" s="49" t="s">
        <v>283</v>
      </c>
      <c r="E2200" s="49" t="s">
        <v>4648</v>
      </c>
      <c r="F2200" s="50" t="n">
        <v>33</v>
      </c>
      <c r="G2200" s="49" t="s">
        <v>290</v>
      </c>
      <c r="H2200" s="51" t="n">
        <v>0.2665</v>
      </c>
      <c r="I2200" s="51" t="n">
        <v>0.4925</v>
      </c>
      <c r="J2200" s="51" t="n">
        <v>0.241</v>
      </c>
      <c r="K2200" s="49"/>
      <c r="L2200" s="49"/>
      <c r="M2200" s="49"/>
      <c r="N2200" s="49"/>
      <c r="O2200" s="49"/>
      <c r="P2200" s="49"/>
      <c r="Q2200" s="49"/>
      <c r="R2200" s="49"/>
      <c r="S2200" s="49" t="n">
        <v>0</v>
      </c>
      <c r="T2200" s="49" t="n">
        <v>0</v>
      </c>
      <c r="U2200" s="49" t="s">
        <v>4649</v>
      </c>
    </row>
    <row r="2201" customFormat="false" ht="15" hidden="false" customHeight="false" outlineLevel="0" collapsed="false">
      <c r="B2201" s="48" t="n">
        <v>45712.3093055556</v>
      </c>
      <c r="C2201" s="4" t="n">
        <f aca="false">YEAR(B2201)</f>
        <v>2025</v>
      </c>
      <c r="D2201" s="49" t="s">
        <v>283</v>
      </c>
      <c r="E2201" s="49" t="s">
        <v>4650</v>
      </c>
      <c r="F2201" s="50" t="n">
        <v>0</v>
      </c>
      <c r="G2201" s="49" t="s">
        <v>280</v>
      </c>
      <c r="H2201" s="51" t="n">
        <v>0.7103</v>
      </c>
      <c r="I2201" s="51" t="n">
        <v>0.226</v>
      </c>
      <c r="J2201" s="51" t="n">
        <v>0.0637</v>
      </c>
      <c r="K2201" s="49"/>
      <c r="L2201" s="49"/>
      <c r="M2201" s="49"/>
      <c r="N2201" s="49"/>
      <c r="O2201" s="49"/>
      <c r="P2201" s="49"/>
      <c r="Q2201" s="49"/>
      <c r="R2201" s="49" t="s">
        <v>281</v>
      </c>
      <c r="S2201" s="49" t="n">
        <v>0</v>
      </c>
      <c r="T2201" s="49" t="n">
        <v>0</v>
      </c>
      <c r="U2201" s="49" t="s">
        <v>4651</v>
      </c>
    </row>
    <row r="2202" customFormat="false" ht="15" hidden="false" customHeight="false" outlineLevel="0" collapsed="false">
      <c r="B2202" s="48" t="n">
        <v>45712.4994907407</v>
      </c>
      <c r="C2202" s="4" t="n">
        <f aca="false">YEAR(B2202)</f>
        <v>2025</v>
      </c>
      <c r="D2202" s="49" t="s">
        <v>283</v>
      </c>
      <c r="E2202" s="49" t="s">
        <v>4652</v>
      </c>
      <c r="F2202" s="50" t="n">
        <v>1</v>
      </c>
      <c r="G2202" s="49" t="s">
        <v>280</v>
      </c>
      <c r="H2202" s="51" t="n">
        <v>0.5923</v>
      </c>
      <c r="I2202" s="51" t="n">
        <v>0.3848</v>
      </c>
      <c r="J2202" s="51" t="n">
        <v>0.0229</v>
      </c>
      <c r="K2202" s="49"/>
      <c r="L2202" s="49"/>
      <c r="M2202" s="49"/>
      <c r="N2202" s="49"/>
      <c r="O2202" s="49"/>
      <c r="P2202" s="49"/>
      <c r="Q2202" s="49"/>
      <c r="R2202" s="49"/>
      <c r="S2202" s="49" t="n">
        <v>0</v>
      </c>
      <c r="T2202" s="49" t="n">
        <v>0</v>
      </c>
      <c r="U2202" s="49" t="s">
        <v>4653</v>
      </c>
    </row>
    <row r="2203" customFormat="false" ht="15" hidden="false" customHeight="false" outlineLevel="0" collapsed="false">
      <c r="B2203" s="48" t="n">
        <v>45712.5619791667</v>
      </c>
      <c r="C2203" s="4" t="n">
        <f aca="false">YEAR(B2203)</f>
        <v>2025</v>
      </c>
      <c r="D2203" s="49" t="s">
        <v>283</v>
      </c>
      <c r="E2203" s="49" t="s">
        <v>4654</v>
      </c>
      <c r="F2203" s="50" t="n">
        <v>1</v>
      </c>
      <c r="G2203" s="49" t="s">
        <v>287</v>
      </c>
      <c r="H2203" s="51" t="n">
        <v>0.0062</v>
      </c>
      <c r="I2203" s="51" t="n">
        <v>0.095</v>
      </c>
      <c r="J2203" s="51" t="n">
        <v>0.8988</v>
      </c>
      <c r="K2203" s="49"/>
      <c r="L2203" s="49"/>
      <c r="M2203" s="49"/>
      <c r="N2203" s="49"/>
      <c r="O2203" s="49"/>
      <c r="P2203" s="49"/>
      <c r="Q2203" s="49"/>
      <c r="R2203" s="49"/>
      <c r="S2203" s="49" t="n">
        <v>0</v>
      </c>
      <c r="T2203" s="49" t="n">
        <v>0</v>
      </c>
      <c r="U2203" s="49" t="s">
        <v>4655</v>
      </c>
    </row>
    <row r="2204" customFormat="false" ht="15" hidden="false" customHeight="false" outlineLevel="0" collapsed="false">
      <c r="B2204" s="48" t="n">
        <v>45713.3072222222</v>
      </c>
      <c r="C2204" s="4" t="n">
        <f aca="false">YEAR(B2204)</f>
        <v>2025</v>
      </c>
      <c r="D2204" s="49" t="s">
        <v>283</v>
      </c>
      <c r="E2204" s="49" t="s">
        <v>4656</v>
      </c>
      <c r="F2204" s="50" t="n">
        <v>25</v>
      </c>
      <c r="G2204" s="49" t="s">
        <v>287</v>
      </c>
      <c r="H2204" s="51" t="n">
        <v>0.0036</v>
      </c>
      <c r="I2204" s="51" t="n">
        <v>0.094</v>
      </c>
      <c r="J2204" s="51" t="n">
        <v>0.9024</v>
      </c>
      <c r="K2204" s="49"/>
      <c r="L2204" s="49"/>
      <c r="M2204" s="49"/>
      <c r="N2204" s="49"/>
      <c r="O2204" s="49"/>
      <c r="P2204" s="49" t="s">
        <v>281</v>
      </c>
      <c r="Q2204" s="49"/>
      <c r="R2204" s="49"/>
      <c r="S2204" s="49" t="n">
        <v>0</v>
      </c>
      <c r="T2204" s="49" t="n">
        <v>0</v>
      </c>
      <c r="U2204" s="49" t="s">
        <v>4657</v>
      </c>
    </row>
    <row r="2205" customFormat="false" ht="15" hidden="false" customHeight="false" outlineLevel="0" collapsed="false">
      <c r="B2205" s="48" t="n">
        <v>45714.0737731482</v>
      </c>
      <c r="C2205" s="4" t="n">
        <f aca="false">YEAR(B2205)</f>
        <v>2025</v>
      </c>
      <c r="D2205" s="49" t="s">
        <v>283</v>
      </c>
      <c r="E2205" s="49" t="s">
        <v>4658</v>
      </c>
      <c r="F2205" s="50" t="n">
        <v>1</v>
      </c>
      <c r="G2205" s="49" t="s">
        <v>280</v>
      </c>
      <c r="H2205" s="51" t="n">
        <v>0.8394</v>
      </c>
      <c r="I2205" s="51" t="n">
        <v>0.15</v>
      </c>
      <c r="J2205" s="51" t="n">
        <v>0.0106</v>
      </c>
      <c r="K2205" s="49"/>
      <c r="L2205" s="49"/>
      <c r="M2205" s="49"/>
      <c r="N2205" s="49"/>
      <c r="O2205" s="49"/>
      <c r="P2205" s="49"/>
      <c r="Q2205" s="49"/>
      <c r="R2205" s="49"/>
      <c r="S2205" s="49" t="n">
        <v>0</v>
      </c>
      <c r="T2205" s="49" t="n">
        <v>0</v>
      </c>
      <c r="U2205" s="49" t="s">
        <v>4659</v>
      </c>
    </row>
    <row r="2206" customFormat="false" ht="15" hidden="false" customHeight="false" outlineLevel="0" collapsed="false">
      <c r="B2206" s="48" t="n">
        <v>45714.3292708333</v>
      </c>
      <c r="C2206" s="4" t="n">
        <f aca="false">YEAR(B2206)</f>
        <v>2025</v>
      </c>
      <c r="D2206" s="49" t="s">
        <v>283</v>
      </c>
      <c r="E2206" s="49" t="s">
        <v>4660</v>
      </c>
      <c r="F2206" s="50" t="n">
        <v>1</v>
      </c>
      <c r="G2206" s="49" t="s">
        <v>290</v>
      </c>
      <c r="H2206" s="51" t="n">
        <v>0.0167</v>
      </c>
      <c r="I2206" s="51" t="n">
        <v>0.6467</v>
      </c>
      <c r="J2206" s="51" t="n">
        <v>0.3366</v>
      </c>
      <c r="K2206" s="49"/>
      <c r="L2206" s="49"/>
      <c r="M2206" s="49"/>
      <c r="N2206" s="49"/>
      <c r="O2206" s="49"/>
      <c r="P2206" s="49"/>
      <c r="Q2206" s="49"/>
      <c r="R2206" s="49"/>
      <c r="S2206" s="49" t="n">
        <v>0</v>
      </c>
      <c r="T2206" s="49" t="n">
        <v>0</v>
      </c>
      <c r="U2206" s="49" t="s">
        <v>4661</v>
      </c>
    </row>
    <row r="2207" customFormat="false" ht="15" hidden="false" customHeight="false" outlineLevel="0" collapsed="false">
      <c r="B2207" s="48" t="n">
        <v>45715.6517361111</v>
      </c>
      <c r="C2207" s="4" t="n">
        <f aca="false">YEAR(B2207)</f>
        <v>2025</v>
      </c>
      <c r="D2207" s="49" t="s">
        <v>283</v>
      </c>
      <c r="E2207" s="49" t="s">
        <v>4662</v>
      </c>
      <c r="F2207" s="50" t="n">
        <v>3</v>
      </c>
      <c r="G2207" s="49" t="s">
        <v>287</v>
      </c>
      <c r="H2207" s="51" t="n">
        <v>0.0251</v>
      </c>
      <c r="I2207" s="51" t="n">
        <v>0.2929</v>
      </c>
      <c r="J2207" s="51" t="n">
        <v>0.682</v>
      </c>
      <c r="K2207" s="49"/>
      <c r="L2207" s="49"/>
      <c r="M2207" s="49"/>
      <c r="N2207" s="49"/>
      <c r="O2207" s="49"/>
      <c r="P2207" s="49"/>
      <c r="Q2207" s="49"/>
      <c r="R2207" s="49"/>
      <c r="S2207" s="49" t="n">
        <v>0</v>
      </c>
      <c r="T2207" s="49" t="n">
        <v>0</v>
      </c>
      <c r="U2207" s="49" t="s">
        <v>4663</v>
      </c>
    </row>
    <row r="2208" customFormat="false" ht="15" hidden="false" customHeight="false" outlineLevel="0" collapsed="false">
      <c r="B2208" s="48" t="n">
        <v>45716.0359722222</v>
      </c>
      <c r="C2208" s="4" t="n">
        <f aca="false">YEAR(B2208)</f>
        <v>2025</v>
      </c>
      <c r="D2208" s="49" t="s">
        <v>278</v>
      </c>
      <c r="E2208" s="49" t="s">
        <v>4664</v>
      </c>
      <c r="F2208" s="50" t="n">
        <v>6</v>
      </c>
      <c r="G2208" s="49" t="s">
        <v>280</v>
      </c>
      <c r="H2208" s="51" t="n">
        <v>0.8797</v>
      </c>
      <c r="I2208" s="51" t="n">
        <v>0.11</v>
      </c>
      <c r="J2208" s="51" t="n">
        <v>0.0104</v>
      </c>
      <c r="K2208" s="49"/>
      <c r="L2208" s="49"/>
      <c r="M2208" s="49"/>
      <c r="N2208" s="49"/>
      <c r="O2208" s="49"/>
      <c r="P2208" s="49"/>
      <c r="Q2208" s="49"/>
      <c r="R2208" s="49" t="s">
        <v>281</v>
      </c>
      <c r="S2208" s="49" t="n">
        <v>0</v>
      </c>
      <c r="T2208" s="49" t="n">
        <v>0</v>
      </c>
      <c r="U2208" s="49" t="s">
        <v>4665</v>
      </c>
    </row>
    <row r="2209" customFormat="false" ht="15" hidden="false" customHeight="false" outlineLevel="0" collapsed="false">
      <c r="B2209" s="48" t="n">
        <v>45717.2695949074</v>
      </c>
      <c r="C2209" s="4" t="n">
        <f aca="false">YEAR(B2209)</f>
        <v>2025</v>
      </c>
      <c r="D2209" s="49" t="s">
        <v>283</v>
      </c>
      <c r="E2209" s="49" t="s">
        <v>4666</v>
      </c>
      <c r="F2209" s="50" t="n">
        <v>2</v>
      </c>
      <c r="G2209" s="49" t="s">
        <v>287</v>
      </c>
      <c r="H2209" s="51" t="n">
        <v>0.0148</v>
      </c>
      <c r="I2209" s="51" t="n">
        <v>0.193</v>
      </c>
      <c r="J2209" s="51" t="n">
        <v>0.7922</v>
      </c>
      <c r="K2209" s="49"/>
      <c r="L2209" s="49"/>
      <c r="M2209" s="49"/>
      <c r="N2209" s="49"/>
      <c r="O2209" s="49"/>
      <c r="P2209" s="49"/>
      <c r="Q2209" s="49"/>
      <c r="R2209" s="49"/>
      <c r="S2209" s="49" t="n">
        <v>0</v>
      </c>
      <c r="T2209" s="49" t="n">
        <v>0</v>
      </c>
      <c r="U2209" s="49" t="s">
        <v>4667</v>
      </c>
    </row>
    <row r="2210" customFormat="false" ht="15" hidden="false" customHeight="false" outlineLevel="0" collapsed="false">
      <c r="B2210" s="48" t="n">
        <v>45717.2829282407</v>
      </c>
      <c r="C2210" s="4" t="n">
        <f aca="false">YEAR(B2210)</f>
        <v>2025</v>
      </c>
      <c r="D2210" s="49" t="s">
        <v>283</v>
      </c>
      <c r="E2210" s="49" t="s">
        <v>4668</v>
      </c>
      <c r="F2210" s="50" t="n">
        <v>6</v>
      </c>
      <c r="G2210" s="49" t="s">
        <v>287</v>
      </c>
      <c r="H2210" s="51" t="n">
        <v>0.0091</v>
      </c>
      <c r="I2210" s="51" t="n">
        <v>0.3563</v>
      </c>
      <c r="J2210" s="51" t="n">
        <v>0.6346</v>
      </c>
      <c r="K2210" s="49"/>
      <c r="L2210" s="49"/>
      <c r="M2210" s="49"/>
      <c r="N2210" s="49"/>
      <c r="O2210" s="49"/>
      <c r="P2210" s="49"/>
      <c r="Q2210" s="49"/>
      <c r="R2210" s="49"/>
      <c r="S2210" s="49" t="n">
        <v>0</v>
      </c>
      <c r="T2210" s="49" t="n">
        <v>0</v>
      </c>
      <c r="U2210" s="49" t="s">
        <v>4669</v>
      </c>
    </row>
    <row r="2211" customFormat="false" ht="15" hidden="false" customHeight="false" outlineLevel="0" collapsed="false">
      <c r="B2211" s="48" t="n">
        <v>45717.6172685185</v>
      </c>
      <c r="C2211" s="4" t="n">
        <f aca="false">YEAR(B2211)</f>
        <v>2025</v>
      </c>
      <c r="D2211" s="49" t="s">
        <v>283</v>
      </c>
      <c r="E2211" s="49" t="s">
        <v>4670</v>
      </c>
      <c r="F2211" s="50" t="n">
        <v>18</v>
      </c>
      <c r="G2211" s="49" t="s">
        <v>287</v>
      </c>
      <c r="H2211" s="51" t="n">
        <v>0.0157</v>
      </c>
      <c r="I2211" s="51" t="n">
        <v>0.1463</v>
      </c>
      <c r="J2211" s="51" t="n">
        <v>0.838</v>
      </c>
      <c r="K2211" s="49"/>
      <c r="L2211" s="49"/>
      <c r="M2211" s="49"/>
      <c r="N2211" s="49"/>
      <c r="O2211" s="49"/>
      <c r="P2211" s="49"/>
      <c r="Q2211" s="49"/>
      <c r="R2211" s="49"/>
      <c r="S2211" s="49" t="n">
        <v>0</v>
      </c>
      <c r="T2211" s="49" t="n">
        <v>0</v>
      </c>
      <c r="U2211" s="49" t="s">
        <v>4671</v>
      </c>
    </row>
    <row r="2212" customFormat="false" ht="15" hidden="false" customHeight="false" outlineLevel="0" collapsed="false">
      <c r="B2212" s="48" t="n">
        <v>45717.7180324074</v>
      </c>
      <c r="C2212" s="4" t="n">
        <f aca="false">YEAR(B2212)</f>
        <v>2025</v>
      </c>
      <c r="D2212" s="49" t="s">
        <v>283</v>
      </c>
      <c r="E2212" s="49" t="s">
        <v>4672</v>
      </c>
      <c r="F2212" s="50" t="n">
        <v>1</v>
      </c>
      <c r="G2212" s="49" t="s">
        <v>287</v>
      </c>
      <c r="H2212" s="51" t="n">
        <v>0.0021</v>
      </c>
      <c r="I2212" s="51" t="n">
        <v>0.0344</v>
      </c>
      <c r="J2212" s="51" t="n">
        <v>0.9635</v>
      </c>
      <c r="K2212" s="49"/>
      <c r="L2212" s="49"/>
      <c r="M2212" s="49"/>
      <c r="N2212" s="49"/>
      <c r="O2212" s="49"/>
      <c r="P2212" s="49"/>
      <c r="Q2212" s="49"/>
      <c r="R2212" s="49"/>
      <c r="S2212" s="49" t="n">
        <v>0</v>
      </c>
      <c r="T2212" s="49" t="n">
        <v>0</v>
      </c>
      <c r="U2212" s="49" t="s">
        <v>4673</v>
      </c>
    </row>
    <row r="2213" customFormat="false" ht="15" hidden="false" customHeight="false" outlineLevel="0" collapsed="false">
      <c r="B2213" s="48" t="n">
        <v>45718.2288310185</v>
      </c>
      <c r="C2213" s="4" t="n">
        <f aca="false">YEAR(B2213)</f>
        <v>2025</v>
      </c>
      <c r="D2213" s="49" t="s">
        <v>283</v>
      </c>
      <c r="E2213" s="49" t="s">
        <v>4674</v>
      </c>
      <c r="F2213" s="50" t="n">
        <v>29</v>
      </c>
      <c r="G2213" s="49" t="s">
        <v>287</v>
      </c>
      <c r="H2213" s="51" t="n">
        <v>0.0028</v>
      </c>
      <c r="I2213" s="51" t="n">
        <v>0.0363</v>
      </c>
      <c r="J2213" s="51" t="n">
        <v>0.9609</v>
      </c>
      <c r="K2213" s="49"/>
      <c r="L2213" s="49"/>
      <c r="M2213" s="49"/>
      <c r="N2213" s="49"/>
      <c r="O2213" s="49"/>
      <c r="P2213" s="49"/>
      <c r="Q2213" s="49"/>
      <c r="R2213" s="49"/>
      <c r="S2213" s="49" t="n">
        <v>0</v>
      </c>
      <c r="T2213" s="49" t="n">
        <v>0</v>
      </c>
      <c r="U2213" s="49" t="s">
        <v>4675</v>
      </c>
    </row>
    <row r="2214" customFormat="false" ht="15" hidden="false" customHeight="false" outlineLevel="0" collapsed="false">
      <c r="B2214" s="48" t="n">
        <v>45718.5673032407</v>
      </c>
      <c r="C2214" s="4" t="n">
        <f aca="false">YEAR(B2214)</f>
        <v>2025</v>
      </c>
      <c r="D2214" s="49" t="s">
        <v>283</v>
      </c>
      <c r="E2214" s="49" t="s">
        <v>4676</v>
      </c>
      <c r="F2214" s="50" t="n">
        <v>1</v>
      </c>
      <c r="G2214" s="49" t="s">
        <v>287</v>
      </c>
      <c r="H2214" s="51" t="n">
        <v>0.0024</v>
      </c>
      <c r="I2214" s="51" t="n">
        <v>0.0943</v>
      </c>
      <c r="J2214" s="51" t="n">
        <v>0.9033</v>
      </c>
      <c r="K2214" s="49"/>
      <c r="L2214" s="49"/>
      <c r="M2214" s="49"/>
      <c r="N2214" s="49"/>
      <c r="O2214" s="49"/>
      <c r="P2214" s="49"/>
      <c r="Q2214" s="49"/>
      <c r="R2214" s="49"/>
      <c r="S2214" s="49" t="n">
        <v>0</v>
      </c>
      <c r="T2214" s="49" t="n">
        <v>0</v>
      </c>
      <c r="U2214" s="49" t="s">
        <v>4677</v>
      </c>
    </row>
    <row r="2215" customFormat="false" ht="15" hidden="false" customHeight="false" outlineLevel="0" collapsed="false">
      <c r="B2215" s="48" t="n">
        <v>45718.9459606482</v>
      </c>
      <c r="C2215" s="4" t="n">
        <f aca="false">YEAR(B2215)</f>
        <v>2025</v>
      </c>
      <c r="D2215" s="49" t="s">
        <v>283</v>
      </c>
      <c r="E2215" s="49" t="s">
        <v>4678</v>
      </c>
      <c r="F2215" s="50" t="n">
        <v>1</v>
      </c>
      <c r="G2215" s="49" t="s">
        <v>280</v>
      </c>
      <c r="H2215" s="51" t="n">
        <v>0.7845</v>
      </c>
      <c r="I2215" s="51" t="n">
        <v>0.1772</v>
      </c>
      <c r="J2215" s="51" t="n">
        <v>0.0383</v>
      </c>
      <c r="K2215" s="49"/>
      <c r="L2215" s="49"/>
      <c r="M2215" s="49"/>
      <c r="N2215" s="49"/>
      <c r="O2215" s="49"/>
      <c r="P2215" s="49"/>
      <c r="Q2215" s="49"/>
      <c r="R2215" s="49"/>
      <c r="S2215" s="49" t="n">
        <v>0</v>
      </c>
      <c r="T2215" s="49" t="n">
        <v>0</v>
      </c>
      <c r="U2215" s="49" t="s">
        <v>4679</v>
      </c>
    </row>
    <row r="2216" customFormat="false" ht="15" hidden="false" customHeight="false" outlineLevel="0" collapsed="false">
      <c r="B2216" s="48" t="n">
        <v>45719.0612268519</v>
      </c>
      <c r="C2216" s="4" t="n">
        <f aca="false">YEAR(B2216)</f>
        <v>2025</v>
      </c>
      <c r="D2216" s="49" t="s">
        <v>278</v>
      </c>
      <c r="E2216" s="49" t="s">
        <v>4680</v>
      </c>
      <c r="F2216" s="50" t="n">
        <v>2</v>
      </c>
      <c r="G2216" s="49" t="s">
        <v>280</v>
      </c>
      <c r="H2216" s="51" t="n">
        <v>0.7291</v>
      </c>
      <c r="I2216" s="51" t="n">
        <v>0.2608</v>
      </c>
      <c r="J2216" s="51" t="n">
        <v>0.01</v>
      </c>
      <c r="K2216" s="49"/>
      <c r="L2216" s="49"/>
      <c r="M2216" s="49"/>
      <c r="N2216" s="49"/>
      <c r="O2216" s="49"/>
      <c r="P2216" s="49"/>
      <c r="Q2216" s="49" t="s">
        <v>281</v>
      </c>
      <c r="R2216" s="49"/>
      <c r="S2216" s="49" t="n">
        <v>0</v>
      </c>
      <c r="T2216" s="49" t="n">
        <v>0</v>
      </c>
      <c r="U2216" s="49" t="s">
        <v>4681</v>
      </c>
    </row>
    <row r="2217" customFormat="false" ht="15" hidden="false" customHeight="false" outlineLevel="0" collapsed="false">
      <c r="B2217" s="48" t="n">
        <v>45719.0954398148</v>
      </c>
      <c r="C2217" s="4" t="n">
        <f aca="false">YEAR(B2217)</f>
        <v>2025</v>
      </c>
      <c r="D2217" s="49" t="s">
        <v>283</v>
      </c>
      <c r="E2217" s="49" t="s">
        <v>4682</v>
      </c>
      <c r="F2217" s="50" t="n">
        <v>4</v>
      </c>
      <c r="G2217" s="49" t="s">
        <v>290</v>
      </c>
      <c r="H2217" s="51" t="n">
        <v>0.0311</v>
      </c>
      <c r="I2217" s="51" t="n">
        <v>0.5889</v>
      </c>
      <c r="J2217" s="51" t="n">
        <v>0.38</v>
      </c>
      <c r="K2217" s="49"/>
      <c r="L2217" s="49"/>
      <c r="M2217" s="49"/>
      <c r="N2217" s="49"/>
      <c r="O2217" s="49"/>
      <c r="P2217" s="49"/>
      <c r="Q2217" s="49"/>
      <c r="R2217" s="49"/>
      <c r="S2217" s="49" t="n">
        <v>0</v>
      </c>
      <c r="T2217" s="49" t="n">
        <v>0</v>
      </c>
      <c r="U2217" s="49" t="s">
        <v>4683</v>
      </c>
    </row>
    <row r="2218" customFormat="false" ht="15" hidden="false" customHeight="false" outlineLevel="0" collapsed="false">
      <c r="B2218" s="48" t="n">
        <v>45719.1018287037</v>
      </c>
      <c r="C2218" s="4" t="n">
        <f aca="false">YEAR(B2218)</f>
        <v>2025</v>
      </c>
      <c r="D2218" s="49" t="s">
        <v>283</v>
      </c>
      <c r="E2218" s="49" t="s">
        <v>4684</v>
      </c>
      <c r="F2218" s="50" t="n">
        <v>11</v>
      </c>
      <c r="G2218" s="49" t="s">
        <v>287</v>
      </c>
      <c r="H2218" s="51" t="n">
        <v>0.0487</v>
      </c>
      <c r="I2218" s="51" t="n">
        <v>0.2863</v>
      </c>
      <c r="J2218" s="51" t="n">
        <v>0.6651</v>
      </c>
      <c r="K2218" s="49"/>
      <c r="L2218" s="49"/>
      <c r="M2218" s="49"/>
      <c r="N2218" s="49"/>
      <c r="O2218" s="49"/>
      <c r="P2218" s="49"/>
      <c r="Q2218" s="49"/>
      <c r="R2218" s="49"/>
      <c r="S2218" s="49" t="n">
        <v>0</v>
      </c>
      <c r="T2218" s="49" t="n">
        <v>0</v>
      </c>
      <c r="U2218" s="49" t="s">
        <v>4685</v>
      </c>
    </row>
    <row r="2219" customFormat="false" ht="15" hidden="false" customHeight="false" outlineLevel="0" collapsed="false">
      <c r="B2219" s="48" t="n">
        <v>45719.4993634259</v>
      </c>
      <c r="C2219" s="4" t="n">
        <f aca="false">YEAR(B2219)</f>
        <v>2025</v>
      </c>
      <c r="D2219" s="49" t="s">
        <v>278</v>
      </c>
      <c r="E2219" s="49" t="s">
        <v>4686</v>
      </c>
      <c r="F2219" s="50" t="n">
        <v>0</v>
      </c>
      <c r="G2219" s="49" t="s">
        <v>290</v>
      </c>
      <c r="H2219" s="51" t="n">
        <v>0.0307</v>
      </c>
      <c r="I2219" s="51" t="n">
        <v>0.8662</v>
      </c>
      <c r="J2219" s="51" t="n">
        <v>0.1031</v>
      </c>
      <c r="K2219" s="49"/>
      <c r="L2219" s="49"/>
      <c r="M2219" s="49"/>
      <c r="N2219" s="49"/>
      <c r="O2219" s="49"/>
      <c r="P2219" s="49"/>
      <c r="Q2219" s="49"/>
      <c r="R2219" s="49"/>
      <c r="S2219" s="49" t="n">
        <v>0</v>
      </c>
      <c r="T2219" s="49" t="n">
        <v>0</v>
      </c>
      <c r="U2219" s="49" t="s">
        <v>4687</v>
      </c>
    </row>
    <row r="2220" customFormat="false" ht="15" hidden="false" customHeight="false" outlineLevel="0" collapsed="false">
      <c r="B2220" s="48" t="n">
        <v>45719.8391666667</v>
      </c>
      <c r="C2220" s="4" t="n">
        <f aca="false">YEAR(B2220)</f>
        <v>2025</v>
      </c>
      <c r="D2220" s="49" t="s">
        <v>283</v>
      </c>
      <c r="E2220" s="49" t="s">
        <v>4688</v>
      </c>
      <c r="F2220" s="50" t="n">
        <v>6</v>
      </c>
      <c r="G2220" s="49" t="s">
        <v>287</v>
      </c>
      <c r="H2220" s="51" t="n">
        <v>0.0138</v>
      </c>
      <c r="I2220" s="51" t="n">
        <v>0.2493</v>
      </c>
      <c r="J2220" s="51" t="n">
        <v>0.7369</v>
      </c>
      <c r="K2220" s="49"/>
      <c r="L2220" s="49"/>
      <c r="M2220" s="49"/>
      <c r="N2220" s="49"/>
      <c r="O2220" s="49"/>
      <c r="P2220" s="49"/>
      <c r="Q2220" s="49"/>
      <c r="R2220" s="49"/>
      <c r="S2220" s="49" t="n">
        <v>0</v>
      </c>
      <c r="T2220" s="49" t="n">
        <v>0</v>
      </c>
      <c r="U2220" s="49" t="s">
        <v>4689</v>
      </c>
    </row>
    <row r="2221" customFormat="false" ht="15" hidden="false" customHeight="false" outlineLevel="0" collapsed="false">
      <c r="B2221" s="48" t="n">
        <v>45720.3725462963</v>
      </c>
      <c r="C2221" s="4" t="n">
        <f aca="false">YEAR(B2221)</f>
        <v>2025</v>
      </c>
      <c r="D2221" s="49" t="s">
        <v>278</v>
      </c>
      <c r="E2221" s="49" t="s">
        <v>4690</v>
      </c>
      <c r="F2221" s="50" t="n">
        <v>0</v>
      </c>
      <c r="G2221" s="49" t="s">
        <v>290</v>
      </c>
      <c r="H2221" s="51" t="n">
        <v>0.0626</v>
      </c>
      <c r="I2221" s="51" t="n">
        <v>0.7228</v>
      </c>
      <c r="J2221" s="51" t="n">
        <v>0.2145</v>
      </c>
      <c r="K2221" s="49"/>
      <c r="L2221" s="49"/>
      <c r="M2221" s="49"/>
      <c r="N2221" s="49"/>
      <c r="O2221" s="49"/>
      <c r="P2221" s="49"/>
      <c r="Q2221" s="49"/>
      <c r="R2221" s="49"/>
      <c r="S2221" s="49" t="n">
        <v>0</v>
      </c>
      <c r="T2221" s="49" t="n">
        <v>0</v>
      </c>
      <c r="U2221" s="49" t="s">
        <v>4691</v>
      </c>
    </row>
    <row r="2222" customFormat="false" ht="15" hidden="false" customHeight="false" outlineLevel="0" collapsed="false">
      <c r="B2222" s="48" t="n">
        <v>45720.4608333333</v>
      </c>
      <c r="C2222" s="4" t="n">
        <f aca="false">YEAR(B2222)</f>
        <v>2025</v>
      </c>
      <c r="D2222" s="49" t="s">
        <v>283</v>
      </c>
      <c r="E2222" s="49" t="s">
        <v>4692</v>
      </c>
      <c r="F2222" s="50" t="n">
        <v>1</v>
      </c>
      <c r="G2222" s="49" t="s">
        <v>290</v>
      </c>
      <c r="H2222" s="51" t="n">
        <v>0.0071</v>
      </c>
      <c r="I2222" s="51" t="n">
        <v>0.866</v>
      </c>
      <c r="J2222" s="51" t="n">
        <v>0.1269</v>
      </c>
      <c r="K2222" s="49"/>
      <c r="L2222" s="49"/>
      <c r="M2222" s="49"/>
      <c r="N2222" s="49"/>
      <c r="O2222" s="49"/>
      <c r="P2222" s="49"/>
      <c r="Q2222" s="49"/>
      <c r="R2222" s="49"/>
      <c r="S2222" s="49" t="n">
        <v>0</v>
      </c>
      <c r="T2222" s="49" t="n">
        <v>0</v>
      </c>
      <c r="U2222" s="49" t="s">
        <v>4693</v>
      </c>
    </row>
    <row r="2223" customFormat="false" ht="15" hidden="false" customHeight="false" outlineLevel="0" collapsed="false">
      <c r="B2223" s="48" t="n">
        <v>45721.0599305556</v>
      </c>
      <c r="C2223" s="4" t="n">
        <f aca="false">YEAR(B2223)</f>
        <v>2025</v>
      </c>
      <c r="D2223" s="49" t="s">
        <v>283</v>
      </c>
      <c r="E2223" s="49" t="s">
        <v>4694</v>
      </c>
      <c r="F2223" s="50" t="n">
        <v>3</v>
      </c>
      <c r="G2223" s="49" t="s">
        <v>287</v>
      </c>
      <c r="H2223" s="51" t="n">
        <v>0.0032</v>
      </c>
      <c r="I2223" s="51" t="n">
        <v>0.0961</v>
      </c>
      <c r="J2223" s="51" t="n">
        <v>0.9007</v>
      </c>
      <c r="K2223" s="49"/>
      <c r="L2223" s="49"/>
      <c r="M2223" s="49"/>
      <c r="N2223" s="49"/>
      <c r="O2223" s="49"/>
      <c r="P2223" s="49"/>
      <c r="Q2223" s="49"/>
      <c r="R2223" s="49"/>
      <c r="S2223" s="49" t="n">
        <v>0</v>
      </c>
      <c r="T2223" s="49" t="n">
        <v>0</v>
      </c>
      <c r="U2223" s="49" t="s">
        <v>4695</v>
      </c>
    </row>
    <row r="2224" customFormat="false" ht="15" hidden="false" customHeight="false" outlineLevel="0" collapsed="false">
      <c r="B2224" s="48" t="n">
        <v>45721.4635069444</v>
      </c>
      <c r="C2224" s="4" t="n">
        <f aca="false">YEAR(B2224)</f>
        <v>2025</v>
      </c>
      <c r="D2224" s="49" t="s">
        <v>283</v>
      </c>
      <c r="E2224" s="49" t="s">
        <v>4696</v>
      </c>
      <c r="F2224" s="50" t="n">
        <v>0</v>
      </c>
      <c r="G2224" s="49" t="s">
        <v>280</v>
      </c>
      <c r="H2224" s="51" t="n">
        <v>0.5992</v>
      </c>
      <c r="I2224" s="51" t="n">
        <v>0.3652</v>
      </c>
      <c r="J2224" s="51" t="n">
        <v>0.0356</v>
      </c>
      <c r="K2224" s="49"/>
      <c r="L2224" s="49"/>
      <c r="M2224" s="49"/>
      <c r="N2224" s="49"/>
      <c r="O2224" s="49"/>
      <c r="P2224" s="49"/>
      <c r="Q2224" s="49" t="s">
        <v>281</v>
      </c>
      <c r="R2224" s="49"/>
      <c r="S2224" s="49" t="n">
        <v>0</v>
      </c>
      <c r="T2224" s="49" t="n">
        <v>0</v>
      </c>
      <c r="U2224" s="49" t="s">
        <v>4697</v>
      </c>
    </row>
    <row r="2225" customFormat="false" ht="15" hidden="false" customHeight="false" outlineLevel="0" collapsed="false">
      <c r="B2225" s="48" t="n">
        <v>45721.5944328704</v>
      </c>
      <c r="C2225" s="4" t="n">
        <f aca="false">YEAR(B2225)</f>
        <v>2025</v>
      </c>
      <c r="D2225" s="49" t="s">
        <v>283</v>
      </c>
      <c r="E2225" s="49" t="s">
        <v>4698</v>
      </c>
      <c r="F2225" s="50" t="n">
        <v>2</v>
      </c>
      <c r="G2225" s="49" t="s">
        <v>287</v>
      </c>
      <c r="H2225" s="51" t="n">
        <v>0.0386</v>
      </c>
      <c r="I2225" s="51" t="n">
        <v>0.2469</v>
      </c>
      <c r="J2225" s="51" t="n">
        <v>0.7145</v>
      </c>
      <c r="K2225" s="49"/>
      <c r="L2225" s="49"/>
      <c r="M2225" s="49"/>
      <c r="N2225" s="49"/>
      <c r="O2225" s="49"/>
      <c r="P2225" s="49"/>
      <c r="Q2225" s="49"/>
      <c r="R2225" s="49"/>
      <c r="S2225" s="49" t="n">
        <v>0</v>
      </c>
      <c r="T2225" s="49" t="n">
        <v>0</v>
      </c>
      <c r="U2225" s="49" t="s">
        <v>4699</v>
      </c>
    </row>
    <row r="2226" customFormat="false" ht="15" hidden="false" customHeight="false" outlineLevel="0" collapsed="false">
      <c r="B2226" s="48" t="n">
        <v>45722.0388194445</v>
      </c>
      <c r="C2226" s="4" t="n">
        <f aca="false">YEAR(B2226)</f>
        <v>2025</v>
      </c>
      <c r="D2226" s="49" t="s">
        <v>278</v>
      </c>
      <c r="E2226" s="49" t="s">
        <v>4700</v>
      </c>
      <c r="F2226" s="50" t="n">
        <v>6</v>
      </c>
      <c r="G2226" s="49" t="s">
        <v>280</v>
      </c>
      <c r="H2226" s="51" t="n">
        <v>0.8861</v>
      </c>
      <c r="I2226" s="51" t="n">
        <v>0.0973</v>
      </c>
      <c r="J2226" s="51" t="n">
        <v>0.0167</v>
      </c>
      <c r="K2226" s="49" t="s">
        <v>281</v>
      </c>
      <c r="L2226" s="49"/>
      <c r="M2226" s="49"/>
      <c r="N2226" s="49"/>
      <c r="O2226" s="49"/>
      <c r="P2226" s="49"/>
      <c r="Q2226" s="49"/>
      <c r="R2226" s="49"/>
      <c r="S2226" s="49" t="n">
        <v>0</v>
      </c>
      <c r="T2226" s="49" t="n">
        <v>0</v>
      </c>
      <c r="U2226" s="49" t="s">
        <v>4701</v>
      </c>
    </row>
    <row r="2227" customFormat="false" ht="15" hidden="false" customHeight="false" outlineLevel="0" collapsed="false">
      <c r="B2227" s="48" t="n">
        <v>45722.2923958333</v>
      </c>
      <c r="C2227" s="4" t="n">
        <f aca="false">YEAR(B2227)</f>
        <v>2025</v>
      </c>
      <c r="D2227" s="49" t="s">
        <v>283</v>
      </c>
      <c r="E2227" s="49" t="s">
        <v>4702</v>
      </c>
      <c r="F2227" s="50" t="n">
        <v>3</v>
      </c>
      <c r="G2227" s="49" t="s">
        <v>287</v>
      </c>
      <c r="H2227" s="51" t="n">
        <v>0.0045</v>
      </c>
      <c r="I2227" s="51" t="n">
        <v>0.2426</v>
      </c>
      <c r="J2227" s="51" t="n">
        <v>0.7529</v>
      </c>
      <c r="K2227" s="49"/>
      <c r="L2227" s="49"/>
      <c r="M2227" s="49"/>
      <c r="N2227" s="49"/>
      <c r="O2227" s="49"/>
      <c r="P2227" s="49"/>
      <c r="Q2227" s="49"/>
      <c r="R2227" s="49"/>
      <c r="S2227" s="49" t="n">
        <v>0</v>
      </c>
      <c r="T2227" s="49" t="n">
        <v>0</v>
      </c>
      <c r="U2227" s="49" t="s">
        <v>4703</v>
      </c>
    </row>
    <row r="2228" customFormat="false" ht="15" hidden="false" customHeight="false" outlineLevel="0" collapsed="false">
      <c r="B2228" s="48" t="n">
        <v>45722.6730902778</v>
      </c>
      <c r="C2228" s="4" t="n">
        <f aca="false">YEAR(B2228)</f>
        <v>2025</v>
      </c>
      <c r="D2228" s="49" t="s">
        <v>278</v>
      </c>
      <c r="E2228" s="49" t="s">
        <v>4704</v>
      </c>
      <c r="F2228" s="50" t="n">
        <v>2</v>
      </c>
      <c r="G2228" s="49" t="s">
        <v>290</v>
      </c>
      <c r="H2228" s="51" t="n">
        <v>0.3946</v>
      </c>
      <c r="I2228" s="51" t="n">
        <v>0.5773</v>
      </c>
      <c r="J2228" s="51" t="n">
        <v>0.0281</v>
      </c>
      <c r="K2228" s="49"/>
      <c r="L2228" s="49"/>
      <c r="M2228" s="49"/>
      <c r="N2228" s="49"/>
      <c r="O2228" s="49"/>
      <c r="P2228" s="49"/>
      <c r="Q2228" s="49"/>
      <c r="R2228" s="49"/>
      <c r="S2228" s="49" t="n">
        <v>0</v>
      </c>
      <c r="T2228" s="49" t="n">
        <v>0</v>
      </c>
      <c r="U2228" s="49" t="s">
        <v>4705</v>
      </c>
    </row>
    <row r="2229" customFormat="false" ht="15" hidden="false" customHeight="false" outlineLevel="0" collapsed="false">
      <c r="B2229" s="48" t="n">
        <v>45723.0502546296</v>
      </c>
      <c r="C2229" s="4" t="n">
        <f aca="false">YEAR(B2229)</f>
        <v>2025</v>
      </c>
      <c r="D2229" s="49" t="s">
        <v>283</v>
      </c>
      <c r="E2229" s="49" t="s">
        <v>4706</v>
      </c>
      <c r="F2229" s="50" t="n">
        <v>3</v>
      </c>
      <c r="G2229" s="49" t="s">
        <v>287</v>
      </c>
      <c r="H2229" s="51" t="n">
        <v>0.0026</v>
      </c>
      <c r="I2229" s="51" t="n">
        <v>0.0269</v>
      </c>
      <c r="J2229" s="51" t="n">
        <v>0.9705</v>
      </c>
      <c r="K2229" s="49"/>
      <c r="L2229" s="49"/>
      <c r="M2229" s="49"/>
      <c r="N2229" s="49"/>
      <c r="O2229" s="49"/>
      <c r="P2229" s="49"/>
      <c r="Q2229" s="49"/>
      <c r="R2229" s="49"/>
      <c r="S2229" s="49" t="n">
        <v>0</v>
      </c>
      <c r="T2229" s="49" t="n">
        <v>0</v>
      </c>
      <c r="U2229" s="49" t="s">
        <v>4707</v>
      </c>
    </row>
    <row r="2230" customFormat="false" ht="15" hidden="false" customHeight="false" outlineLevel="0" collapsed="false">
      <c r="B2230" s="48" t="n">
        <v>45723.2057291667</v>
      </c>
      <c r="C2230" s="4" t="n">
        <f aca="false">YEAR(B2230)</f>
        <v>2025</v>
      </c>
      <c r="D2230" s="49" t="s">
        <v>278</v>
      </c>
      <c r="E2230" s="49" t="s">
        <v>4708</v>
      </c>
      <c r="F2230" s="50" t="n">
        <v>2</v>
      </c>
      <c r="G2230" s="49" t="s">
        <v>290</v>
      </c>
      <c r="H2230" s="51" t="n">
        <v>0.1612</v>
      </c>
      <c r="I2230" s="51" t="n">
        <v>0.7542</v>
      </c>
      <c r="J2230" s="51" t="n">
        <v>0.0846</v>
      </c>
      <c r="K2230" s="49"/>
      <c r="L2230" s="49"/>
      <c r="M2230" s="49"/>
      <c r="N2230" s="49"/>
      <c r="O2230" s="49"/>
      <c r="P2230" s="49"/>
      <c r="Q2230" s="49" t="s">
        <v>281</v>
      </c>
      <c r="R2230" s="49"/>
      <c r="S2230" s="49" t="n">
        <v>0</v>
      </c>
      <c r="T2230" s="49" t="n">
        <v>0</v>
      </c>
      <c r="U2230" s="49" t="s">
        <v>4709</v>
      </c>
    </row>
    <row r="2231" customFormat="false" ht="15" hidden="false" customHeight="false" outlineLevel="0" collapsed="false">
      <c r="B2231" s="48" t="n">
        <v>45723.6599074074</v>
      </c>
      <c r="C2231" s="4" t="n">
        <f aca="false">YEAR(B2231)</f>
        <v>2025</v>
      </c>
      <c r="D2231" s="49" t="s">
        <v>283</v>
      </c>
      <c r="E2231" s="49" t="s">
        <v>4710</v>
      </c>
      <c r="F2231" s="50" t="n">
        <v>1</v>
      </c>
      <c r="G2231" s="49" t="s">
        <v>287</v>
      </c>
      <c r="H2231" s="51" t="n">
        <v>0.003</v>
      </c>
      <c r="I2231" s="51" t="n">
        <v>0.0177</v>
      </c>
      <c r="J2231" s="51" t="n">
        <v>0.9793</v>
      </c>
      <c r="K2231" s="49"/>
      <c r="L2231" s="49"/>
      <c r="M2231" s="49"/>
      <c r="N2231" s="49"/>
      <c r="O2231" s="49"/>
      <c r="P2231" s="49"/>
      <c r="Q2231" s="49"/>
      <c r="R2231" s="49" t="s">
        <v>281</v>
      </c>
      <c r="S2231" s="49" t="n">
        <v>0</v>
      </c>
      <c r="T2231" s="49" t="n">
        <v>0</v>
      </c>
      <c r="U2231" s="49" t="s">
        <v>4711</v>
      </c>
    </row>
    <row r="2232" customFormat="false" ht="15" hidden="false" customHeight="false" outlineLevel="0" collapsed="false">
      <c r="B2232" s="48" t="n">
        <v>45723.6987152778</v>
      </c>
      <c r="C2232" s="4" t="n">
        <f aca="false">YEAR(B2232)</f>
        <v>2025</v>
      </c>
      <c r="D2232" s="49" t="s">
        <v>278</v>
      </c>
      <c r="E2232" s="49" t="s">
        <v>4712</v>
      </c>
      <c r="F2232" s="50" t="n">
        <v>2</v>
      </c>
      <c r="G2232" s="49" t="s">
        <v>280</v>
      </c>
      <c r="H2232" s="51" t="n">
        <v>0.7599</v>
      </c>
      <c r="I2232" s="51" t="n">
        <v>0.2173</v>
      </c>
      <c r="J2232" s="51" t="n">
        <v>0.0228</v>
      </c>
      <c r="K2232" s="49"/>
      <c r="L2232" s="49"/>
      <c r="M2232" s="49"/>
      <c r="N2232" s="49"/>
      <c r="O2232" s="49"/>
      <c r="P2232" s="49"/>
      <c r="Q2232" s="49"/>
      <c r="R2232" s="49" t="s">
        <v>281</v>
      </c>
      <c r="S2232" s="49" t="n">
        <v>0</v>
      </c>
      <c r="T2232" s="49" t="n">
        <v>0</v>
      </c>
      <c r="U2232" s="49" t="s">
        <v>4713</v>
      </c>
    </row>
    <row r="2233" customFormat="false" ht="15" hidden="false" customHeight="false" outlineLevel="0" collapsed="false">
      <c r="B2233" s="48" t="n">
        <v>45724.0340625</v>
      </c>
      <c r="C2233" s="4" t="n">
        <f aca="false">YEAR(B2233)</f>
        <v>2025</v>
      </c>
      <c r="D2233" s="49" t="s">
        <v>283</v>
      </c>
      <c r="E2233" s="49" t="s">
        <v>4714</v>
      </c>
      <c r="F2233" s="50" t="n">
        <v>1</v>
      </c>
      <c r="G2233" s="49" t="s">
        <v>280</v>
      </c>
      <c r="H2233" s="51" t="n">
        <v>0.7762</v>
      </c>
      <c r="I2233" s="51" t="n">
        <v>0.2151</v>
      </c>
      <c r="J2233" s="51" t="n">
        <v>0.0087</v>
      </c>
      <c r="K2233" s="49"/>
      <c r="L2233" s="49"/>
      <c r="M2233" s="49"/>
      <c r="N2233" s="49"/>
      <c r="O2233" s="49"/>
      <c r="P2233" s="49"/>
      <c r="Q2233" s="49"/>
      <c r="R2233" s="49"/>
      <c r="S2233" s="49" t="n">
        <v>0</v>
      </c>
      <c r="T2233" s="49" t="n">
        <v>0</v>
      </c>
      <c r="U2233" s="49" t="s">
        <v>4715</v>
      </c>
    </row>
    <row r="2234" customFormat="false" ht="15" hidden="false" customHeight="false" outlineLevel="0" collapsed="false">
      <c r="B2234" s="48" t="n">
        <v>45724.6455671296</v>
      </c>
      <c r="C2234" s="4" t="n">
        <f aca="false">YEAR(B2234)</f>
        <v>2025</v>
      </c>
      <c r="D2234" s="49" t="s">
        <v>283</v>
      </c>
      <c r="E2234" s="49" t="s">
        <v>4716</v>
      </c>
      <c r="F2234" s="50" t="n">
        <v>9</v>
      </c>
      <c r="G2234" s="49" t="s">
        <v>290</v>
      </c>
      <c r="H2234" s="51" t="n">
        <v>0.1821</v>
      </c>
      <c r="I2234" s="51" t="n">
        <v>0.6227</v>
      </c>
      <c r="J2234" s="51" t="n">
        <v>0.1953</v>
      </c>
      <c r="K2234" s="49"/>
      <c r="L2234" s="49"/>
      <c r="M2234" s="49"/>
      <c r="N2234" s="49"/>
      <c r="O2234" s="49"/>
      <c r="P2234" s="49"/>
      <c r="Q2234" s="49"/>
      <c r="R2234" s="49"/>
      <c r="S2234" s="49" t="n">
        <v>0</v>
      </c>
      <c r="T2234" s="49" t="n">
        <v>0</v>
      </c>
      <c r="U2234" s="49" t="s">
        <v>4717</v>
      </c>
    </row>
    <row r="2235" customFormat="false" ht="15" hidden="false" customHeight="false" outlineLevel="0" collapsed="false">
      <c r="B2235" s="48" t="n">
        <v>45724.7841782407</v>
      </c>
      <c r="C2235" s="4" t="n">
        <f aca="false">YEAR(B2235)</f>
        <v>2025</v>
      </c>
      <c r="D2235" s="49" t="s">
        <v>283</v>
      </c>
      <c r="E2235" s="49" t="s">
        <v>4718</v>
      </c>
      <c r="F2235" s="50" t="n">
        <v>12</v>
      </c>
      <c r="G2235" s="49" t="s">
        <v>287</v>
      </c>
      <c r="H2235" s="51" t="n">
        <v>0.0076</v>
      </c>
      <c r="I2235" s="51" t="n">
        <v>0.3436</v>
      </c>
      <c r="J2235" s="51" t="n">
        <v>0.6488</v>
      </c>
      <c r="K2235" s="49"/>
      <c r="L2235" s="49"/>
      <c r="M2235" s="49"/>
      <c r="N2235" s="49"/>
      <c r="O2235" s="49"/>
      <c r="P2235" s="49"/>
      <c r="Q2235" s="49"/>
      <c r="R2235" s="49"/>
      <c r="S2235" s="49" t="n">
        <v>0</v>
      </c>
      <c r="T2235" s="49" t="n">
        <v>0</v>
      </c>
      <c r="U2235" s="49" t="s">
        <v>4719</v>
      </c>
    </row>
    <row r="2236" customFormat="false" ht="15" hidden="false" customHeight="false" outlineLevel="0" collapsed="false">
      <c r="B2236" s="48" t="n">
        <v>45724.8723263889</v>
      </c>
      <c r="C2236" s="4" t="n">
        <f aca="false">YEAR(B2236)</f>
        <v>2025</v>
      </c>
      <c r="D2236" s="49" t="s">
        <v>278</v>
      </c>
      <c r="E2236" s="49" t="s">
        <v>4720</v>
      </c>
      <c r="F2236" s="50" t="n">
        <v>1</v>
      </c>
      <c r="G2236" s="49" t="s">
        <v>280</v>
      </c>
      <c r="H2236" s="51" t="n">
        <v>0.7322</v>
      </c>
      <c r="I2236" s="51" t="n">
        <v>0.2515</v>
      </c>
      <c r="J2236" s="51" t="n">
        <v>0.0163</v>
      </c>
      <c r="K2236" s="49"/>
      <c r="L2236" s="49"/>
      <c r="M2236" s="49"/>
      <c r="N2236" s="49"/>
      <c r="O2236" s="49"/>
      <c r="P2236" s="49"/>
      <c r="Q2236" s="49"/>
      <c r="R2236" s="49"/>
      <c r="S2236" s="49" t="n">
        <v>0</v>
      </c>
      <c r="T2236" s="49" t="n">
        <v>0</v>
      </c>
      <c r="U2236" s="49" t="s">
        <v>4721</v>
      </c>
    </row>
    <row r="2237" customFormat="false" ht="15" hidden="false" customHeight="false" outlineLevel="0" collapsed="false">
      <c r="B2237" s="48" t="n">
        <v>45725.1244791667</v>
      </c>
      <c r="C2237" s="4" t="n">
        <f aca="false">YEAR(B2237)</f>
        <v>2025</v>
      </c>
      <c r="D2237" s="49" t="s">
        <v>283</v>
      </c>
      <c r="E2237" s="49" t="s">
        <v>4722</v>
      </c>
      <c r="F2237" s="50" t="n">
        <v>2</v>
      </c>
      <c r="G2237" s="49" t="s">
        <v>290</v>
      </c>
      <c r="H2237" s="51" t="n">
        <v>0.3085</v>
      </c>
      <c r="I2237" s="51" t="n">
        <v>0.6259</v>
      </c>
      <c r="J2237" s="51" t="n">
        <v>0.0656</v>
      </c>
      <c r="K2237" s="49"/>
      <c r="L2237" s="49"/>
      <c r="M2237" s="49"/>
      <c r="N2237" s="49"/>
      <c r="O2237" s="49"/>
      <c r="P2237" s="49"/>
      <c r="Q2237" s="49"/>
      <c r="R2237" s="49"/>
      <c r="S2237" s="49" t="n">
        <v>0</v>
      </c>
      <c r="T2237" s="49" t="n">
        <v>0</v>
      </c>
      <c r="U2237" s="49" t="s">
        <v>4723</v>
      </c>
    </row>
    <row r="2238" customFormat="false" ht="15" hidden="false" customHeight="false" outlineLevel="0" collapsed="false">
      <c r="B2238" s="48" t="n">
        <v>45725.1665856482</v>
      </c>
      <c r="C2238" s="4" t="n">
        <f aca="false">YEAR(B2238)</f>
        <v>2025</v>
      </c>
      <c r="D2238" s="49" t="s">
        <v>283</v>
      </c>
      <c r="E2238" s="49" t="s">
        <v>4724</v>
      </c>
      <c r="F2238" s="50" t="n">
        <v>0</v>
      </c>
      <c r="G2238" s="49" t="s">
        <v>287</v>
      </c>
      <c r="H2238" s="51" t="n">
        <v>0.0102</v>
      </c>
      <c r="I2238" s="51" t="n">
        <v>0.1645</v>
      </c>
      <c r="J2238" s="51" t="n">
        <v>0.8253</v>
      </c>
      <c r="K2238" s="49"/>
      <c r="L2238" s="49"/>
      <c r="M2238" s="49"/>
      <c r="N2238" s="49"/>
      <c r="O2238" s="49"/>
      <c r="P2238" s="49"/>
      <c r="Q2238" s="49"/>
      <c r="R2238" s="49"/>
      <c r="S2238" s="49" t="n">
        <v>0</v>
      </c>
      <c r="T2238" s="49" t="n">
        <v>0</v>
      </c>
      <c r="U2238" s="49" t="s">
        <v>4725</v>
      </c>
    </row>
    <row r="2239" customFormat="false" ht="15" hidden="false" customHeight="false" outlineLevel="0" collapsed="false">
      <c r="B2239" s="48" t="n">
        <v>45725.4451967593</v>
      </c>
      <c r="C2239" s="4" t="n">
        <f aca="false">YEAR(B2239)</f>
        <v>2025</v>
      </c>
      <c r="D2239" s="49" t="s">
        <v>283</v>
      </c>
      <c r="E2239" s="49" t="s">
        <v>4726</v>
      </c>
      <c r="F2239" s="50" t="n">
        <v>0</v>
      </c>
      <c r="G2239" s="49" t="s">
        <v>287</v>
      </c>
      <c r="H2239" s="51" t="n">
        <v>0.0016</v>
      </c>
      <c r="I2239" s="51" t="n">
        <v>0.0721</v>
      </c>
      <c r="J2239" s="51" t="n">
        <v>0.9262</v>
      </c>
      <c r="K2239" s="49"/>
      <c r="L2239" s="49"/>
      <c r="M2239" s="49"/>
      <c r="N2239" s="49"/>
      <c r="O2239" s="49"/>
      <c r="P2239" s="49"/>
      <c r="Q2239" s="49"/>
      <c r="R2239" s="49"/>
      <c r="S2239" s="49" t="n">
        <v>0</v>
      </c>
      <c r="T2239" s="49" t="n">
        <v>0</v>
      </c>
      <c r="U2239" s="49" t="s">
        <v>4727</v>
      </c>
    </row>
    <row r="2240" customFormat="false" ht="15" hidden="false" customHeight="false" outlineLevel="0" collapsed="false">
      <c r="B2240" s="48" t="n">
        <v>45725.5274884259</v>
      </c>
      <c r="C2240" s="4" t="n">
        <f aca="false">YEAR(B2240)</f>
        <v>2025</v>
      </c>
      <c r="D2240" s="49" t="s">
        <v>278</v>
      </c>
      <c r="E2240" s="49" t="s">
        <v>4728</v>
      </c>
      <c r="F2240" s="50" t="n">
        <v>0</v>
      </c>
      <c r="G2240" s="49" t="s">
        <v>287</v>
      </c>
      <c r="H2240" s="51" t="n">
        <v>0.0033</v>
      </c>
      <c r="I2240" s="51" t="n">
        <v>0.1266</v>
      </c>
      <c r="J2240" s="51" t="n">
        <v>0.8701</v>
      </c>
      <c r="K2240" s="49"/>
      <c r="L2240" s="49"/>
      <c r="M2240" s="49"/>
      <c r="N2240" s="49"/>
      <c r="O2240" s="49"/>
      <c r="P2240" s="49"/>
      <c r="Q2240" s="49"/>
      <c r="R2240" s="49"/>
      <c r="S2240" s="49" t="n">
        <v>0</v>
      </c>
      <c r="T2240" s="49" t="n">
        <v>0</v>
      </c>
      <c r="U2240" s="49" t="s">
        <v>4729</v>
      </c>
    </row>
    <row r="2241" customFormat="false" ht="15" hidden="false" customHeight="false" outlineLevel="0" collapsed="false">
      <c r="B2241" s="48" t="n">
        <v>45725.7297106482</v>
      </c>
      <c r="C2241" s="4" t="n">
        <f aca="false">YEAR(B2241)</f>
        <v>2025</v>
      </c>
      <c r="D2241" s="49" t="s">
        <v>283</v>
      </c>
      <c r="E2241" s="49" t="s">
        <v>4730</v>
      </c>
      <c r="F2241" s="50" t="n">
        <v>1</v>
      </c>
      <c r="G2241" s="49" t="s">
        <v>280</v>
      </c>
      <c r="H2241" s="51" t="n">
        <v>0.7209</v>
      </c>
      <c r="I2241" s="51" t="n">
        <v>0.2609</v>
      </c>
      <c r="J2241" s="51" t="n">
        <v>0.0181</v>
      </c>
      <c r="K2241" s="49"/>
      <c r="L2241" s="49"/>
      <c r="M2241" s="49"/>
      <c r="N2241" s="49"/>
      <c r="O2241" s="49"/>
      <c r="P2241" s="49"/>
      <c r="Q2241" s="49"/>
      <c r="R2241" s="49"/>
      <c r="S2241" s="49" t="n">
        <v>1</v>
      </c>
      <c r="T2241" s="49" t="n">
        <v>0</v>
      </c>
      <c r="U2241" s="49" t="s">
        <v>4731</v>
      </c>
    </row>
    <row r="2242" customFormat="false" ht="15" hidden="false" customHeight="false" outlineLevel="0" collapsed="false">
      <c r="B2242" s="48" t="n">
        <v>45726.0268402778</v>
      </c>
      <c r="C2242" s="4" t="n">
        <f aca="false">YEAR(B2242)</f>
        <v>2025</v>
      </c>
      <c r="D2242" s="49" t="s">
        <v>283</v>
      </c>
      <c r="E2242" s="49" t="s">
        <v>4732</v>
      </c>
      <c r="F2242" s="50" t="n">
        <v>1</v>
      </c>
      <c r="G2242" s="49" t="s">
        <v>287</v>
      </c>
      <c r="H2242" s="51" t="n">
        <v>0.0207</v>
      </c>
      <c r="I2242" s="51" t="n">
        <v>0.3915</v>
      </c>
      <c r="J2242" s="51" t="n">
        <v>0.5878</v>
      </c>
      <c r="K2242" s="49"/>
      <c r="L2242" s="49"/>
      <c r="M2242" s="49"/>
      <c r="N2242" s="49"/>
      <c r="O2242" s="49"/>
      <c r="P2242" s="49"/>
      <c r="Q2242" s="49"/>
      <c r="R2242" s="49"/>
      <c r="S2242" s="49" t="n">
        <v>0</v>
      </c>
      <c r="T2242" s="49" t="n">
        <v>0</v>
      </c>
      <c r="U2242" s="49" t="s">
        <v>4733</v>
      </c>
    </row>
    <row r="2243" customFormat="false" ht="15" hidden="false" customHeight="false" outlineLevel="0" collapsed="false">
      <c r="B2243" s="48" t="n">
        <v>45726.0900462963</v>
      </c>
      <c r="C2243" s="4" t="n">
        <f aca="false">YEAR(B2243)</f>
        <v>2025</v>
      </c>
      <c r="D2243" s="49" t="s">
        <v>283</v>
      </c>
      <c r="E2243" s="49" t="s">
        <v>4734</v>
      </c>
      <c r="F2243" s="50" t="n">
        <v>0</v>
      </c>
      <c r="G2243" s="49" t="s">
        <v>290</v>
      </c>
      <c r="H2243" s="51" t="n">
        <v>0.0399</v>
      </c>
      <c r="I2243" s="51" t="n">
        <v>0.5439</v>
      </c>
      <c r="J2243" s="51" t="n">
        <v>0.4162</v>
      </c>
      <c r="K2243" s="49"/>
      <c r="L2243" s="49"/>
      <c r="M2243" s="49"/>
      <c r="N2243" s="49"/>
      <c r="O2243" s="49"/>
      <c r="P2243" s="49"/>
      <c r="Q2243" s="49"/>
      <c r="R2243" s="49"/>
      <c r="S2243" s="49" t="n">
        <v>0</v>
      </c>
      <c r="T2243" s="49" t="n">
        <v>0</v>
      </c>
      <c r="U2243" s="49" t="s">
        <v>4735</v>
      </c>
    </row>
    <row r="2244" customFormat="false" ht="15" hidden="false" customHeight="false" outlineLevel="0" collapsed="false">
      <c r="B2244" s="48" t="n">
        <v>45726.6587731482</v>
      </c>
      <c r="C2244" s="4" t="n">
        <f aca="false">YEAR(B2244)</f>
        <v>2025</v>
      </c>
      <c r="D2244" s="49" t="s">
        <v>283</v>
      </c>
      <c r="E2244" s="49" t="s">
        <v>4736</v>
      </c>
      <c r="F2244" s="50" t="n">
        <v>1</v>
      </c>
      <c r="G2244" s="49" t="s">
        <v>287</v>
      </c>
      <c r="H2244" s="51" t="n">
        <v>0.003</v>
      </c>
      <c r="I2244" s="51" t="n">
        <v>0.152</v>
      </c>
      <c r="J2244" s="51" t="n">
        <v>0.8451</v>
      </c>
      <c r="K2244" s="49"/>
      <c r="L2244" s="49"/>
      <c r="M2244" s="49"/>
      <c r="N2244" s="49"/>
      <c r="O2244" s="49"/>
      <c r="P2244" s="49"/>
      <c r="Q2244" s="49"/>
      <c r="R2244" s="49"/>
      <c r="S2244" s="49" t="n">
        <v>0</v>
      </c>
      <c r="T2244" s="49" t="n">
        <v>0</v>
      </c>
      <c r="U2244" s="49" t="s">
        <v>4737</v>
      </c>
    </row>
    <row r="2245" customFormat="false" ht="15" hidden="false" customHeight="false" outlineLevel="0" collapsed="false">
      <c r="B2245" s="48" t="n">
        <v>45726.8497569444</v>
      </c>
      <c r="C2245" s="4" t="n">
        <f aca="false">YEAR(B2245)</f>
        <v>2025</v>
      </c>
      <c r="D2245" s="49" t="s">
        <v>283</v>
      </c>
      <c r="E2245" s="49" t="s">
        <v>4738</v>
      </c>
      <c r="F2245" s="50" t="n">
        <v>0</v>
      </c>
      <c r="G2245" s="49" t="s">
        <v>280</v>
      </c>
      <c r="H2245" s="51" t="n">
        <v>0.6931</v>
      </c>
      <c r="I2245" s="51" t="n">
        <v>0.2807</v>
      </c>
      <c r="J2245" s="51" t="n">
        <v>0.0262</v>
      </c>
      <c r="K2245" s="49"/>
      <c r="L2245" s="49"/>
      <c r="M2245" s="49"/>
      <c r="N2245" s="49"/>
      <c r="O2245" s="49"/>
      <c r="P2245" s="49"/>
      <c r="Q2245" s="49"/>
      <c r="R2245" s="49"/>
      <c r="S2245" s="49" t="n">
        <v>0</v>
      </c>
      <c r="T2245" s="49" t="n">
        <v>0</v>
      </c>
      <c r="U2245" s="49" t="s">
        <v>4739</v>
      </c>
    </row>
    <row r="2246" customFormat="false" ht="15" hidden="false" customHeight="false" outlineLevel="0" collapsed="false">
      <c r="B2246" s="48" t="n">
        <v>45727.6131018519</v>
      </c>
      <c r="C2246" s="4" t="n">
        <f aca="false">YEAR(B2246)</f>
        <v>2025</v>
      </c>
      <c r="D2246" s="49" t="s">
        <v>283</v>
      </c>
      <c r="E2246" s="49" t="s">
        <v>4740</v>
      </c>
      <c r="F2246" s="50" t="n">
        <v>0</v>
      </c>
      <c r="G2246" s="49" t="s">
        <v>290</v>
      </c>
      <c r="H2246" s="51" t="n">
        <v>0.2268</v>
      </c>
      <c r="I2246" s="51" t="n">
        <v>0.4474</v>
      </c>
      <c r="J2246" s="51" t="n">
        <v>0.3258</v>
      </c>
      <c r="K2246" s="49"/>
      <c r="L2246" s="49"/>
      <c r="M2246" s="49"/>
      <c r="N2246" s="49"/>
      <c r="O2246" s="49"/>
      <c r="P2246" s="49"/>
      <c r="Q2246" s="49"/>
      <c r="R2246" s="49"/>
      <c r="S2246" s="49" t="n">
        <v>0</v>
      </c>
      <c r="T2246" s="49" t="n">
        <v>0</v>
      </c>
      <c r="U2246" s="49" t="s">
        <v>4741</v>
      </c>
    </row>
    <row r="2247" customFormat="false" ht="15" hidden="false" customHeight="false" outlineLevel="0" collapsed="false">
      <c r="B2247" s="48" t="n">
        <v>45728.0040046296</v>
      </c>
      <c r="C2247" s="4" t="n">
        <f aca="false">YEAR(B2247)</f>
        <v>2025</v>
      </c>
      <c r="D2247" s="49" t="s">
        <v>278</v>
      </c>
      <c r="E2247" s="49" t="s">
        <v>4742</v>
      </c>
      <c r="F2247" s="50" t="n">
        <v>0</v>
      </c>
      <c r="G2247" s="49" t="s">
        <v>280</v>
      </c>
      <c r="H2247" s="51" t="n">
        <v>0.711</v>
      </c>
      <c r="I2247" s="51" t="n">
        <v>0.2767</v>
      </c>
      <c r="J2247" s="51" t="n">
        <v>0.0123</v>
      </c>
      <c r="K2247" s="49"/>
      <c r="L2247" s="49"/>
      <c r="M2247" s="49"/>
      <c r="N2247" s="49"/>
      <c r="O2247" s="49"/>
      <c r="P2247" s="49"/>
      <c r="Q2247" s="49"/>
      <c r="R2247" s="49" t="s">
        <v>281</v>
      </c>
      <c r="S2247" s="49" t="n">
        <v>0</v>
      </c>
      <c r="T2247" s="49" t="n">
        <v>0</v>
      </c>
      <c r="U2247" s="49" t="s">
        <v>4743</v>
      </c>
    </row>
    <row r="2248" customFormat="false" ht="15" hidden="false" customHeight="false" outlineLevel="0" collapsed="false">
      <c r="B2248" s="48" t="n">
        <v>45728.0188310185</v>
      </c>
      <c r="C2248" s="4" t="n">
        <f aca="false">YEAR(B2248)</f>
        <v>2025</v>
      </c>
      <c r="D2248" s="49" t="s">
        <v>283</v>
      </c>
      <c r="E2248" s="49" t="s">
        <v>4744</v>
      </c>
      <c r="F2248" s="50" t="n">
        <v>6</v>
      </c>
      <c r="G2248" s="49" t="s">
        <v>287</v>
      </c>
      <c r="H2248" s="51" t="n">
        <v>0.0031</v>
      </c>
      <c r="I2248" s="51" t="n">
        <v>0.1392</v>
      </c>
      <c r="J2248" s="51" t="n">
        <v>0.8577</v>
      </c>
      <c r="K2248" s="49"/>
      <c r="L2248" s="49"/>
      <c r="M2248" s="49"/>
      <c r="N2248" s="49"/>
      <c r="O2248" s="49"/>
      <c r="P2248" s="49"/>
      <c r="Q2248" s="49"/>
      <c r="R2248" s="49"/>
      <c r="S2248" s="49" t="n">
        <v>0</v>
      </c>
      <c r="T2248" s="49" t="n">
        <v>0</v>
      </c>
      <c r="U2248" s="49" t="s">
        <v>4745</v>
      </c>
    </row>
    <row r="2249" customFormat="false" ht="15" hidden="false" customHeight="false" outlineLevel="0" collapsed="false">
      <c r="B2249" s="48" t="n">
        <v>45728.4000694445</v>
      </c>
      <c r="C2249" s="4" t="n">
        <f aca="false">YEAR(B2249)</f>
        <v>2025</v>
      </c>
      <c r="D2249" s="49" t="s">
        <v>283</v>
      </c>
      <c r="E2249" s="49" t="s">
        <v>4746</v>
      </c>
      <c r="F2249" s="50" t="n">
        <v>0</v>
      </c>
      <c r="G2249" s="49" t="s">
        <v>290</v>
      </c>
      <c r="H2249" s="51" t="n">
        <v>0.3715</v>
      </c>
      <c r="I2249" s="51" t="n">
        <v>0.5243</v>
      </c>
      <c r="J2249" s="51" t="n">
        <v>0.1042</v>
      </c>
      <c r="K2249" s="49"/>
      <c r="L2249" s="49"/>
      <c r="M2249" s="49"/>
      <c r="N2249" s="49"/>
      <c r="O2249" s="49"/>
      <c r="P2249" s="49"/>
      <c r="Q2249" s="49"/>
      <c r="R2249" s="49"/>
      <c r="S2249" s="49" t="n">
        <v>0</v>
      </c>
      <c r="T2249" s="49" t="n">
        <v>0</v>
      </c>
      <c r="U2249" s="49" t="s">
        <v>4747</v>
      </c>
    </row>
    <row r="2250" customFormat="false" ht="15" hidden="false" customHeight="false" outlineLevel="0" collapsed="false">
      <c r="B2250" s="48" t="n">
        <v>45728.5261342593</v>
      </c>
      <c r="C2250" s="4" t="n">
        <f aca="false">YEAR(B2250)</f>
        <v>2025</v>
      </c>
      <c r="D2250" s="49" t="s">
        <v>278</v>
      </c>
      <c r="E2250" s="49" t="s">
        <v>4748</v>
      </c>
      <c r="F2250" s="50" t="n">
        <v>1</v>
      </c>
      <c r="G2250" s="49" t="s">
        <v>280</v>
      </c>
      <c r="H2250" s="51" t="n">
        <v>0.6691</v>
      </c>
      <c r="I2250" s="51" t="n">
        <v>0.3155</v>
      </c>
      <c r="J2250" s="51" t="n">
        <v>0.0155</v>
      </c>
      <c r="K2250" s="49"/>
      <c r="L2250" s="49"/>
      <c r="M2250" s="49"/>
      <c r="N2250" s="49"/>
      <c r="O2250" s="49"/>
      <c r="P2250" s="49"/>
      <c r="Q2250" s="49" t="s">
        <v>281</v>
      </c>
      <c r="R2250" s="49"/>
      <c r="S2250" s="49" t="n">
        <v>0</v>
      </c>
      <c r="T2250" s="49" t="n">
        <v>0</v>
      </c>
      <c r="U2250" s="49" t="s">
        <v>4749</v>
      </c>
    </row>
    <row r="2251" customFormat="false" ht="15" hidden="false" customHeight="false" outlineLevel="0" collapsed="false">
      <c r="B2251" s="48" t="n">
        <v>45728.8445717593</v>
      </c>
      <c r="C2251" s="4" t="n">
        <f aca="false">YEAR(B2251)</f>
        <v>2025</v>
      </c>
      <c r="D2251" s="49" t="s">
        <v>283</v>
      </c>
      <c r="E2251" s="49" t="s">
        <v>4750</v>
      </c>
      <c r="F2251" s="50" t="n">
        <v>1</v>
      </c>
      <c r="G2251" s="49" t="s">
        <v>280</v>
      </c>
      <c r="H2251" s="51" t="n">
        <v>0.4828</v>
      </c>
      <c r="I2251" s="51" t="n">
        <v>0.4148</v>
      </c>
      <c r="J2251" s="51" t="n">
        <v>0.1024</v>
      </c>
      <c r="K2251" s="49"/>
      <c r="L2251" s="49"/>
      <c r="M2251" s="49"/>
      <c r="N2251" s="49"/>
      <c r="O2251" s="49"/>
      <c r="P2251" s="49"/>
      <c r="Q2251" s="49"/>
      <c r="R2251" s="49"/>
      <c r="S2251" s="49" t="n">
        <v>0</v>
      </c>
      <c r="T2251" s="49" t="n">
        <v>0</v>
      </c>
      <c r="U2251" s="49" t="s">
        <v>4751</v>
      </c>
    </row>
    <row r="2252" customFormat="false" ht="15" hidden="false" customHeight="false" outlineLevel="0" collapsed="false">
      <c r="B2252" s="48" t="n">
        <v>45728.9304282407</v>
      </c>
      <c r="C2252" s="4" t="n">
        <f aca="false">YEAR(B2252)</f>
        <v>2025</v>
      </c>
      <c r="D2252" s="49" t="s">
        <v>283</v>
      </c>
      <c r="E2252" s="49" t="s">
        <v>4752</v>
      </c>
      <c r="F2252" s="50" t="n">
        <v>10</v>
      </c>
      <c r="G2252" s="49" t="s">
        <v>290</v>
      </c>
      <c r="H2252" s="51" t="n">
        <v>0.1623</v>
      </c>
      <c r="I2252" s="51" t="n">
        <v>0.5641</v>
      </c>
      <c r="J2252" s="51" t="n">
        <v>0.2736</v>
      </c>
      <c r="K2252" s="49"/>
      <c r="L2252" s="49"/>
      <c r="M2252" s="49"/>
      <c r="N2252" s="49"/>
      <c r="O2252" s="49"/>
      <c r="P2252" s="49"/>
      <c r="Q2252" s="49"/>
      <c r="R2252" s="49"/>
      <c r="S2252" s="49" t="n">
        <v>0</v>
      </c>
      <c r="T2252" s="49" t="n">
        <v>0</v>
      </c>
      <c r="U2252" s="49" t="s">
        <v>4753</v>
      </c>
    </row>
    <row r="2253" customFormat="false" ht="15" hidden="false" customHeight="false" outlineLevel="0" collapsed="false">
      <c r="B2253" s="48" t="n">
        <v>45729.1925578704</v>
      </c>
      <c r="C2253" s="4" t="n">
        <f aca="false">YEAR(B2253)</f>
        <v>2025</v>
      </c>
      <c r="D2253" s="49" t="s">
        <v>283</v>
      </c>
      <c r="E2253" s="49" t="s">
        <v>4754</v>
      </c>
      <c r="F2253" s="50" t="n">
        <v>8</v>
      </c>
      <c r="G2253" s="49" t="s">
        <v>280</v>
      </c>
      <c r="H2253" s="51" t="n">
        <v>0.869</v>
      </c>
      <c r="I2253" s="51" t="n">
        <v>0.1225</v>
      </c>
      <c r="J2253" s="51" t="n">
        <v>0.0085</v>
      </c>
      <c r="K2253" s="49" t="s">
        <v>281</v>
      </c>
      <c r="L2253" s="49"/>
      <c r="M2253" s="49"/>
      <c r="N2253" s="49"/>
      <c r="O2253" s="49"/>
      <c r="P2253" s="49"/>
      <c r="Q2253" s="49"/>
      <c r="R2253" s="49"/>
      <c r="S2253" s="49" t="n">
        <v>0</v>
      </c>
      <c r="T2253" s="49" t="n">
        <v>0</v>
      </c>
      <c r="U2253" s="49" t="s">
        <v>4755</v>
      </c>
    </row>
    <row r="2254" customFormat="false" ht="15" hidden="false" customHeight="false" outlineLevel="0" collapsed="false">
      <c r="B2254" s="48" t="n">
        <v>45729.5970833333</v>
      </c>
      <c r="C2254" s="4" t="n">
        <f aca="false">YEAR(B2254)</f>
        <v>2025</v>
      </c>
      <c r="D2254" s="49" t="s">
        <v>278</v>
      </c>
      <c r="E2254" s="49" t="s">
        <v>4756</v>
      </c>
      <c r="F2254" s="50" t="n">
        <v>0</v>
      </c>
      <c r="G2254" s="49" t="s">
        <v>280</v>
      </c>
      <c r="H2254" s="51" t="n">
        <v>0.8498</v>
      </c>
      <c r="I2254" s="51" t="n">
        <v>0.1437</v>
      </c>
      <c r="J2254" s="51" t="n">
        <v>0.0064</v>
      </c>
      <c r="K2254" s="49"/>
      <c r="L2254" s="49"/>
      <c r="M2254" s="49"/>
      <c r="N2254" s="49"/>
      <c r="O2254" s="49"/>
      <c r="P2254" s="49"/>
      <c r="Q2254" s="49"/>
      <c r="R2254" s="49"/>
      <c r="S2254" s="49" t="n">
        <v>0</v>
      </c>
      <c r="T2254" s="49" t="n">
        <v>0</v>
      </c>
      <c r="U2254" s="49" t="s">
        <v>4757</v>
      </c>
    </row>
    <row r="2255" customFormat="false" ht="15" hidden="false" customHeight="false" outlineLevel="0" collapsed="false">
      <c r="B2255" s="48" t="n">
        <v>45729.6155208333</v>
      </c>
      <c r="C2255" s="4" t="n">
        <f aca="false">YEAR(B2255)</f>
        <v>2025</v>
      </c>
      <c r="D2255" s="49" t="s">
        <v>283</v>
      </c>
      <c r="E2255" s="49" t="s">
        <v>4758</v>
      </c>
      <c r="F2255" s="50" t="n">
        <v>2</v>
      </c>
      <c r="G2255" s="49" t="s">
        <v>290</v>
      </c>
      <c r="H2255" s="51" t="n">
        <v>0.0142</v>
      </c>
      <c r="I2255" s="51" t="n">
        <v>0.7641</v>
      </c>
      <c r="J2255" s="51" t="n">
        <v>0.2216</v>
      </c>
      <c r="K2255" s="49"/>
      <c r="L2255" s="49"/>
      <c r="M2255" s="49"/>
      <c r="N2255" s="49"/>
      <c r="O2255" s="49"/>
      <c r="P2255" s="49"/>
      <c r="Q2255" s="49"/>
      <c r="R2255" s="49"/>
      <c r="S2255" s="49" t="n">
        <v>0</v>
      </c>
      <c r="T2255" s="49" t="n">
        <v>0</v>
      </c>
      <c r="U2255" s="49" t="s">
        <v>4759</v>
      </c>
    </row>
    <row r="2256" customFormat="false" ht="15" hidden="false" customHeight="false" outlineLevel="0" collapsed="false">
      <c r="B2256" s="48" t="n">
        <v>45729.6287037037</v>
      </c>
      <c r="C2256" s="4" t="n">
        <f aca="false">YEAR(B2256)</f>
        <v>2025</v>
      </c>
      <c r="D2256" s="49" t="s">
        <v>283</v>
      </c>
      <c r="E2256" s="49" t="s">
        <v>4760</v>
      </c>
      <c r="F2256" s="50" t="n">
        <v>3</v>
      </c>
      <c r="G2256" s="49" t="s">
        <v>290</v>
      </c>
      <c r="H2256" s="51" t="n">
        <v>0.4287</v>
      </c>
      <c r="I2256" s="51" t="n">
        <v>0.5268</v>
      </c>
      <c r="J2256" s="51" t="n">
        <v>0.0446</v>
      </c>
      <c r="K2256" s="49"/>
      <c r="L2256" s="49"/>
      <c r="M2256" s="49"/>
      <c r="N2256" s="49"/>
      <c r="O2256" s="49" t="s">
        <v>281</v>
      </c>
      <c r="P2256" s="49"/>
      <c r="Q2256" s="49"/>
      <c r="R2256" s="49"/>
      <c r="S2256" s="49" t="n">
        <v>0</v>
      </c>
      <c r="T2256" s="49" t="n">
        <v>0</v>
      </c>
      <c r="U2256" s="49" t="s">
        <v>4761</v>
      </c>
    </row>
    <row r="2257" customFormat="false" ht="15" hidden="false" customHeight="false" outlineLevel="0" collapsed="false">
      <c r="B2257" s="48" t="n">
        <v>45729.6632523148</v>
      </c>
      <c r="C2257" s="4" t="n">
        <f aca="false">YEAR(B2257)</f>
        <v>2025</v>
      </c>
      <c r="D2257" s="49" t="s">
        <v>283</v>
      </c>
      <c r="E2257" s="49" t="s">
        <v>4762</v>
      </c>
      <c r="F2257" s="50" t="n">
        <v>4</v>
      </c>
      <c r="G2257" s="49" t="s">
        <v>280</v>
      </c>
      <c r="H2257" s="51" t="n">
        <v>0.5394</v>
      </c>
      <c r="I2257" s="51" t="n">
        <v>0.4393</v>
      </c>
      <c r="J2257" s="51" t="n">
        <v>0.0213</v>
      </c>
      <c r="K2257" s="49"/>
      <c r="L2257" s="49"/>
      <c r="M2257" s="49"/>
      <c r="N2257" s="49"/>
      <c r="O2257" s="49"/>
      <c r="P2257" s="49"/>
      <c r="Q2257" s="49" t="s">
        <v>281</v>
      </c>
      <c r="R2257" s="49"/>
      <c r="S2257" s="49" t="n">
        <v>0</v>
      </c>
      <c r="T2257" s="49" t="n">
        <v>0</v>
      </c>
      <c r="U2257" s="49" t="s">
        <v>4763</v>
      </c>
    </row>
    <row r="2258" customFormat="false" ht="15" hidden="false" customHeight="false" outlineLevel="0" collapsed="false">
      <c r="B2258" s="48" t="n">
        <v>45729.665787037</v>
      </c>
      <c r="C2258" s="4" t="n">
        <f aca="false">YEAR(B2258)</f>
        <v>2025</v>
      </c>
      <c r="D2258" s="49" t="s">
        <v>278</v>
      </c>
      <c r="E2258" s="49" t="s">
        <v>4764</v>
      </c>
      <c r="F2258" s="50" t="n">
        <v>1</v>
      </c>
      <c r="G2258" s="49" t="s">
        <v>280</v>
      </c>
      <c r="H2258" s="51" t="n">
        <v>0.792</v>
      </c>
      <c r="I2258" s="51" t="n">
        <v>0.194</v>
      </c>
      <c r="J2258" s="51" t="n">
        <v>0.0139</v>
      </c>
      <c r="K2258" s="49"/>
      <c r="L2258" s="49"/>
      <c r="M2258" s="49"/>
      <c r="N2258" s="49"/>
      <c r="O2258" s="49"/>
      <c r="P2258" s="49"/>
      <c r="Q2258" s="49"/>
      <c r="R2258" s="49" t="s">
        <v>281</v>
      </c>
      <c r="S2258" s="49" t="n">
        <v>0</v>
      </c>
      <c r="T2258" s="49" t="n">
        <v>0</v>
      </c>
      <c r="U2258" s="49" t="s">
        <v>4765</v>
      </c>
    </row>
    <row r="2259" customFormat="false" ht="15" hidden="false" customHeight="false" outlineLevel="0" collapsed="false">
      <c r="B2259" s="48" t="n">
        <v>45729.7510185185</v>
      </c>
      <c r="C2259" s="4" t="n">
        <f aca="false">YEAR(B2259)</f>
        <v>2025</v>
      </c>
      <c r="D2259" s="49" t="s">
        <v>278</v>
      </c>
      <c r="E2259" s="49" t="s">
        <v>4766</v>
      </c>
      <c r="F2259" s="50" t="n">
        <v>1</v>
      </c>
      <c r="G2259" s="49" t="s">
        <v>290</v>
      </c>
      <c r="H2259" s="51" t="n">
        <v>0.4257</v>
      </c>
      <c r="I2259" s="51" t="n">
        <v>0.56</v>
      </c>
      <c r="J2259" s="51" t="n">
        <v>0.0143</v>
      </c>
      <c r="K2259" s="49"/>
      <c r="L2259" s="49"/>
      <c r="M2259" s="49"/>
      <c r="N2259" s="49"/>
      <c r="O2259" s="49"/>
      <c r="P2259" s="49"/>
      <c r="Q2259" s="49"/>
      <c r="R2259" s="49"/>
      <c r="S2259" s="49" t="n">
        <v>0</v>
      </c>
      <c r="T2259" s="49" t="n">
        <v>0</v>
      </c>
      <c r="U2259" s="49" t="s">
        <v>4767</v>
      </c>
    </row>
    <row r="2260" customFormat="false" ht="15" hidden="false" customHeight="false" outlineLevel="0" collapsed="false">
      <c r="B2260" s="48" t="n">
        <v>45731.524375</v>
      </c>
      <c r="C2260" s="4" t="n">
        <f aca="false">YEAR(B2260)</f>
        <v>2025</v>
      </c>
      <c r="D2260" s="49" t="s">
        <v>283</v>
      </c>
      <c r="E2260" s="49" t="s">
        <v>4768</v>
      </c>
      <c r="F2260" s="50" t="n">
        <v>1</v>
      </c>
      <c r="G2260" s="49" t="s">
        <v>287</v>
      </c>
      <c r="H2260" s="51" t="n">
        <v>0.0017</v>
      </c>
      <c r="I2260" s="51" t="n">
        <v>0.0673</v>
      </c>
      <c r="J2260" s="51" t="n">
        <v>0.931</v>
      </c>
      <c r="K2260" s="49"/>
      <c r="L2260" s="49"/>
      <c r="M2260" s="49"/>
      <c r="N2260" s="49"/>
      <c r="O2260" s="49"/>
      <c r="P2260" s="49"/>
      <c r="Q2260" s="49"/>
      <c r="R2260" s="49"/>
      <c r="S2260" s="49" t="n">
        <v>0</v>
      </c>
      <c r="T2260" s="49" t="n">
        <v>0</v>
      </c>
      <c r="U2260" s="49" t="s">
        <v>4769</v>
      </c>
    </row>
    <row r="2261" customFormat="false" ht="15" hidden="false" customHeight="false" outlineLevel="0" collapsed="false">
      <c r="B2261" s="48" t="n">
        <v>45731.6051967593</v>
      </c>
      <c r="C2261" s="4" t="n">
        <f aca="false">YEAR(B2261)</f>
        <v>2025</v>
      </c>
      <c r="D2261" s="49" t="s">
        <v>278</v>
      </c>
      <c r="E2261" s="49" t="s">
        <v>4770</v>
      </c>
      <c r="F2261" s="50" t="n">
        <v>2</v>
      </c>
      <c r="G2261" s="49" t="s">
        <v>280</v>
      </c>
      <c r="H2261" s="51" t="n">
        <v>0.683</v>
      </c>
      <c r="I2261" s="51" t="n">
        <v>0.2996</v>
      </c>
      <c r="J2261" s="51" t="n">
        <v>0.0174</v>
      </c>
      <c r="K2261" s="49"/>
      <c r="L2261" s="49"/>
      <c r="M2261" s="49"/>
      <c r="N2261" s="49"/>
      <c r="O2261" s="49"/>
      <c r="P2261" s="49"/>
      <c r="Q2261" s="49"/>
      <c r="R2261" s="49"/>
      <c r="S2261" s="49" t="n">
        <v>0</v>
      </c>
      <c r="T2261" s="49" t="n">
        <v>0</v>
      </c>
      <c r="U2261" s="49" t="s">
        <v>4771</v>
      </c>
    </row>
    <row r="2262" customFormat="false" ht="15" hidden="false" customHeight="false" outlineLevel="0" collapsed="false">
      <c r="B2262" s="48" t="n">
        <v>45731.886724537</v>
      </c>
      <c r="C2262" s="4" t="n">
        <f aca="false">YEAR(B2262)</f>
        <v>2025</v>
      </c>
      <c r="D2262" s="49" t="s">
        <v>278</v>
      </c>
      <c r="E2262" s="49" t="s">
        <v>4772</v>
      </c>
      <c r="F2262" s="50" t="n">
        <v>0</v>
      </c>
      <c r="G2262" s="49" t="s">
        <v>280</v>
      </c>
      <c r="H2262" s="51" t="n">
        <v>0.8106</v>
      </c>
      <c r="I2262" s="51" t="n">
        <v>0.1751</v>
      </c>
      <c r="J2262" s="51" t="n">
        <v>0.0142</v>
      </c>
      <c r="K2262" s="49"/>
      <c r="L2262" s="49"/>
      <c r="M2262" s="49"/>
      <c r="N2262" s="49"/>
      <c r="O2262" s="49"/>
      <c r="P2262" s="49"/>
      <c r="Q2262" s="49"/>
      <c r="R2262" s="49" t="s">
        <v>281</v>
      </c>
      <c r="S2262" s="49" t="n">
        <v>0</v>
      </c>
      <c r="T2262" s="49" t="n">
        <v>0</v>
      </c>
      <c r="U2262" s="49" t="s">
        <v>4773</v>
      </c>
    </row>
    <row r="2263" customFormat="false" ht="15" hidden="false" customHeight="false" outlineLevel="0" collapsed="false">
      <c r="B2263" s="48" t="n">
        <v>45732.0034837963</v>
      </c>
      <c r="C2263" s="4" t="n">
        <f aca="false">YEAR(B2263)</f>
        <v>2025</v>
      </c>
      <c r="D2263" s="49" t="s">
        <v>278</v>
      </c>
      <c r="E2263" s="49" t="s">
        <v>4774</v>
      </c>
      <c r="F2263" s="50" t="n">
        <v>2</v>
      </c>
      <c r="G2263" s="49" t="s">
        <v>280</v>
      </c>
      <c r="H2263" s="51" t="n">
        <v>0.824</v>
      </c>
      <c r="I2263" s="51" t="n">
        <v>0.166</v>
      </c>
      <c r="J2263" s="51" t="n">
        <v>0.01</v>
      </c>
      <c r="K2263" s="49" t="s">
        <v>281</v>
      </c>
      <c r="L2263" s="49"/>
      <c r="M2263" s="49"/>
      <c r="N2263" s="49"/>
      <c r="O2263" s="49"/>
      <c r="P2263" s="49"/>
      <c r="Q2263" s="49"/>
      <c r="R2263" s="49" t="s">
        <v>281</v>
      </c>
      <c r="S2263" s="49" t="n">
        <v>0</v>
      </c>
      <c r="T2263" s="49" t="n">
        <v>0</v>
      </c>
      <c r="U2263" s="49" t="s">
        <v>4775</v>
      </c>
    </row>
    <row r="2264" customFormat="false" ht="15" hidden="false" customHeight="false" outlineLevel="0" collapsed="false">
      <c r="B2264" s="48" t="n">
        <v>45732.4665972222</v>
      </c>
      <c r="C2264" s="4" t="n">
        <f aca="false">YEAR(B2264)</f>
        <v>2025</v>
      </c>
      <c r="D2264" s="49" t="s">
        <v>283</v>
      </c>
      <c r="E2264" s="49" t="s">
        <v>4776</v>
      </c>
      <c r="F2264" s="50" t="n">
        <v>0</v>
      </c>
      <c r="G2264" s="49" t="s">
        <v>290</v>
      </c>
      <c r="H2264" s="51" t="n">
        <v>0.0463</v>
      </c>
      <c r="I2264" s="51" t="n">
        <v>0.8588</v>
      </c>
      <c r="J2264" s="51" t="n">
        <v>0.0948</v>
      </c>
      <c r="K2264" s="49"/>
      <c r="L2264" s="49"/>
      <c r="M2264" s="49"/>
      <c r="N2264" s="49"/>
      <c r="O2264" s="49"/>
      <c r="P2264" s="49"/>
      <c r="Q2264" s="49"/>
      <c r="R2264" s="49"/>
      <c r="S2264" s="49" t="n">
        <v>0</v>
      </c>
      <c r="T2264" s="49" t="n">
        <v>0</v>
      </c>
      <c r="U2264" s="49" t="s">
        <v>4777</v>
      </c>
    </row>
    <row r="2265" customFormat="false" ht="15" hidden="false" customHeight="false" outlineLevel="0" collapsed="false">
      <c r="B2265" s="48" t="n">
        <v>45733.3431481482</v>
      </c>
      <c r="C2265" s="4" t="n">
        <f aca="false">YEAR(B2265)</f>
        <v>2025</v>
      </c>
      <c r="D2265" s="49" t="s">
        <v>283</v>
      </c>
      <c r="E2265" s="49" t="s">
        <v>4778</v>
      </c>
      <c r="F2265" s="50" t="n">
        <v>1</v>
      </c>
      <c r="G2265" s="49" t="s">
        <v>280</v>
      </c>
      <c r="H2265" s="51" t="n">
        <v>0.7565</v>
      </c>
      <c r="I2265" s="51" t="n">
        <v>0.2316</v>
      </c>
      <c r="J2265" s="51" t="n">
        <v>0.0119</v>
      </c>
      <c r="K2265" s="49" t="s">
        <v>281</v>
      </c>
      <c r="L2265" s="49"/>
      <c r="M2265" s="49"/>
      <c r="N2265" s="49"/>
      <c r="O2265" s="49"/>
      <c r="P2265" s="49"/>
      <c r="Q2265" s="49"/>
      <c r="R2265" s="49"/>
      <c r="S2265" s="49" t="n">
        <v>0</v>
      </c>
      <c r="T2265" s="49" t="n">
        <v>0</v>
      </c>
      <c r="U2265" s="49" t="s">
        <v>4779</v>
      </c>
    </row>
    <row r="2266" customFormat="false" ht="15" hidden="false" customHeight="false" outlineLevel="0" collapsed="false">
      <c r="B2266" s="48" t="n">
        <v>45733.4227662037</v>
      </c>
      <c r="C2266" s="4" t="n">
        <f aca="false">YEAR(B2266)</f>
        <v>2025</v>
      </c>
      <c r="D2266" s="49" t="s">
        <v>283</v>
      </c>
      <c r="E2266" s="49" t="s">
        <v>4780</v>
      </c>
      <c r="F2266" s="50" t="n">
        <v>2</v>
      </c>
      <c r="G2266" s="49" t="s">
        <v>290</v>
      </c>
      <c r="H2266" s="51" t="n">
        <v>0.3503</v>
      </c>
      <c r="I2266" s="51" t="n">
        <v>0.5304</v>
      </c>
      <c r="J2266" s="51" t="n">
        <v>0.1193</v>
      </c>
      <c r="K2266" s="49" t="s">
        <v>281</v>
      </c>
      <c r="L2266" s="49"/>
      <c r="M2266" s="49"/>
      <c r="N2266" s="49"/>
      <c r="O2266" s="49"/>
      <c r="P2266" s="49"/>
      <c r="Q2266" s="49"/>
      <c r="R2266" s="49" t="s">
        <v>281</v>
      </c>
      <c r="S2266" s="49" t="n">
        <v>0</v>
      </c>
      <c r="T2266" s="49" t="n">
        <v>0</v>
      </c>
      <c r="U2266" s="49" t="s">
        <v>4781</v>
      </c>
    </row>
    <row r="2267" customFormat="false" ht="15" hidden="false" customHeight="false" outlineLevel="0" collapsed="false">
      <c r="B2267" s="48" t="n">
        <v>45733.5920023148</v>
      </c>
      <c r="C2267" s="4" t="n">
        <f aca="false">YEAR(B2267)</f>
        <v>2025</v>
      </c>
      <c r="D2267" s="49" t="s">
        <v>283</v>
      </c>
      <c r="E2267" s="49" t="s">
        <v>4782</v>
      </c>
      <c r="F2267" s="50" t="n">
        <v>1</v>
      </c>
      <c r="G2267" s="49" t="s">
        <v>280</v>
      </c>
      <c r="H2267" s="51" t="n">
        <v>0.5699</v>
      </c>
      <c r="I2267" s="51" t="n">
        <v>0.4044</v>
      </c>
      <c r="J2267" s="51" t="n">
        <v>0.0258</v>
      </c>
      <c r="K2267" s="49"/>
      <c r="L2267" s="49"/>
      <c r="M2267" s="49"/>
      <c r="N2267" s="49"/>
      <c r="O2267" s="49"/>
      <c r="P2267" s="49"/>
      <c r="Q2267" s="49" t="s">
        <v>281</v>
      </c>
      <c r="R2267" s="49"/>
      <c r="S2267" s="49" t="n">
        <v>0</v>
      </c>
      <c r="T2267" s="49" t="n">
        <v>0</v>
      </c>
      <c r="U2267" s="49" t="s">
        <v>4783</v>
      </c>
    </row>
    <row r="2268" customFormat="false" ht="15" hidden="false" customHeight="false" outlineLevel="0" collapsed="false">
      <c r="B2268" s="48" t="n">
        <v>45733.5959490741</v>
      </c>
      <c r="C2268" s="4" t="n">
        <f aca="false">YEAR(B2268)</f>
        <v>2025</v>
      </c>
      <c r="D2268" s="49" t="s">
        <v>283</v>
      </c>
      <c r="E2268" s="49" t="s">
        <v>4784</v>
      </c>
      <c r="F2268" s="50" t="n">
        <v>1</v>
      </c>
      <c r="G2268" s="49" t="s">
        <v>290</v>
      </c>
      <c r="H2268" s="51" t="n">
        <v>0.1317</v>
      </c>
      <c r="I2268" s="51" t="n">
        <v>0.7378</v>
      </c>
      <c r="J2268" s="51" t="n">
        <v>0.1305</v>
      </c>
      <c r="K2268" s="49"/>
      <c r="L2268" s="49"/>
      <c r="M2268" s="49"/>
      <c r="N2268" s="49"/>
      <c r="O2268" s="49"/>
      <c r="P2268" s="49"/>
      <c r="Q2268" s="49"/>
      <c r="R2268" s="49"/>
      <c r="S2268" s="49" t="n">
        <v>0</v>
      </c>
      <c r="T2268" s="49" t="n">
        <v>0</v>
      </c>
      <c r="U2268" s="49" t="s">
        <v>4785</v>
      </c>
    </row>
    <row r="2269" customFormat="false" ht="15" hidden="false" customHeight="false" outlineLevel="0" collapsed="false">
      <c r="B2269" s="48" t="n">
        <v>45733.816400463</v>
      </c>
      <c r="C2269" s="4" t="n">
        <f aca="false">YEAR(B2269)</f>
        <v>2025</v>
      </c>
      <c r="D2269" s="49" t="s">
        <v>278</v>
      </c>
      <c r="E2269" s="49" t="s">
        <v>4786</v>
      </c>
      <c r="F2269" s="50" t="n">
        <v>0</v>
      </c>
      <c r="G2269" s="49" t="s">
        <v>290</v>
      </c>
      <c r="H2269" s="51" t="n">
        <v>0.4842</v>
      </c>
      <c r="I2269" s="51" t="n">
        <v>0.4916</v>
      </c>
      <c r="J2269" s="51" t="n">
        <v>0.0242</v>
      </c>
      <c r="K2269" s="49"/>
      <c r="L2269" s="49"/>
      <c r="M2269" s="49"/>
      <c r="N2269" s="49"/>
      <c r="O2269" s="49"/>
      <c r="P2269" s="49"/>
      <c r="Q2269" s="49"/>
      <c r="R2269" s="49"/>
      <c r="S2269" s="49" t="n">
        <v>0</v>
      </c>
      <c r="T2269" s="49" t="n">
        <v>0</v>
      </c>
      <c r="U2269" s="49" t="s">
        <v>4787</v>
      </c>
    </row>
    <row r="2270" customFormat="false" ht="15" hidden="false" customHeight="false" outlineLevel="0" collapsed="false">
      <c r="B2270" s="48" t="n">
        <v>45733.9298032407</v>
      </c>
      <c r="C2270" s="4" t="n">
        <f aca="false">YEAR(B2270)</f>
        <v>2025</v>
      </c>
      <c r="D2270" s="49" t="s">
        <v>283</v>
      </c>
      <c r="E2270" s="49" t="s">
        <v>4788</v>
      </c>
      <c r="F2270" s="50" t="n">
        <v>24</v>
      </c>
      <c r="G2270" s="49" t="s">
        <v>287</v>
      </c>
      <c r="H2270" s="51" t="n">
        <v>0.0072</v>
      </c>
      <c r="I2270" s="51" t="n">
        <v>0.0762</v>
      </c>
      <c r="J2270" s="51" t="n">
        <v>0.9166</v>
      </c>
      <c r="K2270" s="49"/>
      <c r="L2270" s="49"/>
      <c r="M2270" s="49"/>
      <c r="N2270" s="49"/>
      <c r="O2270" s="49"/>
      <c r="P2270" s="49"/>
      <c r="Q2270" s="49"/>
      <c r="R2270" s="49"/>
      <c r="S2270" s="49" t="n">
        <v>0</v>
      </c>
      <c r="T2270" s="49" t="n">
        <v>0</v>
      </c>
      <c r="U2270" s="49" t="s">
        <v>4789</v>
      </c>
    </row>
    <row r="2271" customFormat="false" ht="15" hidden="false" customHeight="false" outlineLevel="0" collapsed="false">
      <c r="B2271" s="48" t="n">
        <v>45734.0075462963</v>
      </c>
      <c r="C2271" s="4" t="n">
        <f aca="false">YEAR(B2271)</f>
        <v>2025</v>
      </c>
      <c r="D2271" s="49" t="s">
        <v>283</v>
      </c>
      <c r="E2271" s="49" t="s">
        <v>4790</v>
      </c>
      <c r="F2271" s="50" t="n">
        <v>3</v>
      </c>
      <c r="G2271" s="49" t="s">
        <v>290</v>
      </c>
      <c r="H2271" s="51" t="n">
        <v>0.0115</v>
      </c>
      <c r="I2271" s="51" t="n">
        <v>0.8509</v>
      </c>
      <c r="J2271" s="51" t="n">
        <v>0.1376</v>
      </c>
      <c r="K2271" s="49"/>
      <c r="L2271" s="49"/>
      <c r="M2271" s="49"/>
      <c r="N2271" s="49"/>
      <c r="O2271" s="49"/>
      <c r="P2271" s="49"/>
      <c r="Q2271" s="49"/>
      <c r="R2271" s="49"/>
      <c r="S2271" s="49" t="n">
        <v>0</v>
      </c>
      <c r="T2271" s="49" t="n">
        <v>0</v>
      </c>
      <c r="U2271" s="49" t="s">
        <v>4791</v>
      </c>
    </row>
    <row r="2272" customFormat="false" ht="15" hidden="false" customHeight="false" outlineLevel="0" collapsed="false">
      <c r="B2272" s="48" t="n">
        <v>45734.5070717593</v>
      </c>
      <c r="C2272" s="4" t="n">
        <f aca="false">YEAR(B2272)</f>
        <v>2025</v>
      </c>
      <c r="D2272" s="49" t="s">
        <v>283</v>
      </c>
      <c r="E2272" s="49" t="s">
        <v>4792</v>
      </c>
      <c r="F2272" s="50" t="n">
        <v>3</v>
      </c>
      <c r="G2272" s="49" t="s">
        <v>287</v>
      </c>
      <c r="H2272" s="51" t="n">
        <v>0.0439</v>
      </c>
      <c r="I2272" s="51" t="n">
        <v>0.2548</v>
      </c>
      <c r="J2272" s="51" t="n">
        <v>0.7013</v>
      </c>
      <c r="K2272" s="49"/>
      <c r="L2272" s="49"/>
      <c r="M2272" s="49"/>
      <c r="N2272" s="49"/>
      <c r="O2272" s="49"/>
      <c r="P2272" s="49"/>
      <c r="Q2272" s="49"/>
      <c r="R2272" s="49"/>
      <c r="S2272" s="49" t="n">
        <v>0</v>
      </c>
      <c r="T2272" s="49" t="n">
        <v>0</v>
      </c>
      <c r="U2272" s="49" t="s">
        <v>4793</v>
      </c>
    </row>
    <row r="2273" customFormat="false" ht="15" hidden="false" customHeight="false" outlineLevel="0" collapsed="false">
      <c r="B2273" s="48" t="n">
        <v>45734.8406712963</v>
      </c>
      <c r="C2273" s="4" t="n">
        <f aca="false">YEAR(B2273)</f>
        <v>2025</v>
      </c>
      <c r="D2273" s="49" t="s">
        <v>283</v>
      </c>
      <c r="E2273" s="49" t="s">
        <v>4794</v>
      </c>
      <c r="F2273" s="50" t="n">
        <v>0</v>
      </c>
      <c r="G2273" s="49" t="s">
        <v>290</v>
      </c>
      <c r="H2273" s="51" t="n">
        <v>0.0824</v>
      </c>
      <c r="I2273" s="51" t="n">
        <v>0.4877</v>
      </c>
      <c r="J2273" s="51" t="n">
        <v>0.4298</v>
      </c>
      <c r="K2273" s="49"/>
      <c r="L2273" s="49"/>
      <c r="M2273" s="49"/>
      <c r="N2273" s="49"/>
      <c r="O2273" s="49"/>
      <c r="P2273" s="49"/>
      <c r="Q2273" s="49"/>
      <c r="R2273" s="49"/>
      <c r="S2273" s="49" t="n">
        <v>0</v>
      </c>
      <c r="T2273" s="49" t="n">
        <v>0</v>
      </c>
      <c r="U2273" s="49" t="s">
        <v>4795</v>
      </c>
    </row>
    <row r="2274" customFormat="false" ht="15" hidden="false" customHeight="false" outlineLevel="0" collapsed="false">
      <c r="B2274" s="48" t="n">
        <v>45735.6103356482</v>
      </c>
      <c r="C2274" s="4" t="n">
        <f aca="false">YEAR(B2274)</f>
        <v>2025</v>
      </c>
      <c r="D2274" s="49" t="s">
        <v>283</v>
      </c>
      <c r="E2274" s="49" t="s">
        <v>4796</v>
      </c>
      <c r="F2274" s="50" t="n">
        <v>4</v>
      </c>
      <c r="G2274" s="49" t="s">
        <v>280</v>
      </c>
      <c r="H2274" s="51" t="n">
        <v>0.6734</v>
      </c>
      <c r="I2274" s="51" t="n">
        <v>0.3015</v>
      </c>
      <c r="J2274" s="51" t="n">
        <v>0.025</v>
      </c>
      <c r="K2274" s="49"/>
      <c r="L2274" s="49"/>
      <c r="M2274" s="49"/>
      <c r="N2274" s="49"/>
      <c r="O2274" s="49"/>
      <c r="P2274" s="49"/>
      <c r="Q2274" s="49"/>
      <c r="R2274" s="49" t="s">
        <v>281</v>
      </c>
      <c r="S2274" s="49" t="n">
        <v>0</v>
      </c>
      <c r="T2274" s="49" t="n">
        <v>0</v>
      </c>
      <c r="U2274" s="49" t="s">
        <v>4797</v>
      </c>
    </row>
    <row r="2275" customFormat="false" ht="15" hidden="false" customHeight="false" outlineLevel="0" collapsed="false">
      <c r="B2275" s="48" t="n">
        <v>45735.9477662037</v>
      </c>
      <c r="C2275" s="4" t="n">
        <f aca="false">YEAR(B2275)</f>
        <v>2025</v>
      </c>
      <c r="D2275" s="49" t="s">
        <v>283</v>
      </c>
      <c r="E2275" s="49" t="s">
        <v>4798</v>
      </c>
      <c r="F2275" s="50" t="n">
        <v>0</v>
      </c>
      <c r="G2275" s="49" t="s">
        <v>287</v>
      </c>
      <c r="H2275" s="51" t="n">
        <v>0.0039</v>
      </c>
      <c r="I2275" s="51" t="n">
        <v>0.0181</v>
      </c>
      <c r="J2275" s="51" t="n">
        <v>0.978</v>
      </c>
      <c r="K2275" s="49"/>
      <c r="L2275" s="49"/>
      <c r="M2275" s="49"/>
      <c r="N2275" s="49"/>
      <c r="O2275" s="49"/>
      <c r="P2275" s="49"/>
      <c r="Q2275" s="49"/>
      <c r="R2275" s="49"/>
      <c r="S2275" s="49" t="n">
        <v>0</v>
      </c>
      <c r="T2275" s="49" t="n">
        <v>0</v>
      </c>
      <c r="U2275" s="49" t="s">
        <v>4799</v>
      </c>
    </row>
    <row r="2276" customFormat="false" ht="15" hidden="false" customHeight="false" outlineLevel="0" collapsed="false">
      <c r="B2276" s="48" t="n">
        <v>45736.0995833333</v>
      </c>
      <c r="C2276" s="4" t="n">
        <f aca="false">YEAR(B2276)</f>
        <v>2025</v>
      </c>
      <c r="D2276" s="49" t="s">
        <v>283</v>
      </c>
      <c r="E2276" s="49" t="s">
        <v>4800</v>
      </c>
      <c r="F2276" s="50" t="n">
        <v>0</v>
      </c>
      <c r="G2276" s="49" t="s">
        <v>287</v>
      </c>
      <c r="H2276" s="51" t="n">
        <v>0.0103</v>
      </c>
      <c r="I2276" s="51" t="n">
        <v>0.3215</v>
      </c>
      <c r="J2276" s="51" t="n">
        <v>0.6683</v>
      </c>
      <c r="K2276" s="49"/>
      <c r="L2276" s="49"/>
      <c r="M2276" s="49"/>
      <c r="N2276" s="49"/>
      <c r="O2276" s="49"/>
      <c r="P2276" s="49"/>
      <c r="Q2276" s="49"/>
      <c r="R2276" s="49"/>
      <c r="S2276" s="49" t="n">
        <v>0</v>
      </c>
      <c r="T2276" s="49" t="n">
        <v>0</v>
      </c>
      <c r="U2276" s="49" t="s">
        <v>4801</v>
      </c>
    </row>
    <row r="2277" customFormat="false" ht="15" hidden="false" customHeight="false" outlineLevel="0" collapsed="false">
      <c r="B2277" s="48" t="n">
        <v>45736.3015740741</v>
      </c>
      <c r="C2277" s="4" t="n">
        <f aca="false">YEAR(B2277)</f>
        <v>2025</v>
      </c>
      <c r="D2277" s="49" t="s">
        <v>283</v>
      </c>
      <c r="E2277" s="49" t="s">
        <v>4802</v>
      </c>
      <c r="F2277" s="50" t="n">
        <v>2</v>
      </c>
      <c r="G2277" s="49" t="s">
        <v>280</v>
      </c>
      <c r="H2277" s="51" t="n">
        <v>0.5923</v>
      </c>
      <c r="I2277" s="51" t="n">
        <v>0.3768</v>
      </c>
      <c r="J2277" s="51" t="n">
        <v>0.0309</v>
      </c>
      <c r="K2277" s="49"/>
      <c r="L2277" s="49"/>
      <c r="M2277" s="49"/>
      <c r="N2277" s="49"/>
      <c r="O2277" s="49"/>
      <c r="P2277" s="49"/>
      <c r="Q2277" s="49"/>
      <c r="R2277" s="49"/>
      <c r="S2277" s="49" t="n">
        <v>0</v>
      </c>
      <c r="T2277" s="49" t="n">
        <v>0</v>
      </c>
      <c r="U2277" s="49" t="s">
        <v>4803</v>
      </c>
    </row>
    <row r="2278" customFormat="false" ht="15" hidden="false" customHeight="false" outlineLevel="0" collapsed="false">
      <c r="B2278" s="48" t="n">
        <v>45737.0886574074</v>
      </c>
      <c r="C2278" s="4" t="n">
        <f aca="false">YEAR(B2278)</f>
        <v>2025</v>
      </c>
      <c r="D2278" s="49" t="s">
        <v>283</v>
      </c>
      <c r="E2278" s="49" t="s">
        <v>4804</v>
      </c>
      <c r="F2278" s="50" t="n">
        <v>6</v>
      </c>
      <c r="G2278" s="49" t="s">
        <v>280</v>
      </c>
      <c r="H2278" s="51" t="n">
        <v>0.4967</v>
      </c>
      <c r="I2278" s="51" t="n">
        <v>0.4773</v>
      </c>
      <c r="J2278" s="51" t="n">
        <v>0.026</v>
      </c>
      <c r="K2278" s="49"/>
      <c r="L2278" s="49"/>
      <c r="M2278" s="49"/>
      <c r="N2278" s="49"/>
      <c r="O2278" s="49"/>
      <c r="P2278" s="49"/>
      <c r="Q2278" s="49"/>
      <c r="R2278" s="49"/>
      <c r="S2278" s="49" t="n">
        <v>0</v>
      </c>
      <c r="T2278" s="49" t="n">
        <v>0</v>
      </c>
      <c r="U2278" s="49" t="s">
        <v>4805</v>
      </c>
    </row>
    <row r="2279" customFormat="false" ht="15" hidden="false" customHeight="false" outlineLevel="0" collapsed="false">
      <c r="B2279" s="48" t="n">
        <v>45737.4075</v>
      </c>
      <c r="C2279" s="4" t="n">
        <f aca="false">YEAR(B2279)</f>
        <v>2025</v>
      </c>
      <c r="D2279" s="49" t="s">
        <v>278</v>
      </c>
      <c r="E2279" s="49" t="s">
        <v>4806</v>
      </c>
      <c r="F2279" s="50" t="n">
        <v>0</v>
      </c>
      <c r="G2279" s="49" t="s">
        <v>287</v>
      </c>
      <c r="H2279" s="51" t="n">
        <v>0.0093</v>
      </c>
      <c r="I2279" s="51" t="n">
        <v>0.1371</v>
      </c>
      <c r="J2279" s="51" t="n">
        <v>0.8536</v>
      </c>
      <c r="K2279" s="49"/>
      <c r="L2279" s="49"/>
      <c r="M2279" s="49"/>
      <c r="N2279" s="49"/>
      <c r="O2279" s="49"/>
      <c r="P2279" s="49"/>
      <c r="Q2279" s="49"/>
      <c r="R2279" s="49"/>
      <c r="S2279" s="49" t="n">
        <v>0</v>
      </c>
      <c r="T2279" s="49" t="n">
        <v>0</v>
      </c>
      <c r="U2279" s="49" t="s">
        <v>4807</v>
      </c>
    </row>
    <row r="2280" customFormat="false" ht="15" hidden="false" customHeight="false" outlineLevel="0" collapsed="false">
      <c r="B2280" s="48" t="n">
        <v>45737.7976388889</v>
      </c>
      <c r="C2280" s="4" t="n">
        <f aca="false">YEAR(B2280)</f>
        <v>2025</v>
      </c>
      <c r="D2280" s="49" t="s">
        <v>283</v>
      </c>
      <c r="E2280" s="49" t="s">
        <v>4808</v>
      </c>
      <c r="F2280" s="50" t="n">
        <v>1</v>
      </c>
      <c r="G2280" s="49" t="s">
        <v>290</v>
      </c>
      <c r="H2280" s="51" t="n">
        <v>0.3201</v>
      </c>
      <c r="I2280" s="51" t="n">
        <v>0.6349</v>
      </c>
      <c r="J2280" s="51" t="n">
        <v>0.045</v>
      </c>
      <c r="K2280" s="49"/>
      <c r="L2280" s="49"/>
      <c r="M2280" s="49"/>
      <c r="N2280" s="49"/>
      <c r="O2280" s="49"/>
      <c r="P2280" s="49"/>
      <c r="Q2280" s="49"/>
      <c r="R2280" s="49"/>
      <c r="S2280" s="49" t="n">
        <v>0</v>
      </c>
      <c r="T2280" s="49" t="n">
        <v>0</v>
      </c>
      <c r="U2280" s="49" t="s">
        <v>4809</v>
      </c>
    </row>
    <row r="2281" customFormat="false" ht="15" hidden="false" customHeight="false" outlineLevel="0" collapsed="false">
      <c r="B2281" s="48" t="n">
        <v>45738.4734375</v>
      </c>
      <c r="C2281" s="4" t="n">
        <f aca="false">YEAR(B2281)</f>
        <v>2025</v>
      </c>
      <c r="D2281" s="49" t="s">
        <v>283</v>
      </c>
      <c r="E2281" s="49" t="s">
        <v>4810</v>
      </c>
      <c r="F2281" s="50" t="n">
        <v>1</v>
      </c>
      <c r="G2281" s="49" t="s">
        <v>280</v>
      </c>
      <c r="H2281" s="51" t="n">
        <v>0.7915</v>
      </c>
      <c r="I2281" s="51" t="n">
        <v>0.1955</v>
      </c>
      <c r="J2281" s="51" t="n">
        <v>0.0129</v>
      </c>
      <c r="K2281" s="49"/>
      <c r="L2281" s="49"/>
      <c r="M2281" s="49"/>
      <c r="N2281" s="49"/>
      <c r="O2281" s="49"/>
      <c r="P2281" s="49"/>
      <c r="Q2281" s="49"/>
      <c r="R2281" s="49"/>
      <c r="S2281" s="49" t="n">
        <v>0</v>
      </c>
      <c r="T2281" s="49" t="n">
        <v>0</v>
      </c>
      <c r="U2281" s="49" t="s">
        <v>4811</v>
      </c>
    </row>
    <row r="2282" customFormat="false" ht="15" hidden="false" customHeight="false" outlineLevel="0" collapsed="false">
      <c r="B2282" s="48" t="n">
        <v>45739.5638310185</v>
      </c>
      <c r="C2282" s="4" t="n">
        <f aca="false">YEAR(B2282)</f>
        <v>2025</v>
      </c>
      <c r="D2282" s="49" t="s">
        <v>283</v>
      </c>
      <c r="E2282" s="49" t="s">
        <v>4812</v>
      </c>
      <c r="F2282" s="50" t="n">
        <v>1</v>
      </c>
      <c r="G2282" s="49" t="s">
        <v>290</v>
      </c>
      <c r="H2282" s="51" t="n">
        <v>0.2565</v>
      </c>
      <c r="I2282" s="51" t="n">
        <v>0.6256</v>
      </c>
      <c r="J2282" s="51" t="n">
        <v>0.1179</v>
      </c>
      <c r="K2282" s="49"/>
      <c r="L2282" s="49"/>
      <c r="M2282" s="49"/>
      <c r="N2282" s="49"/>
      <c r="O2282" s="49"/>
      <c r="P2282" s="49"/>
      <c r="Q2282" s="49"/>
      <c r="R2282" s="49" t="s">
        <v>281</v>
      </c>
      <c r="S2282" s="49" t="n">
        <v>0</v>
      </c>
      <c r="T2282" s="49" t="n">
        <v>0</v>
      </c>
      <c r="U2282" s="49" t="s">
        <v>4813</v>
      </c>
    </row>
    <row r="2283" customFormat="false" ht="15" hidden="false" customHeight="false" outlineLevel="0" collapsed="false">
      <c r="B2283" s="48" t="n">
        <v>45739.6857638889</v>
      </c>
      <c r="C2283" s="4" t="n">
        <f aca="false">YEAR(B2283)</f>
        <v>2025</v>
      </c>
      <c r="D2283" s="49" t="s">
        <v>283</v>
      </c>
      <c r="E2283" s="49" t="s">
        <v>4814</v>
      </c>
      <c r="F2283" s="50" t="n">
        <v>0</v>
      </c>
      <c r="G2283" s="49" t="s">
        <v>290</v>
      </c>
      <c r="H2283" s="51" t="n">
        <v>0.0775</v>
      </c>
      <c r="I2283" s="51" t="n">
        <v>0.8814</v>
      </c>
      <c r="J2283" s="51" t="n">
        <v>0.0411</v>
      </c>
      <c r="K2283" s="49"/>
      <c r="L2283" s="49"/>
      <c r="M2283" s="49"/>
      <c r="N2283" s="49"/>
      <c r="O2283" s="49"/>
      <c r="P2283" s="49"/>
      <c r="Q2283" s="49" t="s">
        <v>281</v>
      </c>
      <c r="R2283" s="49"/>
      <c r="S2283" s="49" t="n">
        <v>0</v>
      </c>
      <c r="T2283" s="49" t="n">
        <v>0</v>
      </c>
      <c r="U2283" s="49" t="s">
        <v>4815</v>
      </c>
    </row>
    <row r="2284" customFormat="false" ht="15" hidden="false" customHeight="false" outlineLevel="0" collapsed="false">
      <c r="B2284" s="48" t="n">
        <v>45739.8410069444</v>
      </c>
      <c r="C2284" s="4" t="n">
        <f aca="false">YEAR(B2284)</f>
        <v>2025</v>
      </c>
      <c r="D2284" s="49" t="s">
        <v>278</v>
      </c>
      <c r="E2284" s="49" t="s">
        <v>4816</v>
      </c>
      <c r="F2284" s="50" t="n">
        <v>6</v>
      </c>
      <c r="G2284" s="49" t="s">
        <v>290</v>
      </c>
      <c r="H2284" s="51" t="n">
        <v>0.3998</v>
      </c>
      <c r="I2284" s="51" t="n">
        <v>0.5711</v>
      </c>
      <c r="J2284" s="51" t="n">
        <v>0.0291</v>
      </c>
      <c r="K2284" s="49"/>
      <c r="L2284" s="49"/>
      <c r="M2284" s="49"/>
      <c r="N2284" s="49"/>
      <c r="O2284" s="49"/>
      <c r="P2284" s="49"/>
      <c r="Q2284" s="49"/>
      <c r="R2284" s="49" t="s">
        <v>281</v>
      </c>
      <c r="S2284" s="49" t="n">
        <v>0</v>
      </c>
      <c r="T2284" s="49" t="n">
        <v>0</v>
      </c>
      <c r="U2284" s="49" t="s">
        <v>4817</v>
      </c>
    </row>
    <row r="2285" customFormat="false" ht="15" hidden="false" customHeight="false" outlineLevel="0" collapsed="false">
      <c r="B2285" s="48" t="n">
        <v>45739.9385648148</v>
      </c>
      <c r="C2285" s="4" t="n">
        <f aca="false">YEAR(B2285)</f>
        <v>2025</v>
      </c>
      <c r="D2285" s="49" t="s">
        <v>278</v>
      </c>
      <c r="E2285" s="49" t="s">
        <v>4818</v>
      </c>
      <c r="F2285" s="50" t="n">
        <v>33</v>
      </c>
      <c r="G2285" s="49" t="s">
        <v>280</v>
      </c>
      <c r="H2285" s="51" t="n">
        <v>0.8866</v>
      </c>
      <c r="I2285" s="51" t="n">
        <v>0.1033</v>
      </c>
      <c r="J2285" s="51" t="n">
        <v>0.0101</v>
      </c>
      <c r="K2285" s="49"/>
      <c r="L2285" s="49"/>
      <c r="M2285" s="49"/>
      <c r="N2285" s="49"/>
      <c r="O2285" s="49"/>
      <c r="P2285" s="49"/>
      <c r="Q2285" s="49"/>
      <c r="R2285" s="49"/>
      <c r="S2285" s="49" t="n">
        <v>0</v>
      </c>
      <c r="T2285" s="49" t="n">
        <v>0</v>
      </c>
      <c r="U2285" s="49" t="s">
        <v>4819</v>
      </c>
    </row>
    <row r="2286" customFormat="false" ht="15" hidden="false" customHeight="false" outlineLevel="0" collapsed="false">
      <c r="B2286" s="48" t="n">
        <v>45740.9393518519</v>
      </c>
      <c r="C2286" s="4" t="n">
        <f aca="false">YEAR(B2286)</f>
        <v>2025</v>
      </c>
      <c r="D2286" s="49" t="s">
        <v>278</v>
      </c>
      <c r="E2286" s="49" t="s">
        <v>4820</v>
      </c>
      <c r="F2286" s="50" t="n">
        <v>0</v>
      </c>
      <c r="G2286" s="49" t="s">
        <v>290</v>
      </c>
      <c r="H2286" s="51" t="n">
        <v>0.3853</v>
      </c>
      <c r="I2286" s="51" t="n">
        <v>0.5375</v>
      </c>
      <c r="J2286" s="51" t="n">
        <v>0.0772</v>
      </c>
      <c r="K2286" s="49"/>
      <c r="L2286" s="49"/>
      <c r="M2286" s="49"/>
      <c r="N2286" s="49"/>
      <c r="O2286" s="49"/>
      <c r="P2286" s="49"/>
      <c r="Q2286" s="49" t="s">
        <v>281</v>
      </c>
      <c r="R2286" s="49"/>
      <c r="S2286" s="49" t="n">
        <v>0</v>
      </c>
      <c r="T2286" s="49" t="n">
        <v>0</v>
      </c>
      <c r="U2286" s="49" t="s">
        <v>4821</v>
      </c>
    </row>
    <row r="2287" customFormat="false" ht="15" hidden="false" customHeight="false" outlineLevel="0" collapsed="false">
      <c r="B2287" s="48" t="n">
        <v>45740.9635416667</v>
      </c>
      <c r="C2287" s="4" t="n">
        <f aca="false">YEAR(B2287)</f>
        <v>2025</v>
      </c>
      <c r="D2287" s="49" t="s">
        <v>283</v>
      </c>
      <c r="E2287" s="49" t="s">
        <v>4822</v>
      </c>
      <c r="F2287" s="50" t="n">
        <v>2</v>
      </c>
      <c r="G2287" s="49" t="s">
        <v>290</v>
      </c>
      <c r="H2287" s="51" t="n">
        <v>0.0291</v>
      </c>
      <c r="I2287" s="51" t="n">
        <v>0.5598</v>
      </c>
      <c r="J2287" s="51" t="n">
        <v>0.4111</v>
      </c>
      <c r="K2287" s="49"/>
      <c r="L2287" s="49"/>
      <c r="M2287" s="49"/>
      <c r="N2287" s="49"/>
      <c r="O2287" s="49"/>
      <c r="P2287" s="49"/>
      <c r="Q2287" s="49"/>
      <c r="R2287" s="49"/>
      <c r="S2287" s="49" t="n">
        <v>0</v>
      </c>
      <c r="T2287" s="49" t="n">
        <v>0</v>
      </c>
      <c r="U2287" s="49" t="s">
        <v>4823</v>
      </c>
    </row>
    <row r="2288" customFormat="false" ht="15" hidden="false" customHeight="false" outlineLevel="0" collapsed="false">
      <c r="B2288" s="48" t="n">
        <v>45741.0937037037</v>
      </c>
      <c r="C2288" s="4" t="n">
        <f aca="false">YEAR(B2288)</f>
        <v>2025</v>
      </c>
      <c r="D2288" s="49" t="s">
        <v>283</v>
      </c>
      <c r="E2288" s="49" t="s">
        <v>4824</v>
      </c>
      <c r="F2288" s="50" t="n">
        <v>1</v>
      </c>
      <c r="G2288" s="49" t="s">
        <v>290</v>
      </c>
      <c r="H2288" s="51" t="n">
        <v>0.4589</v>
      </c>
      <c r="I2288" s="51" t="n">
        <v>0.5047</v>
      </c>
      <c r="J2288" s="51" t="n">
        <v>0.0364</v>
      </c>
      <c r="K2288" s="49"/>
      <c r="L2288" s="49"/>
      <c r="M2288" s="49"/>
      <c r="N2288" s="49"/>
      <c r="O2288" s="49"/>
      <c r="P2288" s="49"/>
      <c r="Q2288" s="49"/>
      <c r="R2288" s="49"/>
      <c r="S2288" s="49" t="n">
        <v>0</v>
      </c>
      <c r="T2288" s="49" t="n">
        <v>0</v>
      </c>
      <c r="U2288" s="49" t="s">
        <v>4825</v>
      </c>
    </row>
    <row r="2289" customFormat="false" ht="15" hidden="false" customHeight="false" outlineLevel="0" collapsed="false">
      <c r="B2289" s="48" t="n">
        <v>45741.262650463</v>
      </c>
      <c r="C2289" s="4" t="n">
        <f aca="false">YEAR(B2289)</f>
        <v>2025</v>
      </c>
      <c r="D2289" s="49" t="s">
        <v>283</v>
      </c>
      <c r="E2289" s="49" t="s">
        <v>4826</v>
      </c>
      <c r="F2289" s="50" t="n">
        <v>23</v>
      </c>
      <c r="G2289" s="49" t="s">
        <v>287</v>
      </c>
      <c r="H2289" s="51" t="n">
        <v>0.0035</v>
      </c>
      <c r="I2289" s="51" t="n">
        <v>0.0475</v>
      </c>
      <c r="J2289" s="51" t="n">
        <v>0.9491</v>
      </c>
      <c r="K2289" s="49"/>
      <c r="L2289" s="49"/>
      <c r="M2289" s="49"/>
      <c r="N2289" s="49"/>
      <c r="O2289" s="49"/>
      <c r="P2289" s="49"/>
      <c r="Q2289" s="49"/>
      <c r="R2289" s="49"/>
      <c r="S2289" s="49" t="n">
        <v>0</v>
      </c>
      <c r="T2289" s="49" t="n">
        <v>0</v>
      </c>
      <c r="U2289" s="49" t="s">
        <v>4827</v>
      </c>
    </row>
    <row r="2290" customFormat="false" ht="15" hidden="false" customHeight="false" outlineLevel="0" collapsed="false">
      <c r="B2290" s="48" t="n">
        <v>45741.3260416667</v>
      </c>
      <c r="C2290" s="4" t="n">
        <f aca="false">YEAR(B2290)</f>
        <v>2025</v>
      </c>
      <c r="D2290" s="49" t="s">
        <v>278</v>
      </c>
      <c r="E2290" s="49" t="s">
        <v>4828</v>
      </c>
      <c r="F2290" s="50" t="n">
        <v>1</v>
      </c>
      <c r="G2290" s="49" t="s">
        <v>280</v>
      </c>
      <c r="H2290" s="51" t="n">
        <v>0.6124</v>
      </c>
      <c r="I2290" s="51" t="n">
        <v>0.3553</v>
      </c>
      <c r="J2290" s="51" t="n">
        <v>0.0323</v>
      </c>
      <c r="K2290" s="49"/>
      <c r="L2290" s="49"/>
      <c r="M2290" s="49"/>
      <c r="N2290" s="49"/>
      <c r="O2290" s="49"/>
      <c r="P2290" s="49"/>
      <c r="Q2290" s="49" t="s">
        <v>281</v>
      </c>
      <c r="R2290" s="49"/>
      <c r="S2290" s="49" t="n">
        <v>0</v>
      </c>
      <c r="T2290" s="49" t="n">
        <v>1</v>
      </c>
      <c r="U2290" s="49" t="s">
        <v>4829</v>
      </c>
    </row>
    <row r="2291" customFormat="false" ht="15" hidden="false" customHeight="false" outlineLevel="0" collapsed="false">
      <c r="B2291" s="48" t="n">
        <v>45741.6768518519</v>
      </c>
      <c r="C2291" s="4" t="n">
        <f aca="false">YEAR(B2291)</f>
        <v>2025</v>
      </c>
      <c r="D2291" s="49" t="s">
        <v>283</v>
      </c>
      <c r="E2291" s="49" t="s">
        <v>4830</v>
      </c>
      <c r="F2291" s="50" t="n">
        <v>0</v>
      </c>
      <c r="G2291" s="49" t="s">
        <v>287</v>
      </c>
      <c r="H2291" s="51" t="n">
        <v>0.0139</v>
      </c>
      <c r="I2291" s="51" t="n">
        <v>0.2529</v>
      </c>
      <c r="J2291" s="51" t="n">
        <v>0.7332</v>
      </c>
      <c r="K2291" s="49"/>
      <c r="L2291" s="49"/>
      <c r="M2291" s="49"/>
      <c r="N2291" s="49"/>
      <c r="O2291" s="49"/>
      <c r="P2291" s="49"/>
      <c r="Q2291" s="49"/>
      <c r="R2291" s="49"/>
      <c r="S2291" s="49" t="n">
        <v>0</v>
      </c>
      <c r="T2291" s="49" t="n">
        <v>0</v>
      </c>
      <c r="U2291" s="49" t="s">
        <v>4831</v>
      </c>
    </row>
    <row r="2292" customFormat="false" ht="15" hidden="false" customHeight="false" outlineLevel="0" collapsed="false">
      <c r="B2292" s="48" t="n">
        <v>45741.8448611111</v>
      </c>
      <c r="C2292" s="4" t="n">
        <f aca="false">YEAR(B2292)</f>
        <v>2025</v>
      </c>
      <c r="D2292" s="49" t="s">
        <v>283</v>
      </c>
      <c r="E2292" s="49" t="s">
        <v>4832</v>
      </c>
      <c r="F2292" s="50" t="n">
        <v>1</v>
      </c>
      <c r="G2292" s="49" t="s">
        <v>287</v>
      </c>
      <c r="H2292" s="51" t="n">
        <v>0.039</v>
      </c>
      <c r="I2292" s="51" t="n">
        <v>0.4341</v>
      </c>
      <c r="J2292" s="51" t="n">
        <v>0.5269</v>
      </c>
      <c r="K2292" s="49"/>
      <c r="L2292" s="49"/>
      <c r="M2292" s="49"/>
      <c r="N2292" s="49"/>
      <c r="O2292" s="49"/>
      <c r="P2292" s="49"/>
      <c r="Q2292" s="49"/>
      <c r="R2292" s="49"/>
      <c r="S2292" s="49" t="n">
        <v>0</v>
      </c>
      <c r="T2292" s="49" t="n">
        <v>0</v>
      </c>
      <c r="U2292" s="49" t="s">
        <v>4833</v>
      </c>
    </row>
    <row r="2293" customFormat="false" ht="15" hidden="false" customHeight="false" outlineLevel="0" collapsed="false">
      <c r="B2293" s="48" t="n">
        <v>45741.8506134259</v>
      </c>
      <c r="C2293" s="4" t="n">
        <f aca="false">YEAR(B2293)</f>
        <v>2025</v>
      </c>
      <c r="D2293" s="49" t="s">
        <v>283</v>
      </c>
      <c r="E2293" s="49" t="s">
        <v>4834</v>
      </c>
      <c r="F2293" s="50" t="n">
        <v>1</v>
      </c>
      <c r="G2293" s="49" t="s">
        <v>280</v>
      </c>
      <c r="H2293" s="51" t="n">
        <v>0.7529</v>
      </c>
      <c r="I2293" s="51" t="n">
        <v>0.2299</v>
      </c>
      <c r="J2293" s="51" t="n">
        <v>0.0172</v>
      </c>
      <c r="K2293" s="49" t="s">
        <v>281</v>
      </c>
      <c r="L2293" s="49"/>
      <c r="M2293" s="49"/>
      <c r="N2293" s="49"/>
      <c r="O2293" s="49"/>
      <c r="P2293" s="49"/>
      <c r="Q2293" s="49"/>
      <c r="R2293" s="49"/>
      <c r="S2293" s="49" t="n">
        <v>0</v>
      </c>
      <c r="T2293" s="49" t="n">
        <v>0</v>
      </c>
      <c r="U2293" s="49" t="s">
        <v>4835</v>
      </c>
    </row>
    <row r="2294" customFormat="false" ht="15" hidden="false" customHeight="false" outlineLevel="0" collapsed="false">
      <c r="B2294" s="48" t="n">
        <v>45742.0426041667</v>
      </c>
      <c r="C2294" s="4" t="n">
        <f aca="false">YEAR(B2294)</f>
        <v>2025</v>
      </c>
      <c r="D2294" s="49" t="s">
        <v>283</v>
      </c>
      <c r="E2294" s="49" t="s">
        <v>4836</v>
      </c>
      <c r="F2294" s="50" t="n">
        <v>10</v>
      </c>
      <c r="G2294" s="49" t="s">
        <v>290</v>
      </c>
      <c r="H2294" s="51" t="n">
        <v>0.0089</v>
      </c>
      <c r="I2294" s="51" t="n">
        <v>0.5339</v>
      </c>
      <c r="J2294" s="51" t="n">
        <v>0.4572</v>
      </c>
      <c r="K2294" s="49"/>
      <c r="L2294" s="49"/>
      <c r="M2294" s="49"/>
      <c r="N2294" s="49"/>
      <c r="O2294" s="49"/>
      <c r="P2294" s="49"/>
      <c r="Q2294" s="49"/>
      <c r="R2294" s="49"/>
      <c r="S2294" s="49" t="n">
        <v>0</v>
      </c>
      <c r="T2294" s="49" t="n">
        <v>0</v>
      </c>
      <c r="U2294" s="49" t="s">
        <v>4837</v>
      </c>
    </row>
    <row r="2295" customFormat="false" ht="15" hidden="false" customHeight="false" outlineLevel="0" collapsed="false">
      <c r="B2295" s="48" t="n">
        <v>45742.1157638889</v>
      </c>
      <c r="C2295" s="4" t="n">
        <f aca="false">YEAR(B2295)</f>
        <v>2025</v>
      </c>
      <c r="D2295" s="49" t="s">
        <v>283</v>
      </c>
      <c r="E2295" s="49" t="s">
        <v>4838</v>
      </c>
      <c r="F2295" s="50" t="n">
        <v>9</v>
      </c>
      <c r="G2295" s="49" t="s">
        <v>287</v>
      </c>
      <c r="H2295" s="51" t="n">
        <v>0.0019</v>
      </c>
      <c r="I2295" s="51" t="n">
        <v>0.0681</v>
      </c>
      <c r="J2295" s="51" t="n">
        <v>0.93</v>
      </c>
      <c r="K2295" s="49"/>
      <c r="L2295" s="49"/>
      <c r="M2295" s="49"/>
      <c r="N2295" s="49"/>
      <c r="O2295" s="49"/>
      <c r="P2295" s="49"/>
      <c r="Q2295" s="49"/>
      <c r="R2295" s="49"/>
      <c r="S2295" s="49" t="n">
        <v>0</v>
      </c>
      <c r="T2295" s="49" t="n">
        <v>0</v>
      </c>
      <c r="U2295" s="49" t="s">
        <v>4839</v>
      </c>
    </row>
    <row r="2296" customFormat="false" ht="15" hidden="false" customHeight="false" outlineLevel="0" collapsed="false">
      <c r="B2296" s="48" t="n">
        <v>45742.6994444444</v>
      </c>
      <c r="C2296" s="4" t="n">
        <f aca="false">YEAR(B2296)</f>
        <v>2025</v>
      </c>
      <c r="D2296" s="49" t="s">
        <v>283</v>
      </c>
      <c r="E2296" s="49" t="s">
        <v>4840</v>
      </c>
      <c r="F2296" s="50" t="n">
        <v>1</v>
      </c>
      <c r="G2296" s="49" t="s">
        <v>280</v>
      </c>
      <c r="H2296" s="51" t="n">
        <v>0.8595</v>
      </c>
      <c r="I2296" s="51" t="n">
        <v>0.13</v>
      </c>
      <c r="J2296" s="51" t="n">
        <v>0.0104</v>
      </c>
      <c r="K2296" s="49"/>
      <c r="L2296" s="49"/>
      <c r="M2296" s="49"/>
      <c r="N2296" s="49"/>
      <c r="O2296" s="49"/>
      <c r="P2296" s="49"/>
      <c r="Q2296" s="49"/>
      <c r="R2296" s="49"/>
      <c r="S2296" s="49" t="n">
        <v>0</v>
      </c>
      <c r="T2296" s="49" t="n">
        <v>0</v>
      </c>
      <c r="U2296" s="49" t="s">
        <v>4841</v>
      </c>
    </row>
    <row r="2297" customFormat="false" ht="15" hidden="false" customHeight="false" outlineLevel="0" collapsed="false">
      <c r="B2297" s="48" t="n">
        <v>45742.711712963</v>
      </c>
      <c r="C2297" s="4" t="n">
        <f aca="false">YEAR(B2297)</f>
        <v>2025</v>
      </c>
      <c r="D2297" s="49" t="s">
        <v>283</v>
      </c>
      <c r="E2297" s="49" t="s">
        <v>4842</v>
      </c>
      <c r="F2297" s="50" t="n">
        <v>9</v>
      </c>
      <c r="G2297" s="49" t="s">
        <v>290</v>
      </c>
      <c r="H2297" s="51" t="n">
        <v>0.3644</v>
      </c>
      <c r="I2297" s="51" t="n">
        <v>0.4397</v>
      </c>
      <c r="J2297" s="51" t="n">
        <v>0.1959</v>
      </c>
      <c r="K2297" s="49"/>
      <c r="L2297" s="49"/>
      <c r="M2297" s="49"/>
      <c r="N2297" s="49"/>
      <c r="O2297" s="49"/>
      <c r="P2297" s="49"/>
      <c r="Q2297" s="49"/>
      <c r="R2297" s="49"/>
      <c r="S2297" s="49" t="n">
        <v>0</v>
      </c>
      <c r="T2297" s="49" t="n">
        <v>0</v>
      </c>
      <c r="U2297" s="49" t="s">
        <v>4843</v>
      </c>
    </row>
    <row r="2298" customFormat="false" ht="15" hidden="false" customHeight="false" outlineLevel="0" collapsed="false">
      <c r="B2298" s="48" t="n">
        <v>45742.7396759259</v>
      </c>
      <c r="C2298" s="4" t="n">
        <f aca="false">YEAR(B2298)</f>
        <v>2025</v>
      </c>
      <c r="D2298" s="49" t="s">
        <v>278</v>
      </c>
      <c r="E2298" s="49" t="s">
        <v>4844</v>
      </c>
      <c r="F2298" s="50" t="n">
        <v>0</v>
      </c>
      <c r="G2298" s="49" t="s">
        <v>280</v>
      </c>
      <c r="H2298" s="51" t="n">
        <v>0.8606</v>
      </c>
      <c r="I2298" s="51" t="n">
        <v>0.1314</v>
      </c>
      <c r="J2298" s="51" t="n">
        <v>0.0079</v>
      </c>
      <c r="K2298" s="49"/>
      <c r="L2298" s="49"/>
      <c r="M2298" s="49"/>
      <c r="N2298" s="49"/>
      <c r="O2298" s="49"/>
      <c r="P2298" s="49"/>
      <c r="Q2298" s="49"/>
      <c r="R2298" s="49" t="s">
        <v>281</v>
      </c>
      <c r="S2298" s="49" t="n">
        <v>0</v>
      </c>
      <c r="T2298" s="49" t="n">
        <v>0</v>
      </c>
      <c r="U2298" s="49" t="s">
        <v>4845</v>
      </c>
    </row>
    <row r="2299" customFormat="false" ht="15" hidden="false" customHeight="false" outlineLevel="0" collapsed="false">
      <c r="B2299" s="48" t="n">
        <v>45742.8877662037</v>
      </c>
      <c r="C2299" s="4" t="n">
        <f aca="false">YEAR(B2299)</f>
        <v>2025</v>
      </c>
      <c r="D2299" s="49" t="s">
        <v>278</v>
      </c>
      <c r="E2299" s="49" t="s">
        <v>4846</v>
      </c>
      <c r="F2299" s="50" t="n">
        <v>0</v>
      </c>
      <c r="G2299" s="49" t="s">
        <v>280</v>
      </c>
      <c r="H2299" s="51" t="n">
        <v>0.6744</v>
      </c>
      <c r="I2299" s="51" t="n">
        <v>0.3134</v>
      </c>
      <c r="J2299" s="51" t="n">
        <v>0.0122</v>
      </c>
      <c r="K2299" s="49"/>
      <c r="L2299" s="49"/>
      <c r="M2299" s="49"/>
      <c r="N2299" s="49"/>
      <c r="O2299" s="49"/>
      <c r="P2299" s="49"/>
      <c r="Q2299" s="49" t="s">
        <v>281</v>
      </c>
      <c r="R2299" s="49"/>
      <c r="S2299" s="49" t="n">
        <v>0</v>
      </c>
      <c r="T2299" s="49" t="n">
        <v>0</v>
      </c>
      <c r="U2299" s="49" t="s">
        <v>4847</v>
      </c>
    </row>
    <row r="2300" customFormat="false" ht="15" hidden="false" customHeight="false" outlineLevel="0" collapsed="false">
      <c r="B2300" s="48" t="n">
        <v>45742.901875</v>
      </c>
      <c r="C2300" s="4" t="n">
        <f aca="false">YEAR(B2300)</f>
        <v>2025</v>
      </c>
      <c r="D2300" s="49" t="s">
        <v>283</v>
      </c>
      <c r="E2300" s="49" t="s">
        <v>4848</v>
      </c>
      <c r="F2300" s="50" t="n">
        <v>2</v>
      </c>
      <c r="G2300" s="49" t="s">
        <v>280</v>
      </c>
      <c r="H2300" s="51" t="n">
        <v>0.8371</v>
      </c>
      <c r="I2300" s="51" t="n">
        <v>0.1535</v>
      </c>
      <c r="J2300" s="51" t="n">
        <v>0.0094</v>
      </c>
      <c r="K2300" s="49"/>
      <c r="L2300" s="49"/>
      <c r="M2300" s="49"/>
      <c r="N2300" s="49"/>
      <c r="O2300" s="49"/>
      <c r="P2300" s="49"/>
      <c r="Q2300" s="49"/>
      <c r="R2300" s="49" t="s">
        <v>281</v>
      </c>
      <c r="S2300" s="49" t="n">
        <v>0</v>
      </c>
      <c r="T2300" s="49" t="n">
        <v>0</v>
      </c>
      <c r="U2300" s="49" t="s">
        <v>4849</v>
      </c>
    </row>
    <row r="2301" customFormat="false" ht="15" hidden="false" customHeight="false" outlineLevel="0" collapsed="false">
      <c r="B2301" s="48" t="n">
        <v>45743.1179166667</v>
      </c>
      <c r="C2301" s="4" t="n">
        <f aca="false">YEAR(B2301)</f>
        <v>2025</v>
      </c>
      <c r="D2301" s="49" t="s">
        <v>278</v>
      </c>
      <c r="E2301" s="49" t="s">
        <v>4850</v>
      </c>
      <c r="F2301" s="50" t="n">
        <v>2</v>
      </c>
      <c r="G2301" s="49" t="s">
        <v>290</v>
      </c>
      <c r="H2301" s="51" t="n">
        <v>0.3421</v>
      </c>
      <c r="I2301" s="51" t="n">
        <v>0.5812</v>
      </c>
      <c r="J2301" s="51" t="n">
        <v>0.0767</v>
      </c>
      <c r="K2301" s="49"/>
      <c r="L2301" s="49"/>
      <c r="M2301" s="49"/>
      <c r="N2301" s="49"/>
      <c r="O2301" s="49"/>
      <c r="P2301" s="49"/>
      <c r="Q2301" s="49"/>
      <c r="R2301" s="49" t="s">
        <v>281</v>
      </c>
      <c r="S2301" s="49" t="n">
        <v>0</v>
      </c>
      <c r="T2301" s="49" t="n">
        <v>0</v>
      </c>
      <c r="U2301" s="49" t="s">
        <v>4851</v>
      </c>
    </row>
    <row r="2302" customFormat="false" ht="15" hidden="false" customHeight="false" outlineLevel="0" collapsed="false">
      <c r="B2302" s="48" t="n">
        <v>45743.4307291667</v>
      </c>
      <c r="C2302" s="4" t="n">
        <f aca="false">YEAR(B2302)</f>
        <v>2025</v>
      </c>
      <c r="D2302" s="49" t="s">
        <v>283</v>
      </c>
      <c r="E2302" s="49" t="s">
        <v>4852</v>
      </c>
      <c r="F2302" s="50" t="n">
        <v>3</v>
      </c>
      <c r="G2302" s="49" t="s">
        <v>290</v>
      </c>
      <c r="H2302" s="51" t="n">
        <v>0.2165</v>
      </c>
      <c r="I2302" s="51" t="n">
        <v>0.6061</v>
      </c>
      <c r="J2302" s="51" t="n">
        <v>0.1775</v>
      </c>
      <c r="K2302" s="49"/>
      <c r="L2302" s="49"/>
      <c r="M2302" s="49"/>
      <c r="N2302" s="49"/>
      <c r="O2302" s="49"/>
      <c r="P2302" s="49"/>
      <c r="Q2302" s="49"/>
      <c r="R2302" s="49"/>
      <c r="S2302" s="49" t="n">
        <v>0</v>
      </c>
      <c r="T2302" s="49" t="n">
        <v>0</v>
      </c>
      <c r="U2302" s="49" t="s">
        <v>4853</v>
      </c>
    </row>
    <row r="2303" customFormat="false" ht="15" hidden="false" customHeight="false" outlineLevel="0" collapsed="false">
      <c r="B2303" s="48" t="n">
        <v>45743.5044791667</v>
      </c>
      <c r="C2303" s="4" t="n">
        <f aca="false">YEAR(B2303)</f>
        <v>2025</v>
      </c>
      <c r="D2303" s="49" t="s">
        <v>278</v>
      </c>
      <c r="E2303" s="49" t="s">
        <v>4854</v>
      </c>
      <c r="F2303" s="50" t="n">
        <v>29</v>
      </c>
      <c r="G2303" s="49" t="s">
        <v>280</v>
      </c>
      <c r="H2303" s="51" t="n">
        <v>0.6767</v>
      </c>
      <c r="I2303" s="51" t="n">
        <v>0.2579</v>
      </c>
      <c r="J2303" s="51" t="n">
        <v>0.0654</v>
      </c>
      <c r="K2303" s="49"/>
      <c r="L2303" s="49"/>
      <c r="M2303" s="49"/>
      <c r="N2303" s="49"/>
      <c r="O2303" s="49"/>
      <c r="P2303" s="49" t="s">
        <v>281</v>
      </c>
      <c r="Q2303" s="49"/>
      <c r="R2303" s="49"/>
      <c r="S2303" s="49" t="n">
        <v>0</v>
      </c>
      <c r="T2303" s="49" t="n">
        <v>0</v>
      </c>
      <c r="U2303" s="49" t="s">
        <v>4855</v>
      </c>
    </row>
    <row r="2304" customFormat="false" ht="15" hidden="false" customHeight="false" outlineLevel="0" collapsed="false">
      <c r="B2304" s="48" t="n">
        <v>45743.5075462963</v>
      </c>
      <c r="C2304" s="4" t="n">
        <f aca="false">YEAR(B2304)</f>
        <v>2025</v>
      </c>
      <c r="D2304" s="49" t="s">
        <v>283</v>
      </c>
      <c r="E2304" s="49" t="s">
        <v>4854</v>
      </c>
      <c r="F2304" s="50" t="n">
        <v>3</v>
      </c>
      <c r="G2304" s="49" t="s">
        <v>280</v>
      </c>
      <c r="H2304" s="51" t="n">
        <v>0.6767</v>
      </c>
      <c r="I2304" s="51" t="n">
        <v>0.2579</v>
      </c>
      <c r="J2304" s="51" t="n">
        <v>0.0654</v>
      </c>
      <c r="K2304" s="49"/>
      <c r="L2304" s="49"/>
      <c r="M2304" s="49"/>
      <c r="N2304" s="49"/>
      <c r="O2304" s="49"/>
      <c r="P2304" s="49" t="s">
        <v>281</v>
      </c>
      <c r="Q2304" s="49"/>
      <c r="R2304" s="49"/>
      <c r="S2304" s="49" t="n">
        <v>0</v>
      </c>
      <c r="T2304" s="49" t="n">
        <v>0</v>
      </c>
      <c r="U2304" s="49" t="s">
        <v>4856</v>
      </c>
    </row>
    <row r="2305" customFormat="false" ht="15" hidden="false" customHeight="false" outlineLevel="0" collapsed="false">
      <c r="B2305" s="48" t="n">
        <v>45743.6024884259</v>
      </c>
      <c r="C2305" s="4" t="n">
        <f aca="false">YEAR(B2305)</f>
        <v>2025</v>
      </c>
      <c r="D2305" s="49" t="s">
        <v>283</v>
      </c>
      <c r="E2305" s="49" t="s">
        <v>4857</v>
      </c>
      <c r="F2305" s="50" t="n">
        <v>3</v>
      </c>
      <c r="G2305" s="49" t="s">
        <v>287</v>
      </c>
      <c r="H2305" s="51" t="n">
        <v>0.0084</v>
      </c>
      <c r="I2305" s="51" t="n">
        <v>0.4135</v>
      </c>
      <c r="J2305" s="51" t="n">
        <v>0.578</v>
      </c>
      <c r="K2305" s="49"/>
      <c r="L2305" s="49"/>
      <c r="M2305" s="49"/>
      <c r="N2305" s="49"/>
      <c r="O2305" s="49"/>
      <c r="P2305" s="49"/>
      <c r="Q2305" s="49"/>
      <c r="R2305" s="49"/>
      <c r="S2305" s="49" t="n">
        <v>0</v>
      </c>
      <c r="T2305" s="49" t="n">
        <v>0</v>
      </c>
      <c r="U2305" s="49" t="s">
        <v>4858</v>
      </c>
    </row>
    <row r="2306" customFormat="false" ht="15" hidden="false" customHeight="false" outlineLevel="0" collapsed="false">
      <c r="B2306" s="48" t="n">
        <v>45743.7675231482</v>
      </c>
      <c r="C2306" s="4" t="n">
        <f aca="false">YEAR(B2306)</f>
        <v>2025</v>
      </c>
      <c r="D2306" s="49" t="s">
        <v>283</v>
      </c>
      <c r="E2306" s="49" t="s">
        <v>4859</v>
      </c>
      <c r="F2306" s="50" t="n">
        <v>1</v>
      </c>
      <c r="G2306" s="49" t="s">
        <v>287</v>
      </c>
      <c r="H2306" s="51" t="n">
        <v>0.002</v>
      </c>
      <c r="I2306" s="51" t="n">
        <v>0.031</v>
      </c>
      <c r="J2306" s="51" t="n">
        <v>0.9669</v>
      </c>
      <c r="K2306" s="49"/>
      <c r="L2306" s="49"/>
      <c r="M2306" s="49"/>
      <c r="N2306" s="49"/>
      <c r="O2306" s="49"/>
      <c r="P2306" s="49"/>
      <c r="Q2306" s="49"/>
      <c r="R2306" s="49"/>
      <c r="S2306" s="49" t="n">
        <v>0</v>
      </c>
      <c r="T2306" s="49" t="n">
        <v>0</v>
      </c>
      <c r="U2306" s="49" t="s">
        <v>4860</v>
      </c>
    </row>
    <row r="2307" customFormat="false" ht="15" hidden="false" customHeight="false" outlineLevel="0" collapsed="false">
      <c r="B2307" s="48" t="n">
        <v>45743.8982986111</v>
      </c>
      <c r="C2307" s="4" t="n">
        <f aca="false">YEAR(B2307)</f>
        <v>2025</v>
      </c>
      <c r="D2307" s="49" t="s">
        <v>278</v>
      </c>
      <c r="E2307" s="49" t="s">
        <v>4861</v>
      </c>
      <c r="F2307" s="50" t="n">
        <v>2</v>
      </c>
      <c r="G2307" s="49" t="s">
        <v>280</v>
      </c>
      <c r="H2307" s="51" t="n">
        <v>0.7265</v>
      </c>
      <c r="I2307" s="51" t="n">
        <v>0.2594</v>
      </c>
      <c r="J2307" s="51" t="n">
        <v>0.0142</v>
      </c>
      <c r="K2307" s="49"/>
      <c r="L2307" s="49"/>
      <c r="M2307" s="49"/>
      <c r="N2307" s="49"/>
      <c r="O2307" s="49"/>
      <c r="P2307" s="49"/>
      <c r="Q2307" s="49"/>
      <c r="R2307" s="49"/>
      <c r="S2307" s="49" t="n">
        <v>0</v>
      </c>
      <c r="T2307" s="49" t="n">
        <v>0</v>
      </c>
      <c r="U2307" s="49" t="s">
        <v>4862</v>
      </c>
    </row>
    <row r="2308" customFormat="false" ht="15" hidden="false" customHeight="false" outlineLevel="0" collapsed="false">
      <c r="B2308" s="48" t="n">
        <v>45744.1193634259</v>
      </c>
      <c r="C2308" s="4" t="n">
        <f aca="false">YEAR(B2308)</f>
        <v>2025</v>
      </c>
      <c r="D2308" s="49" t="s">
        <v>283</v>
      </c>
      <c r="E2308" s="49" t="s">
        <v>4863</v>
      </c>
      <c r="F2308" s="50" t="n">
        <v>3</v>
      </c>
      <c r="G2308" s="49" t="s">
        <v>287</v>
      </c>
      <c r="H2308" s="51" t="n">
        <v>0.012</v>
      </c>
      <c r="I2308" s="51" t="n">
        <v>0.1155</v>
      </c>
      <c r="J2308" s="51" t="n">
        <v>0.8724</v>
      </c>
      <c r="K2308" s="49" t="s">
        <v>281</v>
      </c>
      <c r="L2308" s="49"/>
      <c r="M2308" s="49"/>
      <c r="N2308" s="49"/>
      <c r="O2308" s="49"/>
      <c r="P2308" s="49"/>
      <c r="Q2308" s="49"/>
      <c r="R2308" s="49"/>
      <c r="S2308" s="49" t="n">
        <v>0</v>
      </c>
      <c r="T2308" s="49" t="n">
        <v>0</v>
      </c>
      <c r="U2308" s="49" t="s">
        <v>4864</v>
      </c>
    </row>
    <row r="2309" customFormat="false" ht="15" hidden="false" customHeight="false" outlineLevel="0" collapsed="false">
      <c r="B2309" s="48" t="n">
        <v>45744.4675810185</v>
      </c>
      <c r="C2309" s="4" t="n">
        <f aca="false">YEAR(B2309)</f>
        <v>2025</v>
      </c>
      <c r="D2309" s="49" t="s">
        <v>278</v>
      </c>
      <c r="E2309" s="49" t="s">
        <v>4865</v>
      </c>
      <c r="F2309" s="50" t="n">
        <v>4</v>
      </c>
      <c r="G2309" s="49" t="s">
        <v>290</v>
      </c>
      <c r="H2309" s="51" t="n">
        <v>0.1655</v>
      </c>
      <c r="I2309" s="51" t="n">
        <v>0.7325</v>
      </c>
      <c r="J2309" s="51" t="n">
        <v>0.102</v>
      </c>
      <c r="K2309" s="49"/>
      <c r="L2309" s="49"/>
      <c r="M2309" s="49"/>
      <c r="N2309" s="49"/>
      <c r="O2309" s="49"/>
      <c r="P2309" s="49"/>
      <c r="Q2309" s="49"/>
      <c r="R2309" s="49" t="s">
        <v>281</v>
      </c>
      <c r="S2309" s="49" t="n">
        <v>0</v>
      </c>
      <c r="T2309" s="49" t="n">
        <v>0</v>
      </c>
      <c r="U2309" s="49" t="s">
        <v>4866</v>
      </c>
    </row>
    <row r="2310" customFormat="false" ht="15" hidden="false" customHeight="false" outlineLevel="0" collapsed="false">
      <c r="B2310" s="48" t="n">
        <v>45745.4288425926</v>
      </c>
      <c r="C2310" s="4" t="n">
        <f aca="false">YEAR(B2310)</f>
        <v>2025</v>
      </c>
      <c r="D2310" s="49" t="s">
        <v>283</v>
      </c>
      <c r="E2310" s="49" t="s">
        <v>4867</v>
      </c>
      <c r="F2310" s="50" t="n">
        <v>21</v>
      </c>
      <c r="G2310" s="49" t="s">
        <v>287</v>
      </c>
      <c r="H2310" s="51" t="n">
        <v>0.0048</v>
      </c>
      <c r="I2310" s="51" t="n">
        <v>0.2773</v>
      </c>
      <c r="J2310" s="51" t="n">
        <v>0.7179</v>
      </c>
      <c r="K2310" s="49"/>
      <c r="L2310" s="49"/>
      <c r="M2310" s="49"/>
      <c r="N2310" s="49"/>
      <c r="O2310" s="49"/>
      <c r="P2310" s="49"/>
      <c r="Q2310" s="49"/>
      <c r="R2310" s="49"/>
      <c r="S2310" s="49" t="n">
        <v>0</v>
      </c>
      <c r="T2310" s="49" t="n">
        <v>0</v>
      </c>
      <c r="U2310" s="49" t="s">
        <v>4868</v>
      </c>
    </row>
    <row r="2311" customFormat="false" ht="15" hidden="false" customHeight="false" outlineLevel="0" collapsed="false">
      <c r="B2311" s="48" t="n">
        <v>45747.1124189815</v>
      </c>
      <c r="C2311" s="4" t="n">
        <f aca="false">YEAR(B2311)</f>
        <v>2025</v>
      </c>
      <c r="D2311" s="49" t="s">
        <v>283</v>
      </c>
      <c r="E2311" s="49" t="s">
        <v>4869</v>
      </c>
      <c r="F2311" s="50" t="n">
        <v>1</v>
      </c>
      <c r="G2311" s="49" t="s">
        <v>287</v>
      </c>
      <c r="H2311" s="51" t="n">
        <v>0.0043</v>
      </c>
      <c r="I2311" s="51" t="n">
        <v>0.0311</v>
      </c>
      <c r="J2311" s="51" t="n">
        <v>0.9645</v>
      </c>
      <c r="K2311" s="49"/>
      <c r="L2311" s="49"/>
      <c r="M2311" s="49"/>
      <c r="N2311" s="49"/>
      <c r="O2311" s="49"/>
      <c r="P2311" s="49"/>
      <c r="Q2311" s="49"/>
      <c r="R2311" s="49"/>
      <c r="S2311" s="49" t="n">
        <v>0</v>
      </c>
      <c r="T2311" s="49" t="n">
        <v>0</v>
      </c>
      <c r="U2311" s="49" t="s">
        <v>4870</v>
      </c>
    </row>
    <row r="2312" customFormat="false" ht="15" hidden="false" customHeight="false" outlineLevel="0" collapsed="false">
      <c r="B2312" s="48" t="n">
        <v>45747.3645138889</v>
      </c>
      <c r="C2312" s="4" t="n">
        <f aca="false">YEAR(B2312)</f>
        <v>2025</v>
      </c>
      <c r="D2312" s="49" t="s">
        <v>283</v>
      </c>
      <c r="E2312" s="49" t="s">
        <v>4871</v>
      </c>
      <c r="F2312" s="50" t="n">
        <v>177</v>
      </c>
      <c r="G2312" s="49" t="s">
        <v>287</v>
      </c>
      <c r="H2312" s="51" t="n">
        <v>0.0236</v>
      </c>
      <c r="I2312" s="51" t="n">
        <v>0.1454</v>
      </c>
      <c r="J2312" s="51" t="n">
        <v>0.831</v>
      </c>
      <c r="K2312" s="49"/>
      <c r="L2312" s="49"/>
      <c r="M2312" s="49"/>
      <c r="N2312" s="49"/>
      <c r="O2312" s="49"/>
      <c r="P2312" s="49"/>
      <c r="Q2312" s="49" t="s">
        <v>281</v>
      </c>
      <c r="R2312" s="49"/>
      <c r="S2312" s="49" t="n">
        <v>0</v>
      </c>
      <c r="T2312" s="49" t="n">
        <v>1</v>
      </c>
      <c r="U2312" s="49" t="s">
        <v>4872</v>
      </c>
    </row>
    <row r="2313" customFormat="false" ht="15" hidden="false" customHeight="false" outlineLevel="0" collapsed="false">
      <c r="B2313" s="48" t="n">
        <v>45747.4681134259</v>
      </c>
      <c r="C2313" s="4" t="n">
        <f aca="false">YEAR(B2313)</f>
        <v>2025</v>
      </c>
      <c r="D2313" s="49" t="s">
        <v>283</v>
      </c>
      <c r="E2313" s="49" t="s">
        <v>4873</v>
      </c>
      <c r="F2313" s="50" t="n">
        <v>1</v>
      </c>
      <c r="G2313" s="49" t="s">
        <v>280</v>
      </c>
      <c r="H2313" s="51" t="n">
        <v>0.7912</v>
      </c>
      <c r="I2313" s="51" t="n">
        <v>0.1963</v>
      </c>
      <c r="J2313" s="51" t="n">
        <v>0.0125</v>
      </c>
      <c r="K2313" s="49"/>
      <c r="L2313" s="49"/>
      <c r="M2313" s="49"/>
      <c r="N2313" s="49"/>
      <c r="O2313" s="49"/>
      <c r="P2313" s="49"/>
      <c r="Q2313" s="49"/>
      <c r="R2313" s="49"/>
      <c r="S2313" s="49" t="n">
        <v>0</v>
      </c>
      <c r="T2313" s="49" t="n">
        <v>0</v>
      </c>
      <c r="U2313" s="49" t="s">
        <v>4874</v>
      </c>
    </row>
    <row r="2314" customFormat="false" ht="15" hidden="false" customHeight="false" outlineLevel="0" collapsed="false">
      <c r="B2314" s="48" t="n">
        <v>45748.0180208333</v>
      </c>
      <c r="C2314" s="4" t="n">
        <f aca="false">YEAR(B2314)</f>
        <v>2025</v>
      </c>
      <c r="D2314" s="49" t="s">
        <v>283</v>
      </c>
      <c r="E2314" s="49" t="s">
        <v>4875</v>
      </c>
      <c r="F2314" s="50" t="n">
        <v>3</v>
      </c>
      <c r="G2314" s="49" t="s">
        <v>280</v>
      </c>
      <c r="H2314" s="51" t="n">
        <v>0.6551</v>
      </c>
      <c r="I2314" s="51" t="n">
        <v>0.3301</v>
      </c>
      <c r="J2314" s="51" t="n">
        <v>0.0148</v>
      </c>
      <c r="K2314" s="49" t="s">
        <v>281</v>
      </c>
      <c r="L2314" s="49"/>
      <c r="M2314" s="49"/>
      <c r="N2314" s="49" t="s">
        <v>281</v>
      </c>
      <c r="O2314" s="49" t="s">
        <v>281</v>
      </c>
      <c r="P2314" s="49"/>
      <c r="Q2314" s="49"/>
      <c r="R2314" s="49" t="s">
        <v>281</v>
      </c>
      <c r="S2314" s="49" t="n">
        <v>0</v>
      </c>
      <c r="T2314" s="49" t="n">
        <v>0</v>
      </c>
      <c r="U2314" s="49" t="s">
        <v>4876</v>
      </c>
    </row>
    <row r="2315" customFormat="false" ht="15" hidden="false" customHeight="false" outlineLevel="0" collapsed="false">
      <c r="B2315" s="48" t="n">
        <v>45748.3282407407</v>
      </c>
      <c r="C2315" s="4" t="n">
        <f aca="false">YEAR(B2315)</f>
        <v>2025</v>
      </c>
      <c r="D2315" s="49" t="s">
        <v>283</v>
      </c>
      <c r="E2315" s="49" t="s">
        <v>4877</v>
      </c>
      <c r="F2315" s="50" t="n">
        <v>0</v>
      </c>
      <c r="G2315" s="49" t="s">
        <v>280</v>
      </c>
      <c r="H2315" s="51" t="n">
        <v>0.6935</v>
      </c>
      <c r="I2315" s="51" t="n">
        <v>0.2875</v>
      </c>
      <c r="J2315" s="51" t="n">
        <v>0.019</v>
      </c>
      <c r="K2315" s="49"/>
      <c r="L2315" s="49"/>
      <c r="M2315" s="49"/>
      <c r="N2315" s="49"/>
      <c r="O2315" s="49"/>
      <c r="P2315" s="49"/>
      <c r="Q2315" s="49"/>
      <c r="R2315" s="49"/>
      <c r="S2315" s="49" t="n">
        <v>0</v>
      </c>
      <c r="T2315" s="49" t="n">
        <v>0</v>
      </c>
      <c r="U2315" s="49" t="s">
        <v>4878</v>
      </c>
    </row>
    <row r="2316" customFormat="false" ht="15" hidden="false" customHeight="false" outlineLevel="0" collapsed="false">
      <c r="B2316" s="48" t="n">
        <v>45748.6317361111</v>
      </c>
      <c r="C2316" s="4" t="n">
        <f aca="false">YEAR(B2316)</f>
        <v>2025</v>
      </c>
      <c r="D2316" s="49" t="s">
        <v>278</v>
      </c>
      <c r="E2316" s="49" t="s">
        <v>4879</v>
      </c>
      <c r="F2316" s="50" t="n">
        <v>1</v>
      </c>
      <c r="G2316" s="49" t="s">
        <v>290</v>
      </c>
      <c r="H2316" s="51" t="n">
        <v>0.0796</v>
      </c>
      <c r="I2316" s="51" t="n">
        <v>0.7979</v>
      </c>
      <c r="J2316" s="51" t="n">
        <v>0.1225</v>
      </c>
      <c r="K2316" s="49"/>
      <c r="L2316" s="49"/>
      <c r="M2316" s="49"/>
      <c r="N2316" s="49"/>
      <c r="O2316" s="49"/>
      <c r="P2316" s="49"/>
      <c r="Q2316" s="49"/>
      <c r="R2316" s="49"/>
      <c r="S2316" s="49" t="n">
        <v>0</v>
      </c>
      <c r="T2316" s="49" t="n">
        <v>0</v>
      </c>
      <c r="U2316" s="49" t="s">
        <v>4880</v>
      </c>
    </row>
    <row r="2317" customFormat="false" ht="15" hidden="false" customHeight="false" outlineLevel="0" collapsed="false">
      <c r="B2317" s="48" t="n">
        <v>45749.0970138889</v>
      </c>
      <c r="C2317" s="4" t="n">
        <f aca="false">YEAR(B2317)</f>
        <v>2025</v>
      </c>
      <c r="D2317" s="49" t="s">
        <v>278</v>
      </c>
      <c r="E2317" s="49" t="s">
        <v>4881</v>
      </c>
      <c r="F2317" s="50" t="n">
        <v>2</v>
      </c>
      <c r="G2317" s="49" t="s">
        <v>290</v>
      </c>
      <c r="H2317" s="51" t="n">
        <v>0.0997</v>
      </c>
      <c r="I2317" s="51" t="n">
        <v>0.6574</v>
      </c>
      <c r="J2317" s="51" t="n">
        <v>0.2429</v>
      </c>
      <c r="K2317" s="49"/>
      <c r="L2317" s="49"/>
      <c r="M2317" s="49"/>
      <c r="N2317" s="49"/>
      <c r="O2317" s="49"/>
      <c r="P2317" s="49"/>
      <c r="Q2317" s="49"/>
      <c r="R2317" s="49" t="s">
        <v>281</v>
      </c>
      <c r="S2317" s="49" t="n">
        <v>0</v>
      </c>
      <c r="T2317" s="49" t="n">
        <v>0</v>
      </c>
      <c r="U2317" s="49" t="s">
        <v>4882</v>
      </c>
    </row>
    <row r="2318" customFormat="false" ht="15" hidden="false" customHeight="false" outlineLevel="0" collapsed="false">
      <c r="B2318" s="48" t="n">
        <v>45749.839837963</v>
      </c>
      <c r="C2318" s="4" t="n">
        <f aca="false">YEAR(B2318)</f>
        <v>2025</v>
      </c>
      <c r="D2318" s="49" t="s">
        <v>283</v>
      </c>
      <c r="E2318" s="49" t="s">
        <v>4883</v>
      </c>
      <c r="F2318" s="50" t="n">
        <v>1</v>
      </c>
      <c r="G2318" s="49" t="s">
        <v>280</v>
      </c>
      <c r="H2318" s="51" t="n">
        <v>0.9065</v>
      </c>
      <c r="I2318" s="51" t="n">
        <v>0.0863</v>
      </c>
      <c r="J2318" s="51" t="n">
        <v>0.0072</v>
      </c>
      <c r="K2318" s="49"/>
      <c r="L2318" s="49"/>
      <c r="M2318" s="49"/>
      <c r="N2318" s="49"/>
      <c r="O2318" s="49"/>
      <c r="P2318" s="49"/>
      <c r="Q2318" s="49"/>
      <c r="R2318" s="49"/>
      <c r="S2318" s="49" t="n">
        <v>0</v>
      </c>
      <c r="T2318" s="49" t="n">
        <v>0</v>
      </c>
      <c r="U2318" s="49" t="s">
        <v>4884</v>
      </c>
    </row>
    <row r="2319" customFormat="false" ht="15" hidden="false" customHeight="false" outlineLevel="0" collapsed="false">
      <c r="B2319" s="48" t="n">
        <v>45750.020150463</v>
      </c>
      <c r="C2319" s="4" t="n">
        <f aca="false">YEAR(B2319)</f>
        <v>2025</v>
      </c>
      <c r="D2319" s="49" t="s">
        <v>278</v>
      </c>
      <c r="E2319" s="49" t="s">
        <v>4885</v>
      </c>
      <c r="F2319" s="50" t="n">
        <v>6</v>
      </c>
      <c r="G2319" s="49" t="s">
        <v>280</v>
      </c>
      <c r="H2319" s="51" t="n">
        <v>0.5257</v>
      </c>
      <c r="I2319" s="51" t="n">
        <v>0.3415</v>
      </c>
      <c r="J2319" s="51" t="n">
        <v>0.1328</v>
      </c>
      <c r="K2319" s="49"/>
      <c r="L2319" s="49"/>
      <c r="M2319" s="49"/>
      <c r="N2319" s="49"/>
      <c r="O2319" s="49"/>
      <c r="P2319" s="49"/>
      <c r="Q2319" s="49"/>
      <c r="R2319" s="49"/>
      <c r="S2319" s="49" t="n">
        <v>0</v>
      </c>
      <c r="T2319" s="49" t="n">
        <v>0</v>
      </c>
      <c r="U2319" s="49" t="s">
        <v>4886</v>
      </c>
    </row>
    <row r="2320" customFormat="false" ht="15" hidden="false" customHeight="false" outlineLevel="0" collapsed="false">
      <c r="B2320" s="48" t="n">
        <v>45750.5019560185</v>
      </c>
      <c r="C2320" s="4" t="n">
        <f aca="false">YEAR(B2320)</f>
        <v>2025</v>
      </c>
      <c r="D2320" s="49" t="s">
        <v>283</v>
      </c>
      <c r="E2320" s="49" t="s">
        <v>4887</v>
      </c>
      <c r="F2320" s="50" t="n">
        <v>0</v>
      </c>
      <c r="G2320" s="49" t="s">
        <v>290</v>
      </c>
      <c r="H2320" s="51" t="n">
        <v>0.3437</v>
      </c>
      <c r="I2320" s="51" t="n">
        <v>0.5396</v>
      </c>
      <c r="J2320" s="51" t="n">
        <v>0.1167</v>
      </c>
      <c r="K2320" s="49"/>
      <c r="L2320" s="49"/>
      <c r="M2320" s="49"/>
      <c r="N2320" s="49"/>
      <c r="O2320" s="49"/>
      <c r="P2320" s="49"/>
      <c r="Q2320" s="49"/>
      <c r="R2320" s="49"/>
      <c r="S2320" s="49" t="n">
        <v>0</v>
      </c>
      <c r="T2320" s="49" t="n">
        <v>0</v>
      </c>
      <c r="U2320" s="49" t="s">
        <v>4888</v>
      </c>
    </row>
    <row r="2321" customFormat="false" ht="15" hidden="false" customHeight="false" outlineLevel="0" collapsed="false">
      <c r="B2321" s="48" t="n">
        <v>45750.6813194445</v>
      </c>
      <c r="C2321" s="4" t="n">
        <f aca="false">YEAR(B2321)</f>
        <v>2025</v>
      </c>
      <c r="D2321" s="49" t="s">
        <v>278</v>
      </c>
      <c r="E2321" s="49" t="s">
        <v>4889</v>
      </c>
      <c r="F2321" s="50" t="n">
        <v>2</v>
      </c>
      <c r="G2321" s="49" t="s">
        <v>280</v>
      </c>
      <c r="H2321" s="51" t="n">
        <v>0.7328</v>
      </c>
      <c r="I2321" s="51" t="n">
        <v>0.2489</v>
      </c>
      <c r="J2321" s="51" t="n">
        <v>0.0182</v>
      </c>
      <c r="K2321" s="49"/>
      <c r="L2321" s="49"/>
      <c r="M2321" s="49"/>
      <c r="N2321" s="49"/>
      <c r="O2321" s="49"/>
      <c r="P2321" s="49"/>
      <c r="Q2321" s="49"/>
      <c r="R2321" s="49"/>
      <c r="S2321" s="49" t="n">
        <v>0</v>
      </c>
      <c r="T2321" s="49" t="n">
        <v>0</v>
      </c>
      <c r="U2321" s="49" t="s">
        <v>4890</v>
      </c>
    </row>
    <row r="2322" customFormat="false" ht="15" hidden="false" customHeight="false" outlineLevel="0" collapsed="false">
      <c r="B2322" s="48" t="n">
        <v>45751.6652083333</v>
      </c>
      <c r="C2322" s="4" t="n">
        <f aca="false">YEAR(B2322)</f>
        <v>2025</v>
      </c>
      <c r="D2322" s="49" t="s">
        <v>283</v>
      </c>
      <c r="E2322" s="49" t="s">
        <v>4891</v>
      </c>
      <c r="F2322" s="50" t="n">
        <v>1</v>
      </c>
      <c r="G2322" s="49" t="s">
        <v>280</v>
      </c>
      <c r="H2322" s="51" t="n">
        <v>0.753</v>
      </c>
      <c r="I2322" s="51" t="n">
        <v>0.2359</v>
      </c>
      <c r="J2322" s="51" t="n">
        <v>0.011</v>
      </c>
      <c r="K2322" s="49" t="s">
        <v>281</v>
      </c>
      <c r="L2322" s="49"/>
      <c r="M2322" s="49"/>
      <c r="N2322" s="49"/>
      <c r="O2322" s="49"/>
      <c r="P2322" s="49"/>
      <c r="Q2322" s="49"/>
      <c r="R2322" s="49"/>
      <c r="S2322" s="49" t="n">
        <v>0</v>
      </c>
      <c r="T2322" s="49" t="n">
        <v>0</v>
      </c>
      <c r="U2322" s="49" t="s">
        <v>4892</v>
      </c>
    </row>
    <row r="2323" customFormat="false" ht="15" hidden="false" customHeight="false" outlineLevel="0" collapsed="false">
      <c r="B2323" s="48" t="n">
        <v>45751.7637268519</v>
      </c>
      <c r="C2323" s="4" t="n">
        <f aca="false">YEAR(B2323)</f>
        <v>2025</v>
      </c>
      <c r="D2323" s="49" t="s">
        <v>283</v>
      </c>
      <c r="E2323" s="49" t="s">
        <v>4893</v>
      </c>
      <c r="F2323" s="50" t="n">
        <v>0</v>
      </c>
      <c r="G2323" s="49" t="s">
        <v>287</v>
      </c>
      <c r="H2323" s="51" t="n">
        <v>0.0021</v>
      </c>
      <c r="I2323" s="51" t="n">
        <v>0.0511</v>
      </c>
      <c r="J2323" s="51" t="n">
        <v>0.9469</v>
      </c>
      <c r="K2323" s="49"/>
      <c r="L2323" s="49"/>
      <c r="M2323" s="49"/>
      <c r="N2323" s="49"/>
      <c r="O2323" s="49"/>
      <c r="P2323" s="49"/>
      <c r="Q2323" s="49"/>
      <c r="R2323" s="49"/>
      <c r="S2323" s="49" t="n">
        <v>0</v>
      </c>
      <c r="T2323" s="49" t="n">
        <v>0</v>
      </c>
      <c r="U2323" s="49" t="s">
        <v>4894</v>
      </c>
    </row>
    <row r="2324" customFormat="false" ht="15" hidden="false" customHeight="false" outlineLevel="0" collapsed="false">
      <c r="B2324" s="48" t="n">
        <v>45752.7670717593</v>
      </c>
      <c r="C2324" s="4" t="n">
        <f aca="false">YEAR(B2324)</f>
        <v>2025</v>
      </c>
      <c r="D2324" s="49" t="s">
        <v>283</v>
      </c>
      <c r="E2324" s="49" t="s">
        <v>4895</v>
      </c>
      <c r="F2324" s="50" t="n">
        <v>9</v>
      </c>
      <c r="G2324" s="49" t="s">
        <v>287</v>
      </c>
      <c r="H2324" s="51" t="n">
        <v>0.0037</v>
      </c>
      <c r="I2324" s="51" t="n">
        <v>0.0381</v>
      </c>
      <c r="J2324" s="51" t="n">
        <v>0.9582</v>
      </c>
      <c r="K2324" s="49"/>
      <c r="L2324" s="49"/>
      <c r="M2324" s="49"/>
      <c r="N2324" s="49"/>
      <c r="O2324" s="49"/>
      <c r="P2324" s="49"/>
      <c r="Q2324" s="49"/>
      <c r="R2324" s="49"/>
      <c r="S2324" s="49" t="n">
        <v>0</v>
      </c>
      <c r="T2324" s="49" t="n">
        <v>0</v>
      </c>
      <c r="U2324" s="49" t="s">
        <v>4896</v>
      </c>
    </row>
    <row r="2325" customFormat="false" ht="15" hidden="false" customHeight="false" outlineLevel="0" collapsed="false">
      <c r="B2325" s="48" t="n">
        <v>45753.2921759259</v>
      </c>
      <c r="C2325" s="4" t="n">
        <f aca="false">YEAR(B2325)</f>
        <v>2025</v>
      </c>
      <c r="D2325" s="49" t="s">
        <v>283</v>
      </c>
      <c r="E2325" s="49" t="s">
        <v>4897</v>
      </c>
      <c r="F2325" s="50" t="n">
        <v>3</v>
      </c>
      <c r="G2325" s="49" t="s">
        <v>280</v>
      </c>
      <c r="H2325" s="51" t="n">
        <v>0.7517</v>
      </c>
      <c r="I2325" s="51" t="n">
        <v>0.2318</v>
      </c>
      <c r="J2325" s="51" t="n">
        <v>0.0165</v>
      </c>
      <c r="K2325" s="49"/>
      <c r="L2325" s="49"/>
      <c r="M2325" s="49"/>
      <c r="N2325" s="49"/>
      <c r="O2325" s="49"/>
      <c r="P2325" s="49"/>
      <c r="Q2325" s="49"/>
      <c r="R2325" s="49"/>
      <c r="S2325" s="49" t="n">
        <v>0</v>
      </c>
      <c r="T2325" s="49" t="n">
        <v>0</v>
      </c>
      <c r="U2325" s="49" t="s">
        <v>4898</v>
      </c>
    </row>
    <row r="2326" customFormat="false" ht="15" hidden="false" customHeight="false" outlineLevel="0" collapsed="false">
      <c r="B2326" s="48" t="n">
        <v>45753.3229398148</v>
      </c>
      <c r="C2326" s="4" t="n">
        <f aca="false">YEAR(B2326)</f>
        <v>2025</v>
      </c>
      <c r="D2326" s="49" t="s">
        <v>283</v>
      </c>
      <c r="E2326" s="49" t="s">
        <v>4899</v>
      </c>
      <c r="F2326" s="50" t="n">
        <v>0</v>
      </c>
      <c r="G2326" s="49" t="s">
        <v>287</v>
      </c>
      <c r="H2326" s="51" t="n">
        <v>0.0038</v>
      </c>
      <c r="I2326" s="51" t="n">
        <v>0.1954</v>
      </c>
      <c r="J2326" s="51" t="n">
        <v>0.8008</v>
      </c>
      <c r="K2326" s="49"/>
      <c r="L2326" s="49"/>
      <c r="M2326" s="49"/>
      <c r="N2326" s="49"/>
      <c r="O2326" s="49"/>
      <c r="P2326" s="49"/>
      <c r="Q2326" s="49"/>
      <c r="R2326" s="49"/>
      <c r="S2326" s="49" t="n">
        <v>0</v>
      </c>
      <c r="T2326" s="49" t="n">
        <v>0</v>
      </c>
      <c r="U2326" s="49" t="s">
        <v>4900</v>
      </c>
    </row>
    <row r="2327" customFormat="false" ht="15" hidden="false" customHeight="false" outlineLevel="0" collapsed="false">
      <c r="B2327" s="48" t="n">
        <v>45754.0627430556</v>
      </c>
      <c r="C2327" s="4" t="n">
        <f aca="false">YEAR(B2327)</f>
        <v>2025</v>
      </c>
      <c r="D2327" s="49" t="s">
        <v>283</v>
      </c>
      <c r="E2327" s="49" t="s">
        <v>4901</v>
      </c>
      <c r="F2327" s="50" t="n">
        <v>1</v>
      </c>
      <c r="G2327" s="49" t="s">
        <v>290</v>
      </c>
      <c r="H2327" s="51" t="n">
        <v>0.0411</v>
      </c>
      <c r="I2327" s="51" t="n">
        <v>0.8939</v>
      </c>
      <c r="J2327" s="51" t="n">
        <v>0.0651</v>
      </c>
      <c r="K2327" s="49"/>
      <c r="L2327" s="49"/>
      <c r="M2327" s="49"/>
      <c r="N2327" s="49"/>
      <c r="O2327" s="49"/>
      <c r="P2327" s="49"/>
      <c r="Q2327" s="49"/>
      <c r="R2327" s="49"/>
      <c r="S2327" s="49" t="n">
        <v>0</v>
      </c>
      <c r="T2327" s="49" t="n">
        <v>0</v>
      </c>
      <c r="U2327" s="49" t="s">
        <v>4902</v>
      </c>
    </row>
    <row r="2328" customFormat="false" ht="15" hidden="false" customHeight="false" outlineLevel="0" collapsed="false">
      <c r="B2328" s="48" t="n">
        <v>45755.1407523148</v>
      </c>
      <c r="C2328" s="4" t="n">
        <f aca="false">YEAR(B2328)</f>
        <v>2025</v>
      </c>
      <c r="D2328" s="49" t="s">
        <v>283</v>
      </c>
      <c r="E2328" s="49" t="s">
        <v>4903</v>
      </c>
      <c r="F2328" s="50" t="n">
        <v>0</v>
      </c>
      <c r="G2328" s="49" t="s">
        <v>280</v>
      </c>
      <c r="H2328" s="51" t="n">
        <v>0.7784</v>
      </c>
      <c r="I2328" s="51" t="n">
        <v>0.2095</v>
      </c>
      <c r="J2328" s="51" t="n">
        <v>0.0121</v>
      </c>
      <c r="K2328" s="49"/>
      <c r="L2328" s="49"/>
      <c r="M2328" s="49"/>
      <c r="N2328" s="49"/>
      <c r="O2328" s="49"/>
      <c r="P2328" s="49"/>
      <c r="Q2328" s="49"/>
      <c r="R2328" s="49"/>
      <c r="S2328" s="49" t="n">
        <v>0</v>
      </c>
      <c r="T2328" s="49" t="n">
        <v>0</v>
      </c>
      <c r="U2328" s="49" t="s">
        <v>4904</v>
      </c>
    </row>
    <row r="2329" customFormat="false" ht="15" hidden="false" customHeight="false" outlineLevel="0" collapsed="false">
      <c r="B2329" s="48" t="n">
        <v>45755.4822685185</v>
      </c>
      <c r="C2329" s="4" t="n">
        <f aca="false">YEAR(B2329)</f>
        <v>2025</v>
      </c>
      <c r="D2329" s="49" t="s">
        <v>283</v>
      </c>
      <c r="E2329" s="49" t="s">
        <v>4905</v>
      </c>
      <c r="F2329" s="50" t="n">
        <v>13</v>
      </c>
      <c r="G2329" s="49" t="s">
        <v>290</v>
      </c>
      <c r="H2329" s="51" t="n">
        <v>0.3587</v>
      </c>
      <c r="I2329" s="51" t="n">
        <v>0.5215</v>
      </c>
      <c r="J2329" s="51" t="n">
        <v>0.1198</v>
      </c>
      <c r="K2329" s="49"/>
      <c r="L2329" s="49"/>
      <c r="M2329" s="49"/>
      <c r="N2329" s="49"/>
      <c r="O2329" s="49"/>
      <c r="P2329" s="49"/>
      <c r="Q2329" s="49"/>
      <c r="R2329" s="49"/>
      <c r="S2329" s="49" t="n">
        <v>0</v>
      </c>
      <c r="T2329" s="49" t="n">
        <v>0</v>
      </c>
      <c r="U2329" s="49" t="s">
        <v>4906</v>
      </c>
    </row>
    <row r="2330" customFormat="false" ht="15" hidden="false" customHeight="false" outlineLevel="0" collapsed="false">
      <c r="B2330" s="48" t="n">
        <v>45755.6440046296</v>
      </c>
      <c r="C2330" s="4" t="n">
        <f aca="false">YEAR(B2330)</f>
        <v>2025</v>
      </c>
      <c r="D2330" s="49" t="s">
        <v>283</v>
      </c>
      <c r="E2330" s="49" t="s">
        <v>4907</v>
      </c>
      <c r="F2330" s="50" t="n">
        <v>0</v>
      </c>
      <c r="G2330" s="49" t="s">
        <v>280</v>
      </c>
      <c r="H2330" s="51" t="n">
        <v>0.9124</v>
      </c>
      <c r="I2330" s="51" t="n">
        <v>0.0808</v>
      </c>
      <c r="J2330" s="51" t="n">
        <v>0.0069</v>
      </c>
      <c r="K2330" s="49"/>
      <c r="L2330" s="49"/>
      <c r="M2330" s="49"/>
      <c r="N2330" s="49"/>
      <c r="O2330" s="49"/>
      <c r="P2330" s="49"/>
      <c r="Q2330" s="49"/>
      <c r="R2330" s="49"/>
      <c r="S2330" s="49" t="n">
        <v>0</v>
      </c>
      <c r="T2330" s="49" t="n">
        <v>0</v>
      </c>
      <c r="U2330" s="49" t="s">
        <v>4908</v>
      </c>
    </row>
    <row r="2331" customFormat="false" ht="15" hidden="false" customHeight="false" outlineLevel="0" collapsed="false">
      <c r="B2331" s="48" t="n">
        <v>45755.7202662037</v>
      </c>
      <c r="C2331" s="4" t="n">
        <f aca="false">YEAR(B2331)</f>
        <v>2025</v>
      </c>
      <c r="D2331" s="49" t="s">
        <v>283</v>
      </c>
      <c r="E2331" s="49" t="s">
        <v>4909</v>
      </c>
      <c r="F2331" s="50" t="n">
        <v>1</v>
      </c>
      <c r="G2331" s="49" t="s">
        <v>280</v>
      </c>
      <c r="H2331" s="51" t="n">
        <v>0.7954</v>
      </c>
      <c r="I2331" s="51" t="n">
        <v>0.1826</v>
      </c>
      <c r="J2331" s="51" t="n">
        <v>0.022</v>
      </c>
      <c r="K2331" s="49"/>
      <c r="L2331" s="49"/>
      <c r="M2331" s="49"/>
      <c r="N2331" s="49"/>
      <c r="O2331" s="49"/>
      <c r="P2331" s="49"/>
      <c r="Q2331" s="49"/>
      <c r="R2331" s="49"/>
      <c r="S2331" s="49" t="n">
        <v>0</v>
      </c>
      <c r="T2331" s="49" t="n">
        <v>0</v>
      </c>
      <c r="U2331" s="49" t="s">
        <v>4910</v>
      </c>
    </row>
    <row r="2332" customFormat="false" ht="15" hidden="false" customHeight="false" outlineLevel="0" collapsed="false">
      <c r="B2332" s="48" t="n">
        <v>45755.7248726852</v>
      </c>
      <c r="C2332" s="4" t="n">
        <f aca="false">YEAR(B2332)</f>
        <v>2025</v>
      </c>
      <c r="D2332" s="49" t="s">
        <v>283</v>
      </c>
      <c r="E2332" s="49" t="s">
        <v>4911</v>
      </c>
      <c r="F2332" s="50" t="n">
        <v>2</v>
      </c>
      <c r="G2332" s="49" t="s">
        <v>287</v>
      </c>
      <c r="H2332" s="51" t="n">
        <v>0.0207</v>
      </c>
      <c r="I2332" s="51" t="n">
        <v>0.3652</v>
      </c>
      <c r="J2332" s="51" t="n">
        <v>0.6141</v>
      </c>
      <c r="K2332" s="49"/>
      <c r="L2332" s="49"/>
      <c r="M2332" s="49"/>
      <c r="N2332" s="49"/>
      <c r="O2332" s="49"/>
      <c r="P2332" s="49"/>
      <c r="Q2332" s="49"/>
      <c r="R2332" s="49" t="s">
        <v>281</v>
      </c>
      <c r="S2332" s="49" t="n">
        <v>0</v>
      </c>
      <c r="T2332" s="49" t="n">
        <v>0</v>
      </c>
      <c r="U2332" s="49" t="s">
        <v>4912</v>
      </c>
    </row>
    <row r="2333" customFormat="false" ht="15" hidden="false" customHeight="false" outlineLevel="0" collapsed="false">
      <c r="B2333" s="48" t="n">
        <v>45756.3789699074</v>
      </c>
      <c r="C2333" s="4" t="n">
        <f aca="false">YEAR(B2333)</f>
        <v>2025</v>
      </c>
      <c r="D2333" s="49" t="s">
        <v>283</v>
      </c>
      <c r="E2333" s="49" t="s">
        <v>4913</v>
      </c>
      <c r="F2333" s="50" t="n">
        <v>10</v>
      </c>
      <c r="G2333" s="49" t="s">
        <v>280</v>
      </c>
      <c r="H2333" s="51" t="n">
        <v>0.8836</v>
      </c>
      <c r="I2333" s="51" t="n">
        <v>0.1052</v>
      </c>
      <c r="J2333" s="51" t="n">
        <v>0.0112</v>
      </c>
      <c r="K2333" s="49"/>
      <c r="L2333" s="49"/>
      <c r="M2333" s="49"/>
      <c r="N2333" s="49"/>
      <c r="O2333" s="49"/>
      <c r="P2333" s="49"/>
      <c r="Q2333" s="49"/>
      <c r="R2333" s="49"/>
      <c r="S2333" s="49" t="n">
        <v>0</v>
      </c>
      <c r="T2333" s="49" t="n">
        <v>0</v>
      </c>
      <c r="U2333" s="49" t="s">
        <v>4914</v>
      </c>
    </row>
    <row r="2334" customFormat="false" ht="15" hidden="false" customHeight="false" outlineLevel="0" collapsed="false">
      <c r="B2334" s="48" t="n">
        <v>45756.5489699074</v>
      </c>
      <c r="C2334" s="4" t="n">
        <f aca="false">YEAR(B2334)</f>
        <v>2025</v>
      </c>
      <c r="D2334" s="49" t="s">
        <v>283</v>
      </c>
      <c r="E2334" s="49" t="s">
        <v>4915</v>
      </c>
      <c r="F2334" s="50" t="n">
        <v>3</v>
      </c>
      <c r="G2334" s="49" t="s">
        <v>280</v>
      </c>
      <c r="H2334" s="51" t="n">
        <v>0.8969</v>
      </c>
      <c r="I2334" s="51" t="n">
        <v>0.0936</v>
      </c>
      <c r="J2334" s="51" t="n">
        <v>0.0095</v>
      </c>
      <c r="K2334" s="49"/>
      <c r="L2334" s="49"/>
      <c r="M2334" s="49"/>
      <c r="N2334" s="49"/>
      <c r="O2334" s="49"/>
      <c r="P2334" s="49"/>
      <c r="Q2334" s="49"/>
      <c r="R2334" s="49"/>
      <c r="S2334" s="49" t="n">
        <v>0</v>
      </c>
      <c r="T2334" s="49" t="n">
        <v>0</v>
      </c>
      <c r="U2334" s="49" t="s">
        <v>4916</v>
      </c>
    </row>
    <row r="2335" customFormat="false" ht="15" hidden="false" customHeight="false" outlineLevel="0" collapsed="false">
      <c r="B2335" s="48" t="n">
        <v>45756.5550810185</v>
      </c>
      <c r="C2335" s="4" t="n">
        <f aca="false">YEAR(B2335)</f>
        <v>2025</v>
      </c>
      <c r="D2335" s="49" t="s">
        <v>278</v>
      </c>
      <c r="E2335" s="49" t="s">
        <v>4917</v>
      </c>
      <c r="F2335" s="50" t="n">
        <v>0</v>
      </c>
      <c r="G2335" s="49" t="s">
        <v>280</v>
      </c>
      <c r="H2335" s="51" t="n">
        <v>0.8326</v>
      </c>
      <c r="I2335" s="51" t="n">
        <v>0.1601</v>
      </c>
      <c r="J2335" s="51" t="n">
        <v>0.0073</v>
      </c>
      <c r="K2335" s="49"/>
      <c r="L2335" s="49"/>
      <c r="M2335" s="49"/>
      <c r="N2335" s="49" t="s">
        <v>281</v>
      </c>
      <c r="O2335" s="49"/>
      <c r="P2335" s="49"/>
      <c r="Q2335" s="49"/>
      <c r="R2335" s="49"/>
      <c r="S2335" s="49" t="n">
        <v>0</v>
      </c>
      <c r="T2335" s="49" t="n">
        <v>0</v>
      </c>
      <c r="U2335" s="49" t="s">
        <v>4918</v>
      </c>
    </row>
    <row r="2336" customFormat="false" ht="15" hidden="false" customHeight="false" outlineLevel="0" collapsed="false">
      <c r="B2336" s="48" t="n">
        <v>45756.8047222222</v>
      </c>
      <c r="C2336" s="4" t="n">
        <f aca="false">YEAR(B2336)</f>
        <v>2025</v>
      </c>
      <c r="D2336" s="49" t="s">
        <v>278</v>
      </c>
      <c r="E2336" s="49" t="s">
        <v>4919</v>
      </c>
      <c r="F2336" s="50" t="n">
        <v>0</v>
      </c>
      <c r="G2336" s="49" t="s">
        <v>280</v>
      </c>
      <c r="H2336" s="51" t="n">
        <v>0.7442</v>
      </c>
      <c r="I2336" s="51" t="n">
        <v>0.2457</v>
      </c>
      <c r="J2336" s="51" t="n">
        <v>0.0101</v>
      </c>
      <c r="K2336" s="49"/>
      <c r="L2336" s="49"/>
      <c r="M2336" s="49"/>
      <c r="N2336" s="49"/>
      <c r="O2336" s="49"/>
      <c r="P2336" s="49"/>
      <c r="Q2336" s="49"/>
      <c r="R2336" s="49"/>
      <c r="S2336" s="49" t="n">
        <v>0</v>
      </c>
      <c r="T2336" s="49" t="n">
        <v>0</v>
      </c>
      <c r="U2336" s="49" t="s">
        <v>4920</v>
      </c>
    </row>
    <row r="2337" customFormat="false" ht="15" hidden="false" customHeight="false" outlineLevel="0" collapsed="false">
      <c r="B2337" s="48" t="n">
        <v>45757.1908680556</v>
      </c>
      <c r="C2337" s="4" t="n">
        <f aca="false">YEAR(B2337)</f>
        <v>2025</v>
      </c>
      <c r="D2337" s="49" t="s">
        <v>283</v>
      </c>
      <c r="E2337" s="49" t="s">
        <v>4921</v>
      </c>
      <c r="F2337" s="50" t="n">
        <v>5</v>
      </c>
      <c r="G2337" s="49" t="s">
        <v>290</v>
      </c>
      <c r="H2337" s="51" t="n">
        <v>0.0292</v>
      </c>
      <c r="I2337" s="51" t="n">
        <v>0.7939</v>
      </c>
      <c r="J2337" s="51" t="n">
        <v>0.1769</v>
      </c>
      <c r="K2337" s="49"/>
      <c r="L2337" s="49"/>
      <c r="M2337" s="49"/>
      <c r="N2337" s="49"/>
      <c r="O2337" s="49"/>
      <c r="P2337" s="49"/>
      <c r="Q2337" s="49"/>
      <c r="R2337" s="49"/>
      <c r="S2337" s="49" t="n">
        <v>0</v>
      </c>
      <c r="T2337" s="49" t="n">
        <v>0</v>
      </c>
      <c r="U2337" s="49" t="s">
        <v>4922</v>
      </c>
    </row>
    <row r="2338" customFormat="false" ht="15" hidden="false" customHeight="false" outlineLevel="0" collapsed="false">
      <c r="B2338" s="48" t="n">
        <v>45757.8618402778</v>
      </c>
      <c r="C2338" s="4" t="n">
        <f aca="false">YEAR(B2338)</f>
        <v>2025</v>
      </c>
      <c r="D2338" s="49" t="s">
        <v>283</v>
      </c>
      <c r="E2338" s="49" t="s">
        <v>4923</v>
      </c>
      <c r="F2338" s="50" t="n">
        <v>0</v>
      </c>
      <c r="G2338" s="49" t="s">
        <v>287</v>
      </c>
      <c r="H2338" s="51" t="n">
        <v>0.0021</v>
      </c>
      <c r="I2338" s="51" t="n">
        <v>0.0135</v>
      </c>
      <c r="J2338" s="51" t="n">
        <v>0.9844</v>
      </c>
      <c r="K2338" s="49"/>
      <c r="L2338" s="49"/>
      <c r="M2338" s="49"/>
      <c r="N2338" s="49"/>
      <c r="O2338" s="49"/>
      <c r="P2338" s="49"/>
      <c r="Q2338" s="49"/>
      <c r="R2338" s="49"/>
      <c r="S2338" s="49" t="n">
        <v>0</v>
      </c>
      <c r="T2338" s="49" t="n">
        <v>0</v>
      </c>
      <c r="U2338" s="49" t="s">
        <v>4924</v>
      </c>
    </row>
    <row r="2339" customFormat="false" ht="15" hidden="false" customHeight="false" outlineLevel="0" collapsed="false">
      <c r="B2339" s="48" t="n">
        <v>45757.9556597222</v>
      </c>
      <c r="C2339" s="4" t="n">
        <f aca="false">YEAR(B2339)</f>
        <v>2025</v>
      </c>
      <c r="D2339" s="49" t="s">
        <v>283</v>
      </c>
      <c r="E2339" s="49" t="s">
        <v>4925</v>
      </c>
      <c r="F2339" s="50" t="n">
        <v>0</v>
      </c>
      <c r="G2339" s="49" t="s">
        <v>280</v>
      </c>
      <c r="H2339" s="51" t="n">
        <v>0.5968</v>
      </c>
      <c r="I2339" s="51" t="n">
        <v>0.3842</v>
      </c>
      <c r="J2339" s="51" t="n">
        <v>0.019</v>
      </c>
      <c r="K2339" s="49" t="s">
        <v>281</v>
      </c>
      <c r="L2339" s="49"/>
      <c r="M2339" s="49"/>
      <c r="N2339" s="49"/>
      <c r="O2339" s="49"/>
      <c r="P2339" s="49"/>
      <c r="Q2339" s="49"/>
      <c r="R2339" s="49"/>
      <c r="S2339" s="49" t="n">
        <v>0</v>
      </c>
      <c r="T2339" s="49" t="n">
        <v>0</v>
      </c>
      <c r="U2339" s="49" t="s">
        <v>4926</v>
      </c>
    </row>
    <row r="2340" customFormat="false" ht="15" hidden="false" customHeight="false" outlineLevel="0" collapsed="false">
      <c r="B2340" s="48" t="n">
        <v>45758.3919328704</v>
      </c>
      <c r="C2340" s="4" t="n">
        <f aca="false">YEAR(B2340)</f>
        <v>2025</v>
      </c>
      <c r="D2340" s="49" t="s">
        <v>283</v>
      </c>
      <c r="E2340" s="49" t="s">
        <v>4927</v>
      </c>
      <c r="F2340" s="50" t="n">
        <v>0</v>
      </c>
      <c r="G2340" s="49" t="s">
        <v>287</v>
      </c>
      <c r="H2340" s="51" t="n">
        <v>0.0043</v>
      </c>
      <c r="I2340" s="51" t="n">
        <v>0.0691</v>
      </c>
      <c r="J2340" s="51" t="n">
        <v>0.9266</v>
      </c>
      <c r="K2340" s="49"/>
      <c r="L2340" s="49"/>
      <c r="M2340" s="49"/>
      <c r="N2340" s="49"/>
      <c r="O2340" s="49"/>
      <c r="P2340" s="49"/>
      <c r="Q2340" s="49" t="s">
        <v>281</v>
      </c>
      <c r="R2340" s="49"/>
      <c r="S2340" s="49" t="n">
        <v>0</v>
      </c>
      <c r="T2340" s="49" t="n">
        <v>0</v>
      </c>
      <c r="U2340" s="49" t="s">
        <v>4928</v>
      </c>
    </row>
    <row r="2341" customFormat="false" ht="15" hidden="false" customHeight="false" outlineLevel="0" collapsed="false">
      <c r="B2341" s="48" t="n">
        <v>45758.7453935185</v>
      </c>
      <c r="C2341" s="4" t="n">
        <f aca="false">YEAR(B2341)</f>
        <v>2025</v>
      </c>
      <c r="D2341" s="49" t="s">
        <v>283</v>
      </c>
      <c r="E2341" s="49" t="s">
        <v>4929</v>
      </c>
      <c r="F2341" s="50" t="n">
        <v>1</v>
      </c>
      <c r="G2341" s="49" t="s">
        <v>280</v>
      </c>
      <c r="H2341" s="51" t="n">
        <v>0.8102</v>
      </c>
      <c r="I2341" s="51" t="n">
        <v>0.1794</v>
      </c>
      <c r="J2341" s="51" t="n">
        <v>0.0104</v>
      </c>
      <c r="K2341" s="49"/>
      <c r="L2341" s="49"/>
      <c r="M2341" s="49"/>
      <c r="N2341" s="49"/>
      <c r="O2341" s="49"/>
      <c r="P2341" s="49"/>
      <c r="Q2341" s="49" t="s">
        <v>281</v>
      </c>
      <c r="R2341" s="49"/>
      <c r="S2341" s="49" t="n">
        <v>0</v>
      </c>
      <c r="T2341" s="49" t="n">
        <v>0</v>
      </c>
      <c r="U2341" s="49" t="s">
        <v>4930</v>
      </c>
    </row>
    <row r="2342" customFormat="false" ht="15" hidden="false" customHeight="false" outlineLevel="0" collapsed="false">
      <c r="B2342" s="48" t="n">
        <v>45758.9590625</v>
      </c>
      <c r="C2342" s="4" t="n">
        <f aca="false">YEAR(B2342)</f>
        <v>2025</v>
      </c>
      <c r="D2342" s="49" t="s">
        <v>283</v>
      </c>
      <c r="E2342" s="49" t="s">
        <v>4931</v>
      </c>
      <c r="F2342" s="50" t="n">
        <v>1</v>
      </c>
      <c r="G2342" s="49" t="s">
        <v>290</v>
      </c>
      <c r="H2342" s="51" t="n">
        <v>0.0471</v>
      </c>
      <c r="I2342" s="51" t="n">
        <v>0.8501</v>
      </c>
      <c r="J2342" s="51" t="n">
        <v>0.1028</v>
      </c>
      <c r="K2342" s="49"/>
      <c r="L2342" s="49"/>
      <c r="M2342" s="49"/>
      <c r="N2342" s="49"/>
      <c r="O2342" s="49"/>
      <c r="P2342" s="49"/>
      <c r="Q2342" s="49"/>
      <c r="R2342" s="49"/>
      <c r="S2342" s="49" t="n">
        <v>0</v>
      </c>
      <c r="T2342" s="49" t="n">
        <v>0</v>
      </c>
      <c r="U2342" s="49" t="s">
        <v>4932</v>
      </c>
    </row>
    <row r="2343" customFormat="false" ht="15" hidden="false" customHeight="false" outlineLevel="0" collapsed="false">
      <c r="B2343" s="48" t="n">
        <v>45759.5191666667</v>
      </c>
      <c r="C2343" s="4" t="n">
        <f aca="false">YEAR(B2343)</f>
        <v>2025</v>
      </c>
      <c r="D2343" s="49" t="s">
        <v>278</v>
      </c>
      <c r="E2343" s="49" t="s">
        <v>4933</v>
      </c>
      <c r="F2343" s="50" t="n">
        <v>20</v>
      </c>
      <c r="G2343" s="49" t="s">
        <v>280</v>
      </c>
      <c r="H2343" s="51" t="n">
        <v>0.9405</v>
      </c>
      <c r="I2343" s="51" t="n">
        <v>0.0538</v>
      </c>
      <c r="J2343" s="51" t="n">
        <v>0.0056</v>
      </c>
      <c r="K2343" s="49"/>
      <c r="L2343" s="49"/>
      <c r="M2343" s="49"/>
      <c r="N2343" s="49"/>
      <c r="O2343" s="49"/>
      <c r="P2343" s="49"/>
      <c r="Q2343" s="49"/>
      <c r="R2343" s="49" t="s">
        <v>281</v>
      </c>
      <c r="S2343" s="49" t="n">
        <v>0</v>
      </c>
      <c r="T2343" s="49" t="n">
        <v>0</v>
      </c>
      <c r="U2343" s="49" t="s">
        <v>4934</v>
      </c>
    </row>
    <row r="2344" customFormat="false" ht="15" hidden="false" customHeight="false" outlineLevel="0" collapsed="false">
      <c r="B2344" s="48" t="n">
        <v>45760.0350810185</v>
      </c>
      <c r="C2344" s="4" t="n">
        <f aca="false">YEAR(B2344)</f>
        <v>2025</v>
      </c>
      <c r="D2344" s="49" t="s">
        <v>283</v>
      </c>
      <c r="E2344" s="49" t="s">
        <v>4935</v>
      </c>
      <c r="F2344" s="50" t="n">
        <v>1</v>
      </c>
      <c r="G2344" s="49" t="s">
        <v>290</v>
      </c>
      <c r="H2344" s="51" t="n">
        <v>0.1609</v>
      </c>
      <c r="I2344" s="51" t="n">
        <v>0.7482</v>
      </c>
      <c r="J2344" s="51" t="n">
        <v>0.091</v>
      </c>
      <c r="K2344" s="49"/>
      <c r="L2344" s="49"/>
      <c r="M2344" s="49"/>
      <c r="N2344" s="49"/>
      <c r="O2344" s="49"/>
      <c r="P2344" s="49"/>
      <c r="Q2344" s="49"/>
      <c r="R2344" s="49"/>
      <c r="S2344" s="49" t="n">
        <v>0</v>
      </c>
      <c r="T2344" s="49" t="n">
        <v>0</v>
      </c>
      <c r="U2344" s="49" t="s">
        <v>4936</v>
      </c>
    </row>
    <row r="2345" customFormat="false" ht="15" hidden="false" customHeight="false" outlineLevel="0" collapsed="false">
      <c r="B2345" s="48" t="n">
        <v>45760.4533912037</v>
      </c>
      <c r="C2345" s="4" t="n">
        <f aca="false">YEAR(B2345)</f>
        <v>2025</v>
      </c>
      <c r="D2345" s="49" t="s">
        <v>278</v>
      </c>
      <c r="E2345" s="49" t="s">
        <v>4937</v>
      </c>
      <c r="F2345" s="50" t="n">
        <v>9</v>
      </c>
      <c r="G2345" s="49" t="s">
        <v>280</v>
      </c>
      <c r="H2345" s="51" t="n">
        <v>0.9514</v>
      </c>
      <c r="I2345" s="51" t="n">
        <v>0.0422</v>
      </c>
      <c r="J2345" s="51" t="n">
        <v>0.0064</v>
      </c>
      <c r="K2345" s="49"/>
      <c r="L2345" s="49"/>
      <c r="M2345" s="49"/>
      <c r="N2345" s="49"/>
      <c r="O2345" s="49"/>
      <c r="P2345" s="49"/>
      <c r="Q2345" s="49"/>
      <c r="R2345" s="49"/>
      <c r="S2345" s="49" t="n">
        <v>0</v>
      </c>
      <c r="T2345" s="49" t="n">
        <v>0</v>
      </c>
      <c r="U2345" s="49" t="s">
        <v>4938</v>
      </c>
    </row>
    <row r="2346" customFormat="false" ht="15" hidden="false" customHeight="false" outlineLevel="0" collapsed="false">
      <c r="B2346" s="48" t="n">
        <v>45761.0412847222</v>
      </c>
      <c r="C2346" s="4" t="n">
        <f aca="false">YEAR(B2346)</f>
        <v>2025</v>
      </c>
      <c r="D2346" s="49" t="s">
        <v>283</v>
      </c>
      <c r="E2346" s="49" t="s">
        <v>4939</v>
      </c>
      <c r="F2346" s="50" t="n">
        <v>5</v>
      </c>
      <c r="G2346" s="49" t="s">
        <v>290</v>
      </c>
      <c r="H2346" s="51" t="n">
        <v>0.0276</v>
      </c>
      <c r="I2346" s="51" t="n">
        <v>0.4872</v>
      </c>
      <c r="J2346" s="51" t="n">
        <v>0.4852</v>
      </c>
      <c r="K2346" s="49"/>
      <c r="L2346" s="49"/>
      <c r="M2346" s="49"/>
      <c r="N2346" s="49"/>
      <c r="O2346" s="49"/>
      <c r="P2346" s="49"/>
      <c r="Q2346" s="49"/>
      <c r="R2346" s="49"/>
      <c r="S2346" s="49" t="n">
        <v>0</v>
      </c>
      <c r="T2346" s="49" t="n">
        <v>0</v>
      </c>
      <c r="U2346" s="49" t="s">
        <v>4940</v>
      </c>
    </row>
    <row r="2347" customFormat="false" ht="15" hidden="false" customHeight="false" outlineLevel="0" collapsed="false">
      <c r="B2347" s="48" t="n">
        <v>45762.0496759259</v>
      </c>
      <c r="C2347" s="4" t="n">
        <f aca="false">YEAR(B2347)</f>
        <v>2025</v>
      </c>
      <c r="D2347" s="49" t="s">
        <v>283</v>
      </c>
      <c r="E2347" s="49" t="s">
        <v>4941</v>
      </c>
      <c r="F2347" s="50" t="n">
        <v>4</v>
      </c>
      <c r="G2347" s="49" t="s">
        <v>287</v>
      </c>
      <c r="H2347" s="51" t="n">
        <v>0.0037</v>
      </c>
      <c r="I2347" s="51" t="n">
        <v>0.13</v>
      </c>
      <c r="J2347" s="51" t="n">
        <v>0.8663</v>
      </c>
      <c r="K2347" s="49"/>
      <c r="L2347" s="49"/>
      <c r="M2347" s="49"/>
      <c r="N2347" s="49"/>
      <c r="O2347" s="49"/>
      <c r="P2347" s="49"/>
      <c r="Q2347" s="49"/>
      <c r="R2347" s="49"/>
      <c r="S2347" s="49" t="n">
        <v>0</v>
      </c>
      <c r="T2347" s="49" t="n">
        <v>0</v>
      </c>
      <c r="U2347" s="49" t="s">
        <v>4942</v>
      </c>
    </row>
    <row r="2348" customFormat="false" ht="15" hidden="false" customHeight="false" outlineLevel="0" collapsed="false">
      <c r="B2348" s="48" t="n">
        <v>45762.4965393519</v>
      </c>
      <c r="C2348" s="4" t="n">
        <f aca="false">YEAR(B2348)</f>
        <v>2025</v>
      </c>
      <c r="D2348" s="49" t="s">
        <v>283</v>
      </c>
      <c r="E2348" s="49" t="s">
        <v>4943</v>
      </c>
      <c r="F2348" s="50" t="n">
        <v>0</v>
      </c>
      <c r="G2348" s="49" t="s">
        <v>287</v>
      </c>
      <c r="H2348" s="51" t="n">
        <v>0.0345</v>
      </c>
      <c r="I2348" s="51" t="n">
        <v>0.1915</v>
      </c>
      <c r="J2348" s="51" t="n">
        <v>0.774</v>
      </c>
      <c r="K2348" s="49"/>
      <c r="L2348" s="49"/>
      <c r="M2348" s="49" t="s">
        <v>281</v>
      </c>
      <c r="N2348" s="49"/>
      <c r="O2348" s="49"/>
      <c r="P2348" s="49"/>
      <c r="Q2348" s="49"/>
      <c r="R2348" s="49"/>
      <c r="S2348" s="49" t="n">
        <v>0</v>
      </c>
      <c r="T2348" s="49" t="n">
        <v>0</v>
      </c>
      <c r="U2348" s="49" t="s">
        <v>4944</v>
      </c>
    </row>
    <row r="2349" customFormat="false" ht="15" hidden="false" customHeight="false" outlineLevel="0" collapsed="false">
      <c r="B2349" s="48" t="n">
        <v>45762.665150463</v>
      </c>
      <c r="C2349" s="4" t="n">
        <f aca="false">YEAR(B2349)</f>
        <v>2025</v>
      </c>
      <c r="D2349" s="49" t="s">
        <v>283</v>
      </c>
      <c r="E2349" s="49" t="s">
        <v>4945</v>
      </c>
      <c r="F2349" s="50" t="n">
        <v>12</v>
      </c>
      <c r="G2349" s="49" t="s">
        <v>287</v>
      </c>
      <c r="H2349" s="51" t="n">
        <v>0.0594</v>
      </c>
      <c r="I2349" s="51" t="n">
        <v>0.2733</v>
      </c>
      <c r="J2349" s="51" t="n">
        <v>0.6673</v>
      </c>
      <c r="K2349" s="49"/>
      <c r="L2349" s="49"/>
      <c r="M2349" s="49"/>
      <c r="N2349" s="49"/>
      <c r="O2349" s="49"/>
      <c r="P2349" s="49"/>
      <c r="Q2349" s="49"/>
      <c r="R2349" s="49"/>
      <c r="S2349" s="49" t="n">
        <v>0</v>
      </c>
      <c r="T2349" s="49" t="n">
        <v>0</v>
      </c>
      <c r="U2349" s="49" t="s">
        <v>4946</v>
      </c>
    </row>
    <row r="2350" customFormat="false" ht="15" hidden="false" customHeight="false" outlineLevel="0" collapsed="false">
      <c r="B2350" s="48" t="n">
        <v>45762.9433796296</v>
      </c>
      <c r="C2350" s="4" t="n">
        <f aca="false">YEAR(B2350)</f>
        <v>2025</v>
      </c>
      <c r="D2350" s="49" t="s">
        <v>283</v>
      </c>
      <c r="E2350" s="49" t="s">
        <v>4947</v>
      </c>
      <c r="F2350" s="50" t="n">
        <v>0</v>
      </c>
      <c r="G2350" s="49" t="s">
        <v>290</v>
      </c>
      <c r="H2350" s="51" t="n">
        <v>0.3733</v>
      </c>
      <c r="I2350" s="51" t="n">
        <v>0.5609</v>
      </c>
      <c r="J2350" s="51" t="n">
        <v>0.0658</v>
      </c>
      <c r="K2350" s="49"/>
      <c r="L2350" s="49"/>
      <c r="M2350" s="49"/>
      <c r="N2350" s="49"/>
      <c r="O2350" s="49" t="s">
        <v>281</v>
      </c>
      <c r="P2350" s="49"/>
      <c r="Q2350" s="49"/>
      <c r="R2350" s="49"/>
      <c r="S2350" s="49" t="n">
        <v>0</v>
      </c>
      <c r="T2350" s="49" t="n">
        <v>0</v>
      </c>
      <c r="U2350" s="49" t="s">
        <v>4948</v>
      </c>
    </row>
    <row r="2351" customFormat="false" ht="15" hidden="false" customHeight="false" outlineLevel="0" collapsed="false">
      <c r="B2351" s="48" t="n">
        <v>45763.5747685185</v>
      </c>
      <c r="C2351" s="4" t="n">
        <f aca="false">YEAR(B2351)</f>
        <v>2025</v>
      </c>
      <c r="D2351" s="49" t="s">
        <v>283</v>
      </c>
      <c r="E2351" s="49" t="s">
        <v>4949</v>
      </c>
      <c r="F2351" s="50" t="n">
        <v>4</v>
      </c>
      <c r="G2351" s="49" t="s">
        <v>290</v>
      </c>
      <c r="H2351" s="51" t="n">
        <v>0.038</v>
      </c>
      <c r="I2351" s="51" t="n">
        <v>0.6363</v>
      </c>
      <c r="J2351" s="51" t="n">
        <v>0.3256</v>
      </c>
      <c r="K2351" s="49"/>
      <c r="L2351" s="49"/>
      <c r="M2351" s="49"/>
      <c r="N2351" s="49"/>
      <c r="O2351" s="49"/>
      <c r="P2351" s="49"/>
      <c r="Q2351" s="49"/>
      <c r="R2351" s="49"/>
      <c r="S2351" s="49" t="n">
        <v>0</v>
      </c>
      <c r="T2351" s="49" t="n">
        <v>0</v>
      </c>
      <c r="U2351" s="49" t="s">
        <v>4950</v>
      </c>
    </row>
    <row r="2352" customFormat="false" ht="15" hidden="false" customHeight="false" outlineLevel="0" collapsed="false">
      <c r="B2352" s="48" t="n">
        <v>45763.6533912037</v>
      </c>
      <c r="C2352" s="4" t="n">
        <f aca="false">YEAR(B2352)</f>
        <v>2025</v>
      </c>
      <c r="D2352" s="49" t="s">
        <v>283</v>
      </c>
      <c r="E2352" s="49" t="s">
        <v>4951</v>
      </c>
      <c r="F2352" s="50" t="n">
        <v>0</v>
      </c>
      <c r="G2352" s="49" t="s">
        <v>290</v>
      </c>
      <c r="H2352" s="51" t="n">
        <v>0.0242</v>
      </c>
      <c r="I2352" s="51" t="n">
        <v>0.6311</v>
      </c>
      <c r="J2352" s="51" t="n">
        <v>0.3447</v>
      </c>
      <c r="K2352" s="49"/>
      <c r="L2352" s="49"/>
      <c r="M2352" s="49"/>
      <c r="N2352" s="49"/>
      <c r="O2352" s="49"/>
      <c r="P2352" s="49"/>
      <c r="Q2352" s="49"/>
      <c r="R2352" s="49"/>
      <c r="S2352" s="49" t="n">
        <v>0</v>
      </c>
      <c r="T2352" s="49" t="n">
        <v>0</v>
      </c>
      <c r="U2352" s="49" t="s">
        <v>4952</v>
      </c>
    </row>
    <row r="2353" customFormat="false" ht="15" hidden="false" customHeight="false" outlineLevel="0" collapsed="false">
      <c r="B2353" s="48" t="n">
        <v>45763.7559606481</v>
      </c>
      <c r="C2353" s="4" t="n">
        <f aca="false">YEAR(B2353)</f>
        <v>2025</v>
      </c>
      <c r="D2353" s="49" t="s">
        <v>283</v>
      </c>
      <c r="E2353" s="49" t="s">
        <v>4953</v>
      </c>
      <c r="F2353" s="50" t="n">
        <v>1</v>
      </c>
      <c r="G2353" s="49" t="s">
        <v>290</v>
      </c>
      <c r="H2353" s="51" t="n">
        <v>0.0086</v>
      </c>
      <c r="I2353" s="51" t="n">
        <v>0.7145</v>
      </c>
      <c r="J2353" s="51" t="n">
        <v>0.2769</v>
      </c>
      <c r="K2353" s="49"/>
      <c r="L2353" s="49"/>
      <c r="M2353" s="49"/>
      <c r="N2353" s="49"/>
      <c r="O2353" s="49"/>
      <c r="P2353" s="49"/>
      <c r="Q2353" s="49"/>
      <c r="R2353" s="49" t="s">
        <v>281</v>
      </c>
      <c r="S2353" s="49" t="n">
        <v>0</v>
      </c>
      <c r="T2353" s="49" t="n">
        <v>0</v>
      </c>
      <c r="U2353" s="49" t="s">
        <v>4954</v>
      </c>
    </row>
    <row r="2354" customFormat="false" ht="15" hidden="false" customHeight="false" outlineLevel="0" collapsed="false">
      <c r="B2354" s="48" t="n">
        <v>45763.7793171296</v>
      </c>
      <c r="C2354" s="4" t="n">
        <f aca="false">YEAR(B2354)</f>
        <v>2025</v>
      </c>
      <c r="D2354" s="49" t="s">
        <v>278</v>
      </c>
      <c r="E2354" s="49" t="s">
        <v>4955</v>
      </c>
      <c r="F2354" s="50" t="n">
        <v>2</v>
      </c>
      <c r="G2354" s="49" t="s">
        <v>290</v>
      </c>
      <c r="H2354" s="51" t="n">
        <v>0.008</v>
      </c>
      <c r="I2354" s="51" t="n">
        <v>0.7344</v>
      </c>
      <c r="J2354" s="51" t="n">
        <v>0.2576</v>
      </c>
      <c r="K2354" s="49"/>
      <c r="L2354" s="49"/>
      <c r="M2354" s="49"/>
      <c r="N2354" s="49"/>
      <c r="O2354" s="49"/>
      <c r="P2354" s="49"/>
      <c r="Q2354" s="49"/>
      <c r="R2354" s="49" t="s">
        <v>281</v>
      </c>
      <c r="S2354" s="49" t="n">
        <v>0</v>
      </c>
      <c r="T2354" s="49" t="n">
        <v>0</v>
      </c>
      <c r="U2354" s="49" t="s">
        <v>4956</v>
      </c>
    </row>
    <row r="2355" customFormat="false" ht="15" hidden="false" customHeight="false" outlineLevel="0" collapsed="false">
      <c r="B2355" s="48" t="n">
        <v>45764.4281828704</v>
      </c>
      <c r="C2355" s="4" t="n">
        <f aca="false">YEAR(B2355)</f>
        <v>2025</v>
      </c>
      <c r="D2355" s="49" t="s">
        <v>278</v>
      </c>
      <c r="E2355" s="49" t="s">
        <v>4957</v>
      </c>
      <c r="F2355" s="50" t="n">
        <v>0</v>
      </c>
      <c r="G2355" s="49" t="s">
        <v>280</v>
      </c>
      <c r="H2355" s="51" t="n">
        <v>0.7903</v>
      </c>
      <c r="I2355" s="51" t="n">
        <v>0.1878</v>
      </c>
      <c r="J2355" s="51" t="n">
        <v>0.0218</v>
      </c>
      <c r="K2355" s="49" t="s">
        <v>281</v>
      </c>
      <c r="L2355" s="49"/>
      <c r="M2355" s="49" t="s">
        <v>281</v>
      </c>
      <c r="N2355" s="49"/>
      <c r="O2355" s="49"/>
      <c r="P2355" s="49"/>
      <c r="Q2355" s="49" t="s">
        <v>281</v>
      </c>
      <c r="R2355" s="49"/>
      <c r="S2355" s="49" t="n">
        <v>0</v>
      </c>
      <c r="T2355" s="49" t="n">
        <v>0</v>
      </c>
      <c r="U2355" s="49" t="s">
        <v>4958</v>
      </c>
    </row>
    <row r="2356" customFormat="false" ht="15" hidden="false" customHeight="false" outlineLevel="0" collapsed="false">
      <c r="B2356" s="48" t="n">
        <v>45764.6738773148</v>
      </c>
      <c r="C2356" s="4" t="n">
        <f aca="false">YEAR(B2356)</f>
        <v>2025</v>
      </c>
      <c r="D2356" s="49" t="s">
        <v>283</v>
      </c>
      <c r="E2356" s="49" t="s">
        <v>4959</v>
      </c>
      <c r="F2356" s="50" t="n">
        <v>39</v>
      </c>
      <c r="G2356" s="49" t="s">
        <v>290</v>
      </c>
      <c r="H2356" s="51" t="n">
        <v>0.0555</v>
      </c>
      <c r="I2356" s="51" t="n">
        <v>0.5546</v>
      </c>
      <c r="J2356" s="51" t="n">
        <v>0.39</v>
      </c>
      <c r="K2356" s="49"/>
      <c r="L2356" s="49"/>
      <c r="M2356" s="49"/>
      <c r="N2356" s="49"/>
      <c r="O2356" s="49"/>
      <c r="P2356" s="49"/>
      <c r="Q2356" s="49"/>
      <c r="R2356" s="49"/>
      <c r="S2356" s="49" t="n">
        <v>0</v>
      </c>
      <c r="T2356" s="49" t="n">
        <v>0</v>
      </c>
      <c r="U2356" s="49" t="s">
        <v>4960</v>
      </c>
    </row>
    <row r="2357" customFormat="false" ht="15" hidden="false" customHeight="false" outlineLevel="0" collapsed="false">
      <c r="B2357" s="48" t="n">
        <v>45765.114212963</v>
      </c>
      <c r="C2357" s="4" t="n">
        <f aca="false">YEAR(B2357)</f>
        <v>2025</v>
      </c>
      <c r="D2357" s="49" t="s">
        <v>278</v>
      </c>
      <c r="E2357" s="49" t="s">
        <v>4961</v>
      </c>
      <c r="F2357" s="50" t="n">
        <v>3</v>
      </c>
      <c r="G2357" s="49" t="s">
        <v>287</v>
      </c>
      <c r="H2357" s="51" t="n">
        <v>0.0536</v>
      </c>
      <c r="I2357" s="51" t="n">
        <v>0.2104</v>
      </c>
      <c r="J2357" s="51" t="n">
        <v>0.736</v>
      </c>
      <c r="K2357" s="49"/>
      <c r="L2357" s="49"/>
      <c r="M2357" s="49"/>
      <c r="N2357" s="49"/>
      <c r="O2357" s="49"/>
      <c r="P2357" s="49"/>
      <c r="Q2357" s="49"/>
      <c r="R2357" s="49" t="s">
        <v>281</v>
      </c>
      <c r="S2357" s="49" t="n">
        <v>0</v>
      </c>
      <c r="T2357" s="49" t="n">
        <v>0</v>
      </c>
      <c r="U2357" s="49" t="s">
        <v>4962</v>
      </c>
    </row>
    <row r="2358" customFormat="false" ht="15" hidden="false" customHeight="false" outlineLevel="0" collapsed="false">
      <c r="B2358" s="48" t="n">
        <v>45765.8061921296</v>
      </c>
      <c r="C2358" s="4" t="n">
        <f aca="false">YEAR(B2358)</f>
        <v>2025</v>
      </c>
      <c r="D2358" s="49" t="s">
        <v>283</v>
      </c>
      <c r="E2358" s="49" t="s">
        <v>4963</v>
      </c>
      <c r="F2358" s="50" t="n">
        <v>1</v>
      </c>
      <c r="G2358" s="49" t="s">
        <v>290</v>
      </c>
      <c r="H2358" s="51" t="n">
        <v>0.0443</v>
      </c>
      <c r="I2358" s="51" t="n">
        <v>0.8843</v>
      </c>
      <c r="J2358" s="51" t="n">
        <v>0.0714</v>
      </c>
      <c r="K2358" s="49"/>
      <c r="L2358" s="49"/>
      <c r="M2358" s="49"/>
      <c r="N2358" s="49"/>
      <c r="O2358" s="49"/>
      <c r="P2358" s="49"/>
      <c r="Q2358" s="49"/>
      <c r="R2358" s="49"/>
      <c r="S2358" s="49" t="n">
        <v>1</v>
      </c>
      <c r="T2358" s="49" t="n">
        <v>0</v>
      </c>
      <c r="U2358" s="49" t="s">
        <v>4964</v>
      </c>
    </row>
    <row r="2359" customFormat="false" ht="15" hidden="false" customHeight="false" outlineLevel="0" collapsed="false">
      <c r="B2359" s="48" t="n">
        <v>45766.6161574074</v>
      </c>
      <c r="C2359" s="4" t="n">
        <f aca="false">YEAR(B2359)</f>
        <v>2025</v>
      </c>
      <c r="D2359" s="49" t="s">
        <v>278</v>
      </c>
      <c r="E2359" s="49" t="s">
        <v>4965</v>
      </c>
      <c r="F2359" s="50" t="n">
        <v>262</v>
      </c>
      <c r="G2359" s="49" t="s">
        <v>287</v>
      </c>
      <c r="H2359" s="51" t="n">
        <v>0.0823</v>
      </c>
      <c r="I2359" s="51" t="n">
        <v>0.3049</v>
      </c>
      <c r="J2359" s="51" t="n">
        <v>0.6129</v>
      </c>
      <c r="K2359" s="49"/>
      <c r="L2359" s="49"/>
      <c r="M2359" s="49"/>
      <c r="N2359" s="49"/>
      <c r="O2359" s="49"/>
      <c r="P2359" s="49"/>
      <c r="Q2359" s="49"/>
      <c r="R2359" s="49"/>
      <c r="S2359" s="49" t="n">
        <v>0</v>
      </c>
      <c r="T2359" s="49" t="n">
        <v>0</v>
      </c>
      <c r="U2359" s="49" t="s">
        <v>4966</v>
      </c>
    </row>
    <row r="2360" customFormat="false" ht="15" hidden="false" customHeight="false" outlineLevel="0" collapsed="false">
      <c r="B2360" s="48" t="n">
        <v>45766.8193518519</v>
      </c>
      <c r="C2360" s="4" t="n">
        <f aca="false">YEAR(B2360)</f>
        <v>2025</v>
      </c>
      <c r="D2360" s="49" t="s">
        <v>283</v>
      </c>
      <c r="E2360" s="49" t="s">
        <v>4967</v>
      </c>
      <c r="F2360" s="50" t="n">
        <v>1</v>
      </c>
      <c r="G2360" s="49" t="s">
        <v>280</v>
      </c>
      <c r="H2360" s="51" t="n">
        <v>0.5343</v>
      </c>
      <c r="I2360" s="51" t="n">
        <v>0.3716</v>
      </c>
      <c r="J2360" s="51" t="n">
        <v>0.0942</v>
      </c>
      <c r="K2360" s="49"/>
      <c r="L2360" s="49"/>
      <c r="M2360" s="49"/>
      <c r="N2360" s="49"/>
      <c r="O2360" s="49"/>
      <c r="P2360" s="49"/>
      <c r="Q2360" s="49" t="s">
        <v>281</v>
      </c>
      <c r="R2360" s="49"/>
      <c r="S2360" s="49" t="n">
        <v>0</v>
      </c>
      <c r="T2360" s="49" t="n">
        <v>0</v>
      </c>
      <c r="U2360" s="49" t="s">
        <v>4968</v>
      </c>
    </row>
    <row r="2361" customFormat="false" ht="15" hidden="false" customHeight="false" outlineLevel="0" collapsed="false">
      <c r="B2361" s="48" t="n">
        <v>45767.1673032407</v>
      </c>
      <c r="C2361" s="4" t="n">
        <f aca="false">YEAR(B2361)</f>
        <v>2025</v>
      </c>
      <c r="D2361" s="49" t="s">
        <v>278</v>
      </c>
      <c r="E2361" s="49" t="s">
        <v>4969</v>
      </c>
      <c r="F2361" s="50" t="n">
        <v>0</v>
      </c>
      <c r="G2361" s="49" t="s">
        <v>280</v>
      </c>
      <c r="H2361" s="51" t="n">
        <v>0.6251</v>
      </c>
      <c r="I2361" s="51" t="n">
        <v>0.3601</v>
      </c>
      <c r="J2361" s="51" t="n">
        <v>0.0147</v>
      </c>
      <c r="K2361" s="49"/>
      <c r="L2361" s="49"/>
      <c r="M2361" s="49"/>
      <c r="N2361" s="49"/>
      <c r="O2361" s="49"/>
      <c r="P2361" s="49"/>
      <c r="Q2361" s="49"/>
      <c r="R2361" s="49"/>
      <c r="S2361" s="49" t="n">
        <v>0</v>
      </c>
      <c r="T2361" s="49" t="n">
        <v>0</v>
      </c>
      <c r="U2361" s="49" t="s">
        <v>4970</v>
      </c>
    </row>
    <row r="2362" customFormat="false" ht="15" hidden="false" customHeight="false" outlineLevel="0" collapsed="false">
      <c r="B2362" s="48" t="n">
        <v>45767.3212962963</v>
      </c>
      <c r="C2362" s="4" t="n">
        <f aca="false">YEAR(B2362)</f>
        <v>2025</v>
      </c>
      <c r="D2362" s="49" t="s">
        <v>283</v>
      </c>
      <c r="E2362" s="49" t="s">
        <v>4971</v>
      </c>
      <c r="F2362" s="50" t="n">
        <v>2</v>
      </c>
      <c r="G2362" s="49" t="s">
        <v>290</v>
      </c>
      <c r="H2362" s="51" t="n">
        <v>0.0488</v>
      </c>
      <c r="I2362" s="51" t="n">
        <v>0.7741</v>
      </c>
      <c r="J2362" s="51" t="n">
        <v>0.1771</v>
      </c>
      <c r="K2362" s="49"/>
      <c r="L2362" s="49"/>
      <c r="M2362" s="49"/>
      <c r="N2362" s="49"/>
      <c r="O2362" s="49"/>
      <c r="P2362" s="49"/>
      <c r="Q2362" s="49"/>
      <c r="R2362" s="49"/>
      <c r="S2362" s="49" t="n">
        <v>0</v>
      </c>
      <c r="T2362" s="49" t="n">
        <v>0</v>
      </c>
      <c r="U2362" s="49" t="s">
        <v>4972</v>
      </c>
    </row>
    <row r="2363" customFormat="false" ht="15" hidden="false" customHeight="false" outlineLevel="0" collapsed="false">
      <c r="B2363" s="48" t="n">
        <v>45767.890775463</v>
      </c>
      <c r="C2363" s="4" t="n">
        <f aca="false">YEAR(B2363)</f>
        <v>2025</v>
      </c>
      <c r="D2363" s="49" t="s">
        <v>283</v>
      </c>
      <c r="E2363" s="49" t="s">
        <v>4973</v>
      </c>
      <c r="F2363" s="50" t="n">
        <v>1</v>
      </c>
      <c r="G2363" s="49" t="s">
        <v>290</v>
      </c>
      <c r="H2363" s="51" t="n">
        <v>0.1151</v>
      </c>
      <c r="I2363" s="51" t="n">
        <v>0.8429</v>
      </c>
      <c r="J2363" s="51" t="n">
        <v>0.0419</v>
      </c>
      <c r="K2363" s="49"/>
      <c r="L2363" s="49"/>
      <c r="M2363" s="49"/>
      <c r="N2363" s="49"/>
      <c r="O2363" s="49"/>
      <c r="P2363" s="49" t="s">
        <v>281</v>
      </c>
      <c r="Q2363" s="49"/>
      <c r="R2363" s="49" t="s">
        <v>281</v>
      </c>
      <c r="S2363" s="49" t="n">
        <v>0</v>
      </c>
      <c r="T2363" s="49" t="n">
        <v>0</v>
      </c>
      <c r="U2363" s="49" t="s">
        <v>4974</v>
      </c>
    </row>
    <row r="2364" customFormat="false" ht="15" hidden="false" customHeight="false" outlineLevel="0" collapsed="false">
      <c r="B2364" s="48" t="n">
        <v>45768.7221990741</v>
      </c>
      <c r="C2364" s="4" t="n">
        <f aca="false">YEAR(B2364)</f>
        <v>2025</v>
      </c>
      <c r="D2364" s="49" t="s">
        <v>283</v>
      </c>
      <c r="E2364" s="49" t="s">
        <v>4975</v>
      </c>
      <c r="F2364" s="50" t="n">
        <v>244</v>
      </c>
      <c r="G2364" s="49" t="s">
        <v>280</v>
      </c>
      <c r="H2364" s="51" t="n">
        <v>0.8802</v>
      </c>
      <c r="I2364" s="51" t="n">
        <v>0.105</v>
      </c>
      <c r="J2364" s="51" t="n">
        <v>0.0148</v>
      </c>
      <c r="K2364" s="49" t="s">
        <v>281</v>
      </c>
      <c r="L2364" s="49"/>
      <c r="M2364" s="49"/>
      <c r="N2364" s="49"/>
      <c r="O2364" s="49"/>
      <c r="P2364" s="49"/>
      <c r="Q2364" s="49"/>
      <c r="R2364" s="49"/>
      <c r="S2364" s="49" t="n">
        <v>0</v>
      </c>
      <c r="T2364" s="49" t="n">
        <v>0</v>
      </c>
      <c r="U2364" s="49" t="s">
        <v>4976</v>
      </c>
    </row>
    <row r="2365" customFormat="false" ht="15" hidden="false" customHeight="false" outlineLevel="0" collapsed="false">
      <c r="B2365" s="48" t="n">
        <v>45768.9847916667</v>
      </c>
      <c r="C2365" s="4" t="n">
        <f aca="false">YEAR(B2365)</f>
        <v>2025</v>
      </c>
      <c r="D2365" s="49" t="s">
        <v>283</v>
      </c>
      <c r="E2365" s="49" t="s">
        <v>4977</v>
      </c>
      <c r="F2365" s="50" t="n">
        <v>1</v>
      </c>
      <c r="G2365" s="49" t="s">
        <v>287</v>
      </c>
      <c r="H2365" s="51" t="n">
        <v>0.0098</v>
      </c>
      <c r="I2365" s="51" t="n">
        <v>0.3533</v>
      </c>
      <c r="J2365" s="51" t="n">
        <v>0.6369</v>
      </c>
      <c r="K2365" s="49"/>
      <c r="L2365" s="49"/>
      <c r="M2365" s="49"/>
      <c r="N2365" s="49"/>
      <c r="O2365" s="49"/>
      <c r="P2365" s="49"/>
      <c r="Q2365" s="49"/>
      <c r="R2365" s="49"/>
      <c r="S2365" s="49" t="n">
        <v>0</v>
      </c>
      <c r="T2365" s="49" t="n">
        <v>0</v>
      </c>
      <c r="U2365" s="49" t="s">
        <v>4978</v>
      </c>
    </row>
    <row r="2366" customFormat="false" ht="15" hidden="false" customHeight="false" outlineLevel="0" collapsed="false">
      <c r="B2366" s="48" t="n">
        <v>45769.4895023148</v>
      </c>
      <c r="C2366" s="4" t="n">
        <f aca="false">YEAR(B2366)</f>
        <v>2025</v>
      </c>
      <c r="D2366" s="49" t="s">
        <v>283</v>
      </c>
      <c r="E2366" s="49" t="s">
        <v>4979</v>
      </c>
      <c r="F2366" s="50" t="n">
        <v>10</v>
      </c>
      <c r="G2366" s="49" t="s">
        <v>290</v>
      </c>
      <c r="H2366" s="51" t="n">
        <v>0.4293</v>
      </c>
      <c r="I2366" s="51" t="n">
        <v>0.5486</v>
      </c>
      <c r="J2366" s="51" t="n">
        <v>0.0222</v>
      </c>
      <c r="K2366" s="49"/>
      <c r="L2366" s="49"/>
      <c r="M2366" s="49"/>
      <c r="N2366" s="49"/>
      <c r="O2366" s="49"/>
      <c r="P2366" s="49"/>
      <c r="Q2366" s="49"/>
      <c r="R2366" s="49"/>
      <c r="S2366" s="49" t="n">
        <v>0</v>
      </c>
      <c r="T2366" s="49" t="n">
        <v>0</v>
      </c>
      <c r="U2366" s="49" t="s">
        <v>4980</v>
      </c>
    </row>
    <row r="2367" customFormat="false" ht="15" hidden="false" customHeight="false" outlineLevel="0" collapsed="false">
      <c r="B2367" s="48" t="n">
        <v>45769.6920833333</v>
      </c>
      <c r="C2367" s="4" t="n">
        <f aca="false">YEAR(B2367)</f>
        <v>2025</v>
      </c>
      <c r="D2367" s="49" t="s">
        <v>278</v>
      </c>
      <c r="E2367" s="49" t="s">
        <v>4981</v>
      </c>
      <c r="F2367" s="50" t="n">
        <v>41</v>
      </c>
      <c r="G2367" s="49" t="s">
        <v>280</v>
      </c>
      <c r="H2367" s="51" t="n">
        <v>0.8718</v>
      </c>
      <c r="I2367" s="51" t="n">
        <v>0.1164</v>
      </c>
      <c r="J2367" s="51" t="n">
        <v>0.0118</v>
      </c>
      <c r="K2367" s="49" t="s">
        <v>281</v>
      </c>
      <c r="L2367" s="49"/>
      <c r="M2367" s="49"/>
      <c r="N2367" s="49"/>
      <c r="O2367" s="49"/>
      <c r="P2367" s="49"/>
      <c r="Q2367" s="49"/>
      <c r="R2367" s="49"/>
      <c r="S2367" s="49" t="n">
        <v>0</v>
      </c>
      <c r="T2367" s="49" t="n">
        <v>0</v>
      </c>
      <c r="U2367" s="49" t="s">
        <v>4982</v>
      </c>
    </row>
    <row r="2368" customFormat="false" ht="15" hidden="false" customHeight="false" outlineLevel="0" collapsed="false">
      <c r="B2368" s="48" t="n">
        <v>45769.8544097222</v>
      </c>
      <c r="C2368" s="4" t="n">
        <f aca="false">YEAR(B2368)</f>
        <v>2025</v>
      </c>
      <c r="D2368" s="49" t="s">
        <v>283</v>
      </c>
      <c r="E2368" s="49" t="s">
        <v>4983</v>
      </c>
      <c r="F2368" s="50" t="n">
        <v>1</v>
      </c>
      <c r="G2368" s="49" t="s">
        <v>287</v>
      </c>
      <c r="H2368" s="51" t="n">
        <v>0.0046</v>
      </c>
      <c r="I2368" s="51" t="n">
        <v>0.169</v>
      </c>
      <c r="J2368" s="51" t="n">
        <v>0.8264</v>
      </c>
      <c r="K2368" s="49"/>
      <c r="L2368" s="49"/>
      <c r="M2368" s="49"/>
      <c r="N2368" s="49"/>
      <c r="O2368" s="49"/>
      <c r="P2368" s="49"/>
      <c r="Q2368" s="49"/>
      <c r="R2368" s="49"/>
      <c r="S2368" s="49" t="n">
        <v>0</v>
      </c>
      <c r="T2368" s="49" t="n">
        <v>0</v>
      </c>
      <c r="U2368" s="49" t="s">
        <v>4984</v>
      </c>
    </row>
    <row r="2369" customFormat="false" ht="15" hidden="false" customHeight="false" outlineLevel="0" collapsed="false">
      <c r="B2369" s="48" t="n">
        <v>45770.0509375</v>
      </c>
      <c r="C2369" s="4" t="n">
        <f aca="false">YEAR(B2369)</f>
        <v>2025</v>
      </c>
      <c r="D2369" s="49" t="s">
        <v>278</v>
      </c>
      <c r="E2369" s="49" t="s">
        <v>4985</v>
      </c>
      <c r="F2369" s="50" t="n">
        <v>1</v>
      </c>
      <c r="G2369" s="49" t="s">
        <v>280</v>
      </c>
      <c r="H2369" s="51" t="n">
        <v>0.9211</v>
      </c>
      <c r="I2369" s="51" t="n">
        <v>0.0715</v>
      </c>
      <c r="J2369" s="51" t="n">
        <v>0.0073</v>
      </c>
      <c r="K2369" s="49"/>
      <c r="L2369" s="49"/>
      <c r="M2369" s="49"/>
      <c r="N2369" s="49"/>
      <c r="O2369" s="49"/>
      <c r="P2369" s="49"/>
      <c r="Q2369" s="49"/>
      <c r="R2369" s="49"/>
      <c r="S2369" s="49" t="n">
        <v>0</v>
      </c>
      <c r="T2369" s="49" t="n">
        <v>0</v>
      </c>
      <c r="U2369" s="49" t="s">
        <v>4986</v>
      </c>
    </row>
    <row r="2370" customFormat="false" ht="15" hidden="false" customHeight="false" outlineLevel="0" collapsed="false">
      <c r="B2370" s="48" t="n">
        <v>45770.3104050926</v>
      </c>
      <c r="C2370" s="4" t="n">
        <f aca="false">YEAR(B2370)</f>
        <v>2025</v>
      </c>
      <c r="D2370" s="49" t="s">
        <v>283</v>
      </c>
      <c r="E2370" s="49" t="s">
        <v>4987</v>
      </c>
      <c r="F2370" s="50" t="n">
        <v>93</v>
      </c>
      <c r="G2370" s="49" t="s">
        <v>280</v>
      </c>
      <c r="H2370" s="51" t="n">
        <v>0.7871</v>
      </c>
      <c r="I2370" s="51" t="n">
        <v>0.1607</v>
      </c>
      <c r="J2370" s="51" t="n">
        <v>0.0522</v>
      </c>
      <c r="K2370" s="49" t="s">
        <v>281</v>
      </c>
      <c r="L2370" s="49"/>
      <c r="M2370" s="49"/>
      <c r="N2370" s="49"/>
      <c r="O2370" s="49"/>
      <c r="P2370" s="49"/>
      <c r="Q2370" s="49"/>
      <c r="R2370" s="49"/>
      <c r="S2370" s="49" t="n">
        <v>0</v>
      </c>
      <c r="T2370" s="49" t="n">
        <v>0</v>
      </c>
      <c r="U2370" s="49" t="s">
        <v>4988</v>
      </c>
    </row>
    <row r="2371" customFormat="false" ht="15" hidden="false" customHeight="false" outlineLevel="0" collapsed="false">
      <c r="B2371" s="48" t="n">
        <v>45770.3300115741</v>
      </c>
      <c r="C2371" s="4" t="n">
        <f aca="false">YEAR(B2371)</f>
        <v>2025</v>
      </c>
      <c r="D2371" s="49" t="s">
        <v>278</v>
      </c>
      <c r="E2371" s="49" t="s">
        <v>4989</v>
      </c>
      <c r="F2371" s="50" t="n">
        <v>32</v>
      </c>
      <c r="G2371" s="49" t="s">
        <v>280</v>
      </c>
      <c r="H2371" s="51" t="n">
        <v>0.7541</v>
      </c>
      <c r="I2371" s="51" t="n">
        <v>0.2032</v>
      </c>
      <c r="J2371" s="51" t="n">
        <v>0.0428</v>
      </c>
      <c r="K2371" s="49" t="s">
        <v>281</v>
      </c>
      <c r="L2371" s="49"/>
      <c r="M2371" s="49"/>
      <c r="N2371" s="49"/>
      <c r="O2371" s="49"/>
      <c r="P2371" s="49"/>
      <c r="Q2371" s="49"/>
      <c r="R2371" s="49" t="s">
        <v>281</v>
      </c>
      <c r="S2371" s="49" t="n">
        <v>0</v>
      </c>
      <c r="T2371" s="49" t="n">
        <v>0</v>
      </c>
      <c r="U2371" s="49" t="s">
        <v>4990</v>
      </c>
    </row>
    <row r="2372" customFormat="false" ht="15" hidden="false" customHeight="false" outlineLevel="0" collapsed="false">
      <c r="B2372" s="48" t="n">
        <v>45770.6334375</v>
      </c>
      <c r="C2372" s="4" t="n">
        <f aca="false">YEAR(B2372)</f>
        <v>2025</v>
      </c>
      <c r="D2372" s="49" t="s">
        <v>283</v>
      </c>
      <c r="E2372" s="49" t="s">
        <v>4991</v>
      </c>
      <c r="F2372" s="50" t="n">
        <v>1</v>
      </c>
      <c r="G2372" s="49" t="s">
        <v>287</v>
      </c>
      <c r="H2372" s="51" t="n">
        <v>0.0123</v>
      </c>
      <c r="I2372" s="51" t="n">
        <v>0.157</v>
      </c>
      <c r="J2372" s="51" t="n">
        <v>0.8307</v>
      </c>
      <c r="K2372" s="49"/>
      <c r="L2372" s="49"/>
      <c r="M2372" s="49"/>
      <c r="N2372" s="49"/>
      <c r="O2372" s="49"/>
      <c r="P2372" s="49"/>
      <c r="Q2372" s="49"/>
      <c r="R2372" s="49"/>
      <c r="S2372" s="49" t="n">
        <v>0</v>
      </c>
      <c r="T2372" s="49" t="n">
        <v>0</v>
      </c>
      <c r="U2372" s="49" t="s">
        <v>4992</v>
      </c>
    </row>
    <row r="2373" customFormat="false" ht="15" hidden="false" customHeight="false" outlineLevel="0" collapsed="false">
      <c r="B2373" s="48" t="n">
        <v>45770.6873611111</v>
      </c>
      <c r="C2373" s="4" t="n">
        <f aca="false">YEAR(B2373)</f>
        <v>2025</v>
      </c>
      <c r="D2373" s="49" t="s">
        <v>278</v>
      </c>
      <c r="E2373" s="49" t="s">
        <v>4993</v>
      </c>
      <c r="F2373" s="50" t="n">
        <v>2</v>
      </c>
      <c r="G2373" s="49" t="s">
        <v>290</v>
      </c>
      <c r="H2373" s="51" t="n">
        <v>0.0536</v>
      </c>
      <c r="I2373" s="51" t="n">
        <v>0.8342</v>
      </c>
      <c r="J2373" s="51" t="n">
        <v>0.1122</v>
      </c>
      <c r="K2373" s="49"/>
      <c r="L2373" s="49"/>
      <c r="M2373" s="49"/>
      <c r="N2373" s="49"/>
      <c r="O2373" s="49"/>
      <c r="P2373" s="49"/>
      <c r="Q2373" s="49"/>
      <c r="R2373" s="49"/>
      <c r="S2373" s="49" t="n">
        <v>0</v>
      </c>
      <c r="T2373" s="49" t="n">
        <v>0</v>
      </c>
      <c r="U2373" s="49" t="s">
        <v>4994</v>
      </c>
    </row>
    <row r="2374" customFormat="false" ht="15" hidden="false" customHeight="false" outlineLevel="0" collapsed="false">
      <c r="B2374" s="48" t="n">
        <v>45771.2146875</v>
      </c>
      <c r="C2374" s="4" t="n">
        <f aca="false">YEAR(B2374)</f>
        <v>2025</v>
      </c>
      <c r="D2374" s="49" t="s">
        <v>278</v>
      </c>
      <c r="E2374" s="49" t="s">
        <v>4995</v>
      </c>
      <c r="F2374" s="50" t="n">
        <v>3</v>
      </c>
      <c r="G2374" s="49" t="s">
        <v>287</v>
      </c>
      <c r="H2374" s="51" t="n">
        <v>0.016</v>
      </c>
      <c r="I2374" s="51" t="n">
        <v>0.169</v>
      </c>
      <c r="J2374" s="51" t="n">
        <v>0.815</v>
      </c>
      <c r="K2374" s="49"/>
      <c r="L2374" s="49"/>
      <c r="M2374" s="49"/>
      <c r="N2374" s="49"/>
      <c r="O2374" s="49"/>
      <c r="P2374" s="49"/>
      <c r="Q2374" s="49"/>
      <c r="R2374" s="49"/>
      <c r="S2374" s="49" t="n">
        <v>0</v>
      </c>
      <c r="T2374" s="49" t="n">
        <v>0</v>
      </c>
      <c r="U2374" s="49" t="s">
        <v>4996</v>
      </c>
    </row>
    <row r="2375" customFormat="false" ht="15" hidden="false" customHeight="false" outlineLevel="0" collapsed="false">
      <c r="B2375" s="48" t="n">
        <v>45771.6398611111</v>
      </c>
      <c r="C2375" s="4" t="n">
        <f aca="false">YEAR(B2375)</f>
        <v>2025</v>
      </c>
      <c r="D2375" s="49" t="s">
        <v>283</v>
      </c>
      <c r="E2375" s="49" t="s">
        <v>4997</v>
      </c>
      <c r="F2375" s="50" t="n">
        <v>6</v>
      </c>
      <c r="G2375" s="49" t="s">
        <v>290</v>
      </c>
      <c r="H2375" s="51" t="n">
        <v>0.0421</v>
      </c>
      <c r="I2375" s="51" t="n">
        <v>0.5439</v>
      </c>
      <c r="J2375" s="51" t="n">
        <v>0.414</v>
      </c>
      <c r="K2375" s="49"/>
      <c r="L2375" s="49"/>
      <c r="M2375" s="49"/>
      <c r="N2375" s="49"/>
      <c r="O2375" s="49"/>
      <c r="P2375" s="49"/>
      <c r="Q2375" s="49"/>
      <c r="R2375" s="49"/>
      <c r="S2375" s="49" t="n">
        <v>0</v>
      </c>
      <c r="T2375" s="49" t="n">
        <v>0</v>
      </c>
      <c r="U2375" s="49" t="s">
        <v>4998</v>
      </c>
    </row>
    <row r="2376" customFormat="false" ht="15" hidden="false" customHeight="false" outlineLevel="0" collapsed="false">
      <c r="B2376" s="48" t="n">
        <v>45771.7256597222</v>
      </c>
      <c r="C2376" s="4" t="n">
        <f aca="false">YEAR(B2376)</f>
        <v>2025</v>
      </c>
      <c r="D2376" s="49" t="s">
        <v>278</v>
      </c>
      <c r="E2376" s="49" t="s">
        <v>4999</v>
      </c>
      <c r="F2376" s="50" t="n">
        <v>0</v>
      </c>
      <c r="G2376" s="49" t="s">
        <v>287</v>
      </c>
      <c r="H2376" s="51" t="n">
        <v>0.0246</v>
      </c>
      <c r="I2376" s="51" t="n">
        <v>0.3197</v>
      </c>
      <c r="J2376" s="51" t="n">
        <v>0.6557</v>
      </c>
      <c r="K2376" s="49"/>
      <c r="L2376" s="49"/>
      <c r="M2376" s="49"/>
      <c r="N2376" s="49"/>
      <c r="O2376" s="49"/>
      <c r="P2376" s="49"/>
      <c r="Q2376" s="49"/>
      <c r="R2376" s="49"/>
      <c r="S2376" s="49" t="n">
        <v>0</v>
      </c>
      <c r="T2376" s="49" t="n">
        <v>0</v>
      </c>
      <c r="U2376" s="49" t="s">
        <v>5000</v>
      </c>
    </row>
    <row r="2377" customFormat="false" ht="15" hidden="false" customHeight="false" outlineLevel="0" collapsed="false">
      <c r="B2377" s="48" t="n">
        <v>45771.8600925926</v>
      </c>
      <c r="C2377" s="4" t="n">
        <f aca="false">YEAR(B2377)</f>
        <v>2025</v>
      </c>
      <c r="D2377" s="49" t="s">
        <v>283</v>
      </c>
      <c r="E2377" s="49" t="s">
        <v>5001</v>
      </c>
      <c r="F2377" s="50" t="n">
        <v>33</v>
      </c>
      <c r="G2377" s="49" t="s">
        <v>287</v>
      </c>
      <c r="H2377" s="51" t="n">
        <v>0.015</v>
      </c>
      <c r="I2377" s="51" t="n">
        <v>0.1045</v>
      </c>
      <c r="J2377" s="51" t="n">
        <v>0.8805</v>
      </c>
      <c r="K2377" s="49"/>
      <c r="L2377" s="49"/>
      <c r="M2377" s="49"/>
      <c r="N2377" s="49"/>
      <c r="O2377" s="49"/>
      <c r="P2377" s="49"/>
      <c r="Q2377" s="49"/>
      <c r="R2377" s="49"/>
      <c r="S2377" s="49" t="n">
        <v>0</v>
      </c>
      <c r="T2377" s="49" t="n">
        <v>0</v>
      </c>
      <c r="U2377" s="49" t="s">
        <v>5002</v>
      </c>
    </row>
    <row r="2378" customFormat="false" ht="15" hidden="false" customHeight="false" outlineLevel="0" collapsed="false">
      <c r="B2378" s="48" t="n">
        <v>45772.2492939815</v>
      </c>
      <c r="C2378" s="4" t="n">
        <f aca="false">YEAR(B2378)</f>
        <v>2025</v>
      </c>
      <c r="D2378" s="49" t="s">
        <v>283</v>
      </c>
      <c r="E2378" s="49" t="s">
        <v>5003</v>
      </c>
      <c r="F2378" s="50" t="n">
        <v>0</v>
      </c>
      <c r="G2378" s="49" t="s">
        <v>287</v>
      </c>
      <c r="H2378" s="51" t="n">
        <v>0.0126</v>
      </c>
      <c r="I2378" s="51" t="n">
        <v>0.0668</v>
      </c>
      <c r="J2378" s="51" t="n">
        <v>0.9206</v>
      </c>
      <c r="K2378" s="49"/>
      <c r="L2378" s="49"/>
      <c r="M2378" s="49"/>
      <c r="N2378" s="49"/>
      <c r="O2378" s="49"/>
      <c r="P2378" s="49"/>
      <c r="Q2378" s="49"/>
      <c r="R2378" s="49" t="s">
        <v>281</v>
      </c>
      <c r="S2378" s="49" t="n">
        <v>0</v>
      </c>
      <c r="T2378" s="49" t="n">
        <v>0</v>
      </c>
      <c r="U2378" s="49" t="s">
        <v>5004</v>
      </c>
    </row>
    <row r="2379" customFormat="false" ht="15" hidden="false" customHeight="false" outlineLevel="0" collapsed="false">
      <c r="B2379" s="48" t="n">
        <v>45772.5966898148</v>
      </c>
      <c r="C2379" s="4" t="n">
        <f aca="false">YEAR(B2379)</f>
        <v>2025</v>
      </c>
      <c r="D2379" s="49" t="s">
        <v>283</v>
      </c>
      <c r="E2379" s="49" t="s">
        <v>5005</v>
      </c>
      <c r="F2379" s="50" t="n">
        <v>3</v>
      </c>
      <c r="G2379" s="49" t="s">
        <v>280</v>
      </c>
      <c r="H2379" s="51" t="n">
        <v>0.7849</v>
      </c>
      <c r="I2379" s="51" t="n">
        <v>0.1893</v>
      </c>
      <c r="J2379" s="51" t="n">
        <v>0.0258</v>
      </c>
      <c r="K2379" s="49"/>
      <c r="L2379" s="49"/>
      <c r="M2379" s="49"/>
      <c r="N2379" s="49"/>
      <c r="O2379" s="49"/>
      <c r="P2379" s="49"/>
      <c r="Q2379" s="49"/>
      <c r="R2379" s="49" t="s">
        <v>281</v>
      </c>
      <c r="S2379" s="49" t="n">
        <v>0</v>
      </c>
      <c r="T2379" s="49" t="n">
        <v>0</v>
      </c>
      <c r="U2379" s="49" t="s">
        <v>5006</v>
      </c>
    </row>
    <row r="2380" customFormat="false" ht="15" hidden="false" customHeight="false" outlineLevel="0" collapsed="false">
      <c r="B2380" s="48" t="n">
        <v>45772.6423263889</v>
      </c>
      <c r="C2380" s="4" t="n">
        <f aca="false">YEAR(B2380)</f>
        <v>2025</v>
      </c>
      <c r="D2380" s="49" t="s">
        <v>283</v>
      </c>
      <c r="E2380" s="49" t="s">
        <v>5007</v>
      </c>
      <c r="F2380" s="50" t="n">
        <v>0</v>
      </c>
      <c r="G2380" s="49" t="s">
        <v>287</v>
      </c>
      <c r="H2380" s="51" t="n">
        <v>0.0023</v>
      </c>
      <c r="I2380" s="51" t="n">
        <v>0.0232</v>
      </c>
      <c r="J2380" s="51" t="n">
        <v>0.9746</v>
      </c>
      <c r="K2380" s="49"/>
      <c r="L2380" s="49"/>
      <c r="M2380" s="49"/>
      <c r="N2380" s="49"/>
      <c r="O2380" s="49"/>
      <c r="P2380" s="49"/>
      <c r="Q2380" s="49"/>
      <c r="R2380" s="49"/>
      <c r="S2380" s="49" t="n">
        <v>0</v>
      </c>
      <c r="T2380" s="49" t="n">
        <v>0</v>
      </c>
      <c r="U2380" s="49" t="s">
        <v>5008</v>
      </c>
    </row>
    <row r="2381" customFormat="false" ht="15" hidden="false" customHeight="false" outlineLevel="0" collapsed="false">
      <c r="B2381" s="48" t="n">
        <v>45772.7131018519</v>
      </c>
      <c r="C2381" s="4" t="n">
        <f aca="false">YEAR(B2381)</f>
        <v>2025</v>
      </c>
      <c r="D2381" s="49" t="s">
        <v>283</v>
      </c>
      <c r="E2381" s="49" t="s">
        <v>5009</v>
      </c>
      <c r="F2381" s="50" t="n">
        <v>2</v>
      </c>
      <c r="G2381" s="49" t="s">
        <v>280</v>
      </c>
      <c r="H2381" s="51" t="n">
        <v>0.7986</v>
      </c>
      <c r="I2381" s="51" t="n">
        <v>0.1901</v>
      </c>
      <c r="J2381" s="51" t="n">
        <v>0.0112</v>
      </c>
      <c r="K2381" s="49"/>
      <c r="L2381" s="49"/>
      <c r="M2381" s="49"/>
      <c r="N2381" s="49"/>
      <c r="O2381" s="49"/>
      <c r="P2381" s="49"/>
      <c r="Q2381" s="49"/>
      <c r="R2381" s="49" t="s">
        <v>281</v>
      </c>
      <c r="S2381" s="49" t="n">
        <v>0</v>
      </c>
      <c r="T2381" s="49" t="n">
        <v>0</v>
      </c>
      <c r="U2381" s="49" t="s">
        <v>5010</v>
      </c>
    </row>
    <row r="2382" customFormat="false" ht="15" hidden="false" customHeight="false" outlineLevel="0" collapsed="false">
      <c r="B2382" s="48" t="n">
        <v>45773.2678009259</v>
      </c>
      <c r="C2382" s="4" t="n">
        <f aca="false">YEAR(B2382)</f>
        <v>2025</v>
      </c>
      <c r="D2382" s="49" t="s">
        <v>283</v>
      </c>
      <c r="E2382" s="49" t="s">
        <v>5011</v>
      </c>
      <c r="F2382" s="50" t="n">
        <v>4</v>
      </c>
      <c r="G2382" s="49" t="s">
        <v>280</v>
      </c>
      <c r="H2382" s="51" t="n">
        <v>0.8579</v>
      </c>
      <c r="I2382" s="51" t="n">
        <v>0.1319</v>
      </c>
      <c r="J2382" s="51" t="n">
        <v>0.0102</v>
      </c>
      <c r="K2382" s="49" t="s">
        <v>281</v>
      </c>
      <c r="L2382" s="49"/>
      <c r="M2382" s="49"/>
      <c r="N2382" s="49"/>
      <c r="O2382" s="49"/>
      <c r="P2382" s="49"/>
      <c r="Q2382" s="49"/>
      <c r="R2382" s="49"/>
      <c r="S2382" s="49" t="n">
        <v>0</v>
      </c>
      <c r="T2382" s="49" t="n">
        <v>0</v>
      </c>
      <c r="U2382" s="49" t="s">
        <v>5012</v>
      </c>
    </row>
    <row r="2383" customFormat="false" ht="15" hidden="false" customHeight="false" outlineLevel="0" collapsed="false">
      <c r="B2383" s="48" t="n">
        <v>45773.4127546296</v>
      </c>
      <c r="C2383" s="4" t="n">
        <f aca="false">YEAR(B2383)</f>
        <v>2025</v>
      </c>
      <c r="D2383" s="49" t="s">
        <v>278</v>
      </c>
      <c r="E2383" s="49" t="s">
        <v>5013</v>
      </c>
      <c r="F2383" s="50" t="n">
        <v>2</v>
      </c>
      <c r="G2383" s="49" t="s">
        <v>280</v>
      </c>
      <c r="H2383" s="51" t="n">
        <v>0.6225</v>
      </c>
      <c r="I2383" s="51" t="n">
        <v>0.3402</v>
      </c>
      <c r="J2383" s="51" t="n">
        <v>0.0373</v>
      </c>
      <c r="K2383" s="49"/>
      <c r="L2383" s="49"/>
      <c r="M2383" s="49"/>
      <c r="N2383" s="49"/>
      <c r="O2383" s="49"/>
      <c r="P2383" s="49"/>
      <c r="Q2383" s="49"/>
      <c r="R2383" s="49"/>
      <c r="S2383" s="49" t="n">
        <v>0</v>
      </c>
      <c r="T2383" s="49" t="n">
        <v>0</v>
      </c>
      <c r="U2383" s="49" t="s">
        <v>5014</v>
      </c>
    </row>
    <row r="2384" customFormat="false" ht="15" hidden="false" customHeight="false" outlineLevel="0" collapsed="false">
      <c r="B2384" s="48" t="n">
        <v>45773.5412615741</v>
      </c>
      <c r="C2384" s="4" t="n">
        <f aca="false">YEAR(B2384)</f>
        <v>2025</v>
      </c>
      <c r="D2384" s="49" t="s">
        <v>283</v>
      </c>
      <c r="E2384" s="49" t="s">
        <v>5015</v>
      </c>
      <c r="F2384" s="50" t="n">
        <v>1</v>
      </c>
      <c r="G2384" s="49" t="s">
        <v>287</v>
      </c>
      <c r="H2384" s="51" t="n">
        <v>0.005</v>
      </c>
      <c r="I2384" s="51" t="n">
        <v>0.0794</v>
      </c>
      <c r="J2384" s="51" t="n">
        <v>0.9156</v>
      </c>
      <c r="K2384" s="49"/>
      <c r="L2384" s="49"/>
      <c r="M2384" s="49"/>
      <c r="N2384" s="49"/>
      <c r="O2384" s="49"/>
      <c r="P2384" s="49"/>
      <c r="Q2384" s="49"/>
      <c r="R2384" s="49"/>
      <c r="S2384" s="49" t="n">
        <v>0</v>
      </c>
      <c r="T2384" s="49" t="n">
        <v>0</v>
      </c>
      <c r="U2384" s="49" t="s">
        <v>5016</v>
      </c>
    </row>
    <row r="2385" customFormat="false" ht="15" hidden="false" customHeight="false" outlineLevel="0" collapsed="false">
      <c r="B2385" s="48" t="n">
        <v>45773.6802314815</v>
      </c>
      <c r="C2385" s="4" t="n">
        <f aca="false">YEAR(B2385)</f>
        <v>2025</v>
      </c>
      <c r="D2385" s="49" t="s">
        <v>283</v>
      </c>
      <c r="E2385" s="49" t="s">
        <v>5017</v>
      </c>
      <c r="F2385" s="50" t="n">
        <v>1</v>
      </c>
      <c r="G2385" s="49" t="s">
        <v>290</v>
      </c>
      <c r="H2385" s="51" t="n">
        <v>0.0398</v>
      </c>
      <c r="I2385" s="51" t="n">
        <v>0.9171</v>
      </c>
      <c r="J2385" s="51" t="n">
        <v>0.0431</v>
      </c>
      <c r="K2385" s="49"/>
      <c r="L2385" s="49"/>
      <c r="M2385" s="49" t="s">
        <v>281</v>
      </c>
      <c r="N2385" s="49"/>
      <c r="O2385" s="49"/>
      <c r="P2385" s="49"/>
      <c r="Q2385" s="49" t="s">
        <v>281</v>
      </c>
      <c r="R2385" s="49"/>
      <c r="S2385" s="49" t="n">
        <v>1</v>
      </c>
      <c r="T2385" s="49" t="n">
        <v>0</v>
      </c>
      <c r="U2385" s="49" t="s">
        <v>5018</v>
      </c>
    </row>
    <row r="2386" customFormat="false" ht="15" hidden="false" customHeight="false" outlineLevel="0" collapsed="false">
      <c r="B2386" s="48" t="n">
        <v>45773.7431481482</v>
      </c>
      <c r="C2386" s="4" t="n">
        <f aca="false">YEAR(B2386)</f>
        <v>2025</v>
      </c>
      <c r="D2386" s="49" t="s">
        <v>278</v>
      </c>
      <c r="E2386" s="49" t="s">
        <v>5019</v>
      </c>
      <c r="F2386" s="50" t="n">
        <v>2</v>
      </c>
      <c r="G2386" s="49" t="s">
        <v>290</v>
      </c>
      <c r="H2386" s="51" t="n">
        <v>0.1307</v>
      </c>
      <c r="I2386" s="51" t="n">
        <v>0.5117</v>
      </c>
      <c r="J2386" s="51" t="n">
        <v>0.3576</v>
      </c>
      <c r="K2386" s="49" t="s">
        <v>281</v>
      </c>
      <c r="L2386" s="49"/>
      <c r="M2386" s="49"/>
      <c r="N2386" s="49"/>
      <c r="O2386" s="49"/>
      <c r="P2386" s="49"/>
      <c r="Q2386" s="49"/>
      <c r="R2386" s="49"/>
      <c r="S2386" s="49" t="n">
        <v>0</v>
      </c>
      <c r="T2386" s="49" t="n">
        <v>0</v>
      </c>
      <c r="U2386" s="49" t="s">
        <v>5020</v>
      </c>
    </row>
    <row r="2387" customFormat="false" ht="15" hidden="false" customHeight="false" outlineLevel="0" collapsed="false">
      <c r="B2387" s="48" t="n">
        <v>45775.1822337963</v>
      </c>
      <c r="C2387" s="4" t="n">
        <f aca="false">YEAR(B2387)</f>
        <v>2025</v>
      </c>
      <c r="D2387" s="49" t="s">
        <v>278</v>
      </c>
      <c r="E2387" s="49" t="s">
        <v>5021</v>
      </c>
      <c r="F2387" s="50" t="n">
        <v>959</v>
      </c>
      <c r="G2387" s="49" t="s">
        <v>290</v>
      </c>
      <c r="H2387" s="51" t="n">
        <v>0.1141</v>
      </c>
      <c r="I2387" s="51" t="n">
        <v>0.6039</v>
      </c>
      <c r="J2387" s="51" t="n">
        <v>0.282</v>
      </c>
      <c r="K2387" s="49"/>
      <c r="L2387" s="49"/>
      <c r="M2387" s="49"/>
      <c r="N2387" s="49"/>
      <c r="O2387" s="49"/>
      <c r="P2387" s="49"/>
      <c r="Q2387" s="49"/>
      <c r="R2387" s="49" t="s">
        <v>281</v>
      </c>
      <c r="S2387" s="49" t="n">
        <v>0</v>
      </c>
      <c r="T2387" s="49" t="n">
        <v>0</v>
      </c>
      <c r="U2387" s="49" t="s">
        <v>5022</v>
      </c>
    </row>
    <row r="2388" customFormat="false" ht="15" hidden="false" customHeight="false" outlineLevel="0" collapsed="false">
      <c r="B2388" s="48" t="n">
        <v>45775.3818402778</v>
      </c>
      <c r="C2388" s="4" t="n">
        <f aca="false">YEAR(B2388)</f>
        <v>2025</v>
      </c>
      <c r="D2388" s="49" t="s">
        <v>283</v>
      </c>
      <c r="E2388" s="49" t="s">
        <v>5023</v>
      </c>
      <c r="F2388" s="50" t="n">
        <v>2</v>
      </c>
      <c r="G2388" s="49" t="s">
        <v>290</v>
      </c>
      <c r="H2388" s="51" t="n">
        <v>0.2953</v>
      </c>
      <c r="I2388" s="51" t="n">
        <v>0.4862</v>
      </c>
      <c r="J2388" s="51" t="n">
        <v>0.2185</v>
      </c>
      <c r="K2388" s="49"/>
      <c r="L2388" s="49"/>
      <c r="M2388" s="49"/>
      <c r="N2388" s="49"/>
      <c r="O2388" s="49"/>
      <c r="P2388" s="49"/>
      <c r="Q2388" s="49" t="s">
        <v>281</v>
      </c>
      <c r="R2388" s="49"/>
      <c r="S2388" s="49" t="n">
        <v>0</v>
      </c>
      <c r="T2388" s="49" t="n">
        <v>0</v>
      </c>
      <c r="U2388" s="49" t="s">
        <v>5024</v>
      </c>
    </row>
    <row r="2389" customFormat="false" ht="15" hidden="false" customHeight="false" outlineLevel="0" collapsed="false">
      <c r="B2389" s="48" t="n">
        <v>45775.4242361111</v>
      </c>
      <c r="C2389" s="4" t="n">
        <f aca="false">YEAR(B2389)</f>
        <v>2025</v>
      </c>
      <c r="D2389" s="49" t="s">
        <v>278</v>
      </c>
      <c r="E2389" s="49" t="s">
        <v>5025</v>
      </c>
      <c r="F2389" s="50" t="n">
        <v>7</v>
      </c>
      <c r="G2389" s="49" t="s">
        <v>290</v>
      </c>
      <c r="H2389" s="51" t="n">
        <v>0.0388</v>
      </c>
      <c r="I2389" s="51" t="n">
        <v>0.844</v>
      </c>
      <c r="J2389" s="51" t="n">
        <v>0.1172</v>
      </c>
      <c r="K2389" s="49"/>
      <c r="L2389" s="49"/>
      <c r="M2389" s="49"/>
      <c r="N2389" s="49"/>
      <c r="O2389" s="49"/>
      <c r="P2389" s="49"/>
      <c r="Q2389" s="49"/>
      <c r="R2389" s="49"/>
      <c r="S2389" s="49" t="n">
        <v>0</v>
      </c>
      <c r="T2389" s="49" t="n">
        <v>0</v>
      </c>
      <c r="U2389" s="49" t="s">
        <v>5026</v>
      </c>
    </row>
    <row r="2390" customFormat="false" ht="15" hidden="false" customHeight="false" outlineLevel="0" collapsed="false">
      <c r="B2390" s="48" t="n">
        <v>45775.4608796296</v>
      </c>
      <c r="C2390" s="4" t="n">
        <f aca="false">YEAR(B2390)</f>
        <v>2025</v>
      </c>
      <c r="D2390" s="49" t="s">
        <v>283</v>
      </c>
      <c r="E2390" s="49" t="s">
        <v>5027</v>
      </c>
      <c r="F2390" s="50" t="n">
        <v>67</v>
      </c>
      <c r="G2390" s="49" t="s">
        <v>290</v>
      </c>
      <c r="H2390" s="51" t="n">
        <v>0.4003</v>
      </c>
      <c r="I2390" s="51" t="n">
        <v>0.5793</v>
      </c>
      <c r="J2390" s="51" t="n">
        <v>0.0204</v>
      </c>
      <c r="K2390" s="49"/>
      <c r="L2390" s="49"/>
      <c r="M2390" s="49"/>
      <c r="N2390" s="49"/>
      <c r="O2390" s="49"/>
      <c r="P2390" s="49"/>
      <c r="Q2390" s="49"/>
      <c r="R2390" s="49"/>
      <c r="S2390" s="49" t="n">
        <v>0</v>
      </c>
      <c r="T2390" s="49" t="n">
        <v>0</v>
      </c>
      <c r="U2390" s="49" t="s">
        <v>5028</v>
      </c>
    </row>
    <row r="2391" customFormat="false" ht="15" hidden="false" customHeight="false" outlineLevel="0" collapsed="false">
      <c r="B2391" s="48" t="n">
        <v>45775.5047569444</v>
      </c>
      <c r="C2391" s="4" t="n">
        <f aca="false">YEAR(B2391)</f>
        <v>2025</v>
      </c>
      <c r="D2391" s="49" t="s">
        <v>283</v>
      </c>
      <c r="E2391" s="49" t="s">
        <v>5029</v>
      </c>
      <c r="F2391" s="50" t="n">
        <v>2</v>
      </c>
      <c r="G2391" s="49" t="s">
        <v>287</v>
      </c>
      <c r="H2391" s="51" t="n">
        <v>0.0405</v>
      </c>
      <c r="I2391" s="51" t="n">
        <v>0.1376</v>
      </c>
      <c r="J2391" s="51" t="n">
        <v>0.8219</v>
      </c>
      <c r="K2391" s="49"/>
      <c r="L2391" s="49"/>
      <c r="M2391" s="49"/>
      <c r="N2391" s="49"/>
      <c r="O2391" s="49"/>
      <c r="P2391" s="49"/>
      <c r="Q2391" s="49" t="s">
        <v>281</v>
      </c>
      <c r="R2391" s="49"/>
      <c r="S2391" s="49" t="n">
        <v>0</v>
      </c>
      <c r="T2391" s="49" t="n">
        <v>0</v>
      </c>
      <c r="U2391" s="49" t="s">
        <v>5030</v>
      </c>
    </row>
    <row r="2392" customFormat="false" ht="15" hidden="false" customHeight="false" outlineLevel="0" collapsed="false">
      <c r="B2392" s="48" t="n">
        <v>45775.655474537</v>
      </c>
      <c r="C2392" s="4" t="n">
        <f aca="false">YEAR(B2392)</f>
        <v>2025</v>
      </c>
      <c r="D2392" s="49" t="s">
        <v>283</v>
      </c>
      <c r="E2392" s="49" t="s">
        <v>5031</v>
      </c>
      <c r="F2392" s="50" t="n">
        <v>0</v>
      </c>
      <c r="G2392" s="49" t="s">
        <v>290</v>
      </c>
      <c r="H2392" s="51" t="n">
        <v>0.0205</v>
      </c>
      <c r="I2392" s="51" t="n">
        <v>0.8798</v>
      </c>
      <c r="J2392" s="51" t="n">
        <v>0.0997</v>
      </c>
      <c r="K2392" s="49"/>
      <c r="L2392" s="49"/>
      <c r="M2392" s="49"/>
      <c r="N2392" s="49"/>
      <c r="O2392" s="49"/>
      <c r="P2392" s="49"/>
      <c r="Q2392" s="49"/>
      <c r="R2392" s="49"/>
      <c r="S2392" s="49" t="n">
        <v>0</v>
      </c>
      <c r="T2392" s="49" t="n">
        <v>0</v>
      </c>
      <c r="U2392" s="49" t="s">
        <v>5032</v>
      </c>
    </row>
    <row r="2393" customFormat="false" ht="15" hidden="false" customHeight="false" outlineLevel="0" collapsed="false">
      <c r="B2393" s="48" t="n">
        <v>45775.8844212963</v>
      </c>
      <c r="C2393" s="4" t="n">
        <f aca="false">YEAR(B2393)</f>
        <v>2025</v>
      </c>
      <c r="D2393" s="49" t="s">
        <v>283</v>
      </c>
      <c r="E2393" s="49" t="s">
        <v>5033</v>
      </c>
      <c r="F2393" s="50" t="n">
        <v>1</v>
      </c>
      <c r="G2393" s="49" t="s">
        <v>280</v>
      </c>
      <c r="H2393" s="51" t="n">
        <v>0.8734</v>
      </c>
      <c r="I2393" s="51" t="n">
        <v>0.1199</v>
      </c>
      <c r="J2393" s="51" t="n">
        <v>0.0067</v>
      </c>
      <c r="K2393" s="49"/>
      <c r="L2393" s="49"/>
      <c r="M2393" s="49"/>
      <c r="N2393" s="49"/>
      <c r="O2393" s="49"/>
      <c r="P2393" s="49"/>
      <c r="Q2393" s="49"/>
      <c r="R2393" s="49"/>
      <c r="S2393" s="49" t="n">
        <v>0</v>
      </c>
      <c r="T2393" s="49" t="n">
        <v>1</v>
      </c>
      <c r="U2393" s="49" t="s">
        <v>5034</v>
      </c>
    </row>
    <row r="2394" customFormat="false" ht="15" hidden="false" customHeight="false" outlineLevel="0" collapsed="false">
      <c r="B2394" s="48" t="n">
        <v>45775.9440740741</v>
      </c>
      <c r="C2394" s="4" t="n">
        <f aca="false">YEAR(B2394)</f>
        <v>2025</v>
      </c>
      <c r="D2394" s="49" t="s">
        <v>278</v>
      </c>
      <c r="E2394" s="49" t="s">
        <v>5035</v>
      </c>
      <c r="F2394" s="50" t="n">
        <v>4</v>
      </c>
      <c r="G2394" s="49" t="s">
        <v>280</v>
      </c>
      <c r="H2394" s="51" t="n">
        <v>0.6835</v>
      </c>
      <c r="I2394" s="51" t="n">
        <v>0.2964</v>
      </c>
      <c r="J2394" s="51" t="n">
        <v>0.0201</v>
      </c>
      <c r="K2394" s="49"/>
      <c r="L2394" s="49"/>
      <c r="M2394" s="49"/>
      <c r="N2394" s="49"/>
      <c r="O2394" s="49"/>
      <c r="P2394" s="49"/>
      <c r="Q2394" s="49"/>
      <c r="R2394" s="49"/>
      <c r="S2394" s="49" t="n">
        <v>0</v>
      </c>
      <c r="T2394" s="49" t="n">
        <v>0</v>
      </c>
      <c r="U2394" s="49" t="s">
        <v>5036</v>
      </c>
    </row>
    <row r="2395" customFormat="false" ht="15" hidden="false" customHeight="false" outlineLevel="0" collapsed="false">
      <c r="B2395" s="48" t="n">
        <v>45776.103912037</v>
      </c>
      <c r="C2395" s="4" t="n">
        <f aca="false">YEAR(B2395)</f>
        <v>2025</v>
      </c>
      <c r="D2395" s="49" t="s">
        <v>278</v>
      </c>
      <c r="E2395" s="49" t="s">
        <v>5037</v>
      </c>
      <c r="F2395" s="50" t="n">
        <v>1</v>
      </c>
      <c r="G2395" s="49" t="s">
        <v>280</v>
      </c>
      <c r="H2395" s="51" t="n">
        <v>0.6608</v>
      </c>
      <c r="I2395" s="51" t="n">
        <v>0.3237</v>
      </c>
      <c r="J2395" s="51" t="n">
        <v>0.0155</v>
      </c>
      <c r="K2395" s="49"/>
      <c r="L2395" s="49"/>
      <c r="M2395" s="49"/>
      <c r="N2395" s="49"/>
      <c r="O2395" s="49"/>
      <c r="P2395" s="49"/>
      <c r="Q2395" s="49"/>
      <c r="R2395" s="49"/>
      <c r="S2395" s="49" t="n">
        <v>0</v>
      </c>
      <c r="T2395" s="49" t="n">
        <v>0</v>
      </c>
      <c r="U2395" s="49" t="s">
        <v>5038</v>
      </c>
    </row>
    <row r="2396" customFormat="false" ht="15" hidden="false" customHeight="false" outlineLevel="0" collapsed="false">
      <c r="B2396" s="48" t="n">
        <v>45776.9526041667</v>
      </c>
      <c r="C2396" s="4" t="n">
        <f aca="false">YEAR(B2396)</f>
        <v>2025</v>
      </c>
      <c r="D2396" s="49" t="s">
        <v>278</v>
      </c>
      <c r="E2396" s="49" t="s">
        <v>5039</v>
      </c>
      <c r="F2396" s="50" t="n">
        <v>4</v>
      </c>
      <c r="G2396" s="49" t="s">
        <v>290</v>
      </c>
      <c r="H2396" s="51" t="n">
        <v>0.1937</v>
      </c>
      <c r="I2396" s="51" t="n">
        <v>0.7441</v>
      </c>
      <c r="J2396" s="51" t="n">
        <v>0.0622</v>
      </c>
      <c r="K2396" s="49"/>
      <c r="L2396" s="49"/>
      <c r="M2396" s="49"/>
      <c r="N2396" s="49"/>
      <c r="O2396" s="49"/>
      <c r="P2396" s="49"/>
      <c r="Q2396" s="49"/>
      <c r="R2396" s="49"/>
      <c r="S2396" s="49" t="n">
        <v>0</v>
      </c>
      <c r="T2396" s="49" t="n">
        <v>0</v>
      </c>
      <c r="U2396" s="49" t="s">
        <v>5040</v>
      </c>
    </row>
    <row r="2397" customFormat="false" ht="15" hidden="false" customHeight="false" outlineLevel="0" collapsed="false">
      <c r="B2397" s="48" t="n">
        <v>45777.4663888889</v>
      </c>
      <c r="C2397" s="4" t="n">
        <f aca="false">YEAR(B2397)</f>
        <v>2025</v>
      </c>
      <c r="D2397" s="49" t="s">
        <v>283</v>
      </c>
      <c r="E2397" s="49" t="s">
        <v>5041</v>
      </c>
      <c r="F2397" s="50" t="n">
        <v>4</v>
      </c>
      <c r="G2397" s="49" t="s">
        <v>287</v>
      </c>
      <c r="H2397" s="51" t="n">
        <v>0.0034</v>
      </c>
      <c r="I2397" s="51" t="n">
        <v>0.0839</v>
      </c>
      <c r="J2397" s="51" t="n">
        <v>0.9127</v>
      </c>
      <c r="K2397" s="49"/>
      <c r="L2397" s="49"/>
      <c r="M2397" s="49"/>
      <c r="N2397" s="49"/>
      <c r="O2397" s="49"/>
      <c r="P2397" s="49"/>
      <c r="Q2397" s="49"/>
      <c r="R2397" s="49"/>
      <c r="S2397" s="49" t="n">
        <v>0</v>
      </c>
      <c r="T2397" s="49" t="n">
        <v>0</v>
      </c>
      <c r="U2397" s="49" t="s">
        <v>5042</v>
      </c>
    </row>
    <row r="2398" customFormat="false" ht="15" hidden="false" customHeight="false" outlineLevel="0" collapsed="false">
      <c r="B2398" s="48" t="n">
        <v>45777.8457175926</v>
      </c>
      <c r="C2398" s="4" t="n">
        <f aca="false">YEAR(B2398)</f>
        <v>2025</v>
      </c>
      <c r="D2398" s="49" t="s">
        <v>278</v>
      </c>
      <c r="E2398" s="49" t="s">
        <v>5043</v>
      </c>
      <c r="F2398" s="50" t="n">
        <v>0</v>
      </c>
      <c r="G2398" s="49" t="s">
        <v>290</v>
      </c>
      <c r="H2398" s="51" t="n">
        <v>0.0056</v>
      </c>
      <c r="I2398" s="51" t="n">
        <v>0.6572</v>
      </c>
      <c r="J2398" s="51" t="n">
        <v>0.3371</v>
      </c>
      <c r="K2398" s="49"/>
      <c r="L2398" s="49"/>
      <c r="M2398" s="49"/>
      <c r="N2398" s="49"/>
      <c r="O2398" s="49"/>
      <c r="P2398" s="49"/>
      <c r="Q2398" s="49"/>
      <c r="R2398" s="49"/>
      <c r="S2398" s="49" t="n">
        <v>0</v>
      </c>
      <c r="T2398" s="49" t="n">
        <v>0</v>
      </c>
      <c r="U2398" s="49" t="s">
        <v>5044</v>
      </c>
    </row>
    <row r="2399" customFormat="false" ht="15" hidden="false" customHeight="false" outlineLevel="0" collapsed="false">
      <c r="B2399" s="48" t="n">
        <v>45777.8593402778</v>
      </c>
      <c r="C2399" s="4" t="n">
        <f aca="false">YEAR(B2399)</f>
        <v>2025</v>
      </c>
      <c r="D2399" s="49" t="s">
        <v>283</v>
      </c>
      <c r="E2399" s="49" t="s">
        <v>5045</v>
      </c>
      <c r="F2399" s="50" t="n">
        <v>1</v>
      </c>
      <c r="G2399" s="49" t="s">
        <v>280</v>
      </c>
      <c r="H2399" s="51" t="n">
        <v>0.7509</v>
      </c>
      <c r="I2399" s="51" t="n">
        <v>0.2318</v>
      </c>
      <c r="J2399" s="51" t="n">
        <v>0.0173</v>
      </c>
      <c r="K2399" s="49"/>
      <c r="L2399" s="49"/>
      <c r="M2399" s="49"/>
      <c r="N2399" s="49"/>
      <c r="O2399" s="49"/>
      <c r="P2399" s="49"/>
      <c r="Q2399" s="49"/>
      <c r="R2399" s="49"/>
      <c r="S2399" s="49" t="n">
        <v>0</v>
      </c>
      <c r="T2399" s="49" t="n">
        <v>0</v>
      </c>
      <c r="U2399" s="49" t="s">
        <v>5046</v>
      </c>
    </row>
    <row r="2400" customFormat="false" ht="15" hidden="false" customHeight="false" outlineLevel="0" collapsed="false">
      <c r="B2400" s="48" t="n">
        <v>45777.8751967593</v>
      </c>
      <c r="C2400" s="4" t="n">
        <f aca="false">YEAR(B2400)</f>
        <v>2025</v>
      </c>
      <c r="D2400" s="49" t="s">
        <v>278</v>
      </c>
      <c r="E2400" s="49" t="s">
        <v>5047</v>
      </c>
      <c r="F2400" s="50" t="n">
        <v>0</v>
      </c>
      <c r="G2400" s="49" t="s">
        <v>280</v>
      </c>
      <c r="H2400" s="51" t="n">
        <v>0.5981</v>
      </c>
      <c r="I2400" s="51" t="n">
        <v>0.3833</v>
      </c>
      <c r="J2400" s="51" t="n">
        <v>0.0186</v>
      </c>
      <c r="K2400" s="49"/>
      <c r="L2400" s="49"/>
      <c r="M2400" s="49"/>
      <c r="N2400" s="49"/>
      <c r="O2400" s="49"/>
      <c r="P2400" s="49"/>
      <c r="Q2400" s="49"/>
      <c r="R2400" s="49"/>
      <c r="S2400" s="49" t="n">
        <v>0</v>
      </c>
      <c r="T2400" s="49" t="n">
        <v>0</v>
      </c>
      <c r="U2400" s="49" t="s">
        <v>5048</v>
      </c>
    </row>
    <row r="2401" customFormat="false" ht="15" hidden="false" customHeight="false" outlineLevel="0" collapsed="false">
      <c r="B2401" s="48" t="n">
        <v>45779.3905439815</v>
      </c>
      <c r="C2401" s="4" t="n">
        <f aca="false">YEAR(B2401)</f>
        <v>2025</v>
      </c>
      <c r="D2401" s="49" t="s">
        <v>283</v>
      </c>
      <c r="E2401" s="49" t="s">
        <v>5049</v>
      </c>
      <c r="F2401" s="50" t="n">
        <v>0</v>
      </c>
      <c r="G2401" s="49" t="s">
        <v>280</v>
      </c>
      <c r="H2401" s="51" t="n">
        <v>0.6357</v>
      </c>
      <c r="I2401" s="51" t="n">
        <v>0.3448</v>
      </c>
      <c r="J2401" s="51" t="n">
        <v>0.0195</v>
      </c>
      <c r="K2401" s="49"/>
      <c r="L2401" s="49"/>
      <c r="M2401" s="49"/>
      <c r="N2401" s="49"/>
      <c r="O2401" s="49"/>
      <c r="P2401" s="49"/>
      <c r="Q2401" s="49"/>
      <c r="R2401" s="49"/>
      <c r="S2401" s="49" t="n">
        <v>0</v>
      </c>
      <c r="T2401" s="49" t="n">
        <v>0</v>
      </c>
      <c r="U2401" s="49" t="s">
        <v>5050</v>
      </c>
    </row>
    <row r="2402" customFormat="false" ht="15" hidden="false" customHeight="false" outlineLevel="0" collapsed="false">
      <c r="B2402" s="48" t="n">
        <v>45779.5564236111</v>
      </c>
      <c r="C2402" s="4" t="n">
        <f aca="false">YEAR(B2402)</f>
        <v>2025</v>
      </c>
      <c r="D2402" s="49" t="s">
        <v>283</v>
      </c>
      <c r="E2402" s="49" t="s">
        <v>5051</v>
      </c>
      <c r="F2402" s="50" t="n">
        <v>1</v>
      </c>
      <c r="G2402" s="49" t="s">
        <v>287</v>
      </c>
      <c r="H2402" s="51" t="n">
        <v>0.0077</v>
      </c>
      <c r="I2402" s="51" t="n">
        <v>0.199</v>
      </c>
      <c r="J2402" s="51" t="n">
        <v>0.7932</v>
      </c>
      <c r="K2402" s="49"/>
      <c r="L2402" s="49"/>
      <c r="M2402" s="49"/>
      <c r="N2402" s="49"/>
      <c r="O2402" s="49"/>
      <c r="P2402" s="49"/>
      <c r="Q2402" s="49"/>
      <c r="R2402" s="49"/>
      <c r="S2402" s="49" t="n">
        <v>0</v>
      </c>
      <c r="T2402" s="49" t="n">
        <v>0</v>
      </c>
      <c r="U2402" s="49" t="s">
        <v>5052</v>
      </c>
    </row>
    <row r="2403" customFormat="false" ht="15" hidden="false" customHeight="false" outlineLevel="0" collapsed="false">
      <c r="B2403" s="48" t="n">
        <v>45780.1258333333</v>
      </c>
      <c r="C2403" s="4" t="n">
        <f aca="false">YEAR(B2403)</f>
        <v>2025</v>
      </c>
      <c r="D2403" s="49" t="s">
        <v>283</v>
      </c>
      <c r="E2403" s="49" t="s">
        <v>5053</v>
      </c>
      <c r="F2403" s="50" t="n">
        <v>1</v>
      </c>
      <c r="G2403" s="49" t="s">
        <v>290</v>
      </c>
      <c r="H2403" s="51" t="n">
        <v>0.2364</v>
      </c>
      <c r="I2403" s="51" t="n">
        <v>0.746</v>
      </c>
      <c r="J2403" s="51" t="n">
        <v>0.0176</v>
      </c>
      <c r="K2403" s="49"/>
      <c r="L2403" s="49"/>
      <c r="M2403" s="49"/>
      <c r="N2403" s="49"/>
      <c r="O2403" s="49"/>
      <c r="P2403" s="49"/>
      <c r="Q2403" s="49"/>
      <c r="R2403" s="49" t="s">
        <v>281</v>
      </c>
      <c r="S2403" s="49" t="n">
        <v>1</v>
      </c>
      <c r="T2403" s="49" t="n">
        <v>0</v>
      </c>
      <c r="U2403" s="49" t="s">
        <v>5054</v>
      </c>
    </row>
    <row r="2404" customFormat="false" ht="15" hidden="false" customHeight="false" outlineLevel="0" collapsed="false">
      <c r="B2404" s="48" t="n">
        <v>45780.1458333333</v>
      </c>
      <c r="C2404" s="4" t="n">
        <f aca="false">YEAR(B2404)</f>
        <v>2025</v>
      </c>
      <c r="D2404" s="49" t="s">
        <v>283</v>
      </c>
      <c r="E2404" s="49" t="s">
        <v>5055</v>
      </c>
      <c r="F2404" s="50" t="n">
        <v>1</v>
      </c>
      <c r="G2404" s="49" t="s">
        <v>280</v>
      </c>
      <c r="H2404" s="51" t="n">
        <v>0.856</v>
      </c>
      <c r="I2404" s="51" t="n">
        <v>0.133</v>
      </c>
      <c r="J2404" s="51" t="n">
        <v>0.011</v>
      </c>
      <c r="K2404" s="49" t="s">
        <v>281</v>
      </c>
      <c r="L2404" s="49"/>
      <c r="M2404" s="49"/>
      <c r="N2404" s="49"/>
      <c r="O2404" s="49"/>
      <c r="P2404" s="49"/>
      <c r="Q2404" s="49"/>
      <c r="R2404" s="49"/>
      <c r="S2404" s="49" t="n">
        <v>1</v>
      </c>
      <c r="T2404" s="49" t="n">
        <v>0</v>
      </c>
      <c r="U2404" s="49" t="s">
        <v>5056</v>
      </c>
    </row>
    <row r="2405" customFormat="false" ht="15" hidden="false" customHeight="false" outlineLevel="0" collapsed="false">
      <c r="B2405" s="48" t="n">
        <v>45780.2185069445</v>
      </c>
      <c r="C2405" s="4" t="n">
        <f aca="false">YEAR(B2405)</f>
        <v>2025</v>
      </c>
      <c r="D2405" s="49" t="s">
        <v>278</v>
      </c>
      <c r="E2405" s="49" t="s">
        <v>5057</v>
      </c>
      <c r="F2405" s="50" t="n">
        <v>0</v>
      </c>
      <c r="G2405" s="49" t="s">
        <v>280</v>
      </c>
      <c r="H2405" s="51" t="n">
        <v>0.7561</v>
      </c>
      <c r="I2405" s="51" t="n">
        <v>0.2313</v>
      </c>
      <c r="J2405" s="51" t="n">
        <v>0.0126</v>
      </c>
      <c r="K2405" s="49" t="s">
        <v>281</v>
      </c>
      <c r="L2405" s="49"/>
      <c r="M2405" s="49" t="s">
        <v>281</v>
      </c>
      <c r="N2405" s="49"/>
      <c r="O2405" s="49" t="s">
        <v>281</v>
      </c>
      <c r="P2405" s="49"/>
      <c r="Q2405" s="49" t="s">
        <v>281</v>
      </c>
      <c r="R2405" s="49" t="s">
        <v>281</v>
      </c>
      <c r="S2405" s="49" t="n">
        <v>0</v>
      </c>
      <c r="T2405" s="49" t="n">
        <v>0</v>
      </c>
      <c r="U2405" s="49" t="s">
        <v>5058</v>
      </c>
    </row>
    <row r="2406" customFormat="false" ht="15" hidden="false" customHeight="false" outlineLevel="0" collapsed="false">
      <c r="B2406" s="48" t="n">
        <v>45780.4451157407</v>
      </c>
      <c r="C2406" s="4" t="n">
        <f aca="false">YEAR(B2406)</f>
        <v>2025</v>
      </c>
      <c r="D2406" s="49" t="s">
        <v>283</v>
      </c>
      <c r="E2406" s="49" t="s">
        <v>5059</v>
      </c>
      <c r="F2406" s="50" t="n">
        <v>45</v>
      </c>
      <c r="G2406" s="49" t="s">
        <v>280</v>
      </c>
      <c r="H2406" s="51" t="n">
        <v>0.6374</v>
      </c>
      <c r="I2406" s="51" t="n">
        <v>0.3252</v>
      </c>
      <c r="J2406" s="51" t="n">
        <v>0.0374</v>
      </c>
      <c r="K2406" s="49" t="s">
        <v>281</v>
      </c>
      <c r="L2406" s="49"/>
      <c r="M2406" s="49"/>
      <c r="N2406" s="49"/>
      <c r="O2406" s="49"/>
      <c r="P2406" s="49"/>
      <c r="Q2406" s="49"/>
      <c r="R2406" s="49"/>
      <c r="S2406" s="49" t="n">
        <v>0</v>
      </c>
      <c r="T2406" s="49" t="n">
        <v>0</v>
      </c>
      <c r="U2406" s="49" t="s">
        <v>5060</v>
      </c>
    </row>
    <row r="2407" customFormat="false" ht="15" hidden="false" customHeight="false" outlineLevel="0" collapsed="false">
      <c r="B2407" s="48" t="n">
        <v>45781.8686111111</v>
      </c>
      <c r="C2407" s="4" t="n">
        <f aca="false">YEAR(B2407)</f>
        <v>2025</v>
      </c>
      <c r="D2407" s="49" t="s">
        <v>283</v>
      </c>
      <c r="E2407" s="49" t="s">
        <v>5061</v>
      </c>
      <c r="F2407" s="50" t="n">
        <v>3</v>
      </c>
      <c r="G2407" s="49" t="s">
        <v>287</v>
      </c>
      <c r="H2407" s="51" t="n">
        <v>0.0024</v>
      </c>
      <c r="I2407" s="51" t="n">
        <v>0.0445</v>
      </c>
      <c r="J2407" s="51" t="n">
        <v>0.9532</v>
      </c>
      <c r="K2407" s="49"/>
      <c r="L2407" s="49"/>
      <c r="M2407" s="49"/>
      <c r="N2407" s="49"/>
      <c r="O2407" s="49"/>
      <c r="P2407" s="49"/>
      <c r="Q2407" s="49"/>
      <c r="R2407" s="49"/>
      <c r="S2407" s="49" t="n">
        <v>0</v>
      </c>
      <c r="T2407" s="49" t="n">
        <v>0</v>
      </c>
      <c r="U2407" s="49" t="s">
        <v>5062</v>
      </c>
    </row>
    <row r="2408" customFormat="false" ht="15" hidden="false" customHeight="false" outlineLevel="0" collapsed="false">
      <c r="B2408" s="48" t="n">
        <v>45782.5138657407</v>
      </c>
      <c r="C2408" s="4" t="n">
        <f aca="false">YEAR(B2408)</f>
        <v>2025</v>
      </c>
      <c r="D2408" s="49" t="s">
        <v>278</v>
      </c>
      <c r="E2408" s="49" t="s">
        <v>5063</v>
      </c>
      <c r="F2408" s="50" t="n">
        <v>21</v>
      </c>
      <c r="G2408" s="49" t="s">
        <v>280</v>
      </c>
      <c r="H2408" s="51" t="n">
        <v>0.8274</v>
      </c>
      <c r="I2408" s="51" t="n">
        <v>0.1535</v>
      </c>
      <c r="J2408" s="51" t="n">
        <v>0.0191</v>
      </c>
      <c r="K2408" s="49" t="s">
        <v>281</v>
      </c>
      <c r="L2408" s="49"/>
      <c r="M2408" s="49"/>
      <c r="N2408" s="49"/>
      <c r="O2408" s="49"/>
      <c r="P2408" s="49"/>
      <c r="Q2408" s="49" t="s">
        <v>281</v>
      </c>
      <c r="R2408" s="49"/>
      <c r="S2408" s="49" t="n">
        <v>0</v>
      </c>
      <c r="T2408" s="49" t="n">
        <v>0</v>
      </c>
      <c r="U2408" s="49" t="s">
        <v>5064</v>
      </c>
    </row>
    <row r="2409" customFormat="false" ht="15" hidden="false" customHeight="false" outlineLevel="0" collapsed="false">
      <c r="B2409" s="48" t="n">
        <v>45782.6594212963</v>
      </c>
      <c r="C2409" s="4" t="n">
        <f aca="false">YEAR(B2409)</f>
        <v>2025</v>
      </c>
      <c r="D2409" s="49" t="s">
        <v>283</v>
      </c>
      <c r="E2409" s="49" t="s">
        <v>5065</v>
      </c>
      <c r="F2409" s="50" t="n">
        <v>0</v>
      </c>
      <c r="G2409" s="49" t="s">
        <v>280</v>
      </c>
      <c r="H2409" s="51" t="n">
        <v>0.8237</v>
      </c>
      <c r="I2409" s="51" t="n">
        <v>0.1653</v>
      </c>
      <c r="J2409" s="51" t="n">
        <v>0.0111</v>
      </c>
      <c r="K2409" s="49"/>
      <c r="L2409" s="49"/>
      <c r="M2409" s="49"/>
      <c r="N2409" s="49"/>
      <c r="O2409" s="49"/>
      <c r="P2409" s="49"/>
      <c r="Q2409" s="49" t="s">
        <v>281</v>
      </c>
      <c r="R2409" s="49"/>
      <c r="S2409" s="49" t="n">
        <v>0</v>
      </c>
      <c r="T2409" s="49" t="n">
        <v>0</v>
      </c>
      <c r="U2409" s="49" t="s">
        <v>5066</v>
      </c>
    </row>
    <row r="2410" customFormat="false" ht="15" hidden="false" customHeight="false" outlineLevel="0" collapsed="false">
      <c r="B2410" s="48" t="n">
        <v>45782.7123842593</v>
      </c>
      <c r="C2410" s="4" t="n">
        <f aca="false">YEAR(B2410)</f>
        <v>2025</v>
      </c>
      <c r="D2410" s="49" t="s">
        <v>278</v>
      </c>
      <c r="E2410" s="49" t="s">
        <v>5067</v>
      </c>
      <c r="F2410" s="50" t="n">
        <v>20</v>
      </c>
      <c r="G2410" s="49" t="s">
        <v>290</v>
      </c>
      <c r="H2410" s="51" t="n">
        <v>0.1415</v>
      </c>
      <c r="I2410" s="51" t="n">
        <v>0.7308</v>
      </c>
      <c r="J2410" s="51" t="n">
        <v>0.1277</v>
      </c>
      <c r="K2410" s="49"/>
      <c r="L2410" s="49"/>
      <c r="M2410" s="49"/>
      <c r="N2410" s="49"/>
      <c r="O2410" s="49"/>
      <c r="P2410" s="49"/>
      <c r="Q2410" s="49" t="s">
        <v>281</v>
      </c>
      <c r="R2410" s="49"/>
      <c r="S2410" s="49" t="n">
        <v>0</v>
      </c>
      <c r="T2410" s="49" t="n">
        <v>0</v>
      </c>
      <c r="U2410" s="49" t="s">
        <v>5068</v>
      </c>
    </row>
    <row r="2411" customFormat="false" ht="15" hidden="false" customHeight="false" outlineLevel="0" collapsed="false">
      <c r="B2411" s="48" t="n">
        <v>45783.0463425926</v>
      </c>
      <c r="C2411" s="4" t="n">
        <f aca="false">YEAR(B2411)</f>
        <v>2025</v>
      </c>
      <c r="D2411" s="49" t="s">
        <v>278</v>
      </c>
      <c r="E2411" s="49" t="s">
        <v>5069</v>
      </c>
      <c r="F2411" s="50" t="n">
        <v>13</v>
      </c>
      <c r="G2411" s="49" t="s">
        <v>290</v>
      </c>
      <c r="H2411" s="51" t="n">
        <v>0.4708</v>
      </c>
      <c r="I2411" s="51" t="n">
        <v>0.5145</v>
      </c>
      <c r="J2411" s="51" t="n">
        <v>0.0147</v>
      </c>
      <c r="K2411" s="49"/>
      <c r="L2411" s="49"/>
      <c r="M2411" s="49"/>
      <c r="N2411" s="49"/>
      <c r="O2411" s="49"/>
      <c r="P2411" s="49"/>
      <c r="Q2411" s="49"/>
      <c r="R2411" s="49" t="s">
        <v>281</v>
      </c>
      <c r="S2411" s="49" t="n">
        <v>0</v>
      </c>
      <c r="T2411" s="49" t="n">
        <v>0</v>
      </c>
      <c r="U2411" s="49" t="s">
        <v>5070</v>
      </c>
    </row>
    <row r="2412" customFormat="false" ht="15" hidden="false" customHeight="false" outlineLevel="0" collapsed="false">
      <c r="B2412" s="48" t="n">
        <v>45783.3128472222</v>
      </c>
      <c r="C2412" s="4" t="n">
        <f aca="false">YEAR(B2412)</f>
        <v>2025</v>
      </c>
      <c r="D2412" s="49" t="s">
        <v>278</v>
      </c>
      <c r="E2412" s="49" t="s">
        <v>5071</v>
      </c>
      <c r="F2412" s="50" t="n">
        <v>3</v>
      </c>
      <c r="G2412" s="49" t="s">
        <v>280</v>
      </c>
      <c r="H2412" s="51" t="n">
        <v>0.5244</v>
      </c>
      <c r="I2412" s="51" t="n">
        <v>0.452</v>
      </c>
      <c r="J2412" s="51" t="n">
        <v>0.0236</v>
      </c>
      <c r="K2412" s="49"/>
      <c r="L2412" s="49"/>
      <c r="M2412" s="49"/>
      <c r="N2412" s="49"/>
      <c r="O2412" s="49"/>
      <c r="P2412" s="49"/>
      <c r="Q2412" s="49"/>
      <c r="R2412" s="49"/>
      <c r="S2412" s="49" t="n">
        <v>0</v>
      </c>
      <c r="T2412" s="49" t="n">
        <v>0</v>
      </c>
      <c r="U2412" s="49" t="s">
        <v>5072</v>
      </c>
    </row>
    <row r="2413" customFormat="false" ht="15" hidden="false" customHeight="false" outlineLevel="0" collapsed="false">
      <c r="B2413" s="48" t="n">
        <v>45783.7475578704</v>
      </c>
      <c r="C2413" s="4" t="n">
        <f aca="false">YEAR(B2413)</f>
        <v>2025</v>
      </c>
      <c r="D2413" s="49" t="s">
        <v>278</v>
      </c>
      <c r="E2413" s="49" t="s">
        <v>5073</v>
      </c>
      <c r="F2413" s="50" t="n">
        <v>5</v>
      </c>
      <c r="G2413" s="49" t="s">
        <v>287</v>
      </c>
      <c r="H2413" s="51" t="n">
        <v>0.0025</v>
      </c>
      <c r="I2413" s="51" t="n">
        <v>0.0146</v>
      </c>
      <c r="J2413" s="51" t="n">
        <v>0.9829</v>
      </c>
      <c r="K2413" s="49"/>
      <c r="L2413" s="49"/>
      <c r="M2413" s="49"/>
      <c r="N2413" s="49"/>
      <c r="O2413" s="49"/>
      <c r="P2413" s="49"/>
      <c r="Q2413" s="49"/>
      <c r="R2413" s="49"/>
      <c r="S2413" s="49" t="n">
        <v>0</v>
      </c>
      <c r="T2413" s="49" t="n">
        <v>0</v>
      </c>
      <c r="U2413" s="49" t="s">
        <v>5074</v>
      </c>
    </row>
    <row r="2414" customFormat="false" ht="15" hidden="false" customHeight="false" outlineLevel="0" collapsed="false">
      <c r="B2414" s="48" t="n">
        <v>45784.0465972222</v>
      </c>
      <c r="C2414" s="4" t="n">
        <f aca="false">YEAR(B2414)</f>
        <v>2025</v>
      </c>
      <c r="D2414" s="49" t="s">
        <v>278</v>
      </c>
      <c r="E2414" s="49" t="s">
        <v>5075</v>
      </c>
      <c r="F2414" s="50" t="n">
        <v>0</v>
      </c>
      <c r="G2414" s="49" t="s">
        <v>290</v>
      </c>
      <c r="H2414" s="51" t="n">
        <v>0.2754</v>
      </c>
      <c r="I2414" s="51" t="n">
        <v>0.6976</v>
      </c>
      <c r="J2414" s="51" t="n">
        <v>0.0271</v>
      </c>
      <c r="K2414" s="49"/>
      <c r="L2414" s="49"/>
      <c r="M2414" s="49"/>
      <c r="N2414" s="49"/>
      <c r="O2414" s="49"/>
      <c r="P2414" s="49"/>
      <c r="Q2414" s="49"/>
      <c r="R2414" s="49"/>
      <c r="S2414" s="49" t="n">
        <v>0</v>
      </c>
      <c r="T2414" s="49" t="n">
        <v>0</v>
      </c>
      <c r="U2414" s="49" t="s">
        <v>5076</v>
      </c>
    </row>
    <row r="2415" customFormat="false" ht="15" hidden="false" customHeight="false" outlineLevel="0" collapsed="false">
      <c r="B2415" s="48" t="n">
        <v>45784.2301157407</v>
      </c>
      <c r="C2415" s="4" t="n">
        <f aca="false">YEAR(B2415)</f>
        <v>2025</v>
      </c>
      <c r="D2415" s="49" t="s">
        <v>278</v>
      </c>
      <c r="E2415" s="49" t="s">
        <v>5077</v>
      </c>
      <c r="F2415" s="50" t="n">
        <v>0</v>
      </c>
      <c r="G2415" s="49" t="s">
        <v>280</v>
      </c>
      <c r="H2415" s="51" t="n">
        <v>0.8216</v>
      </c>
      <c r="I2415" s="51" t="n">
        <v>0.1687</v>
      </c>
      <c r="J2415" s="51" t="n">
        <v>0.0098</v>
      </c>
      <c r="K2415" s="49"/>
      <c r="L2415" s="49"/>
      <c r="M2415" s="49"/>
      <c r="N2415" s="49"/>
      <c r="O2415" s="49"/>
      <c r="P2415" s="49"/>
      <c r="Q2415" s="49"/>
      <c r="R2415" s="49"/>
      <c r="S2415" s="49" t="n">
        <v>0</v>
      </c>
      <c r="T2415" s="49" t="n">
        <v>0</v>
      </c>
      <c r="U2415" s="49" t="s">
        <v>5078</v>
      </c>
    </row>
    <row r="2416" customFormat="false" ht="15" hidden="false" customHeight="false" outlineLevel="0" collapsed="false">
      <c r="B2416" s="48" t="n">
        <v>45784.4334722222</v>
      </c>
      <c r="C2416" s="4" t="n">
        <f aca="false">YEAR(B2416)</f>
        <v>2025</v>
      </c>
      <c r="D2416" s="49" t="s">
        <v>283</v>
      </c>
      <c r="E2416" s="49" t="s">
        <v>5079</v>
      </c>
      <c r="F2416" s="50" t="n">
        <v>0</v>
      </c>
      <c r="G2416" s="49" t="s">
        <v>280</v>
      </c>
      <c r="H2416" s="51" t="n">
        <v>0.9118</v>
      </c>
      <c r="I2416" s="51" t="n">
        <v>0.082</v>
      </c>
      <c r="J2416" s="51" t="n">
        <v>0.0062</v>
      </c>
      <c r="K2416" s="49"/>
      <c r="L2416" s="49"/>
      <c r="M2416" s="49"/>
      <c r="N2416" s="49"/>
      <c r="O2416" s="49"/>
      <c r="P2416" s="49"/>
      <c r="Q2416" s="49"/>
      <c r="R2416" s="49"/>
      <c r="S2416" s="49" t="n">
        <v>0</v>
      </c>
      <c r="T2416" s="49" t="n">
        <v>0</v>
      </c>
      <c r="U2416" s="49" t="s">
        <v>5080</v>
      </c>
    </row>
    <row r="2417" customFormat="false" ht="15" hidden="false" customHeight="false" outlineLevel="0" collapsed="false">
      <c r="B2417" s="48" t="n">
        <v>45784.6404050926</v>
      </c>
      <c r="C2417" s="4" t="n">
        <f aca="false">YEAR(B2417)</f>
        <v>2025</v>
      </c>
      <c r="D2417" s="49" t="s">
        <v>283</v>
      </c>
      <c r="E2417" s="49" t="s">
        <v>5081</v>
      </c>
      <c r="F2417" s="50" t="n">
        <v>2</v>
      </c>
      <c r="G2417" s="49" t="s">
        <v>280</v>
      </c>
      <c r="H2417" s="51" t="n">
        <v>0.5786</v>
      </c>
      <c r="I2417" s="51" t="n">
        <v>0.291</v>
      </c>
      <c r="J2417" s="51" t="n">
        <v>0.1305</v>
      </c>
      <c r="K2417" s="49"/>
      <c r="L2417" s="49"/>
      <c r="M2417" s="49"/>
      <c r="N2417" s="49"/>
      <c r="O2417" s="49"/>
      <c r="P2417" s="49"/>
      <c r="Q2417" s="49"/>
      <c r="R2417" s="49"/>
      <c r="S2417" s="49" t="n">
        <v>0</v>
      </c>
      <c r="T2417" s="49" t="n">
        <v>0</v>
      </c>
      <c r="U2417" s="49" t="s">
        <v>5082</v>
      </c>
    </row>
    <row r="2418" customFormat="false" ht="15" hidden="false" customHeight="false" outlineLevel="0" collapsed="false">
      <c r="B2418" s="48" t="n">
        <v>45784.726400463</v>
      </c>
      <c r="C2418" s="4" t="n">
        <f aca="false">YEAR(B2418)</f>
        <v>2025</v>
      </c>
      <c r="D2418" s="49" t="s">
        <v>283</v>
      </c>
      <c r="E2418" s="49" t="s">
        <v>5083</v>
      </c>
      <c r="F2418" s="50" t="n">
        <v>627</v>
      </c>
      <c r="G2418" s="49" t="s">
        <v>290</v>
      </c>
      <c r="H2418" s="51" t="n">
        <v>0.3784</v>
      </c>
      <c r="I2418" s="51" t="n">
        <v>0.4733</v>
      </c>
      <c r="J2418" s="51" t="n">
        <v>0.1483</v>
      </c>
      <c r="K2418" s="49"/>
      <c r="L2418" s="49"/>
      <c r="M2418" s="49"/>
      <c r="N2418" s="49"/>
      <c r="O2418" s="49"/>
      <c r="P2418" s="49"/>
      <c r="Q2418" s="49"/>
      <c r="R2418" s="49" t="s">
        <v>281</v>
      </c>
      <c r="S2418" s="49" t="n">
        <v>0</v>
      </c>
      <c r="T2418" s="49" t="n">
        <v>0</v>
      </c>
      <c r="U2418" s="49" t="s">
        <v>5084</v>
      </c>
    </row>
    <row r="2419" customFormat="false" ht="15" hidden="false" customHeight="false" outlineLevel="0" collapsed="false">
      <c r="B2419" s="48" t="n">
        <v>45784.7921759259</v>
      </c>
      <c r="C2419" s="4" t="n">
        <f aca="false">YEAR(B2419)</f>
        <v>2025</v>
      </c>
      <c r="D2419" s="49" t="s">
        <v>283</v>
      </c>
      <c r="E2419" s="49" t="s">
        <v>5085</v>
      </c>
      <c r="F2419" s="50" t="n">
        <v>1</v>
      </c>
      <c r="G2419" s="49" t="s">
        <v>280</v>
      </c>
      <c r="H2419" s="51" t="n">
        <v>0.9135</v>
      </c>
      <c r="I2419" s="51" t="n">
        <v>0.0786</v>
      </c>
      <c r="J2419" s="51" t="n">
        <v>0.008</v>
      </c>
      <c r="K2419" s="49"/>
      <c r="L2419" s="49"/>
      <c r="M2419" s="49"/>
      <c r="N2419" s="49"/>
      <c r="O2419" s="49"/>
      <c r="P2419" s="49"/>
      <c r="Q2419" s="49"/>
      <c r="R2419" s="49"/>
      <c r="S2419" s="49" t="n">
        <v>0</v>
      </c>
      <c r="T2419" s="49" t="n">
        <v>0</v>
      </c>
      <c r="U2419" s="49" t="s">
        <v>5086</v>
      </c>
    </row>
    <row r="2420" customFormat="false" ht="15" hidden="false" customHeight="false" outlineLevel="0" collapsed="false">
      <c r="B2420" s="48" t="n">
        <v>45784.9045717593</v>
      </c>
      <c r="C2420" s="4" t="n">
        <f aca="false">YEAR(B2420)</f>
        <v>2025</v>
      </c>
      <c r="D2420" s="49" t="s">
        <v>283</v>
      </c>
      <c r="E2420" s="49" t="s">
        <v>5087</v>
      </c>
      <c r="F2420" s="50" t="n">
        <v>1</v>
      </c>
      <c r="G2420" s="49" t="s">
        <v>290</v>
      </c>
      <c r="H2420" s="51" t="n">
        <v>0.0156</v>
      </c>
      <c r="I2420" s="51" t="n">
        <v>0.7646</v>
      </c>
      <c r="J2420" s="51" t="n">
        <v>0.2198</v>
      </c>
      <c r="K2420" s="49"/>
      <c r="L2420" s="49"/>
      <c r="M2420" s="49"/>
      <c r="N2420" s="49"/>
      <c r="O2420" s="49"/>
      <c r="P2420" s="49"/>
      <c r="Q2420" s="49"/>
      <c r="R2420" s="49"/>
      <c r="S2420" s="49" t="n">
        <v>0</v>
      </c>
      <c r="T2420" s="49" t="n">
        <v>0</v>
      </c>
      <c r="U2420" s="49" t="s">
        <v>5088</v>
      </c>
    </row>
    <row r="2421" customFormat="false" ht="15" hidden="false" customHeight="false" outlineLevel="0" collapsed="false">
      <c r="B2421" s="48" t="n">
        <v>45785.4938078704</v>
      </c>
      <c r="C2421" s="4" t="n">
        <f aca="false">YEAR(B2421)</f>
        <v>2025</v>
      </c>
      <c r="D2421" s="49" t="s">
        <v>278</v>
      </c>
      <c r="E2421" s="49" t="s">
        <v>5089</v>
      </c>
      <c r="F2421" s="50" t="n">
        <v>9</v>
      </c>
      <c r="G2421" s="49" t="s">
        <v>287</v>
      </c>
      <c r="H2421" s="51" t="n">
        <v>0.0138</v>
      </c>
      <c r="I2421" s="51" t="n">
        <v>0.1522</v>
      </c>
      <c r="J2421" s="51" t="n">
        <v>0.8341</v>
      </c>
      <c r="K2421" s="49" t="s">
        <v>281</v>
      </c>
      <c r="L2421" s="49"/>
      <c r="M2421" s="49"/>
      <c r="N2421" s="49"/>
      <c r="O2421" s="49"/>
      <c r="P2421" s="49"/>
      <c r="Q2421" s="49"/>
      <c r="R2421" s="49" t="s">
        <v>281</v>
      </c>
      <c r="S2421" s="49" t="n">
        <v>0</v>
      </c>
      <c r="T2421" s="49" t="n">
        <v>0</v>
      </c>
      <c r="U2421" s="49" t="s">
        <v>5090</v>
      </c>
    </row>
    <row r="2422" customFormat="false" ht="15" hidden="false" customHeight="false" outlineLevel="0" collapsed="false">
      <c r="B2422" s="48" t="n">
        <v>45785.7208333333</v>
      </c>
      <c r="C2422" s="4" t="n">
        <f aca="false">YEAR(B2422)</f>
        <v>2025</v>
      </c>
      <c r="D2422" s="49" t="s">
        <v>283</v>
      </c>
      <c r="E2422" s="49" t="s">
        <v>5091</v>
      </c>
      <c r="F2422" s="50" t="n">
        <v>1</v>
      </c>
      <c r="G2422" s="49" t="s">
        <v>280</v>
      </c>
      <c r="H2422" s="51" t="n">
        <v>0.8737</v>
      </c>
      <c r="I2422" s="51" t="n">
        <v>0.1145</v>
      </c>
      <c r="J2422" s="51" t="n">
        <v>0.0118</v>
      </c>
      <c r="K2422" s="49"/>
      <c r="L2422" s="49"/>
      <c r="M2422" s="49"/>
      <c r="N2422" s="49"/>
      <c r="O2422" s="49"/>
      <c r="P2422" s="49"/>
      <c r="Q2422" s="49"/>
      <c r="R2422" s="49" t="s">
        <v>281</v>
      </c>
      <c r="S2422" s="49" t="n">
        <v>0</v>
      </c>
      <c r="T2422" s="49" t="n">
        <v>0</v>
      </c>
      <c r="U2422" s="49" t="s">
        <v>5092</v>
      </c>
    </row>
    <row r="2423" customFormat="false" ht="15" hidden="false" customHeight="false" outlineLevel="0" collapsed="false">
      <c r="B2423" s="48" t="n">
        <v>45786.7899652778</v>
      </c>
      <c r="C2423" s="4" t="n">
        <f aca="false">YEAR(B2423)</f>
        <v>2025</v>
      </c>
      <c r="D2423" s="49" t="s">
        <v>278</v>
      </c>
      <c r="E2423" s="49" t="s">
        <v>5093</v>
      </c>
      <c r="F2423" s="50" t="n">
        <v>1</v>
      </c>
      <c r="G2423" s="49" t="s">
        <v>280</v>
      </c>
      <c r="H2423" s="51" t="n">
        <v>0.8682</v>
      </c>
      <c r="I2423" s="51" t="n">
        <v>0.1247</v>
      </c>
      <c r="J2423" s="51" t="n">
        <v>0.0071</v>
      </c>
      <c r="K2423" s="49"/>
      <c r="L2423" s="49"/>
      <c r="M2423" s="49"/>
      <c r="N2423" s="49"/>
      <c r="O2423" s="49"/>
      <c r="P2423" s="49"/>
      <c r="Q2423" s="49"/>
      <c r="R2423" s="49"/>
      <c r="S2423" s="49" t="n">
        <v>0</v>
      </c>
      <c r="T2423" s="49" t="n">
        <v>0</v>
      </c>
      <c r="U2423" s="49" t="s">
        <v>5094</v>
      </c>
    </row>
    <row r="2424" customFormat="false" ht="15" hidden="false" customHeight="false" outlineLevel="0" collapsed="false">
      <c r="B2424" s="48" t="n">
        <v>45787.6634490741</v>
      </c>
      <c r="C2424" s="4" t="n">
        <f aca="false">YEAR(B2424)</f>
        <v>2025</v>
      </c>
      <c r="D2424" s="49" t="s">
        <v>283</v>
      </c>
      <c r="E2424" s="49" t="s">
        <v>5095</v>
      </c>
      <c r="F2424" s="50" t="n">
        <v>0</v>
      </c>
      <c r="G2424" s="49" t="s">
        <v>290</v>
      </c>
      <c r="H2424" s="51" t="n">
        <v>0.007</v>
      </c>
      <c r="I2424" s="51" t="n">
        <v>0.7237</v>
      </c>
      <c r="J2424" s="51" t="n">
        <v>0.2694</v>
      </c>
      <c r="K2424" s="49"/>
      <c r="L2424" s="49"/>
      <c r="M2424" s="49"/>
      <c r="N2424" s="49"/>
      <c r="O2424" s="49"/>
      <c r="P2424" s="49"/>
      <c r="Q2424" s="49"/>
      <c r="R2424" s="49"/>
      <c r="S2424" s="49" t="n">
        <v>0</v>
      </c>
      <c r="T2424" s="49" t="n">
        <v>0</v>
      </c>
      <c r="U2424" s="49" t="s">
        <v>5096</v>
      </c>
    </row>
    <row r="2425" customFormat="false" ht="15" hidden="false" customHeight="false" outlineLevel="0" collapsed="false">
      <c r="B2425" s="48" t="n">
        <v>45787.6956828704</v>
      </c>
      <c r="C2425" s="4" t="n">
        <f aca="false">YEAR(B2425)</f>
        <v>2025</v>
      </c>
      <c r="D2425" s="49" t="s">
        <v>283</v>
      </c>
      <c r="E2425" s="49" t="s">
        <v>5097</v>
      </c>
      <c r="F2425" s="50" t="n">
        <v>1</v>
      </c>
      <c r="G2425" s="49" t="s">
        <v>280</v>
      </c>
      <c r="H2425" s="51" t="n">
        <v>0.5869</v>
      </c>
      <c r="I2425" s="51" t="n">
        <v>0.3974</v>
      </c>
      <c r="J2425" s="51" t="n">
        <v>0.0157</v>
      </c>
      <c r="K2425" s="49"/>
      <c r="L2425" s="49"/>
      <c r="M2425" s="49"/>
      <c r="N2425" s="49"/>
      <c r="O2425" s="49"/>
      <c r="P2425" s="49"/>
      <c r="Q2425" s="49"/>
      <c r="R2425" s="49"/>
      <c r="S2425" s="49" t="n">
        <v>0</v>
      </c>
      <c r="T2425" s="49" t="n">
        <v>0</v>
      </c>
      <c r="U2425" s="49" t="s">
        <v>5098</v>
      </c>
    </row>
    <row r="2426" customFormat="false" ht="15" hidden="false" customHeight="false" outlineLevel="0" collapsed="false">
      <c r="B2426" s="48" t="n">
        <v>45788.0398842593</v>
      </c>
      <c r="C2426" s="4" t="n">
        <f aca="false">YEAR(B2426)</f>
        <v>2025</v>
      </c>
      <c r="D2426" s="49" t="s">
        <v>283</v>
      </c>
      <c r="E2426" s="49" t="s">
        <v>5099</v>
      </c>
      <c r="F2426" s="50" t="n">
        <v>6</v>
      </c>
      <c r="G2426" s="49" t="s">
        <v>290</v>
      </c>
      <c r="H2426" s="51" t="n">
        <v>0.1817</v>
      </c>
      <c r="I2426" s="51" t="n">
        <v>0.7546</v>
      </c>
      <c r="J2426" s="51" t="n">
        <v>0.0637</v>
      </c>
      <c r="K2426" s="49"/>
      <c r="L2426" s="49"/>
      <c r="M2426" s="49"/>
      <c r="N2426" s="49"/>
      <c r="O2426" s="49"/>
      <c r="P2426" s="49"/>
      <c r="Q2426" s="49" t="s">
        <v>281</v>
      </c>
      <c r="R2426" s="49" t="s">
        <v>281</v>
      </c>
      <c r="S2426" s="49" t="n">
        <v>0</v>
      </c>
      <c r="T2426" s="49" t="n">
        <v>0</v>
      </c>
      <c r="U2426" s="49" t="s">
        <v>5100</v>
      </c>
    </row>
    <row r="2427" customFormat="false" ht="15" hidden="false" customHeight="false" outlineLevel="0" collapsed="false">
      <c r="B2427" s="48" t="n">
        <v>45788.1013541667</v>
      </c>
      <c r="C2427" s="4" t="n">
        <f aca="false">YEAR(B2427)</f>
        <v>2025</v>
      </c>
      <c r="D2427" s="49" t="s">
        <v>283</v>
      </c>
      <c r="E2427" s="49" t="s">
        <v>5101</v>
      </c>
      <c r="F2427" s="50" t="n">
        <v>15</v>
      </c>
      <c r="G2427" s="49" t="s">
        <v>290</v>
      </c>
      <c r="H2427" s="51" t="n">
        <v>0.0116</v>
      </c>
      <c r="I2427" s="51" t="n">
        <v>0.6439</v>
      </c>
      <c r="J2427" s="51" t="n">
        <v>0.3445</v>
      </c>
      <c r="K2427" s="49"/>
      <c r="L2427" s="49"/>
      <c r="M2427" s="49"/>
      <c r="N2427" s="49"/>
      <c r="O2427" s="49"/>
      <c r="P2427" s="49"/>
      <c r="Q2427" s="49"/>
      <c r="R2427" s="49"/>
      <c r="S2427" s="49" t="n">
        <v>0</v>
      </c>
      <c r="T2427" s="49" t="n">
        <v>0</v>
      </c>
      <c r="U2427" s="49" t="s">
        <v>5102</v>
      </c>
    </row>
    <row r="2428" customFormat="false" ht="15" hidden="false" customHeight="false" outlineLevel="0" collapsed="false">
      <c r="B2428" s="48" t="n">
        <v>45788.1373148148</v>
      </c>
      <c r="C2428" s="4" t="n">
        <f aca="false">YEAR(B2428)</f>
        <v>2025</v>
      </c>
      <c r="D2428" s="49" t="s">
        <v>283</v>
      </c>
      <c r="E2428" s="49" t="s">
        <v>5103</v>
      </c>
      <c r="F2428" s="50" t="n">
        <v>13</v>
      </c>
      <c r="G2428" s="49" t="s">
        <v>287</v>
      </c>
      <c r="H2428" s="51" t="n">
        <v>0.0036</v>
      </c>
      <c r="I2428" s="51" t="n">
        <v>0.0556</v>
      </c>
      <c r="J2428" s="51" t="n">
        <v>0.9407</v>
      </c>
      <c r="K2428" s="49"/>
      <c r="L2428" s="49"/>
      <c r="M2428" s="49"/>
      <c r="N2428" s="49"/>
      <c r="O2428" s="49"/>
      <c r="P2428" s="49"/>
      <c r="Q2428" s="49"/>
      <c r="R2428" s="49"/>
      <c r="S2428" s="49" t="n">
        <v>0</v>
      </c>
      <c r="T2428" s="49" t="n">
        <v>0</v>
      </c>
      <c r="U2428" s="49" t="s">
        <v>5104</v>
      </c>
    </row>
    <row r="2429" customFormat="false" ht="15" hidden="false" customHeight="false" outlineLevel="0" collapsed="false">
      <c r="B2429" s="48" t="n">
        <v>45788.3035185185</v>
      </c>
      <c r="C2429" s="4" t="n">
        <f aca="false">YEAR(B2429)</f>
        <v>2025</v>
      </c>
      <c r="D2429" s="49" t="s">
        <v>278</v>
      </c>
      <c r="E2429" s="49" t="s">
        <v>5105</v>
      </c>
      <c r="F2429" s="50" t="n">
        <v>285</v>
      </c>
      <c r="G2429" s="49" t="s">
        <v>290</v>
      </c>
      <c r="H2429" s="51" t="n">
        <v>0.0435</v>
      </c>
      <c r="I2429" s="51" t="n">
        <v>0.8792</v>
      </c>
      <c r="J2429" s="51" t="n">
        <v>0.0773</v>
      </c>
      <c r="K2429" s="49"/>
      <c r="L2429" s="49"/>
      <c r="M2429" s="49"/>
      <c r="N2429" s="49"/>
      <c r="O2429" s="49"/>
      <c r="P2429" s="49"/>
      <c r="Q2429" s="49"/>
      <c r="R2429" s="49" t="s">
        <v>281</v>
      </c>
      <c r="S2429" s="49" t="n">
        <v>0</v>
      </c>
      <c r="T2429" s="49" t="n">
        <v>0</v>
      </c>
      <c r="U2429" s="49" t="s">
        <v>5106</v>
      </c>
    </row>
    <row r="2430" customFormat="false" ht="15" hidden="false" customHeight="false" outlineLevel="0" collapsed="false">
      <c r="B2430" s="48" t="n">
        <v>45788.5380439815</v>
      </c>
      <c r="C2430" s="4" t="n">
        <f aca="false">YEAR(B2430)</f>
        <v>2025</v>
      </c>
      <c r="D2430" s="49" t="s">
        <v>283</v>
      </c>
      <c r="E2430" s="49" t="s">
        <v>5107</v>
      </c>
      <c r="F2430" s="50" t="n">
        <v>2</v>
      </c>
      <c r="G2430" s="49" t="s">
        <v>290</v>
      </c>
      <c r="H2430" s="51" t="n">
        <v>0.0747</v>
      </c>
      <c r="I2430" s="51" t="n">
        <v>0.8406</v>
      </c>
      <c r="J2430" s="51" t="n">
        <v>0.0847</v>
      </c>
      <c r="K2430" s="49" t="s">
        <v>281</v>
      </c>
      <c r="L2430" s="49"/>
      <c r="M2430" s="49"/>
      <c r="N2430" s="49"/>
      <c r="O2430" s="49"/>
      <c r="P2430" s="49"/>
      <c r="Q2430" s="49"/>
      <c r="R2430" s="49"/>
      <c r="S2430" s="49" t="n">
        <v>0</v>
      </c>
      <c r="T2430" s="49" t="n">
        <v>0</v>
      </c>
      <c r="U2430" s="49" t="s">
        <v>5108</v>
      </c>
    </row>
    <row r="2431" customFormat="false" ht="15" hidden="false" customHeight="false" outlineLevel="0" collapsed="false">
      <c r="B2431" s="48" t="n">
        <v>45788.9352083333</v>
      </c>
      <c r="C2431" s="4" t="n">
        <f aca="false">YEAR(B2431)</f>
        <v>2025</v>
      </c>
      <c r="D2431" s="49" t="s">
        <v>283</v>
      </c>
      <c r="E2431" s="49" t="s">
        <v>5109</v>
      </c>
      <c r="F2431" s="50" t="n">
        <v>9</v>
      </c>
      <c r="G2431" s="49" t="s">
        <v>290</v>
      </c>
      <c r="H2431" s="51" t="n">
        <v>0.0056</v>
      </c>
      <c r="I2431" s="51" t="n">
        <v>0.5734</v>
      </c>
      <c r="J2431" s="51" t="n">
        <v>0.4209</v>
      </c>
      <c r="K2431" s="49"/>
      <c r="L2431" s="49"/>
      <c r="M2431" s="49"/>
      <c r="N2431" s="49"/>
      <c r="O2431" s="49"/>
      <c r="P2431" s="49"/>
      <c r="Q2431" s="49"/>
      <c r="R2431" s="49"/>
      <c r="S2431" s="49" t="n">
        <v>0</v>
      </c>
      <c r="T2431" s="49" t="n">
        <v>0</v>
      </c>
      <c r="U2431" s="49" t="s">
        <v>5110</v>
      </c>
    </row>
    <row r="2432" customFormat="false" ht="15" hidden="false" customHeight="false" outlineLevel="0" collapsed="false">
      <c r="B2432" s="48" t="n">
        <v>45789.3675925926</v>
      </c>
      <c r="C2432" s="4" t="n">
        <f aca="false">YEAR(B2432)</f>
        <v>2025</v>
      </c>
      <c r="D2432" s="49" t="s">
        <v>278</v>
      </c>
      <c r="E2432" s="49" t="s">
        <v>5111</v>
      </c>
      <c r="F2432" s="50" t="n">
        <v>6</v>
      </c>
      <c r="G2432" s="49" t="s">
        <v>290</v>
      </c>
      <c r="H2432" s="51" t="n">
        <v>0.008</v>
      </c>
      <c r="I2432" s="51" t="n">
        <v>0.7083</v>
      </c>
      <c r="J2432" s="51" t="n">
        <v>0.2837</v>
      </c>
      <c r="K2432" s="49"/>
      <c r="L2432" s="49"/>
      <c r="M2432" s="49"/>
      <c r="N2432" s="49"/>
      <c r="O2432" s="49"/>
      <c r="P2432" s="49"/>
      <c r="Q2432" s="49"/>
      <c r="R2432" s="49" t="s">
        <v>281</v>
      </c>
      <c r="S2432" s="49" t="n">
        <v>0</v>
      </c>
      <c r="T2432" s="49" t="n">
        <v>0</v>
      </c>
      <c r="U2432" s="49" t="s">
        <v>5112</v>
      </c>
    </row>
    <row r="2433" customFormat="false" ht="15" hidden="false" customHeight="false" outlineLevel="0" collapsed="false">
      <c r="B2433" s="48" t="n">
        <v>45789.4552314815</v>
      </c>
      <c r="C2433" s="4" t="n">
        <f aca="false">YEAR(B2433)</f>
        <v>2025</v>
      </c>
      <c r="D2433" s="49" t="s">
        <v>283</v>
      </c>
      <c r="E2433" s="49" t="s">
        <v>5113</v>
      </c>
      <c r="F2433" s="50" t="n">
        <v>2</v>
      </c>
      <c r="G2433" s="49" t="s">
        <v>280</v>
      </c>
      <c r="H2433" s="51" t="n">
        <v>0.8335</v>
      </c>
      <c r="I2433" s="51" t="n">
        <v>0.1602</v>
      </c>
      <c r="J2433" s="51" t="n">
        <v>0.0063</v>
      </c>
      <c r="K2433" s="49"/>
      <c r="L2433" s="49"/>
      <c r="M2433" s="49"/>
      <c r="N2433" s="49"/>
      <c r="O2433" s="49"/>
      <c r="P2433" s="49"/>
      <c r="Q2433" s="49"/>
      <c r="R2433" s="49" t="s">
        <v>281</v>
      </c>
      <c r="S2433" s="49" t="n">
        <v>0</v>
      </c>
      <c r="T2433" s="49" t="n">
        <v>0</v>
      </c>
      <c r="U2433" s="49" t="s">
        <v>5114</v>
      </c>
    </row>
    <row r="2434" customFormat="false" ht="15" hidden="false" customHeight="false" outlineLevel="0" collapsed="false">
      <c r="B2434" s="48" t="n">
        <v>45789.5729166667</v>
      </c>
      <c r="C2434" s="4" t="n">
        <f aca="false">YEAR(B2434)</f>
        <v>2025</v>
      </c>
      <c r="D2434" s="49" t="s">
        <v>283</v>
      </c>
      <c r="E2434" s="49" t="s">
        <v>5115</v>
      </c>
      <c r="F2434" s="50" t="n">
        <v>2</v>
      </c>
      <c r="G2434" s="49" t="s">
        <v>287</v>
      </c>
      <c r="H2434" s="51" t="n">
        <v>0.0032</v>
      </c>
      <c r="I2434" s="51" t="n">
        <v>0.1354</v>
      </c>
      <c r="J2434" s="51" t="n">
        <v>0.8614</v>
      </c>
      <c r="K2434" s="49"/>
      <c r="L2434" s="49"/>
      <c r="M2434" s="49"/>
      <c r="N2434" s="49"/>
      <c r="O2434" s="49"/>
      <c r="P2434" s="49"/>
      <c r="Q2434" s="49"/>
      <c r="R2434" s="49"/>
      <c r="S2434" s="49" t="n">
        <v>0</v>
      </c>
      <c r="T2434" s="49" t="n">
        <v>0</v>
      </c>
      <c r="U2434" s="49" t="s">
        <v>5116</v>
      </c>
    </row>
    <row r="2435" customFormat="false" ht="15" hidden="false" customHeight="false" outlineLevel="0" collapsed="false">
      <c r="B2435" s="48" t="n">
        <v>45789.7251041667</v>
      </c>
      <c r="C2435" s="4" t="n">
        <f aca="false">YEAR(B2435)</f>
        <v>2025</v>
      </c>
      <c r="D2435" s="49" t="s">
        <v>278</v>
      </c>
      <c r="E2435" s="49" t="s">
        <v>5117</v>
      </c>
      <c r="F2435" s="50" t="n">
        <v>5</v>
      </c>
      <c r="G2435" s="49" t="s">
        <v>280</v>
      </c>
      <c r="H2435" s="51" t="n">
        <v>0.9285</v>
      </c>
      <c r="I2435" s="51" t="n">
        <v>0.0638</v>
      </c>
      <c r="J2435" s="51" t="n">
        <v>0.0077</v>
      </c>
      <c r="K2435" s="49"/>
      <c r="L2435" s="49"/>
      <c r="M2435" s="49"/>
      <c r="N2435" s="49"/>
      <c r="O2435" s="49"/>
      <c r="P2435" s="49"/>
      <c r="Q2435" s="49"/>
      <c r="R2435" s="49" t="s">
        <v>281</v>
      </c>
      <c r="S2435" s="49" t="n">
        <v>0</v>
      </c>
      <c r="T2435" s="49" t="n">
        <v>0</v>
      </c>
      <c r="U2435" s="49" t="s">
        <v>5118</v>
      </c>
    </row>
    <row r="2436" customFormat="false" ht="15" hidden="false" customHeight="false" outlineLevel="0" collapsed="false">
      <c r="B2436" s="48" t="n">
        <v>45790.3915277778</v>
      </c>
      <c r="C2436" s="4" t="n">
        <f aca="false">YEAR(B2436)</f>
        <v>2025</v>
      </c>
      <c r="D2436" s="49" t="s">
        <v>283</v>
      </c>
      <c r="E2436" s="49" t="s">
        <v>5119</v>
      </c>
      <c r="F2436" s="50" t="n">
        <v>1</v>
      </c>
      <c r="G2436" s="49" t="s">
        <v>280</v>
      </c>
      <c r="H2436" s="51" t="n">
        <v>0.4792</v>
      </c>
      <c r="I2436" s="51" t="n">
        <v>0.4464</v>
      </c>
      <c r="J2436" s="51" t="n">
        <v>0.0744</v>
      </c>
      <c r="K2436" s="49" t="s">
        <v>281</v>
      </c>
      <c r="L2436" s="49"/>
      <c r="M2436" s="49"/>
      <c r="N2436" s="49"/>
      <c r="O2436" s="49"/>
      <c r="P2436" s="49"/>
      <c r="Q2436" s="49"/>
      <c r="R2436" s="49"/>
      <c r="S2436" s="49" t="n">
        <v>0</v>
      </c>
      <c r="T2436" s="49" t="n">
        <v>0</v>
      </c>
      <c r="U2436" s="49" t="s">
        <v>5120</v>
      </c>
    </row>
    <row r="2437" customFormat="false" ht="15" hidden="false" customHeight="false" outlineLevel="0" collapsed="false">
      <c r="B2437" s="48" t="n">
        <v>45790.5563657407</v>
      </c>
      <c r="C2437" s="4" t="n">
        <f aca="false">YEAR(B2437)</f>
        <v>2025</v>
      </c>
      <c r="D2437" s="49" t="s">
        <v>278</v>
      </c>
      <c r="E2437" s="49" t="s">
        <v>5121</v>
      </c>
      <c r="F2437" s="50" t="n">
        <v>39</v>
      </c>
      <c r="G2437" s="49" t="s">
        <v>290</v>
      </c>
      <c r="H2437" s="51" t="n">
        <v>0.0049</v>
      </c>
      <c r="I2437" s="51" t="n">
        <v>0.9102</v>
      </c>
      <c r="J2437" s="51" t="n">
        <v>0.0849</v>
      </c>
      <c r="K2437" s="49"/>
      <c r="L2437" s="49"/>
      <c r="M2437" s="49"/>
      <c r="N2437" s="49"/>
      <c r="O2437" s="49"/>
      <c r="P2437" s="49"/>
      <c r="Q2437" s="49"/>
      <c r="R2437" s="49"/>
      <c r="S2437" s="49" t="n">
        <v>0</v>
      </c>
      <c r="T2437" s="49" t="n">
        <v>0</v>
      </c>
      <c r="U2437" s="49" t="s">
        <v>5122</v>
      </c>
    </row>
    <row r="2438" customFormat="false" ht="15" hidden="false" customHeight="false" outlineLevel="0" collapsed="false">
      <c r="B2438" s="48" t="n">
        <v>45790.7945949074</v>
      </c>
      <c r="C2438" s="4" t="n">
        <f aca="false">YEAR(B2438)</f>
        <v>2025</v>
      </c>
      <c r="D2438" s="49" t="s">
        <v>278</v>
      </c>
      <c r="E2438" s="49" t="s">
        <v>5123</v>
      </c>
      <c r="F2438" s="50" t="n">
        <v>1</v>
      </c>
      <c r="G2438" s="49" t="s">
        <v>290</v>
      </c>
      <c r="H2438" s="51" t="n">
        <v>0.2624</v>
      </c>
      <c r="I2438" s="51" t="n">
        <v>0.5868</v>
      </c>
      <c r="J2438" s="51" t="n">
        <v>0.1507</v>
      </c>
      <c r="K2438" s="49"/>
      <c r="L2438" s="49"/>
      <c r="M2438" s="49"/>
      <c r="N2438" s="49"/>
      <c r="O2438" s="49"/>
      <c r="P2438" s="49"/>
      <c r="Q2438" s="49"/>
      <c r="R2438" s="49"/>
      <c r="S2438" s="49" t="n">
        <v>0</v>
      </c>
      <c r="T2438" s="49" t="n">
        <v>0</v>
      </c>
      <c r="U2438" s="49" t="s">
        <v>5124</v>
      </c>
    </row>
    <row r="2439" customFormat="false" ht="15" hidden="false" customHeight="false" outlineLevel="0" collapsed="false">
      <c r="B2439" s="48" t="n">
        <v>45790.8115972222</v>
      </c>
      <c r="C2439" s="4" t="n">
        <f aca="false">YEAR(B2439)</f>
        <v>2025</v>
      </c>
      <c r="D2439" s="49" t="s">
        <v>283</v>
      </c>
      <c r="E2439" s="49" t="s">
        <v>4656</v>
      </c>
      <c r="F2439" s="50" t="n">
        <v>17</v>
      </c>
      <c r="G2439" s="49" t="s">
        <v>287</v>
      </c>
      <c r="H2439" s="51" t="n">
        <v>0.0039</v>
      </c>
      <c r="I2439" s="51" t="n">
        <v>0.1024</v>
      </c>
      <c r="J2439" s="51" t="n">
        <v>0.8936</v>
      </c>
      <c r="K2439" s="49"/>
      <c r="L2439" s="49"/>
      <c r="M2439" s="49"/>
      <c r="N2439" s="49"/>
      <c r="O2439" s="49"/>
      <c r="P2439" s="49" t="s">
        <v>281</v>
      </c>
      <c r="Q2439" s="49"/>
      <c r="R2439" s="49"/>
      <c r="S2439" s="49" t="n">
        <v>0</v>
      </c>
      <c r="T2439" s="49" t="n">
        <v>0</v>
      </c>
      <c r="U2439" s="49" t="s">
        <v>5125</v>
      </c>
    </row>
    <row r="2440" customFormat="false" ht="15" hidden="false" customHeight="false" outlineLevel="0" collapsed="false">
      <c r="B2440" s="48" t="n">
        <v>45790.9134490741</v>
      </c>
      <c r="C2440" s="4" t="n">
        <f aca="false">YEAR(B2440)</f>
        <v>2025</v>
      </c>
      <c r="D2440" s="49" t="s">
        <v>283</v>
      </c>
      <c r="E2440" s="49" t="s">
        <v>5126</v>
      </c>
      <c r="F2440" s="50" t="n">
        <v>27</v>
      </c>
      <c r="G2440" s="49" t="s">
        <v>287</v>
      </c>
      <c r="H2440" s="51" t="n">
        <v>0.011</v>
      </c>
      <c r="I2440" s="51" t="n">
        <v>0.1522</v>
      </c>
      <c r="J2440" s="51" t="n">
        <v>0.8368</v>
      </c>
      <c r="K2440" s="49"/>
      <c r="L2440" s="49"/>
      <c r="M2440" s="49"/>
      <c r="N2440" s="49"/>
      <c r="O2440" s="49"/>
      <c r="P2440" s="49"/>
      <c r="Q2440" s="49"/>
      <c r="R2440" s="49"/>
      <c r="S2440" s="49" t="n">
        <v>0</v>
      </c>
      <c r="T2440" s="49" t="n">
        <v>0</v>
      </c>
      <c r="U2440" s="49" t="s">
        <v>5127</v>
      </c>
    </row>
    <row r="2441" customFormat="false" ht="15" hidden="false" customHeight="false" outlineLevel="0" collapsed="false">
      <c r="B2441" s="48" t="n">
        <v>45790.9740972222</v>
      </c>
      <c r="C2441" s="4" t="n">
        <f aca="false">YEAR(B2441)</f>
        <v>2025</v>
      </c>
      <c r="D2441" s="49" t="s">
        <v>283</v>
      </c>
      <c r="E2441" s="49" t="s">
        <v>5128</v>
      </c>
      <c r="F2441" s="50" t="n">
        <v>1</v>
      </c>
      <c r="G2441" s="49" t="s">
        <v>287</v>
      </c>
      <c r="H2441" s="51" t="n">
        <v>0.0045</v>
      </c>
      <c r="I2441" s="51" t="n">
        <v>0.1956</v>
      </c>
      <c r="J2441" s="51" t="n">
        <v>0.7999</v>
      </c>
      <c r="K2441" s="49"/>
      <c r="L2441" s="49"/>
      <c r="M2441" s="49"/>
      <c r="N2441" s="49"/>
      <c r="O2441" s="49"/>
      <c r="P2441" s="49"/>
      <c r="Q2441" s="49"/>
      <c r="R2441" s="49"/>
      <c r="S2441" s="49" t="n">
        <v>0</v>
      </c>
      <c r="T2441" s="49" t="n">
        <v>0</v>
      </c>
      <c r="U2441" s="49" t="s">
        <v>5129</v>
      </c>
    </row>
    <row r="2442" customFormat="false" ht="15" hidden="false" customHeight="false" outlineLevel="0" collapsed="false">
      <c r="B2442" s="48" t="n">
        <v>45791.2478703704</v>
      </c>
      <c r="C2442" s="4" t="n">
        <f aca="false">YEAR(B2442)</f>
        <v>2025</v>
      </c>
      <c r="D2442" s="49" t="s">
        <v>283</v>
      </c>
      <c r="E2442" s="49" t="s">
        <v>5130</v>
      </c>
      <c r="F2442" s="50" t="n">
        <v>28</v>
      </c>
      <c r="G2442" s="49" t="s">
        <v>287</v>
      </c>
      <c r="H2442" s="51" t="n">
        <v>0.0055</v>
      </c>
      <c r="I2442" s="51" t="n">
        <v>0.1157</v>
      </c>
      <c r="J2442" s="51" t="n">
        <v>0.8788</v>
      </c>
      <c r="K2442" s="49"/>
      <c r="L2442" s="49"/>
      <c r="M2442" s="49"/>
      <c r="N2442" s="49"/>
      <c r="O2442" s="49"/>
      <c r="P2442" s="49"/>
      <c r="Q2442" s="49"/>
      <c r="R2442" s="49"/>
      <c r="S2442" s="49" t="n">
        <v>0</v>
      </c>
      <c r="T2442" s="49" t="n">
        <v>0</v>
      </c>
      <c r="U2442" s="49" t="s">
        <v>5131</v>
      </c>
    </row>
    <row r="2443" customFormat="false" ht="15" hidden="false" customHeight="false" outlineLevel="0" collapsed="false">
      <c r="B2443" s="48" t="n">
        <v>45791.4738541667</v>
      </c>
      <c r="C2443" s="4" t="n">
        <f aca="false">YEAR(B2443)</f>
        <v>2025</v>
      </c>
      <c r="D2443" s="49" t="s">
        <v>278</v>
      </c>
      <c r="E2443" s="49" t="s">
        <v>5132</v>
      </c>
      <c r="F2443" s="50" t="n">
        <v>1</v>
      </c>
      <c r="G2443" s="49" t="s">
        <v>280</v>
      </c>
      <c r="H2443" s="51" t="n">
        <v>0.6469</v>
      </c>
      <c r="I2443" s="51" t="n">
        <v>0.3402</v>
      </c>
      <c r="J2443" s="51" t="n">
        <v>0.013</v>
      </c>
      <c r="K2443" s="49"/>
      <c r="L2443" s="49"/>
      <c r="M2443" s="49"/>
      <c r="N2443" s="49"/>
      <c r="O2443" s="49"/>
      <c r="P2443" s="49"/>
      <c r="Q2443" s="49" t="s">
        <v>281</v>
      </c>
      <c r="R2443" s="49"/>
      <c r="S2443" s="49" t="n">
        <v>0</v>
      </c>
      <c r="T2443" s="49" t="n">
        <v>0</v>
      </c>
      <c r="U2443" s="49" t="s">
        <v>5133</v>
      </c>
    </row>
    <row r="2444" customFormat="false" ht="15" hidden="false" customHeight="false" outlineLevel="0" collapsed="false">
      <c r="B2444" s="48" t="n">
        <v>45791.4996296296</v>
      </c>
      <c r="C2444" s="4" t="n">
        <f aca="false">YEAR(B2444)</f>
        <v>2025</v>
      </c>
      <c r="D2444" s="49" t="s">
        <v>283</v>
      </c>
      <c r="E2444" s="49" t="s">
        <v>5134</v>
      </c>
      <c r="F2444" s="50" t="n">
        <v>133</v>
      </c>
      <c r="G2444" s="49" t="s">
        <v>287</v>
      </c>
      <c r="H2444" s="51" t="n">
        <v>0.0082</v>
      </c>
      <c r="I2444" s="51" t="n">
        <v>0.1162</v>
      </c>
      <c r="J2444" s="51" t="n">
        <v>0.8756</v>
      </c>
      <c r="K2444" s="49"/>
      <c r="L2444" s="49"/>
      <c r="M2444" s="49"/>
      <c r="N2444" s="49"/>
      <c r="O2444" s="49"/>
      <c r="P2444" s="49"/>
      <c r="Q2444" s="49"/>
      <c r="R2444" s="49" t="s">
        <v>281</v>
      </c>
      <c r="S2444" s="49" t="n">
        <v>0</v>
      </c>
      <c r="T2444" s="49" t="n">
        <v>0</v>
      </c>
      <c r="U2444" s="49" t="s">
        <v>5135</v>
      </c>
    </row>
    <row r="2445" customFormat="false" ht="15" hidden="false" customHeight="false" outlineLevel="0" collapsed="false">
      <c r="B2445" s="48" t="n">
        <v>45791.5229861111</v>
      </c>
      <c r="C2445" s="4" t="n">
        <f aca="false">YEAR(B2445)</f>
        <v>2025</v>
      </c>
      <c r="D2445" s="49" t="s">
        <v>283</v>
      </c>
      <c r="E2445" s="49" t="s">
        <v>5136</v>
      </c>
      <c r="F2445" s="50" t="n">
        <v>1</v>
      </c>
      <c r="G2445" s="49" t="s">
        <v>290</v>
      </c>
      <c r="H2445" s="51" t="n">
        <v>0.2879</v>
      </c>
      <c r="I2445" s="51" t="n">
        <v>0.4913</v>
      </c>
      <c r="J2445" s="51" t="n">
        <v>0.2208</v>
      </c>
      <c r="K2445" s="49"/>
      <c r="L2445" s="49"/>
      <c r="M2445" s="49"/>
      <c r="N2445" s="49"/>
      <c r="O2445" s="49"/>
      <c r="P2445" s="49"/>
      <c r="Q2445" s="49"/>
      <c r="R2445" s="49"/>
      <c r="S2445" s="49" t="n">
        <v>0</v>
      </c>
      <c r="T2445" s="49" t="n">
        <v>0</v>
      </c>
      <c r="U2445" s="49" t="s">
        <v>5137</v>
      </c>
    </row>
    <row r="2446" customFormat="false" ht="15" hidden="false" customHeight="false" outlineLevel="0" collapsed="false">
      <c r="B2446" s="48" t="n">
        <v>45791.6885416667</v>
      </c>
      <c r="C2446" s="4" t="n">
        <f aca="false">YEAR(B2446)</f>
        <v>2025</v>
      </c>
      <c r="D2446" s="49" t="s">
        <v>283</v>
      </c>
      <c r="E2446" s="49" t="s">
        <v>5138</v>
      </c>
      <c r="F2446" s="50" t="n">
        <v>16</v>
      </c>
      <c r="G2446" s="49" t="s">
        <v>290</v>
      </c>
      <c r="H2446" s="51" t="n">
        <v>0.0636</v>
      </c>
      <c r="I2446" s="51" t="n">
        <v>0.6809</v>
      </c>
      <c r="J2446" s="51" t="n">
        <v>0.2556</v>
      </c>
      <c r="K2446" s="49"/>
      <c r="L2446" s="49"/>
      <c r="M2446" s="49"/>
      <c r="N2446" s="49"/>
      <c r="O2446" s="49"/>
      <c r="P2446" s="49"/>
      <c r="Q2446" s="49"/>
      <c r="R2446" s="49"/>
      <c r="S2446" s="49" t="n">
        <v>0</v>
      </c>
      <c r="T2446" s="49" t="n">
        <v>0</v>
      </c>
      <c r="U2446" s="49" t="s">
        <v>5139</v>
      </c>
    </row>
    <row r="2447" customFormat="false" ht="15" hidden="false" customHeight="false" outlineLevel="0" collapsed="false">
      <c r="B2447" s="48" t="n">
        <v>45791.9732407407</v>
      </c>
      <c r="C2447" s="4" t="n">
        <f aca="false">YEAR(B2447)</f>
        <v>2025</v>
      </c>
      <c r="D2447" s="49" t="s">
        <v>283</v>
      </c>
      <c r="E2447" s="49" t="s">
        <v>5140</v>
      </c>
      <c r="F2447" s="50" t="n">
        <v>1</v>
      </c>
      <c r="G2447" s="49" t="s">
        <v>280</v>
      </c>
      <c r="H2447" s="51" t="n">
        <v>0.8399</v>
      </c>
      <c r="I2447" s="51" t="n">
        <v>0.1515</v>
      </c>
      <c r="J2447" s="51" t="n">
        <v>0.0085</v>
      </c>
      <c r="K2447" s="49"/>
      <c r="L2447" s="49"/>
      <c r="M2447" s="49"/>
      <c r="N2447" s="49"/>
      <c r="O2447" s="49"/>
      <c r="P2447" s="49"/>
      <c r="Q2447" s="49"/>
      <c r="R2447" s="49"/>
      <c r="S2447" s="49" t="n">
        <v>0</v>
      </c>
      <c r="T2447" s="49" t="n">
        <v>0</v>
      </c>
      <c r="U2447" s="49" t="s">
        <v>5141</v>
      </c>
    </row>
    <row r="2448" customFormat="false" ht="15" hidden="false" customHeight="false" outlineLevel="0" collapsed="false">
      <c r="B2448" s="48" t="n">
        <v>45792.5116550926</v>
      </c>
      <c r="C2448" s="4" t="n">
        <f aca="false">YEAR(B2448)</f>
        <v>2025</v>
      </c>
      <c r="D2448" s="49" t="s">
        <v>283</v>
      </c>
      <c r="E2448" s="49" t="s">
        <v>5142</v>
      </c>
      <c r="F2448" s="50" t="n">
        <v>3</v>
      </c>
      <c r="G2448" s="49" t="s">
        <v>290</v>
      </c>
      <c r="H2448" s="51" t="n">
        <v>0.2998</v>
      </c>
      <c r="I2448" s="51" t="n">
        <v>0.6021</v>
      </c>
      <c r="J2448" s="51" t="n">
        <v>0.0981</v>
      </c>
      <c r="K2448" s="49"/>
      <c r="L2448" s="49"/>
      <c r="M2448" s="49"/>
      <c r="N2448" s="49"/>
      <c r="O2448" s="49"/>
      <c r="P2448" s="49"/>
      <c r="Q2448" s="49"/>
      <c r="R2448" s="49"/>
      <c r="S2448" s="49" t="n">
        <v>0</v>
      </c>
      <c r="T2448" s="49" t="n">
        <v>0</v>
      </c>
      <c r="U2448" s="49" t="s">
        <v>5143</v>
      </c>
    </row>
    <row r="2449" customFormat="false" ht="15" hidden="false" customHeight="false" outlineLevel="0" collapsed="false">
      <c r="B2449" s="48" t="n">
        <v>45792.7048148148</v>
      </c>
      <c r="C2449" s="4" t="n">
        <f aca="false">YEAR(B2449)</f>
        <v>2025</v>
      </c>
      <c r="D2449" s="49" t="s">
        <v>283</v>
      </c>
      <c r="E2449" s="49" t="s">
        <v>5144</v>
      </c>
      <c r="F2449" s="50" t="n">
        <v>9</v>
      </c>
      <c r="G2449" s="49" t="s">
        <v>290</v>
      </c>
      <c r="H2449" s="51" t="n">
        <v>0.0393</v>
      </c>
      <c r="I2449" s="51" t="n">
        <v>0.857</v>
      </c>
      <c r="J2449" s="51" t="n">
        <v>0.1038</v>
      </c>
      <c r="K2449" s="49"/>
      <c r="L2449" s="49"/>
      <c r="M2449" s="49"/>
      <c r="N2449" s="49"/>
      <c r="O2449" s="49"/>
      <c r="P2449" s="49"/>
      <c r="Q2449" s="49"/>
      <c r="R2449" s="49"/>
      <c r="S2449" s="49" t="n">
        <v>0</v>
      </c>
      <c r="T2449" s="49" t="n">
        <v>0</v>
      </c>
      <c r="U2449" s="49" t="s">
        <v>5145</v>
      </c>
    </row>
    <row r="2450" customFormat="false" ht="15" hidden="false" customHeight="false" outlineLevel="0" collapsed="false">
      <c r="B2450" s="48" t="n">
        <v>45792.7056365741</v>
      </c>
      <c r="C2450" s="4" t="n">
        <f aca="false">YEAR(B2450)</f>
        <v>2025</v>
      </c>
      <c r="D2450" s="49" t="s">
        <v>283</v>
      </c>
      <c r="E2450" s="49" t="s">
        <v>5146</v>
      </c>
      <c r="F2450" s="50" t="n">
        <v>2</v>
      </c>
      <c r="G2450" s="49" t="s">
        <v>280</v>
      </c>
      <c r="H2450" s="51" t="n">
        <v>0.5125</v>
      </c>
      <c r="I2450" s="51" t="n">
        <v>0.4704</v>
      </c>
      <c r="J2450" s="51" t="n">
        <v>0.0171</v>
      </c>
      <c r="K2450" s="49"/>
      <c r="L2450" s="49"/>
      <c r="M2450" s="49"/>
      <c r="N2450" s="49"/>
      <c r="O2450" s="49"/>
      <c r="P2450" s="49"/>
      <c r="Q2450" s="49"/>
      <c r="R2450" s="49"/>
      <c r="S2450" s="49" t="n">
        <v>0</v>
      </c>
      <c r="T2450" s="49" t="n">
        <v>0</v>
      </c>
      <c r="U2450" s="49" t="s">
        <v>5147</v>
      </c>
    </row>
    <row r="2451" customFormat="false" ht="15" hidden="false" customHeight="false" outlineLevel="0" collapsed="false">
      <c r="B2451" s="48" t="n">
        <v>45792.7260069445</v>
      </c>
      <c r="C2451" s="4" t="n">
        <f aca="false">YEAR(B2451)</f>
        <v>2025</v>
      </c>
      <c r="D2451" s="49" t="s">
        <v>283</v>
      </c>
      <c r="E2451" s="49" t="s">
        <v>5148</v>
      </c>
      <c r="F2451" s="50" t="n">
        <v>1</v>
      </c>
      <c r="G2451" s="49" t="s">
        <v>287</v>
      </c>
      <c r="H2451" s="51" t="n">
        <v>0.0072</v>
      </c>
      <c r="I2451" s="51" t="n">
        <v>0.3922</v>
      </c>
      <c r="J2451" s="51" t="n">
        <v>0.6006</v>
      </c>
      <c r="K2451" s="49"/>
      <c r="L2451" s="49"/>
      <c r="M2451" s="49"/>
      <c r="N2451" s="49"/>
      <c r="O2451" s="49"/>
      <c r="P2451" s="49"/>
      <c r="Q2451" s="49"/>
      <c r="R2451" s="49"/>
      <c r="S2451" s="49" t="n">
        <v>0</v>
      </c>
      <c r="T2451" s="49" t="n">
        <v>0</v>
      </c>
      <c r="U2451" s="49" t="s">
        <v>5149</v>
      </c>
    </row>
    <row r="2452" customFormat="false" ht="15" hidden="false" customHeight="false" outlineLevel="0" collapsed="false">
      <c r="B2452" s="48" t="n">
        <v>45792.7926273148</v>
      </c>
      <c r="C2452" s="4" t="n">
        <f aca="false">YEAR(B2452)</f>
        <v>2025</v>
      </c>
      <c r="D2452" s="49" t="s">
        <v>283</v>
      </c>
      <c r="E2452" s="49" t="s">
        <v>5150</v>
      </c>
      <c r="F2452" s="50" t="n">
        <v>54</v>
      </c>
      <c r="G2452" s="49" t="s">
        <v>280</v>
      </c>
      <c r="H2452" s="51" t="n">
        <v>0.812</v>
      </c>
      <c r="I2452" s="51" t="n">
        <v>0.1625</v>
      </c>
      <c r="J2452" s="51" t="n">
        <v>0.0254</v>
      </c>
      <c r="K2452" s="49" t="s">
        <v>281</v>
      </c>
      <c r="L2452" s="49"/>
      <c r="M2452" s="49" t="s">
        <v>281</v>
      </c>
      <c r="N2452" s="49"/>
      <c r="O2452" s="49"/>
      <c r="P2452" s="49"/>
      <c r="Q2452" s="49"/>
      <c r="R2452" s="49"/>
      <c r="S2452" s="49" t="n">
        <v>0</v>
      </c>
      <c r="T2452" s="49" t="n">
        <v>0</v>
      </c>
      <c r="U2452" s="49" t="s">
        <v>5151</v>
      </c>
    </row>
    <row r="2453" customFormat="false" ht="15" hidden="false" customHeight="false" outlineLevel="0" collapsed="false">
      <c r="B2453" s="48" t="n">
        <v>45792.8308564815</v>
      </c>
      <c r="C2453" s="4" t="n">
        <f aca="false">YEAR(B2453)</f>
        <v>2025</v>
      </c>
      <c r="D2453" s="49" t="s">
        <v>278</v>
      </c>
      <c r="E2453" s="49" t="s">
        <v>5152</v>
      </c>
      <c r="F2453" s="50" t="n">
        <v>1</v>
      </c>
      <c r="G2453" s="49" t="s">
        <v>290</v>
      </c>
      <c r="H2453" s="51" t="n">
        <v>0.0057</v>
      </c>
      <c r="I2453" s="51" t="n">
        <v>0.752</v>
      </c>
      <c r="J2453" s="51" t="n">
        <v>0.2424</v>
      </c>
      <c r="K2453" s="49"/>
      <c r="L2453" s="49"/>
      <c r="M2453" s="49"/>
      <c r="N2453" s="49"/>
      <c r="O2453" s="49"/>
      <c r="P2453" s="49"/>
      <c r="Q2453" s="49"/>
      <c r="R2453" s="49"/>
      <c r="S2453" s="49" t="n">
        <v>0</v>
      </c>
      <c r="T2453" s="49" t="n">
        <v>0</v>
      </c>
      <c r="U2453" s="49" t="s">
        <v>5153</v>
      </c>
    </row>
    <row r="2454" customFormat="false" ht="15" hidden="false" customHeight="false" outlineLevel="0" collapsed="false">
      <c r="B2454" s="48" t="n">
        <v>45792.9705902778</v>
      </c>
      <c r="C2454" s="4" t="n">
        <f aca="false">YEAR(B2454)</f>
        <v>2025</v>
      </c>
      <c r="D2454" s="49" t="s">
        <v>278</v>
      </c>
      <c r="E2454" s="49" t="s">
        <v>5154</v>
      </c>
      <c r="F2454" s="50" t="n">
        <v>6</v>
      </c>
      <c r="G2454" s="49" t="s">
        <v>280</v>
      </c>
      <c r="H2454" s="51" t="n">
        <v>0.7407</v>
      </c>
      <c r="I2454" s="51" t="n">
        <v>0.2441</v>
      </c>
      <c r="J2454" s="51" t="n">
        <v>0.0152</v>
      </c>
      <c r="K2454" s="49"/>
      <c r="L2454" s="49"/>
      <c r="M2454" s="49"/>
      <c r="N2454" s="49"/>
      <c r="O2454" s="49"/>
      <c r="P2454" s="49"/>
      <c r="Q2454" s="49"/>
      <c r="R2454" s="49"/>
      <c r="S2454" s="49" t="n">
        <v>0</v>
      </c>
      <c r="T2454" s="49" t="n">
        <v>0</v>
      </c>
      <c r="U2454" s="49" t="s">
        <v>5155</v>
      </c>
    </row>
    <row r="2455" customFormat="false" ht="15" hidden="false" customHeight="false" outlineLevel="0" collapsed="false">
      <c r="B2455" s="48" t="n">
        <v>45793.1299537037</v>
      </c>
      <c r="C2455" s="4" t="n">
        <f aca="false">YEAR(B2455)</f>
        <v>2025</v>
      </c>
      <c r="D2455" s="49" t="s">
        <v>283</v>
      </c>
      <c r="E2455" s="49" t="s">
        <v>5156</v>
      </c>
      <c r="F2455" s="50" t="n">
        <v>1</v>
      </c>
      <c r="G2455" s="49" t="s">
        <v>290</v>
      </c>
      <c r="H2455" s="51" t="n">
        <v>0.0141</v>
      </c>
      <c r="I2455" s="51" t="n">
        <v>0.6287</v>
      </c>
      <c r="J2455" s="51" t="n">
        <v>0.3573</v>
      </c>
      <c r="K2455" s="49"/>
      <c r="L2455" s="49"/>
      <c r="M2455" s="49"/>
      <c r="N2455" s="49"/>
      <c r="O2455" s="49"/>
      <c r="P2455" s="49"/>
      <c r="Q2455" s="49"/>
      <c r="R2455" s="49"/>
      <c r="S2455" s="49" t="n">
        <v>0</v>
      </c>
      <c r="T2455" s="49" t="n">
        <v>0</v>
      </c>
      <c r="U2455" s="49" t="s">
        <v>5157</v>
      </c>
    </row>
    <row r="2456" customFormat="false" ht="15" hidden="false" customHeight="false" outlineLevel="0" collapsed="false">
      <c r="B2456" s="48" t="n">
        <v>45793.4130092593</v>
      </c>
      <c r="C2456" s="4" t="n">
        <f aca="false">YEAR(B2456)</f>
        <v>2025</v>
      </c>
      <c r="D2456" s="49" t="s">
        <v>278</v>
      </c>
      <c r="E2456" s="49" t="s">
        <v>5158</v>
      </c>
      <c r="F2456" s="50" t="n">
        <v>2</v>
      </c>
      <c r="G2456" s="49" t="s">
        <v>280</v>
      </c>
      <c r="H2456" s="51" t="n">
        <v>0.5761</v>
      </c>
      <c r="I2456" s="51" t="n">
        <v>0.3986</v>
      </c>
      <c r="J2456" s="51" t="n">
        <v>0.0253</v>
      </c>
      <c r="K2456" s="49"/>
      <c r="L2456" s="49"/>
      <c r="M2456" s="49"/>
      <c r="N2456" s="49"/>
      <c r="O2456" s="49"/>
      <c r="P2456" s="49"/>
      <c r="Q2456" s="49" t="s">
        <v>281</v>
      </c>
      <c r="R2456" s="49"/>
      <c r="S2456" s="49" t="n">
        <v>0</v>
      </c>
      <c r="T2456" s="49" t="n">
        <v>0</v>
      </c>
      <c r="U2456" s="49" t="s">
        <v>5159</v>
      </c>
    </row>
    <row r="2457" customFormat="false" ht="15" hidden="false" customHeight="false" outlineLevel="0" collapsed="false">
      <c r="B2457" s="48" t="n">
        <v>45793.7312615741</v>
      </c>
      <c r="C2457" s="4" t="n">
        <f aca="false">YEAR(B2457)</f>
        <v>2025</v>
      </c>
      <c r="D2457" s="49" t="s">
        <v>283</v>
      </c>
      <c r="E2457" s="49" t="s">
        <v>5160</v>
      </c>
      <c r="F2457" s="50" t="n">
        <v>3</v>
      </c>
      <c r="G2457" s="49" t="s">
        <v>280</v>
      </c>
      <c r="H2457" s="51" t="n">
        <v>0.6969</v>
      </c>
      <c r="I2457" s="51" t="n">
        <v>0.2895</v>
      </c>
      <c r="J2457" s="51" t="n">
        <v>0.0136</v>
      </c>
      <c r="K2457" s="49"/>
      <c r="L2457" s="49"/>
      <c r="M2457" s="49"/>
      <c r="N2457" s="49"/>
      <c r="O2457" s="49"/>
      <c r="P2457" s="49"/>
      <c r="Q2457" s="49"/>
      <c r="R2457" s="49"/>
      <c r="S2457" s="49" t="n">
        <v>0</v>
      </c>
      <c r="T2457" s="49" t="n">
        <v>0</v>
      </c>
      <c r="U2457" s="49" t="s">
        <v>5161</v>
      </c>
    </row>
    <row r="2458" customFormat="false" ht="15" hidden="false" customHeight="false" outlineLevel="0" collapsed="false">
      <c r="B2458" s="48" t="n">
        <v>45793.790787037</v>
      </c>
      <c r="C2458" s="4" t="n">
        <f aca="false">YEAR(B2458)</f>
        <v>2025</v>
      </c>
      <c r="D2458" s="49" t="s">
        <v>278</v>
      </c>
      <c r="E2458" s="49" t="s">
        <v>5162</v>
      </c>
      <c r="F2458" s="50" t="n">
        <v>0</v>
      </c>
      <c r="G2458" s="49" t="s">
        <v>280</v>
      </c>
      <c r="H2458" s="51" t="n">
        <v>0.7466</v>
      </c>
      <c r="I2458" s="51" t="n">
        <v>0.2418</v>
      </c>
      <c r="J2458" s="51" t="n">
        <v>0.0116</v>
      </c>
      <c r="K2458" s="49"/>
      <c r="L2458" s="49"/>
      <c r="M2458" s="49"/>
      <c r="N2458" s="49"/>
      <c r="O2458" s="49"/>
      <c r="P2458" s="49"/>
      <c r="Q2458" s="49"/>
      <c r="R2458" s="49"/>
      <c r="S2458" s="49" t="n">
        <v>0</v>
      </c>
      <c r="T2458" s="49" t="n">
        <v>0</v>
      </c>
      <c r="U2458" s="49" t="s">
        <v>5163</v>
      </c>
    </row>
    <row r="2459" customFormat="false" ht="15" hidden="false" customHeight="false" outlineLevel="0" collapsed="false">
      <c r="B2459" s="48" t="n">
        <v>45794.4221064815</v>
      </c>
      <c r="C2459" s="4" t="n">
        <f aca="false">YEAR(B2459)</f>
        <v>2025</v>
      </c>
      <c r="D2459" s="49" t="s">
        <v>283</v>
      </c>
      <c r="E2459" s="49" t="s">
        <v>5164</v>
      </c>
      <c r="F2459" s="50" t="n">
        <v>1</v>
      </c>
      <c r="G2459" s="49" t="s">
        <v>290</v>
      </c>
      <c r="H2459" s="51" t="n">
        <v>0.2597</v>
      </c>
      <c r="I2459" s="51" t="n">
        <v>0.6871</v>
      </c>
      <c r="J2459" s="51" t="n">
        <v>0.0532</v>
      </c>
      <c r="K2459" s="49"/>
      <c r="L2459" s="49"/>
      <c r="M2459" s="49"/>
      <c r="N2459" s="49"/>
      <c r="O2459" s="49"/>
      <c r="P2459" s="49"/>
      <c r="Q2459" s="49"/>
      <c r="R2459" s="49"/>
      <c r="S2459" s="49" t="n">
        <v>0</v>
      </c>
      <c r="T2459" s="49" t="n">
        <v>0</v>
      </c>
      <c r="U2459" s="49" t="s">
        <v>5165</v>
      </c>
    </row>
    <row r="2460" customFormat="false" ht="15" hidden="false" customHeight="false" outlineLevel="0" collapsed="false">
      <c r="B2460" s="48" t="n">
        <v>45794.519212963</v>
      </c>
      <c r="C2460" s="4" t="n">
        <f aca="false">YEAR(B2460)</f>
        <v>2025</v>
      </c>
      <c r="D2460" s="49" t="s">
        <v>278</v>
      </c>
      <c r="E2460" s="49" t="s">
        <v>5166</v>
      </c>
      <c r="F2460" s="50" t="n">
        <v>0</v>
      </c>
      <c r="G2460" s="49" t="s">
        <v>280</v>
      </c>
      <c r="H2460" s="51" t="n">
        <v>0.5178</v>
      </c>
      <c r="I2460" s="51" t="n">
        <v>0.4658</v>
      </c>
      <c r="J2460" s="51" t="n">
        <v>0.0164</v>
      </c>
      <c r="K2460" s="49"/>
      <c r="L2460" s="49"/>
      <c r="M2460" s="49"/>
      <c r="N2460" s="49"/>
      <c r="O2460" s="49"/>
      <c r="P2460" s="49"/>
      <c r="Q2460" s="49" t="s">
        <v>281</v>
      </c>
      <c r="R2460" s="49"/>
      <c r="S2460" s="49" t="n">
        <v>0</v>
      </c>
      <c r="T2460" s="49" t="n">
        <v>0</v>
      </c>
      <c r="U2460" s="49" t="s">
        <v>5167</v>
      </c>
    </row>
    <row r="2461" customFormat="false" ht="15" hidden="false" customHeight="false" outlineLevel="0" collapsed="false">
      <c r="B2461" s="48" t="n">
        <v>45794.6862615741</v>
      </c>
      <c r="C2461" s="4" t="n">
        <f aca="false">YEAR(B2461)</f>
        <v>2025</v>
      </c>
      <c r="D2461" s="49" t="s">
        <v>278</v>
      </c>
      <c r="E2461" s="49" t="s">
        <v>5168</v>
      </c>
      <c r="F2461" s="50" t="n">
        <v>0</v>
      </c>
      <c r="G2461" s="49" t="s">
        <v>280</v>
      </c>
      <c r="H2461" s="51" t="n">
        <v>0.7518</v>
      </c>
      <c r="I2461" s="51" t="n">
        <v>0.2296</v>
      </c>
      <c r="J2461" s="51" t="n">
        <v>0.0186</v>
      </c>
      <c r="K2461" s="49"/>
      <c r="L2461" s="49"/>
      <c r="M2461" s="49"/>
      <c r="N2461" s="49"/>
      <c r="O2461" s="49"/>
      <c r="P2461" s="49"/>
      <c r="Q2461" s="49"/>
      <c r="R2461" s="49"/>
      <c r="S2461" s="49" t="n">
        <v>0</v>
      </c>
      <c r="T2461" s="49" t="n">
        <v>0</v>
      </c>
      <c r="U2461" s="49" t="s">
        <v>5169</v>
      </c>
    </row>
    <row r="2462" customFormat="false" ht="15" hidden="false" customHeight="false" outlineLevel="0" collapsed="false">
      <c r="B2462" s="48" t="n">
        <v>45794.825787037</v>
      </c>
      <c r="C2462" s="4" t="n">
        <f aca="false">YEAR(B2462)</f>
        <v>2025</v>
      </c>
      <c r="D2462" s="49" t="s">
        <v>283</v>
      </c>
      <c r="E2462" s="49" t="s">
        <v>5170</v>
      </c>
      <c r="F2462" s="50" t="n">
        <v>202</v>
      </c>
      <c r="G2462" s="49" t="s">
        <v>290</v>
      </c>
      <c r="H2462" s="51" t="n">
        <v>0.1857</v>
      </c>
      <c r="I2462" s="51" t="n">
        <v>0.6366</v>
      </c>
      <c r="J2462" s="51" t="n">
        <v>0.1777</v>
      </c>
      <c r="K2462" s="49"/>
      <c r="L2462" s="49"/>
      <c r="M2462" s="49"/>
      <c r="N2462" s="49"/>
      <c r="O2462" s="49"/>
      <c r="P2462" s="49"/>
      <c r="Q2462" s="49"/>
      <c r="R2462" s="49" t="s">
        <v>281</v>
      </c>
      <c r="S2462" s="49" t="n">
        <v>0</v>
      </c>
      <c r="T2462" s="49" t="n">
        <v>0</v>
      </c>
      <c r="U2462" s="49" t="s">
        <v>5171</v>
      </c>
    </row>
    <row r="2463" customFormat="false" ht="15" hidden="false" customHeight="false" outlineLevel="0" collapsed="false">
      <c r="B2463" s="48" t="n">
        <v>45794.9359375</v>
      </c>
      <c r="C2463" s="4" t="n">
        <f aca="false">YEAR(B2463)</f>
        <v>2025</v>
      </c>
      <c r="D2463" s="49" t="s">
        <v>283</v>
      </c>
      <c r="E2463" s="49" t="s">
        <v>5172</v>
      </c>
      <c r="F2463" s="50" t="n">
        <v>1</v>
      </c>
      <c r="G2463" s="49" t="s">
        <v>280</v>
      </c>
      <c r="H2463" s="51" t="n">
        <v>0.7372</v>
      </c>
      <c r="I2463" s="51" t="n">
        <v>0.2468</v>
      </c>
      <c r="J2463" s="51" t="n">
        <v>0.016</v>
      </c>
      <c r="K2463" s="49"/>
      <c r="L2463" s="49"/>
      <c r="M2463" s="49"/>
      <c r="N2463" s="49"/>
      <c r="O2463" s="49"/>
      <c r="P2463" s="49"/>
      <c r="Q2463" s="49"/>
      <c r="R2463" s="49" t="s">
        <v>281</v>
      </c>
      <c r="S2463" s="49" t="n">
        <v>0</v>
      </c>
      <c r="T2463" s="49" t="n">
        <v>0</v>
      </c>
      <c r="U2463" s="49" t="s">
        <v>5173</v>
      </c>
    </row>
    <row r="2464" customFormat="false" ht="15" hidden="false" customHeight="false" outlineLevel="0" collapsed="false">
      <c r="B2464" s="48" t="n">
        <v>45795.7781944444</v>
      </c>
      <c r="C2464" s="4" t="n">
        <f aca="false">YEAR(B2464)</f>
        <v>2025</v>
      </c>
      <c r="D2464" s="49" t="s">
        <v>283</v>
      </c>
      <c r="E2464" s="49" t="s">
        <v>5174</v>
      </c>
      <c r="F2464" s="50" t="n">
        <v>1</v>
      </c>
      <c r="G2464" s="49" t="s">
        <v>287</v>
      </c>
      <c r="H2464" s="51" t="n">
        <v>0.0024</v>
      </c>
      <c r="I2464" s="51" t="n">
        <v>0.1983</v>
      </c>
      <c r="J2464" s="51" t="n">
        <v>0.7994</v>
      </c>
      <c r="K2464" s="49"/>
      <c r="L2464" s="49"/>
      <c r="M2464" s="49"/>
      <c r="N2464" s="49"/>
      <c r="O2464" s="49"/>
      <c r="P2464" s="49"/>
      <c r="Q2464" s="49"/>
      <c r="R2464" s="49"/>
      <c r="S2464" s="49" t="n">
        <v>0</v>
      </c>
      <c r="T2464" s="49" t="n">
        <v>0</v>
      </c>
      <c r="U2464" s="49" t="s">
        <v>5175</v>
      </c>
    </row>
    <row r="2465" customFormat="false" ht="15" hidden="false" customHeight="false" outlineLevel="0" collapsed="false">
      <c r="B2465" s="48" t="n">
        <v>45795.9400347222</v>
      </c>
      <c r="C2465" s="4" t="n">
        <f aca="false">YEAR(B2465)</f>
        <v>2025</v>
      </c>
      <c r="D2465" s="49" t="s">
        <v>283</v>
      </c>
      <c r="E2465" s="49" t="s">
        <v>5176</v>
      </c>
      <c r="F2465" s="50" t="n">
        <v>1</v>
      </c>
      <c r="G2465" s="49" t="s">
        <v>290</v>
      </c>
      <c r="H2465" s="51" t="n">
        <v>0.0093</v>
      </c>
      <c r="I2465" s="51" t="n">
        <v>0.6409</v>
      </c>
      <c r="J2465" s="51" t="n">
        <v>0.3497</v>
      </c>
      <c r="K2465" s="49"/>
      <c r="L2465" s="49"/>
      <c r="M2465" s="49"/>
      <c r="N2465" s="49"/>
      <c r="O2465" s="49"/>
      <c r="P2465" s="49"/>
      <c r="Q2465" s="49"/>
      <c r="R2465" s="49"/>
      <c r="S2465" s="49" t="n">
        <v>0</v>
      </c>
      <c r="T2465" s="49" t="n">
        <v>0</v>
      </c>
      <c r="U2465" s="49" t="s">
        <v>5177</v>
      </c>
    </row>
    <row r="2466" customFormat="false" ht="15" hidden="false" customHeight="false" outlineLevel="0" collapsed="false">
      <c r="B2466" s="48" t="n">
        <v>45795.9656134259</v>
      </c>
      <c r="C2466" s="4" t="n">
        <f aca="false">YEAR(B2466)</f>
        <v>2025</v>
      </c>
      <c r="D2466" s="49" t="s">
        <v>283</v>
      </c>
      <c r="E2466" s="49" t="s">
        <v>5178</v>
      </c>
      <c r="F2466" s="50" t="n">
        <v>1</v>
      </c>
      <c r="G2466" s="49" t="s">
        <v>290</v>
      </c>
      <c r="H2466" s="51" t="n">
        <v>0.0354</v>
      </c>
      <c r="I2466" s="51" t="n">
        <v>0.8048</v>
      </c>
      <c r="J2466" s="51" t="n">
        <v>0.1598</v>
      </c>
      <c r="K2466" s="49"/>
      <c r="L2466" s="49"/>
      <c r="M2466" s="49"/>
      <c r="N2466" s="49"/>
      <c r="O2466" s="49"/>
      <c r="P2466" s="49"/>
      <c r="Q2466" s="49"/>
      <c r="R2466" s="49"/>
      <c r="S2466" s="49" t="n">
        <v>0</v>
      </c>
      <c r="T2466" s="49" t="n">
        <v>0</v>
      </c>
      <c r="U2466" s="49" t="s">
        <v>5179</v>
      </c>
    </row>
    <row r="2467" customFormat="false" ht="15" hidden="false" customHeight="false" outlineLevel="0" collapsed="false">
      <c r="B2467" s="48" t="n">
        <v>45796.1242939815</v>
      </c>
      <c r="C2467" s="4" t="n">
        <f aca="false">YEAR(B2467)</f>
        <v>2025</v>
      </c>
      <c r="D2467" s="49" t="s">
        <v>278</v>
      </c>
      <c r="E2467" s="49" t="s">
        <v>5180</v>
      </c>
      <c r="F2467" s="50" t="n">
        <v>1</v>
      </c>
      <c r="G2467" s="49" t="s">
        <v>280</v>
      </c>
      <c r="H2467" s="51" t="n">
        <v>0.5306</v>
      </c>
      <c r="I2467" s="51" t="n">
        <v>0.4468</v>
      </c>
      <c r="J2467" s="51" t="n">
        <v>0.0226</v>
      </c>
      <c r="K2467" s="49"/>
      <c r="L2467" s="49"/>
      <c r="M2467" s="49"/>
      <c r="N2467" s="49"/>
      <c r="O2467" s="49"/>
      <c r="P2467" s="49"/>
      <c r="Q2467" s="49"/>
      <c r="R2467" s="49"/>
      <c r="S2467" s="49" t="n">
        <v>0</v>
      </c>
      <c r="T2467" s="49" t="n">
        <v>0</v>
      </c>
      <c r="U2467" s="49" t="s">
        <v>5181</v>
      </c>
    </row>
    <row r="2468" customFormat="false" ht="15" hidden="false" customHeight="false" outlineLevel="0" collapsed="false">
      <c r="B2468" s="48" t="n">
        <v>45796.3307291667</v>
      </c>
      <c r="C2468" s="4" t="n">
        <f aca="false">YEAR(B2468)</f>
        <v>2025</v>
      </c>
      <c r="D2468" s="49" t="s">
        <v>278</v>
      </c>
      <c r="E2468" s="49" t="s">
        <v>5182</v>
      </c>
      <c r="F2468" s="50" t="n">
        <v>8</v>
      </c>
      <c r="G2468" s="49" t="s">
        <v>290</v>
      </c>
      <c r="H2468" s="51" t="n">
        <v>0.1167</v>
      </c>
      <c r="I2468" s="51" t="n">
        <v>0.6178</v>
      </c>
      <c r="J2468" s="51" t="n">
        <v>0.2655</v>
      </c>
      <c r="K2468" s="49"/>
      <c r="L2468" s="49"/>
      <c r="M2468" s="49"/>
      <c r="N2468" s="49"/>
      <c r="O2468" s="49"/>
      <c r="P2468" s="49"/>
      <c r="Q2468" s="49"/>
      <c r="R2468" s="49"/>
      <c r="S2468" s="49" t="n">
        <v>0</v>
      </c>
      <c r="T2468" s="49" t="n">
        <v>0</v>
      </c>
      <c r="U2468" s="49" t="s">
        <v>5183</v>
      </c>
    </row>
    <row r="2469" customFormat="false" ht="15" hidden="false" customHeight="false" outlineLevel="0" collapsed="false">
      <c r="B2469" s="48" t="n">
        <v>45796.7494444445</v>
      </c>
      <c r="C2469" s="4" t="n">
        <f aca="false">YEAR(B2469)</f>
        <v>2025</v>
      </c>
      <c r="D2469" s="49" t="s">
        <v>283</v>
      </c>
      <c r="E2469" s="49" t="s">
        <v>5184</v>
      </c>
      <c r="F2469" s="50" t="n">
        <v>14</v>
      </c>
      <c r="G2469" s="49" t="s">
        <v>287</v>
      </c>
      <c r="H2469" s="51" t="n">
        <v>0.0515</v>
      </c>
      <c r="I2469" s="51" t="n">
        <v>0.3113</v>
      </c>
      <c r="J2469" s="51" t="n">
        <v>0.6373</v>
      </c>
      <c r="K2469" s="49"/>
      <c r="L2469" s="49"/>
      <c r="M2469" s="49"/>
      <c r="N2469" s="49"/>
      <c r="O2469" s="49"/>
      <c r="P2469" s="49"/>
      <c r="Q2469" s="49"/>
      <c r="R2469" s="49"/>
      <c r="S2469" s="49" t="n">
        <v>0</v>
      </c>
      <c r="T2469" s="49" t="n">
        <v>0</v>
      </c>
      <c r="U2469" s="49" t="s">
        <v>5185</v>
      </c>
    </row>
    <row r="2470" customFormat="false" ht="15" hidden="false" customHeight="false" outlineLevel="0" collapsed="false">
      <c r="B2470" s="48" t="n">
        <v>45797.436412037</v>
      </c>
      <c r="C2470" s="4" t="n">
        <f aca="false">YEAR(B2470)</f>
        <v>2025</v>
      </c>
      <c r="D2470" s="49" t="s">
        <v>283</v>
      </c>
      <c r="E2470" s="49" t="s">
        <v>5186</v>
      </c>
      <c r="F2470" s="50" t="n">
        <v>1</v>
      </c>
      <c r="G2470" s="49" t="s">
        <v>287</v>
      </c>
      <c r="H2470" s="51" t="n">
        <v>0.0042</v>
      </c>
      <c r="I2470" s="51" t="n">
        <v>0.0925</v>
      </c>
      <c r="J2470" s="51" t="n">
        <v>0.9032</v>
      </c>
      <c r="K2470" s="49"/>
      <c r="L2470" s="49"/>
      <c r="M2470" s="49"/>
      <c r="N2470" s="49"/>
      <c r="O2470" s="49"/>
      <c r="P2470" s="49"/>
      <c r="Q2470" s="49"/>
      <c r="R2470" s="49"/>
      <c r="S2470" s="49" t="n">
        <v>0</v>
      </c>
      <c r="T2470" s="49" t="n">
        <v>0</v>
      </c>
      <c r="U2470" s="49" t="s">
        <v>5187</v>
      </c>
    </row>
    <row r="2471" customFormat="false" ht="15" hidden="false" customHeight="false" outlineLevel="0" collapsed="false">
      <c r="B2471" s="48" t="n">
        <v>45797.734837963</v>
      </c>
      <c r="C2471" s="4" t="n">
        <f aca="false">YEAR(B2471)</f>
        <v>2025</v>
      </c>
      <c r="D2471" s="49" t="s">
        <v>278</v>
      </c>
      <c r="E2471" s="49" t="s">
        <v>5188</v>
      </c>
      <c r="F2471" s="50" t="n">
        <v>1</v>
      </c>
      <c r="G2471" s="49" t="s">
        <v>290</v>
      </c>
      <c r="H2471" s="51" t="n">
        <v>0.0184</v>
      </c>
      <c r="I2471" s="51" t="n">
        <v>0.766</v>
      </c>
      <c r="J2471" s="51" t="n">
        <v>0.2156</v>
      </c>
      <c r="K2471" s="49"/>
      <c r="L2471" s="49"/>
      <c r="M2471" s="49"/>
      <c r="N2471" s="49"/>
      <c r="O2471" s="49"/>
      <c r="P2471" s="49"/>
      <c r="Q2471" s="49"/>
      <c r="R2471" s="49"/>
      <c r="S2471" s="49" t="n">
        <v>0</v>
      </c>
      <c r="T2471" s="49" t="n">
        <v>0</v>
      </c>
      <c r="U2471" s="49" t="s">
        <v>5189</v>
      </c>
    </row>
    <row r="2472" customFormat="false" ht="15" hidden="false" customHeight="false" outlineLevel="0" collapsed="false">
      <c r="B2472" s="48" t="n">
        <v>45797.9054976852</v>
      </c>
      <c r="C2472" s="4" t="n">
        <f aca="false">YEAR(B2472)</f>
        <v>2025</v>
      </c>
      <c r="D2472" s="49" t="s">
        <v>278</v>
      </c>
      <c r="E2472" s="49" t="s">
        <v>5190</v>
      </c>
      <c r="F2472" s="50" t="n">
        <v>0</v>
      </c>
      <c r="G2472" s="49" t="s">
        <v>280</v>
      </c>
      <c r="H2472" s="51" t="n">
        <v>0.6774</v>
      </c>
      <c r="I2472" s="51" t="n">
        <v>0.3103</v>
      </c>
      <c r="J2472" s="51" t="n">
        <v>0.0124</v>
      </c>
      <c r="K2472" s="49"/>
      <c r="L2472" s="49"/>
      <c r="M2472" s="49"/>
      <c r="N2472" s="49"/>
      <c r="O2472" s="49"/>
      <c r="P2472" s="49"/>
      <c r="Q2472" s="49"/>
      <c r="R2472" s="49" t="s">
        <v>281</v>
      </c>
      <c r="S2472" s="49" t="n">
        <v>0</v>
      </c>
      <c r="T2472" s="49" t="n">
        <v>0</v>
      </c>
      <c r="U2472" s="49" t="s">
        <v>5191</v>
      </c>
    </row>
    <row r="2473" customFormat="false" ht="15" hidden="false" customHeight="false" outlineLevel="0" collapsed="false">
      <c r="B2473" s="48" t="n">
        <v>45798.0454861111</v>
      </c>
      <c r="C2473" s="4" t="n">
        <f aca="false">YEAR(B2473)</f>
        <v>2025</v>
      </c>
      <c r="D2473" s="49" t="s">
        <v>283</v>
      </c>
      <c r="E2473" s="49" t="s">
        <v>5192</v>
      </c>
      <c r="F2473" s="50" t="n">
        <v>1</v>
      </c>
      <c r="G2473" s="49" t="s">
        <v>280</v>
      </c>
      <c r="H2473" s="51" t="n">
        <v>0.8603</v>
      </c>
      <c r="I2473" s="51" t="n">
        <v>0.1316</v>
      </c>
      <c r="J2473" s="51" t="n">
        <v>0.0081</v>
      </c>
      <c r="K2473" s="49"/>
      <c r="L2473" s="49"/>
      <c r="M2473" s="49"/>
      <c r="N2473" s="49"/>
      <c r="O2473" s="49"/>
      <c r="P2473" s="49"/>
      <c r="Q2473" s="49" t="s">
        <v>281</v>
      </c>
      <c r="R2473" s="49"/>
      <c r="S2473" s="49" t="n">
        <v>0</v>
      </c>
      <c r="T2473" s="49" t="n">
        <v>0</v>
      </c>
      <c r="U2473" s="49" t="s">
        <v>5193</v>
      </c>
    </row>
    <row r="2474" customFormat="false" ht="15" hidden="false" customHeight="false" outlineLevel="0" collapsed="false">
      <c r="B2474" s="48" t="n">
        <v>45798.1148611111</v>
      </c>
      <c r="C2474" s="4" t="n">
        <f aca="false">YEAR(B2474)</f>
        <v>2025</v>
      </c>
      <c r="D2474" s="49" t="s">
        <v>283</v>
      </c>
      <c r="E2474" s="49" t="s">
        <v>5194</v>
      </c>
      <c r="F2474" s="50" t="n">
        <v>160</v>
      </c>
      <c r="G2474" s="49" t="s">
        <v>280</v>
      </c>
      <c r="H2474" s="51" t="n">
        <v>0.4994</v>
      </c>
      <c r="I2474" s="51" t="n">
        <v>0.3635</v>
      </c>
      <c r="J2474" s="51" t="n">
        <v>0.1371</v>
      </c>
      <c r="K2474" s="49"/>
      <c r="L2474" s="49"/>
      <c r="M2474" s="49"/>
      <c r="N2474" s="49"/>
      <c r="O2474" s="49"/>
      <c r="P2474" s="49"/>
      <c r="Q2474" s="49"/>
      <c r="R2474" s="49"/>
      <c r="S2474" s="49" t="n">
        <v>0</v>
      </c>
      <c r="T2474" s="49" t="n">
        <v>0</v>
      </c>
      <c r="U2474" s="49" t="s">
        <v>5195</v>
      </c>
    </row>
    <row r="2475" customFormat="false" ht="15" hidden="false" customHeight="false" outlineLevel="0" collapsed="false">
      <c r="B2475" s="48" t="n">
        <v>45798.4197916667</v>
      </c>
      <c r="C2475" s="4" t="n">
        <f aca="false">YEAR(B2475)</f>
        <v>2025</v>
      </c>
      <c r="D2475" s="49" t="s">
        <v>283</v>
      </c>
      <c r="E2475" s="49" t="s">
        <v>5196</v>
      </c>
      <c r="F2475" s="50" t="n">
        <v>2</v>
      </c>
      <c r="G2475" s="49" t="s">
        <v>290</v>
      </c>
      <c r="H2475" s="51" t="n">
        <v>0.0507</v>
      </c>
      <c r="I2475" s="51" t="n">
        <v>0.7533</v>
      </c>
      <c r="J2475" s="51" t="n">
        <v>0.196</v>
      </c>
      <c r="K2475" s="49"/>
      <c r="L2475" s="49"/>
      <c r="M2475" s="49"/>
      <c r="N2475" s="49"/>
      <c r="O2475" s="49"/>
      <c r="P2475" s="49"/>
      <c r="Q2475" s="49"/>
      <c r="R2475" s="49"/>
      <c r="S2475" s="49" t="n">
        <v>0</v>
      </c>
      <c r="T2475" s="49" t="n">
        <v>0</v>
      </c>
      <c r="U2475" s="49" t="s">
        <v>5197</v>
      </c>
    </row>
    <row r="2476" customFormat="false" ht="15" hidden="false" customHeight="false" outlineLevel="0" collapsed="false">
      <c r="B2476" s="48" t="n">
        <v>45798.4632175926</v>
      </c>
      <c r="C2476" s="4" t="n">
        <f aca="false">YEAR(B2476)</f>
        <v>2025</v>
      </c>
      <c r="D2476" s="49" t="s">
        <v>278</v>
      </c>
      <c r="E2476" s="49" t="s">
        <v>5198</v>
      </c>
      <c r="F2476" s="50" t="n">
        <v>0</v>
      </c>
      <c r="G2476" s="49" t="s">
        <v>290</v>
      </c>
      <c r="H2476" s="51" t="n">
        <v>0.0362</v>
      </c>
      <c r="I2476" s="51" t="n">
        <v>0.8226</v>
      </c>
      <c r="J2476" s="51" t="n">
        <v>0.1412</v>
      </c>
      <c r="K2476" s="49"/>
      <c r="L2476" s="49"/>
      <c r="M2476" s="49"/>
      <c r="N2476" s="49"/>
      <c r="O2476" s="49"/>
      <c r="P2476" s="49"/>
      <c r="Q2476" s="49"/>
      <c r="R2476" s="49"/>
      <c r="S2476" s="49" t="n">
        <v>0</v>
      </c>
      <c r="T2476" s="49" t="n">
        <v>0</v>
      </c>
      <c r="U2476" s="49" t="s">
        <v>5199</v>
      </c>
    </row>
    <row r="2477" customFormat="false" ht="15" hidden="false" customHeight="false" outlineLevel="0" collapsed="false">
      <c r="B2477" s="48" t="n">
        <v>45798.6938773148</v>
      </c>
      <c r="C2477" s="4" t="n">
        <f aca="false">YEAR(B2477)</f>
        <v>2025</v>
      </c>
      <c r="D2477" s="49" t="s">
        <v>283</v>
      </c>
      <c r="E2477" s="49" t="s">
        <v>5200</v>
      </c>
      <c r="F2477" s="50" t="n">
        <v>22</v>
      </c>
      <c r="G2477" s="49" t="s">
        <v>280</v>
      </c>
      <c r="H2477" s="51" t="n">
        <v>0.5904</v>
      </c>
      <c r="I2477" s="51" t="n">
        <v>0.3746</v>
      </c>
      <c r="J2477" s="51" t="n">
        <v>0.035</v>
      </c>
      <c r="K2477" s="49"/>
      <c r="L2477" s="49"/>
      <c r="M2477" s="49" t="s">
        <v>281</v>
      </c>
      <c r="N2477" s="49"/>
      <c r="O2477" s="49"/>
      <c r="P2477" s="49"/>
      <c r="Q2477" s="49"/>
      <c r="R2477" s="49"/>
      <c r="S2477" s="49" t="n">
        <v>0</v>
      </c>
      <c r="T2477" s="49" t="n">
        <v>0</v>
      </c>
      <c r="U2477" s="49" t="s">
        <v>5201</v>
      </c>
    </row>
    <row r="2478" customFormat="false" ht="15" hidden="false" customHeight="false" outlineLevel="0" collapsed="false">
      <c r="B2478" s="48" t="n">
        <v>45798.9155671296</v>
      </c>
      <c r="C2478" s="4" t="n">
        <f aca="false">YEAR(B2478)</f>
        <v>2025</v>
      </c>
      <c r="D2478" s="49" t="s">
        <v>278</v>
      </c>
      <c r="E2478" s="49" t="s">
        <v>5202</v>
      </c>
      <c r="F2478" s="50" t="n">
        <v>1</v>
      </c>
      <c r="G2478" s="49" t="s">
        <v>280</v>
      </c>
      <c r="H2478" s="51" t="n">
        <v>0.5966</v>
      </c>
      <c r="I2478" s="51" t="n">
        <v>0.3873</v>
      </c>
      <c r="J2478" s="51" t="n">
        <v>0.0161</v>
      </c>
      <c r="K2478" s="49"/>
      <c r="L2478" s="49"/>
      <c r="M2478" s="49"/>
      <c r="N2478" s="49"/>
      <c r="O2478" s="49"/>
      <c r="P2478" s="49"/>
      <c r="Q2478" s="49"/>
      <c r="R2478" s="49"/>
      <c r="S2478" s="49" t="n">
        <v>0</v>
      </c>
      <c r="T2478" s="49" t="n">
        <v>0</v>
      </c>
      <c r="U2478" s="49" t="s">
        <v>5203</v>
      </c>
    </row>
    <row r="2479" customFormat="false" ht="15" hidden="false" customHeight="false" outlineLevel="0" collapsed="false">
      <c r="B2479" s="48" t="n">
        <v>45798.9389583333</v>
      </c>
      <c r="C2479" s="4" t="n">
        <f aca="false">YEAR(B2479)</f>
        <v>2025</v>
      </c>
      <c r="D2479" s="49" t="s">
        <v>278</v>
      </c>
      <c r="E2479" s="49" t="s">
        <v>5204</v>
      </c>
      <c r="F2479" s="50" t="n">
        <v>43</v>
      </c>
      <c r="G2479" s="49" t="s">
        <v>280</v>
      </c>
      <c r="H2479" s="51" t="n">
        <v>0.9399</v>
      </c>
      <c r="I2479" s="51" t="n">
        <v>0.054</v>
      </c>
      <c r="J2479" s="51" t="n">
        <v>0.0061</v>
      </c>
      <c r="K2479" s="49"/>
      <c r="L2479" s="49"/>
      <c r="M2479" s="49"/>
      <c r="N2479" s="49"/>
      <c r="O2479" s="49"/>
      <c r="P2479" s="49"/>
      <c r="Q2479" s="49"/>
      <c r="R2479" s="49"/>
      <c r="S2479" s="49" t="n">
        <v>0</v>
      </c>
      <c r="T2479" s="49" t="n">
        <v>1</v>
      </c>
      <c r="U2479" s="49" t="s">
        <v>5205</v>
      </c>
    </row>
    <row r="2480" customFormat="false" ht="15" hidden="false" customHeight="false" outlineLevel="0" collapsed="false">
      <c r="B2480" s="48" t="n">
        <v>45799.5334837963</v>
      </c>
      <c r="C2480" s="4" t="n">
        <f aca="false">YEAR(B2480)</f>
        <v>2025</v>
      </c>
      <c r="D2480" s="49" t="s">
        <v>283</v>
      </c>
      <c r="E2480" s="49" t="s">
        <v>5206</v>
      </c>
      <c r="F2480" s="50" t="n">
        <v>63</v>
      </c>
      <c r="G2480" s="49" t="s">
        <v>287</v>
      </c>
      <c r="H2480" s="51" t="n">
        <v>0.0143</v>
      </c>
      <c r="I2480" s="51" t="n">
        <v>0.4236</v>
      </c>
      <c r="J2480" s="51" t="n">
        <v>0.5621</v>
      </c>
      <c r="K2480" s="49"/>
      <c r="L2480" s="49"/>
      <c r="M2480" s="49"/>
      <c r="N2480" s="49"/>
      <c r="O2480" s="49"/>
      <c r="P2480" s="49"/>
      <c r="Q2480" s="49"/>
      <c r="R2480" s="49"/>
      <c r="S2480" s="49" t="n">
        <v>0</v>
      </c>
      <c r="T2480" s="49" t="n">
        <v>0</v>
      </c>
      <c r="U2480" s="49" t="s">
        <v>5207</v>
      </c>
    </row>
    <row r="2481" customFormat="false" ht="15" hidden="false" customHeight="false" outlineLevel="0" collapsed="false">
      <c r="B2481" s="48" t="n">
        <v>45799.7121990741</v>
      </c>
      <c r="C2481" s="4" t="n">
        <f aca="false">YEAR(B2481)</f>
        <v>2025</v>
      </c>
      <c r="D2481" s="49" t="s">
        <v>283</v>
      </c>
      <c r="E2481" s="49" t="s">
        <v>5208</v>
      </c>
      <c r="F2481" s="50" t="n">
        <v>1</v>
      </c>
      <c r="G2481" s="49" t="s">
        <v>290</v>
      </c>
      <c r="H2481" s="51" t="n">
        <v>0.0642</v>
      </c>
      <c r="I2481" s="51" t="n">
        <v>0.5357</v>
      </c>
      <c r="J2481" s="51" t="n">
        <v>0.4001</v>
      </c>
      <c r="K2481" s="49" t="s">
        <v>281</v>
      </c>
      <c r="L2481" s="49"/>
      <c r="M2481" s="49"/>
      <c r="N2481" s="49"/>
      <c r="O2481" s="49"/>
      <c r="P2481" s="49"/>
      <c r="Q2481" s="49"/>
      <c r="R2481" s="49"/>
      <c r="S2481" s="49" t="n">
        <v>0</v>
      </c>
      <c r="T2481" s="49" t="n">
        <v>0</v>
      </c>
      <c r="U2481" s="49" t="s">
        <v>5209</v>
      </c>
    </row>
    <row r="2482" customFormat="false" ht="15" hidden="false" customHeight="false" outlineLevel="0" collapsed="false">
      <c r="B2482" s="48" t="n">
        <v>45800.6271875</v>
      </c>
      <c r="C2482" s="4" t="n">
        <f aca="false">YEAR(B2482)</f>
        <v>2025</v>
      </c>
      <c r="D2482" s="49" t="s">
        <v>278</v>
      </c>
      <c r="E2482" s="49" t="s">
        <v>5210</v>
      </c>
      <c r="F2482" s="50" t="n">
        <v>2</v>
      </c>
      <c r="G2482" s="49" t="s">
        <v>290</v>
      </c>
      <c r="H2482" s="51" t="n">
        <v>0.1177</v>
      </c>
      <c r="I2482" s="51" t="n">
        <v>0.7765</v>
      </c>
      <c r="J2482" s="51" t="n">
        <v>0.1058</v>
      </c>
      <c r="K2482" s="49" t="s">
        <v>281</v>
      </c>
      <c r="L2482" s="49"/>
      <c r="M2482" s="49"/>
      <c r="N2482" s="49"/>
      <c r="O2482" s="49"/>
      <c r="P2482" s="49"/>
      <c r="Q2482" s="49"/>
      <c r="R2482" s="49"/>
      <c r="S2482" s="49" t="n">
        <v>0</v>
      </c>
      <c r="T2482" s="49" t="n">
        <v>0</v>
      </c>
      <c r="U2482" s="49" t="s">
        <v>5211</v>
      </c>
    </row>
    <row r="2483" customFormat="false" ht="15" hidden="false" customHeight="false" outlineLevel="0" collapsed="false">
      <c r="B2483" s="48" t="n">
        <v>45800.6882291667</v>
      </c>
      <c r="C2483" s="4" t="n">
        <f aca="false">YEAR(B2483)</f>
        <v>2025</v>
      </c>
      <c r="D2483" s="49" t="s">
        <v>283</v>
      </c>
      <c r="E2483" s="49" t="s">
        <v>5212</v>
      </c>
      <c r="F2483" s="50" t="n">
        <v>1</v>
      </c>
      <c r="G2483" s="49" t="s">
        <v>280</v>
      </c>
      <c r="H2483" s="51" t="n">
        <v>0.6978</v>
      </c>
      <c r="I2483" s="51" t="n">
        <v>0.2919</v>
      </c>
      <c r="J2483" s="51" t="n">
        <v>0.0103</v>
      </c>
      <c r="K2483" s="49"/>
      <c r="L2483" s="49"/>
      <c r="M2483" s="49"/>
      <c r="N2483" s="49"/>
      <c r="O2483" s="49"/>
      <c r="P2483" s="49"/>
      <c r="Q2483" s="49"/>
      <c r="R2483" s="49"/>
      <c r="S2483" s="49" t="n">
        <v>0</v>
      </c>
      <c r="T2483" s="49" t="n">
        <v>0</v>
      </c>
      <c r="U2483" s="49" t="s">
        <v>5213</v>
      </c>
    </row>
    <row r="2484" customFormat="false" ht="15" hidden="false" customHeight="false" outlineLevel="0" collapsed="false">
      <c r="B2484" s="48" t="n">
        <v>45800.8075231482</v>
      </c>
      <c r="C2484" s="4" t="n">
        <f aca="false">YEAR(B2484)</f>
        <v>2025</v>
      </c>
      <c r="D2484" s="49" t="s">
        <v>283</v>
      </c>
      <c r="E2484" s="49" t="s">
        <v>5214</v>
      </c>
      <c r="F2484" s="50" t="n">
        <v>1</v>
      </c>
      <c r="G2484" s="49" t="s">
        <v>287</v>
      </c>
      <c r="H2484" s="51" t="n">
        <v>0.0022</v>
      </c>
      <c r="I2484" s="51" t="n">
        <v>0.0313</v>
      </c>
      <c r="J2484" s="51" t="n">
        <v>0.9664</v>
      </c>
      <c r="K2484" s="49"/>
      <c r="L2484" s="49"/>
      <c r="M2484" s="49"/>
      <c r="N2484" s="49"/>
      <c r="O2484" s="49"/>
      <c r="P2484" s="49"/>
      <c r="Q2484" s="49"/>
      <c r="R2484" s="49"/>
      <c r="S2484" s="49" t="n">
        <v>0</v>
      </c>
      <c r="T2484" s="49" t="n">
        <v>0</v>
      </c>
      <c r="U2484" s="49" t="s">
        <v>5215</v>
      </c>
    </row>
    <row r="2485" customFormat="false" ht="15" hidden="false" customHeight="false" outlineLevel="0" collapsed="false">
      <c r="B2485" s="48" t="n">
        <v>45801.1136574074</v>
      </c>
      <c r="C2485" s="4" t="n">
        <f aca="false">YEAR(B2485)</f>
        <v>2025</v>
      </c>
      <c r="D2485" s="49" t="s">
        <v>283</v>
      </c>
      <c r="E2485" s="49" t="s">
        <v>5216</v>
      </c>
      <c r="F2485" s="50" t="n">
        <v>1</v>
      </c>
      <c r="G2485" s="49" t="s">
        <v>287</v>
      </c>
      <c r="H2485" s="51" t="n">
        <v>0.0317</v>
      </c>
      <c r="I2485" s="51" t="n">
        <v>0.3522</v>
      </c>
      <c r="J2485" s="51" t="n">
        <v>0.6161</v>
      </c>
      <c r="K2485" s="49"/>
      <c r="L2485" s="49"/>
      <c r="M2485" s="49"/>
      <c r="N2485" s="49"/>
      <c r="O2485" s="49"/>
      <c r="P2485" s="49"/>
      <c r="Q2485" s="49"/>
      <c r="R2485" s="49" t="s">
        <v>281</v>
      </c>
      <c r="S2485" s="49" t="n">
        <v>0</v>
      </c>
      <c r="T2485" s="49" t="n">
        <v>0</v>
      </c>
      <c r="U2485" s="49" t="s">
        <v>5217</v>
      </c>
    </row>
    <row r="2486" customFormat="false" ht="15" hidden="false" customHeight="false" outlineLevel="0" collapsed="false">
      <c r="B2486" s="48" t="n">
        <v>45801.6330555556</v>
      </c>
      <c r="C2486" s="4" t="n">
        <f aca="false">YEAR(B2486)</f>
        <v>2025</v>
      </c>
      <c r="D2486" s="49" t="s">
        <v>283</v>
      </c>
      <c r="E2486" s="49" t="s">
        <v>5218</v>
      </c>
      <c r="F2486" s="50" t="n">
        <v>1</v>
      </c>
      <c r="G2486" s="49" t="s">
        <v>290</v>
      </c>
      <c r="H2486" s="51" t="n">
        <v>0.0257</v>
      </c>
      <c r="I2486" s="51" t="n">
        <v>0.7769</v>
      </c>
      <c r="J2486" s="51" t="n">
        <v>0.1974</v>
      </c>
      <c r="K2486" s="49"/>
      <c r="L2486" s="49"/>
      <c r="M2486" s="49"/>
      <c r="N2486" s="49"/>
      <c r="O2486" s="49"/>
      <c r="P2486" s="49"/>
      <c r="Q2486" s="49"/>
      <c r="R2486" s="49"/>
      <c r="S2486" s="49" t="n">
        <v>0</v>
      </c>
      <c r="T2486" s="49" t="n">
        <v>0</v>
      </c>
      <c r="U2486" s="49" t="s">
        <v>5219</v>
      </c>
    </row>
    <row r="2487" customFormat="false" ht="15" hidden="false" customHeight="false" outlineLevel="0" collapsed="false">
      <c r="B2487" s="48" t="n">
        <v>45801.8563425926</v>
      </c>
      <c r="C2487" s="4" t="n">
        <f aca="false">YEAR(B2487)</f>
        <v>2025</v>
      </c>
      <c r="D2487" s="49" t="s">
        <v>278</v>
      </c>
      <c r="E2487" s="49" t="s">
        <v>5220</v>
      </c>
      <c r="F2487" s="50" t="n">
        <v>2</v>
      </c>
      <c r="G2487" s="49" t="s">
        <v>280</v>
      </c>
      <c r="H2487" s="51" t="n">
        <v>0.7311</v>
      </c>
      <c r="I2487" s="51" t="n">
        <v>0.2416</v>
      </c>
      <c r="J2487" s="51" t="n">
        <v>0.0273</v>
      </c>
      <c r="K2487" s="49"/>
      <c r="L2487" s="49"/>
      <c r="M2487" s="49"/>
      <c r="N2487" s="49"/>
      <c r="O2487" s="49"/>
      <c r="P2487" s="49"/>
      <c r="Q2487" s="49"/>
      <c r="R2487" s="49"/>
      <c r="S2487" s="49" t="n">
        <v>0</v>
      </c>
      <c r="T2487" s="49" t="n">
        <v>0</v>
      </c>
      <c r="U2487" s="49" t="s">
        <v>5221</v>
      </c>
    </row>
    <row r="2488" customFormat="false" ht="15" hidden="false" customHeight="false" outlineLevel="0" collapsed="false">
      <c r="B2488" s="48" t="n">
        <v>45802.141724537</v>
      </c>
      <c r="C2488" s="4" t="n">
        <f aca="false">YEAR(B2488)</f>
        <v>2025</v>
      </c>
      <c r="D2488" s="49" t="s">
        <v>278</v>
      </c>
      <c r="E2488" s="49" t="s">
        <v>5222</v>
      </c>
      <c r="F2488" s="50" t="n">
        <v>1</v>
      </c>
      <c r="G2488" s="49" t="s">
        <v>280</v>
      </c>
      <c r="H2488" s="51" t="n">
        <v>0.648</v>
      </c>
      <c r="I2488" s="51" t="n">
        <v>0.3083</v>
      </c>
      <c r="J2488" s="51" t="n">
        <v>0.0436</v>
      </c>
      <c r="K2488" s="49"/>
      <c r="L2488" s="49"/>
      <c r="M2488" s="49"/>
      <c r="N2488" s="49"/>
      <c r="O2488" s="49"/>
      <c r="P2488" s="49"/>
      <c r="Q2488" s="49"/>
      <c r="R2488" s="49"/>
      <c r="S2488" s="49" t="n">
        <v>0</v>
      </c>
      <c r="T2488" s="49" t="n">
        <v>0</v>
      </c>
      <c r="U2488" s="49" t="s">
        <v>5223</v>
      </c>
    </row>
    <row r="2489" customFormat="false" ht="15" hidden="false" customHeight="false" outlineLevel="0" collapsed="false">
      <c r="B2489" s="48" t="n">
        <v>45802.2102893519</v>
      </c>
      <c r="C2489" s="4" t="n">
        <f aca="false">YEAR(B2489)</f>
        <v>2025</v>
      </c>
      <c r="D2489" s="49" t="s">
        <v>283</v>
      </c>
      <c r="E2489" s="49" t="s">
        <v>5224</v>
      </c>
      <c r="F2489" s="50" t="n">
        <v>0</v>
      </c>
      <c r="G2489" s="49" t="s">
        <v>280</v>
      </c>
      <c r="H2489" s="51" t="n">
        <v>0.8403</v>
      </c>
      <c r="I2489" s="51" t="n">
        <v>0.1485</v>
      </c>
      <c r="J2489" s="51" t="n">
        <v>0.0112</v>
      </c>
      <c r="K2489" s="49" t="s">
        <v>281</v>
      </c>
      <c r="L2489" s="49"/>
      <c r="M2489" s="49"/>
      <c r="N2489" s="49"/>
      <c r="O2489" s="49"/>
      <c r="P2489" s="49"/>
      <c r="Q2489" s="49"/>
      <c r="R2489" s="49"/>
      <c r="S2489" s="49" t="n">
        <v>0</v>
      </c>
      <c r="T2489" s="49" t="n">
        <v>0</v>
      </c>
      <c r="U2489" s="49" t="s">
        <v>5225</v>
      </c>
    </row>
    <row r="2490" customFormat="false" ht="15" hidden="false" customHeight="false" outlineLevel="0" collapsed="false">
      <c r="B2490" s="48" t="n">
        <v>45802.9050115741</v>
      </c>
      <c r="C2490" s="4" t="n">
        <f aca="false">YEAR(B2490)</f>
        <v>2025</v>
      </c>
      <c r="D2490" s="49" t="s">
        <v>283</v>
      </c>
      <c r="E2490" s="49" t="s">
        <v>5226</v>
      </c>
      <c r="F2490" s="50" t="n">
        <v>10</v>
      </c>
      <c r="G2490" s="49" t="s">
        <v>287</v>
      </c>
      <c r="H2490" s="51" t="n">
        <v>0.0032</v>
      </c>
      <c r="I2490" s="51" t="n">
        <v>0.0248</v>
      </c>
      <c r="J2490" s="51" t="n">
        <v>0.972</v>
      </c>
      <c r="K2490" s="49"/>
      <c r="L2490" s="49"/>
      <c r="M2490" s="49"/>
      <c r="N2490" s="49"/>
      <c r="O2490" s="49"/>
      <c r="P2490" s="49"/>
      <c r="Q2490" s="49"/>
      <c r="R2490" s="49"/>
      <c r="S2490" s="49" t="n">
        <v>0</v>
      </c>
      <c r="T2490" s="49" t="n">
        <v>0</v>
      </c>
      <c r="U2490" s="49" t="s">
        <v>5227</v>
      </c>
    </row>
    <row r="2491" customFormat="false" ht="15" hidden="false" customHeight="false" outlineLevel="0" collapsed="false">
      <c r="B2491" s="48" t="n">
        <v>45803.4019675926</v>
      </c>
      <c r="C2491" s="4" t="n">
        <f aca="false">YEAR(B2491)</f>
        <v>2025</v>
      </c>
      <c r="D2491" s="49" t="s">
        <v>278</v>
      </c>
      <c r="E2491" s="49" t="s">
        <v>5228</v>
      </c>
      <c r="F2491" s="50" t="n">
        <v>15</v>
      </c>
      <c r="G2491" s="49" t="s">
        <v>280</v>
      </c>
      <c r="H2491" s="51" t="n">
        <v>0.6906</v>
      </c>
      <c r="I2491" s="51" t="n">
        <v>0.2915</v>
      </c>
      <c r="J2491" s="51" t="n">
        <v>0.0179</v>
      </c>
      <c r="K2491" s="49"/>
      <c r="L2491" s="49"/>
      <c r="M2491" s="49"/>
      <c r="N2491" s="49"/>
      <c r="O2491" s="49"/>
      <c r="P2491" s="49"/>
      <c r="Q2491" s="49"/>
      <c r="R2491" s="49"/>
      <c r="S2491" s="49" t="n">
        <v>0</v>
      </c>
      <c r="T2491" s="49" t="n">
        <v>0</v>
      </c>
      <c r="U2491" s="49" t="s">
        <v>5229</v>
      </c>
    </row>
    <row r="2492" customFormat="false" ht="15" hidden="false" customHeight="false" outlineLevel="0" collapsed="false">
      <c r="B2492" s="48" t="n">
        <v>45803.6280787037</v>
      </c>
      <c r="C2492" s="4" t="n">
        <f aca="false">YEAR(B2492)</f>
        <v>2025</v>
      </c>
      <c r="D2492" s="49" t="s">
        <v>278</v>
      </c>
      <c r="E2492" s="49" t="s">
        <v>5230</v>
      </c>
      <c r="F2492" s="50" t="n">
        <v>0</v>
      </c>
      <c r="G2492" s="49" t="s">
        <v>280</v>
      </c>
      <c r="H2492" s="51" t="n">
        <v>0.7519</v>
      </c>
      <c r="I2492" s="51" t="n">
        <v>0.2346</v>
      </c>
      <c r="J2492" s="51" t="n">
        <v>0.0135</v>
      </c>
      <c r="K2492" s="49"/>
      <c r="L2492" s="49"/>
      <c r="M2492" s="49"/>
      <c r="N2492" s="49"/>
      <c r="O2492" s="49"/>
      <c r="P2492" s="49"/>
      <c r="Q2492" s="49"/>
      <c r="R2492" s="49" t="s">
        <v>281</v>
      </c>
      <c r="S2492" s="49" t="n">
        <v>0</v>
      </c>
      <c r="T2492" s="49" t="n">
        <v>0</v>
      </c>
      <c r="U2492" s="49" t="s">
        <v>5231</v>
      </c>
    </row>
    <row r="2493" customFormat="false" ht="15" hidden="false" customHeight="false" outlineLevel="0" collapsed="false">
      <c r="B2493" s="48" t="n">
        <v>45803.6438310185</v>
      </c>
      <c r="C2493" s="4" t="n">
        <f aca="false">YEAR(B2493)</f>
        <v>2025</v>
      </c>
      <c r="D2493" s="49" t="s">
        <v>278</v>
      </c>
      <c r="E2493" s="49" t="s">
        <v>5232</v>
      </c>
      <c r="F2493" s="50" t="n">
        <v>176</v>
      </c>
      <c r="G2493" s="49" t="s">
        <v>280</v>
      </c>
      <c r="H2493" s="51" t="n">
        <v>0.9054</v>
      </c>
      <c r="I2493" s="51" t="n">
        <v>0.0868</v>
      </c>
      <c r="J2493" s="51" t="n">
        <v>0.0078</v>
      </c>
      <c r="K2493" s="49"/>
      <c r="L2493" s="49"/>
      <c r="M2493" s="49"/>
      <c r="N2493" s="49"/>
      <c r="O2493" s="49"/>
      <c r="P2493" s="49"/>
      <c r="Q2493" s="49"/>
      <c r="R2493" s="49"/>
      <c r="S2493" s="49" t="n">
        <v>0</v>
      </c>
      <c r="T2493" s="49" t="n">
        <v>0</v>
      </c>
      <c r="U2493" s="49" t="s">
        <v>5233</v>
      </c>
    </row>
    <row r="2494" customFormat="false" ht="15" hidden="false" customHeight="false" outlineLevel="0" collapsed="false">
      <c r="B2494" s="48" t="n">
        <v>45804.2268171296</v>
      </c>
      <c r="C2494" s="4" t="n">
        <f aca="false">YEAR(B2494)</f>
        <v>2025</v>
      </c>
      <c r="D2494" s="49" t="s">
        <v>283</v>
      </c>
      <c r="E2494" s="49" t="s">
        <v>5234</v>
      </c>
      <c r="F2494" s="50" t="n">
        <v>3</v>
      </c>
      <c r="G2494" s="49" t="s">
        <v>280</v>
      </c>
      <c r="H2494" s="51" t="n">
        <v>0.5789</v>
      </c>
      <c r="I2494" s="51" t="n">
        <v>0.3918</v>
      </c>
      <c r="J2494" s="51" t="n">
        <v>0.0293</v>
      </c>
      <c r="K2494" s="49"/>
      <c r="L2494" s="49"/>
      <c r="M2494" s="49"/>
      <c r="N2494" s="49"/>
      <c r="O2494" s="49"/>
      <c r="P2494" s="49"/>
      <c r="Q2494" s="49"/>
      <c r="R2494" s="49"/>
      <c r="S2494" s="49" t="n">
        <v>0</v>
      </c>
      <c r="T2494" s="49" t="n">
        <v>0</v>
      </c>
      <c r="U2494" s="49" t="s">
        <v>5235</v>
      </c>
    </row>
    <row r="2495" customFormat="false" ht="15" hidden="false" customHeight="false" outlineLevel="0" collapsed="false">
      <c r="B2495" s="48" t="n">
        <v>45804.4581018519</v>
      </c>
      <c r="C2495" s="4" t="n">
        <f aca="false">YEAR(B2495)</f>
        <v>2025</v>
      </c>
      <c r="D2495" s="49" t="s">
        <v>283</v>
      </c>
      <c r="E2495" s="49" t="s">
        <v>5236</v>
      </c>
      <c r="F2495" s="50" t="n">
        <v>2</v>
      </c>
      <c r="G2495" s="49" t="s">
        <v>290</v>
      </c>
      <c r="H2495" s="51" t="n">
        <v>0.0808</v>
      </c>
      <c r="I2495" s="51" t="n">
        <v>0.603</v>
      </c>
      <c r="J2495" s="51" t="n">
        <v>0.3162</v>
      </c>
      <c r="K2495" s="49"/>
      <c r="L2495" s="49"/>
      <c r="M2495" s="49"/>
      <c r="N2495" s="49"/>
      <c r="O2495" s="49"/>
      <c r="P2495" s="49"/>
      <c r="Q2495" s="49"/>
      <c r="R2495" s="49"/>
      <c r="S2495" s="49" t="n">
        <v>0</v>
      </c>
      <c r="T2495" s="49" t="n">
        <v>0</v>
      </c>
      <c r="U2495" s="49" t="s">
        <v>5237</v>
      </c>
    </row>
    <row r="2496" customFormat="false" ht="15" hidden="false" customHeight="false" outlineLevel="0" collapsed="false">
      <c r="B2496" s="48" t="n">
        <v>45804.8698842593</v>
      </c>
      <c r="C2496" s="4" t="n">
        <f aca="false">YEAR(B2496)</f>
        <v>2025</v>
      </c>
      <c r="D2496" s="49" t="s">
        <v>278</v>
      </c>
      <c r="E2496" s="49" t="s">
        <v>5238</v>
      </c>
      <c r="F2496" s="50" t="n">
        <v>12</v>
      </c>
      <c r="G2496" s="49" t="s">
        <v>290</v>
      </c>
      <c r="H2496" s="51" t="n">
        <v>0.2334</v>
      </c>
      <c r="I2496" s="51" t="n">
        <v>0.5448</v>
      </c>
      <c r="J2496" s="51" t="n">
        <v>0.2219</v>
      </c>
      <c r="K2496" s="49"/>
      <c r="L2496" s="49"/>
      <c r="M2496" s="49"/>
      <c r="N2496" s="49"/>
      <c r="O2496" s="49"/>
      <c r="P2496" s="49"/>
      <c r="Q2496" s="49"/>
      <c r="R2496" s="49"/>
      <c r="S2496" s="49" t="n">
        <v>0</v>
      </c>
      <c r="T2496" s="49" t="n">
        <v>0</v>
      </c>
      <c r="U2496" s="49" t="s">
        <v>5239</v>
      </c>
    </row>
    <row r="2497" customFormat="false" ht="15" hidden="false" customHeight="false" outlineLevel="0" collapsed="false">
      <c r="B2497" s="48" t="n">
        <v>45805.0903356482</v>
      </c>
      <c r="C2497" s="4" t="n">
        <f aca="false">YEAR(B2497)</f>
        <v>2025</v>
      </c>
      <c r="D2497" s="49" t="s">
        <v>278</v>
      </c>
      <c r="E2497" s="49" t="s">
        <v>5240</v>
      </c>
      <c r="F2497" s="50" t="n">
        <v>5</v>
      </c>
      <c r="G2497" s="49" t="s">
        <v>287</v>
      </c>
      <c r="H2497" s="51" t="n">
        <v>0.0056</v>
      </c>
      <c r="I2497" s="51" t="n">
        <v>0.0298</v>
      </c>
      <c r="J2497" s="51" t="n">
        <v>0.9645</v>
      </c>
      <c r="K2497" s="49"/>
      <c r="L2497" s="49"/>
      <c r="M2497" s="49"/>
      <c r="N2497" s="49"/>
      <c r="O2497" s="49"/>
      <c r="P2497" s="49"/>
      <c r="Q2497" s="49" t="s">
        <v>281</v>
      </c>
      <c r="R2497" s="49"/>
      <c r="S2497" s="49" t="n">
        <v>0</v>
      </c>
      <c r="T2497" s="49" t="n">
        <v>0</v>
      </c>
      <c r="U2497" s="49" t="s">
        <v>5241</v>
      </c>
    </row>
    <row r="2498" customFormat="false" ht="15" hidden="false" customHeight="false" outlineLevel="0" collapsed="false">
      <c r="B2498" s="48" t="n">
        <v>45805.6343055556</v>
      </c>
      <c r="C2498" s="4" t="n">
        <f aca="false">YEAR(B2498)</f>
        <v>2025</v>
      </c>
      <c r="D2498" s="49" t="s">
        <v>283</v>
      </c>
      <c r="E2498" s="49" t="s">
        <v>5242</v>
      </c>
      <c r="F2498" s="50" t="n">
        <v>10</v>
      </c>
      <c r="G2498" s="49" t="s">
        <v>287</v>
      </c>
      <c r="H2498" s="51" t="n">
        <v>0.0042</v>
      </c>
      <c r="I2498" s="51" t="n">
        <v>0.061</v>
      </c>
      <c r="J2498" s="51" t="n">
        <v>0.9348</v>
      </c>
      <c r="K2498" s="49"/>
      <c r="L2498" s="49"/>
      <c r="M2498" s="49"/>
      <c r="N2498" s="49"/>
      <c r="O2498" s="49"/>
      <c r="P2498" s="49"/>
      <c r="Q2498" s="49"/>
      <c r="R2498" s="49"/>
      <c r="S2498" s="49" t="n">
        <v>0</v>
      </c>
      <c r="T2498" s="49" t="n">
        <v>0</v>
      </c>
      <c r="U2498" s="49" t="s">
        <v>5243</v>
      </c>
    </row>
    <row r="2499" customFormat="false" ht="15" hidden="false" customHeight="false" outlineLevel="0" collapsed="false">
      <c r="B2499" s="48" t="n">
        <v>45805.91</v>
      </c>
      <c r="C2499" s="4" t="n">
        <f aca="false">YEAR(B2499)</f>
        <v>2025</v>
      </c>
      <c r="D2499" s="49" t="s">
        <v>283</v>
      </c>
      <c r="E2499" s="49" t="s">
        <v>5244</v>
      </c>
      <c r="F2499" s="50" t="n">
        <v>136</v>
      </c>
      <c r="G2499" s="49" t="s">
        <v>280</v>
      </c>
      <c r="H2499" s="51" t="n">
        <v>0.7037</v>
      </c>
      <c r="I2499" s="51" t="n">
        <v>0.2332</v>
      </c>
      <c r="J2499" s="51" t="n">
        <v>0.0631</v>
      </c>
      <c r="K2499" s="49"/>
      <c r="L2499" s="49"/>
      <c r="M2499" s="49"/>
      <c r="N2499" s="49"/>
      <c r="O2499" s="49"/>
      <c r="P2499" s="49"/>
      <c r="Q2499" s="49"/>
      <c r="R2499" s="49"/>
      <c r="S2499" s="49" t="n">
        <v>0</v>
      </c>
      <c r="T2499" s="49" t="n">
        <v>0</v>
      </c>
      <c r="U2499" s="49" t="s">
        <v>5245</v>
      </c>
    </row>
    <row r="2500" customFormat="false" ht="15" hidden="false" customHeight="false" outlineLevel="0" collapsed="false">
      <c r="B2500" s="48" t="n">
        <v>45805.951087963</v>
      </c>
      <c r="C2500" s="4" t="n">
        <f aca="false">YEAR(B2500)</f>
        <v>2025</v>
      </c>
      <c r="D2500" s="49" t="s">
        <v>283</v>
      </c>
      <c r="E2500" s="49" t="s">
        <v>5246</v>
      </c>
      <c r="F2500" s="50" t="n">
        <v>2</v>
      </c>
      <c r="G2500" s="49" t="s">
        <v>287</v>
      </c>
      <c r="H2500" s="51" t="n">
        <v>0.0032</v>
      </c>
      <c r="I2500" s="51" t="n">
        <v>0.1219</v>
      </c>
      <c r="J2500" s="51" t="n">
        <v>0.8749</v>
      </c>
      <c r="K2500" s="49"/>
      <c r="L2500" s="49"/>
      <c r="M2500" s="49"/>
      <c r="N2500" s="49"/>
      <c r="O2500" s="49"/>
      <c r="P2500" s="49"/>
      <c r="Q2500" s="49"/>
      <c r="R2500" s="49"/>
      <c r="S2500" s="49" t="n">
        <v>0</v>
      </c>
      <c r="T2500" s="49" t="n">
        <v>0</v>
      </c>
      <c r="U2500" s="49" t="s">
        <v>5247</v>
      </c>
    </row>
    <row r="2501" customFormat="false" ht="15" hidden="false" customHeight="false" outlineLevel="0" collapsed="false">
      <c r="B2501" s="48" t="n">
        <v>45805.9877199074</v>
      </c>
      <c r="C2501" s="4" t="n">
        <f aca="false">YEAR(B2501)</f>
        <v>2025</v>
      </c>
      <c r="D2501" s="49" t="s">
        <v>283</v>
      </c>
      <c r="E2501" s="49" t="s">
        <v>5248</v>
      </c>
      <c r="F2501" s="50" t="n">
        <v>3</v>
      </c>
      <c r="G2501" s="49" t="s">
        <v>290</v>
      </c>
      <c r="H2501" s="51" t="n">
        <v>0.0786</v>
      </c>
      <c r="I2501" s="51" t="n">
        <v>0.4631</v>
      </c>
      <c r="J2501" s="51" t="n">
        <v>0.4583</v>
      </c>
      <c r="K2501" s="49"/>
      <c r="L2501" s="49"/>
      <c r="M2501" s="49"/>
      <c r="N2501" s="49"/>
      <c r="O2501" s="49"/>
      <c r="P2501" s="49"/>
      <c r="Q2501" s="49"/>
      <c r="R2501" s="49"/>
      <c r="S2501" s="49" t="n">
        <v>0</v>
      </c>
      <c r="T2501" s="49" t="n">
        <v>0</v>
      </c>
      <c r="U2501" s="49" t="s">
        <v>5249</v>
      </c>
    </row>
    <row r="2502" customFormat="false" ht="15" hidden="false" customHeight="false" outlineLevel="0" collapsed="false">
      <c r="B2502" s="48" t="n">
        <v>45806.2289583333</v>
      </c>
      <c r="C2502" s="4" t="n">
        <f aca="false">YEAR(B2502)</f>
        <v>2025</v>
      </c>
      <c r="D2502" s="49" t="s">
        <v>283</v>
      </c>
      <c r="E2502" s="49" t="s">
        <v>5250</v>
      </c>
      <c r="F2502" s="50" t="n">
        <v>26</v>
      </c>
      <c r="G2502" s="49" t="s">
        <v>287</v>
      </c>
      <c r="H2502" s="51" t="n">
        <v>0.0062</v>
      </c>
      <c r="I2502" s="51" t="n">
        <v>0.022</v>
      </c>
      <c r="J2502" s="51" t="n">
        <v>0.9718</v>
      </c>
      <c r="K2502" s="49" t="s">
        <v>281</v>
      </c>
      <c r="L2502" s="49"/>
      <c r="M2502" s="49"/>
      <c r="N2502" s="49"/>
      <c r="O2502" s="49"/>
      <c r="P2502" s="49"/>
      <c r="Q2502" s="49"/>
      <c r="R2502" s="49" t="s">
        <v>281</v>
      </c>
      <c r="S2502" s="49" t="n">
        <v>0</v>
      </c>
      <c r="T2502" s="49" t="n">
        <v>0</v>
      </c>
      <c r="U2502" s="49" t="s">
        <v>5251</v>
      </c>
    </row>
    <row r="2503" customFormat="false" ht="15" hidden="false" customHeight="false" outlineLevel="0" collapsed="false">
      <c r="B2503" s="48" t="n">
        <v>45806.4721180556</v>
      </c>
      <c r="C2503" s="4" t="n">
        <f aca="false">YEAR(B2503)</f>
        <v>2025</v>
      </c>
      <c r="D2503" s="49" t="s">
        <v>283</v>
      </c>
      <c r="E2503" s="49" t="s">
        <v>5252</v>
      </c>
      <c r="F2503" s="50" t="n">
        <v>12</v>
      </c>
      <c r="G2503" s="49" t="s">
        <v>287</v>
      </c>
      <c r="H2503" s="51" t="n">
        <v>0.008</v>
      </c>
      <c r="I2503" s="51" t="n">
        <v>0.2041</v>
      </c>
      <c r="J2503" s="51" t="n">
        <v>0.7878</v>
      </c>
      <c r="K2503" s="49"/>
      <c r="L2503" s="49"/>
      <c r="M2503" s="49"/>
      <c r="N2503" s="49"/>
      <c r="O2503" s="49"/>
      <c r="P2503" s="49"/>
      <c r="Q2503" s="49"/>
      <c r="R2503" s="49"/>
      <c r="S2503" s="49" t="n">
        <v>0</v>
      </c>
      <c r="T2503" s="49" t="n">
        <v>0</v>
      </c>
      <c r="U2503" s="49" t="s">
        <v>5253</v>
      </c>
    </row>
    <row r="2504" customFormat="false" ht="15" hidden="false" customHeight="false" outlineLevel="0" collapsed="false">
      <c r="B2504" s="48" t="n">
        <v>45806.4973958333</v>
      </c>
      <c r="C2504" s="4" t="n">
        <f aca="false">YEAR(B2504)</f>
        <v>2025</v>
      </c>
      <c r="D2504" s="49" t="s">
        <v>283</v>
      </c>
      <c r="E2504" s="49" t="s">
        <v>5254</v>
      </c>
      <c r="F2504" s="50" t="n">
        <v>1</v>
      </c>
      <c r="G2504" s="49" t="s">
        <v>290</v>
      </c>
      <c r="H2504" s="51" t="n">
        <v>0.1322</v>
      </c>
      <c r="I2504" s="51" t="n">
        <v>0.4558</v>
      </c>
      <c r="J2504" s="51" t="n">
        <v>0.412</v>
      </c>
      <c r="K2504" s="49"/>
      <c r="L2504" s="49"/>
      <c r="M2504" s="49"/>
      <c r="N2504" s="49"/>
      <c r="O2504" s="49"/>
      <c r="P2504" s="49"/>
      <c r="Q2504" s="49"/>
      <c r="R2504" s="49"/>
      <c r="S2504" s="49" t="n">
        <v>0</v>
      </c>
      <c r="T2504" s="49" t="n">
        <v>0</v>
      </c>
      <c r="U2504" s="49" t="s">
        <v>5255</v>
      </c>
    </row>
    <row r="2505" customFormat="false" ht="15" hidden="false" customHeight="false" outlineLevel="0" collapsed="false">
      <c r="B2505" s="48" t="n">
        <v>45806.8391550926</v>
      </c>
      <c r="C2505" s="4" t="n">
        <f aca="false">YEAR(B2505)</f>
        <v>2025</v>
      </c>
      <c r="D2505" s="49" t="s">
        <v>283</v>
      </c>
      <c r="E2505" s="49" t="s">
        <v>5256</v>
      </c>
      <c r="F2505" s="50" t="n">
        <v>98</v>
      </c>
      <c r="G2505" s="49" t="s">
        <v>287</v>
      </c>
      <c r="H2505" s="51" t="n">
        <v>0.0094</v>
      </c>
      <c r="I2505" s="51" t="n">
        <v>0.089</v>
      </c>
      <c r="J2505" s="51" t="n">
        <v>0.9016</v>
      </c>
      <c r="K2505" s="49"/>
      <c r="L2505" s="49"/>
      <c r="M2505" s="49"/>
      <c r="N2505" s="49"/>
      <c r="O2505" s="49"/>
      <c r="P2505" s="49"/>
      <c r="Q2505" s="49"/>
      <c r="R2505" s="49" t="s">
        <v>281</v>
      </c>
      <c r="S2505" s="49" t="n">
        <v>0</v>
      </c>
      <c r="T2505" s="49" t="n">
        <v>0</v>
      </c>
      <c r="U2505" s="49" t="s">
        <v>5257</v>
      </c>
    </row>
    <row r="2506" customFormat="false" ht="15" hidden="false" customHeight="false" outlineLevel="0" collapsed="false">
      <c r="B2506" s="48" t="n">
        <v>45807.3680671296</v>
      </c>
      <c r="C2506" s="4" t="n">
        <f aca="false">YEAR(B2506)</f>
        <v>2025</v>
      </c>
      <c r="D2506" s="49" t="s">
        <v>283</v>
      </c>
      <c r="E2506" s="49" t="s">
        <v>5258</v>
      </c>
      <c r="F2506" s="50" t="n">
        <v>8</v>
      </c>
      <c r="G2506" s="49" t="s">
        <v>280</v>
      </c>
      <c r="H2506" s="51" t="n">
        <v>0.8522</v>
      </c>
      <c r="I2506" s="51" t="n">
        <v>0.1366</v>
      </c>
      <c r="J2506" s="51" t="n">
        <v>0.0112</v>
      </c>
      <c r="K2506" s="49"/>
      <c r="L2506" s="49"/>
      <c r="M2506" s="49" t="s">
        <v>281</v>
      </c>
      <c r="N2506" s="49"/>
      <c r="O2506" s="49"/>
      <c r="P2506" s="49"/>
      <c r="Q2506" s="49" t="s">
        <v>281</v>
      </c>
      <c r="R2506" s="49"/>
      <c r="S2506" s="49" t="n">
        <v>0</v>
      </c>
      <c r="T2506" s="49" t="n">
        <v>0</v>
      </c>
      <c r="U2506" s="49" t="s">
        <v>5259</v>
      </c>
    </row>
    <row r="2507" customFormat="false" ht="15" hidden="false" customHeight="false" outlineLevel="0" collapsed="false">
      <c r="B2507" s="48" t="n">
        <v>45807.7088773148</v>
      </c>
      <c r="C2507" s="4" t="n">
        <f aca="false">YEAR(B2507)</f>
        <v>2025</v>
      </c>
      <c r="D2507" s="49" t="s">
        <v>283</v>
      </c>
      <c r="E2507" s="49" t="s">
        <v>5260</v>
      </c>
      <c r="F2507" s="50" t="n">
        <v>3</v>
      </c>
      <c r="G2507" s="49" t="s">
        <v>287</v>
      </c>
      <c r="H2507" s="51" t="n">
        <v>0.0023</v>
      </c>
      <c r="I2507" s="51" t="n">
        <v>0.056</v>
      </c>
      <c r="J2507" s="51" t="n">
        <v>0.9417</v>
      </c>
      <c r="K2507" s="49"/>
      <c r="L2507" s="49"/>
      <c r="M2507" s="49"/>
      <c r="N2507" s="49"/>
      <c r="O2507" s="49"/>
      <c r="P2507" s="49"/>
      <c r="Q2507" s="49" t="s">
        <v>281</v>
      </c>
      <c r="R2507" s="49"/>
      <c r="S2507" s="49" t="n">
        <v>0</v>
      </c>
      <c r="T2507" s="49" t="n">
        <v>0</v>
      </c>
      <c r="U2507" s="49" t="s">
        <v>5261</v>
      </c>
    </row>
    <row r="2508" customFormat="false" ht="15" hidden="false" customHeight="false" outlineLevel="0" collapsed="false">
      <c r="B2508" s="48" t="n">
        <v>45807.8015277778</v>
      </c>
      <c r="C2508" s="4" t="n">
        <f aca="false">YEAR(B2508)</f>
        <v>2025</v>
      </c>
      <c r="D2508" s="49" t="s">
        <v>283</v>
      </c>
      <c r="E2508" s="49" t="s">
        <v>5262</v>
      </c>
      <c r="F2508" s="50" t="n">
        <v>0</v>
      </c>
      <c r="G2508" s="49" t="s">
        <v>290</v>
      </c>
      <c r="H2508" s="51" t="n">
        <v>0.2267</v>
      </c>
      <c r="I2508" s="51" t="n">
        <v>0.7159</v>
      </c>
      <c r="J2508" s="51" t="n">
        <v>0.0575</v>
      </c>
      <c r="K2508" s="49"/>
      <c r="L2508" s="49"/>
      <c r="M2508" s="49"/>
      <c r="N2508" s="49"/>
      <c r="O2508" s="49"/>
      <c r="P2508" s="49"/>
      <c r="Q2508" s="49"/>
      <c r="R2508" s="49"/>
      <c r="S2508" s="49" t="n">
        <v>0</v>
      </c>
      <c r="T2508" s="49" t="n">
        <v>0</v>
      </c>
      <c r="U2508" s="49" t="s">
        <v>5263</v>
      </c>
    </row>
    <row r="2509" customFormat="false" ht="15" hidden="false" customHeight="false" outlineLevel="0" collapsed="false">
      <c r="B2509" s="48" t="n">
        <v>45808.7287847222</v>
      </c>
      <c r="C2509" s="4" t="n">
        <f aca="false">YEAR(B2509)</f>
        <v>2025</v>
      </c>
      <c r="D2509" s="49" t="s">
        <v>278</v>
      </c>
      <c r="E2509" s="49" t="s">
        <v>5264</v>
      </c>
      <c r="F2509" s="50" t="n">
        <v>0</v>
      </c>
      <c r="G2509" s="49" t="s">
        <v>290</v>
      </c>
      <c r="H2509" s="51" t="n">
        <v>0.3902</v>
      </c>
      <c r="I2509" s="51" t="n">
        <v>0.5488</v>
      </c>
      <c r="J2509" s="51" t="n">
        <v>0.061</v>
      </c>
      <c r="K2509" s="49"/>
      <c r="L2509" s="49"/>
      <c r="M2509" s="49"/>
      <c r="N2509" s="49"/>
      <c r="O2509" s="49"/>
      <c r="P2509" s="49"/>
      <c r="Q2509" s="49"/>
      <c r="R2509" s="49"/>
      <c r="S2509" s="49" t="n">
        <v>0</v>
      </c>
      <c r="T2509" s="49" t="n">
        <v>0</v>
      </c>
      <c r="U2509" s="49" t="s">
        <v>5265</v>
      </c>
    </row>
    <row r="2510" customFormat="false" ht="15" hidden="false" customHeight="false" outlineLevel="0" collapsed="false">
      <c r="B2510" s="48" t="n">
        <v>45808.9330671296</v>
      </c>
      <c r="C2510" s="4" t="n">
        <f aca="false">YEAR(B2510)</f>
        <v>2025</v>
      </c>
      <c r="D2510" s="49" t="s">
        <v>283</v>
      </c>
      <c r="E2510" s="49" t="s">
        <v>5266</v>
      </c>
      <c r="F2510" s="50" t="n">
        <v>29</v>
      </c>
      <c r="G2510" s="49" t="s">
        <v>287</v>
      </c>
      <c r="H2510" s="51" t="n">
        <v>0.0034</v>
      </c>
      <c r="I2510" s="51" t="n">
        <v>0.0466</v>
      </c>
      <c r="J2510" s="51" t="n">
        <v>0.95</v>
      </c>
      <c r="K2510" s="49"/>
      <c r="L2510" s="49"/>
      <c r="M2510" s="49"/>
      <c r="N2510" s="49"/>
      <c r="O2510" s="49"/>
      <c r="P2510" s="49"/>
      <c r="Q2510" s="49"/>
      <c r="R2510" s="49"/>
      <c r="S2510" s="49" t="n">
        <v>0</v>
      </c>
      <c r="T2510" s="49" t="n">
        <v>0</v>
      </c>
      <c r="U2510" s="49" t="s">
        <v>5267</v>
      </c>
    </row>
    <row r="2511" customFormat="false" ht="15" hidden="false" customHeight="false" outlineLevel="0" collapsed="false">
      <c r="B2511" s="48" t="n">
        <v>45809.0640046296</v>
      </c>
      <c r="C2511" s="4" t="n">
        <f aca="false">YEAR(B2511)</f>
        <v>2025</v>
      </c>
      <c r="D2511" s="49" t="s">
        <v>278</v>
      </c>
      <c r="E2511" s="49" t="s">
        <v>5268</v>
      </c>
      <c r="F2511" s="50" t="n">
        <v>0</v>
      </c>
      <c r="G2511" s="49" t="s">
        <v>290</v>
      </c>
      <c r="H2511" s="51" t="n">
        <v>0.3757</v>
      </c>
      <c r="I2511" s="51" t="n">
        <v>0.4853</v>
      </c>
      <c r="J2511" s="51" t="n">
        <v>0.139</v>
      </c>
      <c r="K2511" s="49"/>
      <c r="L2511" s="49"/>
      <c r="M2511" s="49"/>
      <c r="N2511" s="49"/>
      <c r="O2511" s="49"/>
      <c r="P2511" s="49"/>
      <c r="Q2511" s="49"/>
      <c r="R2511" s="49"/>
      <c r="S2511" s="49" t="n">
        <v>0</v>
      </c>
      <c r="T2511" s="49" t="n">
        <v>0</v>
      </c>
      <c r="U2511" s="49" t="s">
        <v>5269</v>
      </c>
    </row>
    <row r="2512" customFormat="false" ht="15" hidden="false" customHeight="false" outlineLevel="0" collapsed="false">
      <c r="B2512" s="48" t="n">
        <v>45809.5226736111</v>
      </c>
      <c r="C2512" s="4" t="n">
        <f aca="false">YEAR(B2512)</f>
        <v>2025</v>
      </c>
      <c r="D2512" s="49" t="s">
        <v>283</v>
      </c>
      <c r="E2512" s="49" t="s">
        <v>5270</v>
      </c>
      <c r="F2512" s="50" t="n">
        <v>7</v>
      </c>
      <c r="G2512" s="49" t="s">
        <v>290</v>
      </c>
      <c r="H2512" s="51" t="n">
        <v>0.0256</v>
      </c>
      <c r="I2512" s="51" t="n">
        <v>0.6038</v>
      </c>
      <c r="J2512" s="51" t="n">
        <v>0.3706</v>
      </c>
      <c r="K2512" s="49"/>
      <c r="L2512" s="49"/>
      <c r="M2512" s="49"/>
      <c r="N2512" s="49"/>
      <c r="O2512" s="49"/>
      <c r="P2512" s="49"/>
      <c r="Q2512" s="49"/>
      <c r="R2512" s="49"/>
      <c r="S2512" s="49" t="n">
        <v>0</v>
      </c>
      <c r="T2512" s="49" t="n">
        <v>0</v>
      </c>
      <c r="U2512" s="49" t="s">
        <v>5271</v>
      </c>
    </row>
    <row r="2513" customFormat="false" ht="15" hidden="false" customHeight="false" outlineLevel="0" collapsed="false">
      <c r="B2513" s="48" t="n">
        <v>45809.6330324074</v>
      </c>
      <c r="C2513" s="4" t="n">
        <f aca="false">YEAR(B2513)</f>
        <v>2025</v>
      </c>
      <c r="D2513" s="49" t="s">
        <v>278</v>
      </c>
      <c r="E2513" s="49" t="s">
        <v>5272</v>
      </c>
      <c r="F2513" s="50" t="n">
        <v>1</v>
      </c>
      <c r="G2513" s="49" t="s">
        <v>290</v>
      </c>
      <c r="H2513" s="51" t="n">
        <v>0.0181</v>
      </c>
      <c r="I2513" s="51" t="n">
        <v>0.9104</v>
      </c>
      <c r="J2513" s="51" t="n">
        <v>0.0715</v>
      </c>
      <c r="K2513" s="49"/>
      <c r="L2513" s="49"/>
      <c r="M2513" s="49"/>
      <c r="N2513" s="49"/>
      <c r="O2513" s="49"/>
      <c r="P2513" s="49"/>
      <c r="Q2513" s="49"/>
      <c r="R2513" s="49"/>
      <c r="S2513" s="49" t="n">
        <v>1</v>
      </c>
      <c r="T2513" s="49" t="n">
        <v>0</v>
      </c>
      <c r="U2513" s="49" t="s">
        <v>5273</v>
      </c>
    </row>
    <row r="2514" customFormat="false" ht="15" hidden="false" customHeight="false" outlineLevel="0" collapsed="false">
      <c r="B2514" s="48" t="n">
        <v>45809.6900925926</v>
      </c>
      <c r="C2514" s="4" t="n">
        <f aca="false">YEAR(B2514)</f>
        <v>2025</v>
      </c>
      <c r="D2514" s="49" t="s">
        <v>283</v>
      </c>
      <c r="E2514" s="49" t="s">
        <v>5274</v>
      </c>
      <c r="F2514" s="50" t="n">
        <v>1</v>
      </c>
      <c r="G2514" s="49" t="s">
        <v>290</v>
      </c>
      <c r="H2514" s="51" t="n">
        <v>0.0112</v>
      </c>
      <c r="I2514" s="51" t="n">
        <v>0.4961</v>
      </c>
      <c r="J2514" s="51" t="n">
        <v>0.4927</v>
      </c>
      <c r="K2514" s="49"/>
      <c r="L2514" s="49"/>
      <c r="M2514" s="49"/>
      <c r="N2514" s="49"/>
      <c r="O2514" s="49"/>
      <c r="P2514" s="49"/>
      <c r="Q2514" s="49"/>
      <c r="R2514" s="49"/>
      <c r="S2514" s="49" t="n">
        <v>0</v>
      </c>
      <c r="T2514" s="49" t="n">
        <v>0</v>
      </c>
      <c r="U2514" s="49" t="s">
        <v>5275</v>
      </c>
    </row>
    <row r="2515" customFormat="false" ht="15" hidden="false" customHeight="false" outlineLevel="0" collapsed="false">
      <c r="B2515" s="48" t="n">
        <v>45809.7324652778</v>
      </c>
      <c r="C2515" s="4" t="n">
        <f aca="false">YEAR(B2515)</f>
        <v>2025</v>
      </c>
      <c r="D2515" s="49" t="s">
        <v>278</v>
      </c>
      <c r="E2515" s="49" t="s">
        <v>5276</v>
      </c>
      <c r="F2515" s="50" t="n">
        <v>11</v>
      </c>
      <c r="G2515" s="49" t="s">
        <v>280</v>
      </c>
      <c r="H2515" s="51" t="n">
        <v>0.8772</v>
      </c>
      <c r="I2515" s="51" t="n">
        <v>0.1105</v>
      </c>
      <c r="J2515" s="51" t="n">
        <v>0.0123</v>
      </c>
      <c r="K2515" s="49" t="s">
        <v>281</v>
      </c>
      <c r="L2515" s="49"/>
      <c r="M2515" s="49"/>
      <c r="N2515" s="49"/>
      <c r="O2515" s="49"/>
      <c r="P2515" s="49"/>
      <c r="Q2515" s="49"/>
      <c r="R2515" s="49" t="s">
        <v>281</v>
      </c>
      <c r="S2515" s="49" t="n">
        <v>0</v>
      </c>
      <c r="T2515" s="49" t="n">
        <v>0</v>
      </c>
      <c r="U2515" s="49" t="s">
        <v>5277</v>
      </c>
    </row>
    <row r="2516" customFormat="false" ht="15" hidden="false" customHeight="false" outlineLevel="0" collapsed="false">
      <c r="B2516" s="48" t="n">
        <v>45809.8167476852</v>
      </c>
      <c r="C2516" s="4" t="n">
        <f aca="false">YEAR(B2516)</f>
        <v>2025</v>
      </c>
      <c r="D2516" s="49" t="s">
        <v>278</v>
      </c>
      <c r="E2516" s="49" t="s">
        <v>5278</v>
      </c>
      <c r="F2516" s="50" t="n">
        <v>2</v>
      </c>
      <c r="G2516" s="49" t="s">
        <v>280</v>
      </c>
      <c r="H2516" s="51" t="n">
        <v>0.6599</v>
      </c>
      <c r="I2516" s="51" t="n">
        <v>0.3245</v>
      </c>
      <c r="J2516" s="51" t="n">
        <v>0.0156</v>
      </c>
      <c r="K2516" s="49" t="s">
        <v>281</v>
      </c>
      <c r="L2516" s="49"/>
      <c r="M2516" s="49"/>
      <c r="N2516" s="49"/>
      <c r="O2516" s="49"/>
      <c r="P2516" s="49"/>
      <c r="Q2516" s="49"/>
      <c r="R2516" s="49"/>
      <c r="S2516" s="49" t="n">
        <v>0</v>
      </c>
      <c r="T2516" s="49" t="n">
        <v>0</v>
      </c>
      <c r="U2516" s="49" t="s">
        <v>5279</v>
      </c>
    </row>
    <row r="2517" customFormat="false" ht="15" hidden="false" customHeight="false" outlineLevel="0" collapsed="false">
      <c r="B2517" s="48" t="n">
        <v>45809.8681597222</v>
      </c>
      <c r="C2517" s="4" t="n">
        <f aca="false">YEAR(B2517)</f>
        <v>2025</v>
      </c>
      <c r="D2517" s="49" t="s">
        <v>283</v>
      </c>
      <c r="E2517" s="49" t="s">
        <v>5280</v>
      </c>
      <c r="F2517" s="50" t="n">
        <v>8</v>
      </c>
      <c r="G2517" s="49" t="s">
        <v>287</v>
      </c>
      <c r="H2517" s="51" t="n">
        <v>0.0112</v>
      </c>
      <c r="I2517" s="51" t="n">
        <v>0.4715</v>
      </c>
      <c r="J2517" s="51" t="n">
        <v>0.5173</v>
      </c>
      <c r="K2517" s="49"/>
      <c r="L2517" s="49"/>
      <c r="M2517" s="49"/>
      <c r="N2517" s="49"/>
      <c r="O2517" s="49"/>
      <c r="P2517" s="49"/>
      <c r="Q2517" s="49"/>
      <c r="R2517" s="49"/>
      <c r="S2517" s="49" t="n">
        <v>0</v>
      </c>
      <c r="T2517" s="49" t="n">
        <v>0</v>
      </c>
      <c r="U2517" s="49" t="s">
        <v>5281</v>
      </c>
    </row>
    <row r="2518" customFormat="false" ht="15" hidden="false" customHeight="false" outlineLevel="0" collapsed="false">
      <c r="B2518" s="48" t="n">
        <v>45809.8776273148</v>
      </c>
      <c r="C2518" s="4" t="n">
        <f aca="false">YEAR(B2518)</f>
        <v>2025</v>
      </c>
      <c r="D2518" s="49" t="s">
        <v>283</v>
      </c>
      <c r="E2518" s="49" t="s">
        <v>5282</v>
      </c>
      <c r="F2518" s="50" t="n">
        <v>0</v>
      </c>
      <c r="G2518" s="49" t="s">
        <v>280</v>
      </c>
      <c r="H2518" s="51" t="n">
        <v>0.9208</v>
      </c>
      <c r="I2518" s="51" t="n">
        <v>0.0716</v>
      </c>
      <c r="J2518" s="51" t="n">
        <v>0.0076</v>
      </c>
      <c r="K2518" s="49"/>
      <c r="L2518" s="49"/>
      <c r="M2518" s="49"/>
      <c r="N2518" s="49"/>
      <c r="O2518" s="49"/>
      <c r="P2518" s="49"/>
      <c r="Q2518" s="49"/>
      <c r="R2518" s="49"/>
      <c r="S2518" s="49" t="n">
        <v>0</v>
      </c>
      <c r="T2518" s="49" t="n">
        <v>0</v>
      </c>
      <c r="U2518" s="49" t="s">
        <v>5283</v>
      </c>
    </row>
    <row r="2519" customFormat="false" ht="15" hidden="false" customHeight="false" outlineLevel="0" collapsed="false">
      <c r="B2519" s="48" t="n">
        <v>45810.0476041667</v>
      </c>
      <c r="C2519" s="4" t="n">
        <f aca="false">YEAR(B2519)</f>
        <v>2025</v>
      </c>
      <c r="D2519" s="49" t="s">
        <v>283</v>
      </c>
      <c r="E2519" s="49" t="s">
        <v>5284</v>
      </c>
      <c r="F2519" s="50" t="n">
        <v>2</v>
      </c>
      <c r="G2519" s="49" t="s">
        <v>290</v>
      </c>
      <c r="H2519" s="51" t="n">
        <v>0.3635</v>
      </c>
      <c r="I2519" s="51" t="n">
        <v>0.5449</v>
      </c>
      <c r="J2519" s="51" t="n">
        <v>0.0917</v>
      </c>
      <c r="K2519" s="49"/>
      <c r="L2519" s="49"/>
      <c r="M2519" s="49"/>
      <c r="N2519" s="49"/>
      <c r="O2519" s="49"/>
      <c r="P2519" s="49"/>
      <c r="Q2519" s="49"/>
      <c r="R2519" s="49"/>
      <c r="S2519" s="49" t="n">
        <v>0</v>
      </c>
      <c r="T2519" s="49" t="n">
        <v>0</v>
      </c>
      <c r="U2519" s="49" t="s">
        <v>5285</v>
      </c>
    </row>
    <row r="2520" customFormat="false" ht="15" hidden="false" customHeight="false" outlineLevel="0" collapsed="false">
      <c r="B2520" s="48" t="n">
        <v>45810.0503935185</v>
      </c>
      <c r="C2520" s="4" t="n">
        <f aca="false">YEAR(B2520)</f>
        <v>2025</v>
      </c>
      <c r="D2520" s="49" t="s">
        <v>283</v>
      </c>
      <c r="E2520" s="49" t="s">
        <v>5286</v>
      </c>
      <c r="F2520" s="50" t="n">
        <v>12</v>
      </c>
      <c r="G2520" s="49" t="s">
        <v>287</v>
      </c>
      <c r="H2520" s="51" t="n">
        <v>0.0044</v>
      </c>
      <c r="I2520" s="51" t="n">
        <v>0.1225</v>
      </c>
      <c r="J2520" s="51" t="n">
        <v>0.8732</v>
      </c>
      <c r="K2520" s="49"/>
      <c r="L2520" s="49"/>
      <c r="M2520" s="49"/>
      <c r="N2520" s="49"/>
      <c r="O2520" s="49"/>
      <c r="P2520" s="49"/>
      <c r="Q2520" s="49"/>
      <c r="R2520" s="49"/>
      <c r="S2520" s="49" t="n">
        <v>0</v>
      </c>
      <c r="T2520" s="49" t="n">
        <v>0</v>
      </c>
      <c r="U2520" s="49" t="s">
        <v>5287</v>
      </c>
    </row>
    <row r="2521" customFormat="false" ht="15" hidden="false" customHeight="false" outlineLevel="0" collapsed="false">
      <c r="B2521" s="48" t="n">
        <v>45810.4508564815</v>
      </c>
      <c r="C2521" s="4" t="n">
        <f aca="false">YEAR(B2521)</f>
        <v>2025</v>
      </c>
      <c r="D2521" s="49" t="s">
        <v>283</v>
      </c>
      <c r="E2521" s="49" t="s">
        <v>5288</v>
      </c>
      <c r="F2521" s="50" t="n">
        <v>1</v>
      </c>
      <c r="G2521" s="49" t="s">
        <v>290</v>
      </c>
      <c r="H2521" s="51" t="n">
        <v>0.007</v>
      </c>
      <c r="I2521" s="51" t="n">
        <v>0.8267</v>
      </c>
      <c r="J2521" s="51" t="n">
        <v>0.1663</v>
      </c>
      <c r="K2521" s="49"/>
      <c r="L2521" s="49"/>
      <c r="M2521" s="49"/>
      <c r="N2521" s="49"/>
      <c r="O2521" s="49"/>
      <c r="P2521" s="49"/>
      <c r="Q2521" s="49"/>
      <c r="R2521" s="49"/>
      <c r="S2521" s="49" t="n">
        <v>0</v>
      </c>
      <c r="T2521" s="49" t="n">
        <v>0</v>
      </c>
      <c r="U2521" s="49" t="s">
        <v>5289</v>
      </c>
    </row>
    <row r="2522" customFormat="false" ht="15" hidden="false" customHeight="false" outlineLevel="0" collapsed="false">
      <c r="B2522" s="48" t="n">
        <v>45811.4817476852</v>
      </c>
      <c r="C2522" s="4" t="n">
        <f aca="false">YEAR(B2522)</f>
        <v>2025</v>
      </c>
      <c r="D2522" s="49" t="s">
        <v>278</v>
      </c>
      <c r="E2522" s="49" t="s">
        <v>5290</v>
      </c>
      <c r="F2522" s="50" t="n">
        <v>4</v>
      </c>
      <c r="G2522" s="49" t="s">
        <v>280</v>
      </c>
      <c r="H2522" s="51" t="n">
        <v>0.8766</v>
      </c>
      <c r="I2522" s="51" t="n">
        <v>0.1145</v>
      </c>
      <c r="J2522" s="51" t="n">
        <v>0.009</v>
      </c>
      <c r="K2522" s="49"/>
      <c r="L2522" s="49"/>
      <c r="M2522" s="49"/>
      <c r="N2522" s="49"/>
      <c r="O2522" s="49"/>
      <c r="P2522" s="49"/>
      <c r="Q2522" s="49"/>
      <c r="R2522" s="49"/>
      <c r="S2522" s="49" t="n">
        <v>0</v>
      </c>
      <c r="T2522" s="49" t="n">
        <v>0</v>
      </c>
      <c r="U2522" s="49" t="s">
        <v>5291</v>
      </c>
    </row>
    <row r="2523" customFormat="false" ht="15" hidden="false" customHeight="false" outlineLevel="0" collapsed="false">
      <c r="B2523" s="48" t="n">
        <v>45811.8266782407</v>
      </c>
      <c r="C2523" s="4" t="n">
        <f aca="false">YEAR(B2523)</f>
        <v>2025</v>
      </c>
      <c r="D2523" s="49" t="s">
        <v>278</v>
      </c>
      <c r="E2523" s="49" t="s">
        <v>5292</v>
      </c>
      <c r="F2523" s="50" t="n">
        <v>15</v>
      </c>
      <c r="G2523" s="49" t="s">
        <v>280</v>
      </c>
      <c r="H2523" s="51" t="n">
        <v>0.8297</v>
      </c>
      <c r="I2523" s="51" t="n">
        <v>0.1595</v>
      </c>
      <c r="J2523" s="51" t="n">
        <v>0.0108</v>
      </c>
      <c r="K2523" s="49"/>
      <c r="L2523" s="49"/>
      <c r="M2523" s="49"/>
      <c r="N2523" s="49"/>
      <c r="O2523" s="49"/>
      <c r="P2523" s="49"/>
      <c r="Q2523" s="49"/>
      <c r="R2523" s="49"/>
      <c r="S2523" s="49" t="n">
        <v>0</v>
      </c>
      <c r="T2523" s="49" t="n">
        <v>0</v>
      </c>
      <c r="U2523" s="49" t="s">
        <v>5293</v>
      </c>
    </row>
    <row r="2524" customFormat="false" ht="15" hidden="false" customHeight="false" outlineLevel="0" collapsed="false">
      <c r="B2524" s="48" t="n">
        <v>45812.0717476852</v>
      </c>
      <c r="C2524" s="4" t="n">
        <f aca="false">YEAR(B2524)</f>
        <v>2025</v>
      </c>
      <c r="D2524" s="49" t="s">
        <v>283</v>
      </c>
      <c r="E2524" s="49" t="s">
        <v>5294</v>
      </c>
      <c r="F2524" s="50" t="n">
        <v>7</v>
      </c>
      <c r="G2524" s="49" t="s">
        <v>290</v>
      </c>
      <c r="H2524" s="51" t="n">
        <v>0.054</v>
      </c>
      <c r="I2524" s="51" t="n">
        <v>0.5946</v>
      </c>
      <c r="J2524" s="51" t="n">
        <v>0.3514</v>
      </c>
      <c r="K2524" s="49"/>
      <c r="L2524" s="49"/>
      <c r="M2524" s="49"/>
      <c r="N2524" s="49"/>
      <c r="O2524" s="49"/>
      <c r="P2524" s="49"/>
      <c r="Q2524" s="49"/>
      <c r="R2524" s="49" t="s">
        <v>281</v>
      </c>
      <c r="S2524" s="49" t="n">
        <v>0</v>
      </c>
      <c r="T2524" s="49" t="n">
        <v>0</v>
      </c>
      <c r="U2524" s="49" t="s">
        <v>5295</v>
      </c>
    </row>
    <row r="2525" customFormat="false" ht="15" hidden="false" customHeight="false" outlineLevel="0" collapsed="false">
      <c r="B2525" s="48" t="n">
        <v>45812.6619328704</v>
      </c>
      <c r="C2525" s="4" t="n">
        <f aca="false">YEAR(B2525)</f>
        <v>2025</v>
      </c>
      <c r="D2525" s="49" t="s">
        <v>278</v>
      </c>
      <c r="E2525" s="49" t="s">
        <v>5296</v>
      </c>
      <c r="F2525" s="50" t="n">
        <v>0</v>
      </c>
      <c r="G2525" s="49" t="s">
        <v>280</v>
      </c>
      <c r="H2525" s="51" t="n">
        <v>0.6158</v>
      </c>
      <c r="I2525" s="51" t="n">
        <v>0.3568</v>
      </c>
      <c r="J2525" s="51" t="n">
        <v>0.0273</v>
      </c>
      <c r="K2525" s="49"/>
      <c r="L2525" s="49"/>
      <c r="M2525" s="49"/>
      <c r="N2525" s="49"/>
      <c r="O2525" s="49"/>
      <c r="P2525" s="49"/>
      <c r="Q2525" s="49"/>
      <c r="R2525" s="49"/>
      <c r="S2525" s="49" t="n">
        <v>0</v>
      </c>
      <c r="T2525" s="49" t="n">
        <v>0</v>
      </c>
      <c r="U2525" s="49" t="s">
        <v>5297</v>
      </c>
    </row>
    <row r="2526" customFormat="false" ht="15" hidden="false" customHeight="false" outlineLevel="0" collapsed="false">
      <c r="B2526" s="48" t="n">
        <v>45812.7512268519</v>
      </c>
      <c r="C2526" s="4" t="n">
        <f aca="false">YEAR(B2526)</f>
        <v>2025</v>
      </c>
      <c r="D2526" s="49" t="s">
        <v>283</v>
      </c>
      <c r="E2526" s="49" t="s">
        <v>5298</v>
      </c>
      <c r="F2526" s="50" t="n">
        <v>1</v>
      </c>
      <c r="G2526" s="49" t="s">
        <v>287</v>
      </c>
      <c r="H2526" s="51" t="n">
        <v>0.0105</v>
      </c>
      <c r="I2526" s="51" t="n">
        <v>0.4534</v>
      </c>
      <c r="J2526" s="51" t="n">
        <v>0.5361</v>
      </c>
      <c r="K2526" s="49"/>
      <c r="L2526" s="49"/>
      <c r="M2526" s="49"/>
      <c r="N2526" s="49"/>
      <c r="O2526" s="49"/>
      <c r="P2526" s="49"/>
      <c r="Q2526" s="49"/>
      <c r="R2526" s="49"/>
      <c r="S2526" s="49" t="n">
        <v>0</v>
      </c>
      <c r="T2526" s="49" t="n">
        <v>0</v>
      </c>
      <c r="U2526" s="49" t="s">
        <v>5299</v>
      </c>
    </row>
    <row r="2527" customFormat="false" ht="15" hidden="false" customHeight="false" outlineLevel="0" collapsed="false">
      <c r="B2527" s="48" t="n">
        <v>45812.8054861111</v>
      </c>
      <c r="C2527" s="4" t="n">
        <f aca="false">YEAR(B2527)</f>
        <v>2025</v>
      </c>
      <c r="D2527" s="49" t="s">
        <v>283</v>
      </c>
      <c r="E2527" s="49" t="s">
        <v>5300</v>
      </c>
      <c r="F2527" s="50" t="n">
        <v>51</v>
      </c>
      <c r="G2527" s="49" t="s">
        <v>287</v>
      </c>
      <c r="H2527" s="51" t="n">
        <v>0.0461</v>
      </c>
      <c r="I2527" s="51" t="n">
        <v>0.4289</v>
      </c>
      <c r="J2527" s="51" t="n">
        <v>0.525</v>
      </c>
      <c r="K2527" s="49"/>
      <c r="L2527" s="49"/>
      <c r="M2527" s="49"/>
      <c r="N2527" s="49"/>
      <c r="O2527" s="49"/>
      <c r="P2527" s="49"/>
      <c r="Q2527" s="49"/>
      <c r="R2527" s="49"/>
      <c r="S2527" s="49" t="n">
        <v>0</v>
      </c>
      <c r="T2527" s="49" t="n">
        <v>0</v>
      </c>
      <c r="U2527" s="49" t="s">
        <v>5301</v>
      </c>
    </row>
    <row r="2528" customFormat="false" ht="15" hidden="false" customHeight="false" outlineLevel="0" collapsed="false">
      <c r="B2528" s="48" t="n">
        <v>45812.8343171296</v>
      </c>
      <c r="C2528" s="4" t="n">
        <f aca="false">YEAR(B2528)</f>
        <v>2025</v>
      </c>
      <c r="D2528" s="49" t="s">
        <v>278</v>
      </c>
      <c r="E2528" s="49" t="s">
        <v>5302</v>
      </c>
      <c r="F2528" s="50" t="n">
        <v>2</v>
      </c>
      <c r="G2528" s="49" t="s">
        <v>290</v>
      </c>
      <c r="H2528" s="51" t="n">
        <v>0.2525</v>
      </c>
      <c r="I2528" s="51" t="n">
        <v>0.399</v>
      </c>
      <c r="J2528" s="51" t="n">
        <v>0.3484</v>
      </c>
      <c r="K2528" s="49"/>
      <c r="L2528" s="49"/>
      <c r="M2528" s="49"/>
      <c r="N2528" s="49"/>
      <c r="O2528" s="49"/>
      <c r="P2528" s="49"/>
      <c r="Q2528" s="49"/>
      <c r="R2528" s="49" t="s">
        <v>281</v>
      </c>
      <c r="S2528" s="49" t="n">
        <v>0</v>
      </c>
      <c r="T2528" s="49" t="n">
        <v>0</v>
      </c>
      <c r="U2528" s="49" t="s">
        <v>5303</v>
      </c>
    </row>
    <row r="2529" customFormat="false" ht="15" hidden="false" customHeight="false" outlineLevel="0" collapsed="false">
      <c r="B2529" s="48" t="n">
        <v>45813.4411805556</v>
      </c>
      <c r="C2529" s="4" t="n">
        <f aca="false">YEAR(B2529)</f>
        <v>2025</v>
      </c>
      <c r="D2529" s="49" t="s">
        <v>283</v>
      </c>
      <c r="E2529" s="49" t="s">
        <v>5304</v>
      </c>
      <c r="F2529" s="50" t="n">
        <v>1</v>
      </c>
      <c r="G2529" s="49" t="s">
        <v>290</v>
      </c>
      <c r="H2529" s="51" t="n">
        <v>0.0248</v>
      </c>
      <c r="I2529" s="51" t="n">
        <v>0.8818</v>
      </c>
      <c r="J2529" s="51" t="n">
        <v>0.0934</v>
      </c>
      <c r="K2529" s="49"/>
      <c r="L2529" s="49"/>
      <c r="M2529" s="49"/>
      <c r="N2529" s="49"/>
      <c r="O2529" s="49"/>
      <c r="P2529" s="49"/>
      <c r="Q2529" s="49" t="s">
        <v>281</v>
      </c>
      <c r="R2529" s="49"/>
      <c r="S2529" s="49" t="n">
        <v>0</v>
      </c>
      <c r="T2529" s="49" t="n">
        <v>0</v>
      </c>
      <c r="U2529" s="49" t="s">
        <v>5305</v>
      </c>
    </row>
    <row r="2530" customFormat="false" ht="15" hidden="false" customHeight="false" outlineLevel="0" collapsed="false">
      <c r="B2530" s="48" t="n">
        <v>45813.4479398148</v>
      </c>
      <c r="C2530" s="4" t="n">
        <f aca="false">YEAR(B2530)</f>
        <v>2025</v>
      </c>
      <c r="D2530" s="49" t="s">
        <v>283</v>
      </c>
      <c r="E2530" s="49" t="s">
        <v>5306</v>
      </c>
      <c r="F2530" s="50" t="n">
        <v>1</v>
      </c>
      <c r="G2530" s="49" t="s">
        <v>290</v>
      </c>
      <c r="H2530" s="51" t="n">
        <v>0.3855</v>
      </c>
      <c r="I2530" s="51" t="n">
        <v>0.476</v>
      </c>
      <c r="J2530" s="51" t="n">
        <v>0.1385</v>
      </c>
      <c r="K2530" s="49"/>
      <c r="L2530" s="49"/>
      <c r="M2530" s="49"/>
      <c r="N2530" s="49"/>
      <c r="O2530" s="49"/>
      <c r="P2530" s="49"/>
      <c r="Q2530" s="49"/>
      <c r="R2530" s="49"/>
      <c r="S2530" s="49" t="n">
        <v>0</v>
      </c>
      <c r="T2530" s="49" t="n">
        <v>0</v>
      </c>
      <c r="U2530" s="49" t="s">
        <v>5307</v>
      </c>
    </row>
    <row r="2531" customFormat="false" ht="15" hidden="false" customHeight="false" outlineLevel="0" collapsed="false">
      <c r="B2531" s="48" t="n">
        <v>45813.6875</v>
      </c>
      <c r="C2531" s="4" t="n">
        <f aca="false">YEAR(B2531)</f>
        <v>2025</v>
      </c>
      <c r="D2531" s="49" t="s">
        <v>283</v>
      </c>
      <c r="E2531" s="49" t="s">
        <v>5308</v>
      </c>
      <c r="F2531" s="50" t="n">
        <v>1</v>
      </c>
      <c r="G2531" s="49" t="s">
        <v>280</v>
      </c>
      <c r="H2531" s="51" t="n">
        <v>0.6223</v>
      </c>
      <c r="I2531" s="51" t="n">
        <v>0.3573</v>
      </c>
      <c r="J2531" s="51" t="n">
        <v>0.0203</v>
      </c>
      <c r="K2531" s="49"/>
      <c r="L2531" s="49"/>
      <c r="M2531" s="49"/>
      <c r="N2531" s="49"/>
      <c r="O2531" s="49"/>
      <c r="P2531" s="49"/>
      <c r="Q2531" s="49"/>
      <c r="R2531" s="49" t="s">
        <v>281</v>
      </c>
      <c r="S2531" s="49" t="n">
        <v>0</v>
      </c>
      <c r="T2531" s="49" t="n">
        <v>0</v>
      </c>
      <c r="U2531" s="49" t="s">
        <v>5309</v>
      </c>
    </row>
    <row r="2532" customFormat="false" ht="15" hidden="false" customHeight="false" outlineLevel="0" collapsed="false">
      <c r="B2532" s="48" t="n">
        <v>45813.6883333333</v>
      </c>
      <c r="C2532" s="4" t="n">
        <f aca="false">YEAR(B2532)</f>
        <v>2025</v>
      </c>
      <c r="D2532" s="49" t="s">
        <v>278</v>
      </c>
      <c r="E2532" s="49" t="s">
        <v>5310</v>
      </c>
      <c r="F2532" s="50" t="n">
        <v>17</v>
      </c>
      <c r="G2532" s="49" t="s">
        <v>280</v>
      </c>
      <c r="H2532" s="51" t="n">
        <v>0.7248</v>
      </c>
      <c r="I2532" s="51" t="n">
        <v>0.2598</v>
      </c>
      <c r="J2532" s="51" t="n">
        <v>0.0154</v>
      </c>
      <c r="K2532" s="49"/>
      <c r="L2532" s="49"/>
      <c r="M2532" s="49"/>
      <c r="N2532" s="49"/>
      <c r="O2532" s="49"/>
      <c r="P2532" s="49"/>
      <c r="Q2532" s="49"/>
      <c r="R2532" s="49" t="s">
        <v>281</v>
      </c>
      <c r="S2532" s="49" t="n">
        <v>0</v>
      </c>
      <c r="T2532" s="49" t="n">
        <v>0</v>
      </c>
      <c r="U2532" s="49" t="s">
        <v>5311</v>
      </c>
    </row>
    <row r="2533" customFormat="false" ht="15" hidden="false" customHeight="false" outlineLevel="0" collapsed="false">
      <c r="B2533" s="48" t="n">
        <v>45813.8845486111</v>
      </c>
      <c r="C2533" s="4" t="n">
        <f aca="false">YEAR(B2533)</f>
        <v>2025</v>
      </c>
      <c r="D2533" s="49" t="s">
        <v>283</v>
      </c>
      <c r="E2533" s="49" t="s">
        <v>5312</v>
      </c>
      <c r="F2533" s="50" t="n">
        <v>0</v>
      </c>
      <c r="G2533" s="49" t="s">
        <v>290</v>
      </c>
      <c r="H2533" s="51" t="n">
        <v>0.2724</v>
      </c>
      <c r="I2533" s="51" t="n">
        <v>0.6295</v>
      </c>
      <c r="J2533" s="51" t="n">
        <v>0.0981</v>
      </c>
      <c r="K2533" s="49"/>
      <c r="L2533" s="49"/>
      <c r="M2533" s="49"/>
      <c r="N2533" s="49"/>
      <c r="O2533" s="49"/>
      <c r="P2533" s="49"/>
      <c r="Q2533" s="49"/>
      <c r="R2533" s="49"/>
      <c r="S2533" s="49" t="n">
        <v>0</v>
      </c>
      <c r="T2533" s="49" t="n">
        <v>0</v>
      </c>
      <c r="U2533" s="49" t="s">
        <v>5313</v>
      </c>
    </row>
    <row r="2534" customFormat="false" ht="15" hidden="false" customHeight="false" outlineLevel="0" collapsed="false">
      <c r="B2534" s="48" t="n">
        <v>45813.9184837963</v>
      </c>
      <c r="C2534" s="4" t="n">
        <f aca="false">YEAR(B2534)</f>
        <v>2025</v>
      </c>
      <c r="D2534" s="49" t="s">
        <v>283</v>
      </c>
      <c r="E2534" s="49" t="s">
        <v>5314</v>
      </c>
      <c r="F2534" s="50" t="n">
        <v>21</v>
      </c>
      <c r="G2534" s="49" t="s">
        <v>287</v>
      </c>
      <c r="H2534" s="51" t="n">
        <v>0.142</v>
      </c>
      <c r="I2534" s="51" t="n">
        <v>0.2629</v>
      </c>
      <c r="J2534" s="51" t="n">
        <v>0.5951</v>
      </c>
      <c r="K2534" s="49"/>
      <c r="L2534" s="49"/>
      <c r="M2534" s="49"/>
      <c r="N2534" s="49"/>
      <c r="O2534" s="49"/>
      <c r="P2534" s="49"/>
      <c r="Q2534" s="49"/>
      <c r="R2534" s="49"/>
      <c r="S2534" s="49" t="n">
        <v>0</v>
      </c>
      <c r="T2534" s="49" t="n">
        <v>0</v>
      </c>
      <c r="U2534" s="49" t="s">
        <v>5315</v>
      </c>
    </row>
    <row r="2535" customFormat="false" ht="15" hidden="false" customHeight="false" outlineLevel="0" collapsed="false">
      <c r="B2535" s="48" t="n">
        <v>45813.9859143519</v>
      </c>
      <c r="C2535" s="4" t="n">
        <f aca="false">YEAR(B2535)</f>
        <v>2025</v>
      </c>
      <c r="D2535" s="49" t="s">
        <v>278</v>
      </c>
      <c r="E2535" s="49" t="s">
        <v>5316</v>
      </c>
      <c r="F2535" s="50" t="n">
        <v>5</v>
      </c>
      <c r="G2535" s="49" t="s">
        <v>280</v>
      </c>
      <c r="H2535" s="51" t="n">
        <v>0.862</v>
      </c>
      <c r="I2535" s="51" t="n">
        <v>0.1306</v>
      </c>
      <c r="J2535" s="51" t="n">
        <v>0.0074</v>
      </c>
      <c r="K2535" s="49"/>
      <c r="L2535" s="49"/>
      <c r="M2535" s="49"/>
      <c r="N2535" s="49"/>
      <c r="O2535" s="49"/>
      <c r="P2535" s="49"/>
      <c r="Q2535" s="49"/>
      <c r="R2535" s="49" t="s">
        <v>281</v>
      </c>
      <c r="S2535" s="49" t="n">
        <v>0</v>
      </c>
      <c r="T2535" s="49" t="n">
        <v>0</v>
      </c>
      <c r="U2535" s="49" t="s">
        <v>5317</v>
      </c>
    </row>
    <row r="2536" customFormat="false" ht="15" hidden="false" customHeight="false" outlineLevel="0" collapsed="false">
      <c r="B2536" s="48" t="n">
        <v>45814.4002546296</v>
      </c>
      <c r="C2536" s="4" t="n">
        <f aca="false">YEAR(B2536)</f>
        <v>2025</v>
      </c>
      <c r="D2536" s="49" t="s">
        <v>283</v>
      </c>
      <c r="E2536" s="49" t="s">
        <v>5318</v>
      </c>
      <c r="F2536" s="50" t="n">
        <v>6</v>
      </c>
      <c r="G2536" s="49" t="s">
        <v>280</v>
      </c>
      <c r="H2536" s="51" t="n">
        <v>0.6277</v>
      </c>
      <c r="I2536" s="51" t="n">
        <v>0.3408</v>
      </c>
      <c r="J2536" s="51" t="n">
        <v>0.0315</v>
      </c>
      <c r="K2536" s="49"/>
      <c r="L2536" s="49"/>
      <c r="M2536" s="49"/>
      <c r="N2536" s="49"/>
      <c r="O2536" s="49"/>
      <c r="P2536" s="49"/>
      <c r="Q2536" s="49"/>
      <c r="R2536" s="49" t="s">
        <v>281</v>
      </c>
      <c r="S2536" s="49" t="n">
        <v>0</v>
      </c>
      <c r="T2536" s="49" t="n">
        <v>0</v>
      </c>
      <c r="U2536" s="49" t="s">
        <v>5319</v>
      </c>
    </row>
    <row r="2537" customFormat="false" ht="15" hidden="false" customHeight="false" outlineLevel="0" collapsed="false">
      <c r="B2537" s="48" t="n">
        <v>45814.7011805556</v>
      </c>
      <c r="C2537" s="4" t="n">
        <f aca="false">YEAR(B2537)</f>
        <v>2025</v>
      </c>
      <c r="D2537" s="49" t="s">
        <v>283</v>
      </c>
      <c r="E2537" s="49" t="s">
        <v>5320</v>
      </c>
      <c r="F2537" s="50" t="n">
        <v>1</v>
      </c>
      <c r="G2537" s="49" t="s">
        <v>280</v>
      </c>
      <c r="H2537" s="51" t="n">
        <v>0.7974</v>
      </c>
      <c r="I2537" s="51" t="n">
        <v>0.1903</v>
      </c>
      <c r="J2537" s="51" t="n">
        <v>0.0124</v>
      </c>
      <c r="K2537" s="49"/>
      <c r="L2537" s="49"/>
      <c r="M2537" s="49"/>
      <c r="N2537" s="49"/>
      <c r="O2537" s="49"/>
      <c r="P2537" s="49"/>
      <c r="Q2537" s="49"/>
      <c r="R2537" s="49" t="s">
        <v>281</v>
      </c>
      <c r="S2537" s="49" t="n">
        <v>0</v>
      </c>
      <c r="T2537" s="49" t="n">
        <v>1</v>
      </c>
      <c r="U2537" s="49" t="s">
        <v>5321</v>
      </c>
    </row>
    <row r="2538" customFormat="false" ht="15" hidden="false" customHeight="false" outlineLevel="0" collapsed="false">
      <c r="B2538" s="48" t="n">
        <v>45814.7588194445</v>
      </c>
      <c r="C2538" s="4" t="n">
        <f aca="false">YEAR(B2538)</f>
        <v>2025</v>
      </c>
      <c r="D2538" s="49" t="s">
        <v>283</v>
      </c>
      <c r="E2538" s="49" t="s">
        <v>5322</v>
      </c>
      <c r="F2538" s="50" t="n">
        <v>1</v>
      </c>
      <c r="G2538" s="49" t="s">
        <v>290</v>
      </c>
      <c r="H2538" s="51" t="n">
        <v>0.0374</v>
      </c>
      <c r="I2538" s="51" t="n">
        <v>0.806</v>
      </c>
      <c r="J2538" s="51" t="n">
        <v>0.1566</v>
      </c>
      <c r="K2538" s="49"/>
      <c r="L2538" s="49"/>
      <c r="M2538" s="49"/>
      <c r="N2538" s="49"/>
      <c r="O2538" s="49"/>
      <c r="P2538" s="49"/>
      <c r="Q2538" s="49"/>
      <c r="R2538" s="49"/>
      <c r="S2538" s="49" t="n">
        <v>0</v>
      </c>
      <c r="T2538" s="49" t="n">
        <v>0</v>
      </c>
      <c r="U2538" s="49" t="s">
        <v>5323</v>
      </c>
    </row>
    <row r="2539" customFormat="false" ht="15" hidden="false" customHeight="false" outlineLevel="0" collapsed="false">
      <c r="B2539" s="48" t="n">
        <v>45815.2117476852</v>
      </c>
      <c r="C2539" s="4" t="n">
        <f aca="false">YEAR(B2539)</f>
        <v>2025</v>
      </c>
      <c r="D2539" s="49" t="s">
        <v>278</v>
      </c>
      <c r="E2539" s="49" t="s">
        <v>5324</v>
      </c>
      <c r="F2539" s="50" t="n">
        <v>22</v>
      </c>
      <c r="G2539" s="49" t="s">
        <v>287</v>
      </c>
      <c r="H2539" s="51" t="n">
        <v>0.0073</v>
      </c>
      <c r="I2539" s="51" t="n">
        <v>0.0312</v>
      </c>
      <c r="J2539" s="51" t="n">
        <v>0.9615</v>
      </c>
      <c r="K2539" s="49"/>
      <c r="L2539" s="49"/>
      <c r="M2539" s="49"/>
      <c r="N2539" s="49"/>
      <c r="O2539" s="49"/>
      <c r="P2539" s="49"/>
      <c r="Q2539" s="49"/>
      <c r="R2539" s="49" t="s">
        <v>281</v>
      </c>
      <c r="S2539" s="49" t="n">
        <v>0</v>
      </c>
      <c r="T2539" s="49" t="n">
        <v>0</v>
      </c>
      <c r="U2539" s="49" t="s">
        <v>5325</v>
      </c>
    </row>
    <row r="2540" customFormat="false" ht="15" hidden="false" customHeight="false" outlineLevel="0" collapsed="false">
      <c r="B2540" s="48" t="n">
        <v>45815.5973842593</v>
      </c>
      <c r="C2540" s="4" t="n">
        <f aca="false">YEAR(B2540)</f>
        <v>2025</v>
      </c>
      <c r="D2540" s="49" t="s">
        <v>283</v>
      </c>
      <c r="E2540" s="49" t="s">
        <v>5326</v>
      </c>
      <c r="F2540" s="50" t="n">
        <v>0</v>
      </c>
      <c r="G2540" s="49" t="s">
        <v>280</v>
      </c>
      <c r="H2540" s="51" t="n">
        <v>0.9298</v>
      </c>
      <c r="I2540" s="51" t="n">
        <v>0.0627</v>
      </c>
      <c r="J2540" s="51" t="n">
        <v>0.0075</v>
      </c>
      <c r="K2540" s="49"/>
      <c r="L2540" s="49"/>
      <c r="M2540" s="49"/>
      <c r="N2540" s="49"/>
      <c r="O2540" s="49"/>
      <c r="P2540" s="49"/>
      <c r="Q2540" s="49"/>
      <c r="R2540" s="49"/>
      <c r="S2540" s="49" t="n">
        <v>0</v>
      </c>
      <c r="T2540" s="49" t="n">
        <v>0</v>
      </c>
      <c r="U2540" s="49" t="s">
        <v>5327</v>
      </c>
    </row>
    <row r="2541" customFormat="false" ht="15" hidden="false" customHeight="false" outlineLevel="0" collapsed="false">
      <c r="B2541" s="48" t="n">
        <v>45815.7125925926</v>
      </c>
      <c r="C2541" s="4" t="n">
        <f aca="false">YEAR(B2541)</f>
        <v>2025</v>
      </c>
      <c r="D2541" s="49" t="s">
        <v>278</v>
      </c>
      <c r="E2541" s="49" t="s">
        <v>5328</v>
      </c>
      <c r="F2541" s="50" t="n">
        <v>1</v>
      </c>
      <c r="G2541" s="49" t="s">
        <v>280</v>
      </c>
      <c r="H2541" s="51" t="n">
        <v>0.8094</v>
      </c>
      <c r="I2541" s="51" t="n">
        <v>0.1808</v>
      </c>
      <c r="J2541" s="51" t="n">
        <v>0.0098</v>
      </c>
      <c r="K2541" s="49"/>
      <c r="L2541" s="49"/>
      <c r="M2541" s="49"/>
      <c r="N2541" s="49"/>
      <c r="O2541" s="49"/>
      <c r="P2541" s="49"/>
      <c r="Q2541" s="49"/>
      <c r="R2541" s="49" t="s">
        <v>281</v>
      </c>
      <c r="S2541" s="49" t="n">
        <v>0</v>
      </c>
      <c r="T2541" s="49" t="n">
        <v>0</v>
      </c>
      <c r="U2541" s="49" t="s">
        <v>5329</v>
      </c>
    </row>
    <row r="2542" customFormat="false" ht="15" hidden="false" customHeight="false" outlineLevel="0" collapsed="false">
      <c r="B2542" s="48" t="n">
        <v>45815.9565162037</v>
      </c>
      <c r="C2542" s="4" t="n">
        <f aca="false">YEAR(B2542)</f>
        <v>2025</v>
      </c>
      <c r="D2542" s="49" t="s">
        <v>278</v>
      </c>
      <c r="E2542" s="49" t="s">
        <v>5330</v>
      </c>
      <c r="F2542" s="50" t="n">
        <v>0</v>
      </c>
      <c r="G2542" s="49" t="s">
        <v>280</v>
      </c>
      <c r="H2542" s="51" t="n">
        <v>0.6966</v>
      </c>
      <c r="I2542" s="51" t="n">
        <v>0.2753</v>
      </c>
      <c r="J2542" s="51" t="n">
        <v>0.0281</v>
      </c>
      <c r="K2542" s="49"/>
      <c r="L2542" s="49"/>
      <c r="M2542" s="49"/>
      <c r="N2542" s="49"/>
      <c r="O2542" s="49"/>
      <c r="P2542" s="49"/>
      <c r="Q2542" s="49"/>
      <c r="R2542" s="49"/>
      <c r="S2542" s="49" t="n">
        <v>0</v>
      </c>
      <c r="T2542" s="49" t="n">
        <v>0</v>
      </c>
      <c r="U2542" s="49" t="s">
        <v>5331</v>
      </c>
    </row>
    <row r="2543" customFormat="false" ht="15" hidden="false" customHeight="false" outlineLevel="0" collapsed="false">
      <c r="B2543" s="48" t="n">
        <v>45815.9605208333</v>
      </c>
      <c r="C2543" s="4" t="n">
        <f aca="false">YEAR(B2543)</f>
        <v>2025</v>
      </c>
      <c r="D2543" s="49" t="s">
        <v>283</v>
      </c>
      <c r="E2543" s="49" t="s">
        <v>5332</v>
      </c>
      <c r="F2543" s="50" t="n">
        <v>1</v>
      </c>
      <c r="G2543" s="49" t="s">
        <v>290</v>
      </c>
      <c r="H2543" s="51" t="n">
        <v>0.4602</v>
      </c>
      <c r="I2543" s="51" t="n">
        <v>0.5051</v>
      </c>
      <c r="J2543" s="51" t="n">
        <v>0.0347</v>
      </c>
      <c r="K2543" s="49" t="s">
        <v>281</v>
      </c>
      <c r="L2543" s="49"/>
      <c r="M2543" s="49"/>
      <c r="N2543" s="49"/>
      <c r="O2543" s="49"/>
      <c r="P2543" s="49"/>
      <c r="Q2543" s="49"/>
      <c r="R2543" s="49"/>
      <c r="S2543" s="49" t="n">
        <v>0</v>
      </c>
      <c r="T2543" s="49" t="n">
        <v>0</v>
      </c>
      <c r="U2543" s="49" t="s">
        <v>5333</v>
      </c>
    </row>
    <row r="2544" customFormat="false" ht="15" hidden="false" customHeight="false" outlineLevel="0" collapsed="false">
      <c r="B2544" s="48" t="n">
        <v>45816.0667361111</v>
      </c>
      <c r="C2544" s="4" t="n">
        <f aca="false">YEAR(B2544)</f>
        <v>2025</v>
      </c>
      <c r="D2544" s="49" t="s">
        <v>283</v>
      </c>
      <c r="E2544" s="49" t="s">
        <v>5334</v>
      </c>
      <c r="F2544" s="50" t="n">
        <v>4</v>
      </c>
      <c r="G2544" s="49" t="s">
        <v>280</v>
      </c>
      <c r="H2544" s="51" t="n">
        <v>0.8326</v>
      </c>
      <c r="I2544" s="51" t="n">
        <v>0.1536</v>
      </c>
      <c r="J2544" s="51" t="n">
        <v>0.0138</v>
      </c>
      <c r="K2544" s="49"/>
      <c r="L2544" s="49"/>
      <c r="M2544" s="49"/>
      <c r="N2544" s="49"/>
      <c r="O2544" s="49"/>
      <c r="P2544" s="49"/>
      <c r="Q2544" s="49"/>
      <c r="R2544" s="49"/>
      <c r="S2544" s="49" t="n">
        <v>0</v>
      </c>
      <c r="T2544" s="49" t="n">
        <v>0</v>
      </c>
      <c r="U2544" s="49" t="s">
        <v>5335</v>
      </c>
    </row>
    <row r="2545" customFormat="false" ht="15" hidden="false" customHeight="false" outlineLevel="0" collapsed="false">
      <c r="B2545" s="48" t="n">
        <v>45816.8186921296</v>
      </c>
      <c r="C2545" s="4" t="n">
        <f aca="false">YEAR(B2545)</f>
        <v>2025</v>
      </c>
      <c r="D2545" s="49" t="s">
        <v>283</v>
      </c>
      <c r="E2545" s="49" t="s">
        <v>5336</v>
      </c>
      <c r="F2545" s="50" t="n">
        <v>2</v>
      </c>
      <c r="G2545" s="49" t="s">
        <v>280</v>
      </c>
      <c r="H2545" s="51" t="n">
        <v>0.609</v>
      </c>
      <c r="I2545" s="51" t="n">
        <v>0.374</v>
      </c>
      <c r="J2545" s="51" t="n">
        <v>0.017</v>
      </c>
      <c r="K2545" s="49"/>
      <c r="L2545" s="49"/>
      <c r="M2545" s="49"/>
      <c r="N2545" s="49"/>
      <c r="O2545" s="49"/>
      <c r="P2545" s="49"/>
      <c r="Q2545" s="49"/>
      <c r="R2545" s="49"/>
      <c r="S2545" s="49" t="n">
        <v>0</v>
      </c>
      <c r="T2545" s="49" t="n">
        <v>0</v>
      </c>
      <c r="U2545" s="49" t="s">
        <v>5337</v>
      </c>
    </row>
    <row r="2546" customFormat="false" ht="15" hidden="false" customHeight="false" outlineLevel="0" collapsed="false">
      <c r="B2546" s="48" t="n">
        <v>45817.0323611111</v>
      </c>
      <c r="C2546" s="4" t="n">
        <f aca="false">YEAR(B2546)</f>
        <v>2025</v>
      </c>
      <c r="D2546" s="49" t="s">
        <v>283</v>
      </c>
      <c r="E2546" s="49" t="s">
        <v>5338</v>
      </c>
      <c r="F2546" s="50" t="n">
        <v>1</v>
      </c>
      <c r="G2546" s="49" t="s">
        <v>280</v>
      </c>
      <c r="H2546" s="51" t="n">
        <v>0.798</v>
      </c>
      <c r="I2546" s="51" t="n">
        <v>0.1791</v>
      </c>
      <c r="J2546" s="51" t="n">
        <v>0.0228</v>
      </c>
      <c r="K2546" s="49"/>
      <c r="L2546" s="49"/>
      <c r="M2546" s="49"/>
      <c r="N2546" s="49"/>
      <c r="O2546" s="49"/>
      <c r="P2546" s="49"/>
      <c r="Q2546" s="49"/>
      <c r="R2546" s="49" t="s">
        <v>281</v>
      </c>
      <c r="S2546" s="49" t="n">
        <v>0</v>
      </c>
      <c r="T2546" s="49" t="n">
        <v>0</v>
      </c>
      <c r="U2546" s="49" t="s">
        <v>5339</v>
      </c>
    </row>
    <row r="2547" customFormat="false" ht="15" hidden="false" customHeight="false" outlineLevel="0" collapsed="false">
      <c r="B2547" s="48" t="n">
        <v>45817.3560648148</v>
      </c>
      <c r="C2547" s="4" t="n">
        <f aca="false">YEAR(B2547)</f>
        <v>2025</v>
      </c>
      <c r="D2547" s="49" t="s">
        <v>283</v>
      </c>
      <c r="E2547" s="49" t="s">
        <v>5340</v>
      </c>
      <c r="F2547" s="50" t="n">
        <v>10</v>
      </c>
      <c r="G2547" s="49" t="s">
        <v>290</v>
      </c>
      <c r="H2547" s="51" t="n">
        <v>0.2742</v>
      </c>
      <c r="I2547" s="51" t="n">
        <v>0.5673</v>
      </c>
      <c r="J2547" s="51" t="n">
        <v>0.1585</v>
      </c>
      <c r="K2547" s="49" t="s">
        <v>281</v>
      </c>
      <c r="L2547" s="49"/>
      <c r="M2547" s="49"/>
      <c r="N2547" s="49"/>
      <c r="O2547" s="49"/>
      <c r="P2547" s="49"/>
      <c r="Q2547" s="49"/>
      <c r="R2547" s="49"/>
      <c r="S2547" s="49" t="n">
        <v>0</v>
      </c>
      <c r="T2547" s="49" t="n">
        <v>0</v>
      </c>
      <c r="U2547" s="49" t="s">
        <v>5341</v>
      </c>
    </row>
    <row r="2548" customFormat="false" ht="15" hidden="false" customHeight="false" outlineLevel="0" collapsed="false">
      <c r="B2548" s="48" t="n">
        <v>45817.8463888889</v>
      </c>
      <c r="C2548" s="4" t="n">
        <f aca="false">YEAR(B2548)</f>
        <v>2025</v>
      </c>
      <c r="D2548" s="49" t="s">
        <v>278</v>
      </c>
      <c r="E2548" s="49" t="s">
        <v>5342</v>
      </c>
      <c r="F2548" s="50" t="n">
        <v>0</v>
      </c>
      <c r="G2548" s="49" t="s">
        <v>290</v>
      </c>
      <c r="H2548" s="51" t="n">
        <v>0.4021</v>
      </c>
      <c r="I2548" s="51" t="n">
        <v>0.5594</v>
      </c>
      <c r="J2548" s="51" t="n">
        <v>0.0385</v>
      </c>
      <c r="K2548" s="49"/>
      <c r="L2548" s="49"/>
      <c r="M2548" s="49"/>
      <c r="N2548" s="49"/>
      <c r="O2548" s="49"/>
      <c r="P2548" s="49"/>
      <c r="Q2548" s="49"/>
      <c r="R2548" s="49" t="s">
        <v>281</v>
      </c>
      <c r="S2548" s="49" t="n">
        <v>0</v>
      </c>
      <c r="T2548" s="49" t="n">
        <v>0</v>
      </c>
      <c r="U2548" s="49" t="s">
        <v>5343</v>
      </c>
    </row>
    <row r="2549" customFormat="false" ht="15" hidden="false" customHeight="false" outlineLevel="0" collapsed="false">
      <c r="B2549" s="48" t="n">
        <v>45818.0088078704</v>
      </c>
      <c r="C2549" s="4" t="n">
        <f aca="false">YEAR(B2549)</f>
        <v>2025</v>
      </c>
      <c r="D2549" s="49" t="s">
        <v>278</v>
      </c>
      <c r="E2549" s="49" t="s">
        <v>5344</v>
      </c>
      <c r="F2549" s="50" t="n">
        <v>4</v>
      </c>
      <c r="G2549" s="49" t="s">
        <v>280</v>
      </c>
      <c r="H2549" s="51" t="n">
        <v>0.8432</v>
      </c>
      <c r="I2549" s="51" t="n">
        <v>0.1443</v>
      </c>
      <c r="J2549" s="51" t="n">
        <v>0.0124</v>
      </c>
      <c r="K2549" s="49" t="s">
        <v>281</v>
      </c>
      <c r="L2549" s="49"/>
      <c r="M2549" s="49"/>
      <c r="N2549" s="49"/>
      <c r="O2549" s="49"/>
      <c r="P2549" s="49"/>
      <c r="Q2549" s="49"/>
      <c r="R2549" s="49" t="s">
        <v>281</v>
      </c>
      <c r="S2549" s="49" t="n">
        <v>0</v>
      </c>
      <c r="T2549" s="49" t="n">
        <v>0</v>
      </c>
      <c r="U2549" s="49" t="s">
        <v>5345</v>
      </c>
    </row>
    <row r="2550" customFormat="false" ht="15" hidden="false" customHeight="false" outlineLevel="0" collapsed="false">
      <c r="B2550" s="48" t="n">
        <v>45818.5029282407</v>
      </c>
      <c r="C2550" s="4" t="n">
        <f aca="false">YEAR(B2550)</f>
        <v>2025</v>
      </c>
      <c r="D2550" s="49" t="s">
        <v>283</v>
      </c>
      <c r="E2550" s="49" t="s">
        <v>5346</v>
      </c>
      <c r="F2550" s="50" t="n">
        <v>11</v>
      </c>
      <c r="G2550" s="49" t="s">
        <v>287</v>
      </c>
      <c r="H2550" s="51" t="n">
        <v>0.0034</v>
      </c>
      <c r="I2550" s="51" t="n">
        <v>0.0509</v>
      </c>
      <c r="J2550" s="51" t="n">
        <v>0.9457</v>
      </c>
      <c r="K2550" s="49"/>
      <c r="L2550" s="49"/>
      <c r="M2550" s="49"/>
      <c r="N2550" s="49"/>
      <c r="O2550" s="49"/>
      <c r="P2550" s="49"/>
      <c r="Q2550" s="49"/>
      <c r="R2550" s="49"/>
      <c r="S2550" s="49" t="n">
        <v>0</v>
      </c>
      <c r="T2550" s="49" t="n">
        <v>0</v>
      </c>
      <c r="U2550" s="49" t="s">
        <v>5347</v>
      </c>
    </row>
    <row r="2551" customFormat="false" ht="15" hidden="false" customHeight="false" outlineLevel="0" collapsed="false">
      <c r="B2551" s="48" t="n">
        <v>45818.7474189815</v>
      </c>
      <c r="C2551" s="4" t="n">
        <f aca="false">YEAR(B2551)</f>
        <v>2025</v>
      </c>
      <c r="D2551" s="49" t="s">
        <v>283</v>
      </c>
      <c r="E2551" s="49" t="s">
        <v>5348</v>
      </c>
      <c r="F2551" s="50" t="n">
        <v>2</v>
      </c>
      <c r="G2551" s="49" t="s">
        <v>280</v>
      </c>
      <c r="H2551" s="51" t="n">
        <v>0.6347</v>
      </c>
      <c r="I2551" s="51" t="n">
        <v>0.3475</v>
      </c>
      <c r="J2551" s="51" t="n">
        <v>0.0177</v>
      </c>
      <c r="K2551" s="49"/>
      <c r="L2551" s="49"/>
      <c r="M2551" s="49"/>
      <c r="N2551" s="49"/>
      <c r="O2551" s="49"/>
      <c r="P2551" s="49"/>
      <c r="Q2551" s="49"/>
      <c r="R2551" s="49" t="s">
        <v>281</v>
      </c>
      <c r="S2551" s="49" t="n">
        <v>0</v>
      </c>
      <c r="T2551" s="49" t="n">
        <v>0</v>
      </c>
      <c r="U2551" s="49" t="s">
        <v>5349</v>
      </c>
    </row>
    <row r="2552" customFormat="false" ht="15" hidden="false" customHeight="false" outlineLevel="0" collapsed="false">
      <c r="B2552" s="48" t="n">
        <v>45818.8767939815</v>
      </c>
      <c r="C2552" s="4" t="n">
        <f aca="false">YEAR(B2552)</f>
        <v>2025</v>
      </c>
      <c r="D2552" s="49" t="s">
        <v>278</v>
      </c>
      <c r="E2552" s="49" t="s">
        <v>5350</v>
      </c>
      <c r="F2552" s="50" t="n">
        <v>37</v>
      </c>
      <c r="G2552" s="49" t="s">
        <v>280</v>
      </c>
      <c r="H2552" s="51" t="n">
        <v>0.6795</v>
      </c>
      <c r="I2552" s="51" t="n">
        <v>0.2304</v>
      </c>
      <c r="J2552" s="51" t="n">
        <v>0.0902</v>
      </c>
      <c r="K2552" s="49"/>
      <c r="L2552" s="49"/>
      <c r="M2552" s="49"/>
      <c r="N2552" s="49"/>
      <c r="O2552" s="49"/>
      <c r="P2552" s="49"/>
      <c r="Q2552" s="49" t="s">
        <v>281</v>
      </c>
      <c r="R2552" s="49"/>
      <c r="S2552" s="49" t="n">
        <v>0</v>
      </c>
      <c r="T2552" s="49" t="n">
        <v>0</v>
      </c>
      <c r="U2552" s="49" t="s">
        <v>5351</v>
      </c>
    </row>
    <row r="2553" customFormat="false" ht="15" hidden="false" customHeight="false" outlineLevel="0" collapsed="false">
      <c r="B2553" s="48" t="n">
        <v>45819.1786342593</v>
      </c>
      <c r="C2553" s="4" t="n">
        <f aca="false">YEAR(B2553)</f>
        <v>2025</v>
      </c>
      <c r="D2553" s="49" t="s">
        <v>283</v>
      </c>
      <c r="E2553" s="49" t="s">
        <v>5352</v>
      </c>
      <c r="F2553" s="50" t="n">
        <v>3</v>
      </c>
      <c r="G2553" s="49" t="s">
        <v>290</v>
      </c>
      <c r="H2553" s="51" t="n">
        <v>0.4143</v>
      </c>
      <c r="I2553" s="51" t="n">
        <v>0.5253</v>
      </c>
      <c r="J2553" s="51" t="n">
        <v>0.0604</v>
      </c>
      <c r="K2553" s="49"/>
      <c r="L2553" s="49"/>
      <c r="M2553" s="49"/>
      <c r="N2553" s="49"/>
      <c r="O2553" s="49"/>
      <c r="P2553" s="49"/>
      <c r="Q2553" s="49"/>
      <c r="R2553" s="49"/>
      <c r="S2553" s="49" t="n">
        <v>0</v>
      </c>
      <c r="T2553" s="49" t="n">
        <v>0</v>
      </c>
      <c r="U2553" s="49" t="s">
        <v>5353</v>
      </c>
    </row>
    <row r="2554" customFormat="false" ht="15" hidden="false" customHeight="false" outlineLevel="0" collapsed="false">
      <c r="B2554" s="48" t="n">
        <v>45819.3360648148</v>
      </c>
      <c r="C2554" s="4" t="n">
        <f aca="false">YEAR(B2554)</f>
        <v>2025</v>
      </c>
      <c r="D2554" s="49" t="s">
        <v>283</v>
      </c>
      <c r="E2554" s="49" t="s">
        <v>5354</v>
      </c>
      <c r="F2554" s="50" t="n">
        <v>2</v>
      </c>
      <c r="G2554" s="49" t="s">
        <v>280</v>
      </c>
      <c r="H2554" s="51" t="n">
        <v>0.7451</v>
      </c>
      <c r="I2554" s="51" t="n">
        <v>0.2432</v>
      </c>
      <c r="J2554" s="51" t="n">
        <v>0.0117</v>
      </c>
      <c r="K2554" s="49"/>
      <c r="L2554" s="49"/>
      <c r="M2554" s="49"/>
      <c r="N2554" s="49"/>
      <c r="O2554" s="49"/>
      <c r="P2554" s="49"/>
      <c r="Q2554" s="49"/>
      <c r="R2554" s="49"/>
      <c r="S2554" s="49" t="n">
        <v>0</v>
      </c>
      <c r="T2554" s="49" t="n">
        <v>0</v>
      </c>
      <c r="U2554" s="49" t="s">
        <v>5355</v>
      </c>
    </row>
    <row r="2555" customFormat="false" ht="15" hidden="false" customHeight="false" outlineLevel="0" collapsed="false">
      <c r="B2555" s="48" t="n">
        <v>45819.5711689815</v>
      </c>
      <c r="C2555" s="4" t="n">
        <f aca="false">YEAR(B2555)</f>
        <v>2025</v>
      </c>
      <c r="D2555" s="49" t="s">
        <v>283</v>
      </c>
      <c r="E2555" s="49" t="s">
        <v>5356</v>
      </c>
      <c r="F2555" s="50" t="n">
        <v>1</v>
      </c>
      <c r="G2555" s="49" t="s">
        <v>290</v>
      </c>
      <c r="H2555" s="51" t="n">
        <v>0.0133</v>
      </c>
      <c r="I2555" s="51" t="n">
        <v>0.7313</v>
      </c>
      <c r="J2555" s="51" t="n">
        <v>0.2554</v>
      </c>
      <c r="K2555" s="49"/>
      <c r="L2555" s="49"/>
      <c r="M2555" s="49"/>
      <c r="N2555" s="49"/>
      <c r="O2555" s="49"/>
      <c r="P2555" s="49"/>
      <c r="Q2555" s="49"/>
      <c r="R2555" s="49"/>
      <c r="S2555" s="49" t="n">
        <v>0</v>
      </c>
      <c r="T2555" s="49" t="n">
        <v>0</v>
      </c>
      <c r="U2555" s="49" t="s">
        <v>5357</v>
      </c>
    </row>
    <row r="2556" customFormat="false" ht="15" hidden="false" customHeight="false" outlineLevel="0" collapsed="false">
      <c r="B2556" s="48" t="n">
        <v>45820.0117592593</v>
      </c>
      <c r="C2556" s="4" t="n">
        <f aca="false">YEAR(B2556)</f>
        <v>2025</v>
      </c>
      <c r="D2556" s="49" t="s">
        <v>278</v>
      </c>
      <c r="E2556" s="49" t="s">
        <v>5358</v>
      </c>
      <c r="F2556" s="50" t="n">
        <v>0</v>
      </c>
      <c r="G2556" s="49" t="s">
        <v>280</v>
      </c>
      <c r="H2556" s="51" t="n">
        <v>0.8737</v>
      </c>
      <c r="I2556" s="51" t="n">
        <v>0.1092</v>
      </c>
      <c r="J2556" s="51" t="n">
        <v>0.0171</v>
      </c>
      <c r="K2556" s="49" t="s">
        <v>281</v>
      </c>
      <c r="L2556" s="49"/>
      <c r="M2556" s="49"/>
      <c r="N2556" s="49"/>
      <c r="O2556" s="49"/>
      <c r="P2556" s="49"/>
      <c r="Q2556" s="49"/>
      <c r="R2556" s="49"/>
      <c r="S2556" s="49" t="n">
        <v>0</v>
      </c>
      <c r="T2556" s="49" t="n">
        <v>0</v>
      </c>
      <c r="U2556" s="49" t="s">
        <v>5359</v>
      </c>
    </row>
    <row r="2557" customFormat="false" ht="15" hidden="false" customHeight="false" outlineLevel="0" collapsed="false">
      <c r="B2557" s="48" t="n">
        <v>45820.2062847222</v>
      </c>
      <c r="C2557" s="4" t="n">
        <f aca="false">YEAR(B2557)</f>
        <v>2025</v>
      </c>
      <c r="D2557" s="49" t="s">
        <v>278</v>
      </c>
      <c r="E2557" s="49" t="s">
        <v>5360</v>
      </c>
      <c r="F2557" s="50" t="n">
        <v>1</v>
      </c>
      <c r="G2557" s="49" t="s">
        <v>290</v>
      </c>
      <c r="H2557" s="51" t="n">
        <v>0.2366</v>
      </c>
      <c r="I2557" s="51" t="n">
        <v>0.4717</v>
      </c>
      <c r="J2557" s="51" t="n">
        <v>0.2916</v>
      </c>
      <c r="K2557" s="49"/>
      <c r="L2557" s="49"/>
      <c r="M2557" s="49"/>
      <c r="N2557" s="49"/>
      <c r="O2557" s="49"/>
      <c r="P2557" s="49"/>
      <c r="Q2557" s="49"/>
      <c r="R2557" s="49" t="s">
        <v>281</v>
      </c>
      <c r="S2557" s="49" t="n">
        <v>0</v>
      </c>
      <c r="T2557" s="49" t="n">
        <v>0</v>
      </c>
      <c r="U2557" s="49" t="s">
        <v>5361</v>
      </c>
    </row>
    <row r="2558" customFormat="false" ht="15" hidden="false" customHeight="false" outlineLevel="0" collapsed="false">
      <c r="B2558" s="48" t="n">
        <v>45820.4341203704</v>
      </c>
      <c r="C2558" s="4" t="n">
        <f aca="false">YEAR(B2558)</f>
        <v>2025</v>
      </c>
      <c r="D2558" s="49" t="s">
        <v>278</v>
      </c>
      <c r="E2558" s="49" t="s">
        <v>5362</v>
      </c>
      <c r="F2558" s="50" t="n">
        <v>2</v>
      </c>
      <c r="G2558" s="49" t="s">
        <v>290</v>
      </c>
      <c r="H2558" s="51" t="n">
        <v>0.4226</v>
      </c>
      <c r="I2558" s="51" t="n">
        <v>0.5501</v>
      </c>
      <c r="J2558" s="51" t="n">
        <v>0.0273</v>
      </c>
      <c r="K2558" s="49"/>
      <c r="L2558" s="49"/>
      <c r="M2558" s="49"/>
      <c r="N2558" s="49"/>
      <c r="O2558" s="49"/>
      <c r="P2558" s="49"/>
      <c r="Q2558" s="49"/>
      <c r="R2558" s="49"/>
      <c r="S2558" s="49" t="n">
        <v>0</v>
      </c>
      <c r="T2558" s="49" t="n">
        <v>0</v>
      </c>
      <c r="U2558" s="49" t="s">
        <v>5363</v>
      </c>
    </row>
    <row r="2559" customFormat="false" ht="15" hidden="false" customHeight="false" outlineLevel="0" collapsed="false">
      <c r="B2559" s="48" t="n">
        <v>45820.5650578704</v>
      </c>
      <c r="C2559" s="4" t="n">
        <f aca="false">YEAR(B2559)</f>
        <v>2025</v>
      </c>
      <c r="D2559" s="49" t="s">
        <v>283</v>
      </c>
      <c r="E2559" s="49" t="s">
        <v>5364</v>
      </c>
      <c r="F2559" s="50" t="n">
        <v>3</v>
      </c>
      <c r="G2559" s="49" t="s">
        <v>290</v>
      </c>
      <c r="H2559" s="51" t="n">
        <v>0.0099</v>
      </c>
      <c r="I2559" s="51" t="n">
        <v>0.5831</v>
      </c>
      <c r="J2559" s="51" t="n">
        <v>0.407</v>
      </c>
      <c r="K2559" s="49"/>
      <c r="L2559" s="49"/>
      <c r="M2559" s="49"/>
      <c r="N2559" s="49"/>
      <c r="O2559" s="49"/>
      <c r="P2559" s="49"/>
      <c r="Q2559" s="49"/>
      <c r="R2559" s="49"/>
      <c r="S2559" s="49" t="n">
        <v>0</v>
      </c>
      <c r="T2559" s="49" t="n">
        <v>0</v>
      </c>
      <c r="U2559" s="49" t="s">
        <v>5365</v>
      </c>
    </row>
    <row r="2560" customFormat="false" ht="15" hidden="false" customHeight="false" outlineLevel="0" collapsed="false">
      <c r="B2560" s="48" t="n">
        <v>45820.7536689815</v>
      </c>
      <c r="C2560" s="4" t="n">
        <f aca="false">YEAR(B2560)</f>
        <v>2025</v>
      </c>
      <c r="D2560" s="49" t="s">
        <v>283</v>
      </c>
      <c r="E2560" s="49" t="s">
        <v>5366</v>
      </c>
      <c r="F2560" s="50" t="n">
        <v>3</v>
      </c>
      <c r="G2560" s="49" t="s">
        <v>287</v>
      </c>
      <c r="H2560" s="51" t="n">
        <v>0.0018</v>
      </c>
      <c r="I2560" s="51" t="n">
        <v>0.0303</v>
      </c>
      <c r="J2560" s="51" t="n">
        <v>0.9679</v>
      </c>
      <c r="K2560" s="49"/>
      <c r="L2560" s="49"/>
      <c r="M2560" s="49"/>
      <c r="N2560" s="49"/>
      <c r="O2560" s="49"/>
      <c r="P2560" s="49"/>
      <c r="Q2560" s="49"/>
      <c r="R2560" s="49"/>
      <c r="S2560" s="49" t="n">
        <v>0</v>
      </c>
      <c r="T2560" s="49" t="n">
        <v>0</v>
      </c>
      <c r="U2560" s="49" t="s">
        <v>5367</v>
      </c>
    </row>
    <row r="2561" customFormat="false" ht="15" hidden="false" customHeight="false" outlineLevel="0" collapsed="false">
      <c r="B2561" s="48" t="n">
        <v>45820.9879166667</v>
      </c>
      <c r="C2561" s="4" t="n">
        <f aca="false">YEAR(B2561)</f>
        <v>2025</v>
      </c>
      <c r="D2561" s="49" t="s">
        <v>283</v>
      </c>
      <c r="E2561" s="49" t="s">
        <v>5368</v>
      </c>
      <c r="F2561" s="50" t="n">
        <v>2</v>
      </c>
      <c r="G2561" s="49" t="s">
        <v>287</v>
      </c>
      <c r="H2561" s="51" t="n">
        <v>0.0044</v>
      </c>
      <c r="I2561" s="51" t="n">
        <v>0.1121</v>
      </c>
      <c r="J2561" s="51" t="n">
        <v>0.8834</v>
      </c>
      <c r="K2561" s="49"/>
      <c r="L2561" s="49"/>
      <c r="M2561" s="49"/>
      <c r="N2561" s="49"/>
      <c r="O2561" s="49"/>
      <c r="P2561" s="49"/>
      <c r="Q2561" s="49"/>
      <c r="R2561" s="49"/>
      <c r="S2561" s="49" t="n">
        <v>0</v>
      </c>
      <c r="T2561" s="49" t="n">
        <v>0</v>
      </c>
      <c r="U2561" s="49" t="s">
        <v>5369</v>
      </c>
    </row>
    <row r="2562" customFormat="false" ht="15" hidden="false" customHeight="false" outlineLevel="0" collapsed="false">
      <c r="B2562" s="48" t="n">
        <v>45821.1911458333</v>
      </c>
      <c r="C2562" s="4" t="n">
        <f aca="false">YEAR(B2562)</f>
        <v>2025</v>
      </c>
      <c r="D2562" s="49" t="s">
        <v>283</v>
      </c>
      <c r="E2562" s="49" t="s">
        <v>5370</v>
      </c>
      <c r="F2562" s="50" t="n">
        <v>1</v>
      </c>
      <c r="G2562" s="49" t="s">
        <v>290</v>
      </c>
      <c r="H2562" s="51" t="n">
        <v>0.0622</v>
      </c>
      <c r="I2562" s="51" t="n">
        <v>0.827</v>
      </c>
      <c r="J2562" s="51" t="n">
        <v>0.1107</v>
      </c>
      <c r="K2562" s="49"/>
      <c r="L2562" s="49"/>
      <c r="M2562" s="49"/>
      <c r="N2562" s="49"/>
      <c r="O2562" s="49"/>
      <c r="P2562" s="49"/>
      <c r="Q2562" s="49"/>
      <c r="R2562" s="49"/>
      <c r="S2562" s="49" t="n">
        <v>0</v>
      </c>
      <c r="T2562" s="49" t="n">
        <v>0</v>
      </c>
      <c r="U2562" s="49" t="s">
        <v>5371</v>
      </c>
    </row>
    <row r="2563" customFormat="false" ht="15" hidden="false" customHeight="false" outlineLevel="0" collapsed="false">
      <c r="B2563" s="48" t="n">
        <v>45821.5600347222</v>
      </c>
      <c r="C2563" s="4" t="n">
        <f aca="false">YEAR(B2563)</f>
        <v>2025</v>
      </c>
      <c r="D2563" s="49" t="s">
        <v>283</v>
      </c>
      <c r="E2563" s="49" t="s">
        <v>5372</v>
      </c>
      <c r="F2563" s="50" t="n">
        <v>1</v>
      </c>
      <c r="G2563" s="49" t="s">
        <v>290</v>
      </c>
      <c r="H2563" s="51" t="n">
        <v>0.0074</v>
      </c>
      <c r="I2563" s="51" t="n">
        <v>0.9343</v>
      </c>
      <c r="J2563" s="51" t="n">
        <v>0.0583</v>
      </c>
      <c r="K2563" s="49"/>
      <c r="L2563" s="49"/>
      <c r="M2563" s="49"/>
      <c r="N2563" s="49"/>
      <c r="O2563" s="49"/>
      <c r="P2563" s="49"/>
      <c r="Q2563" s="49"/>
      <c r="R2563" s="49" t="s">
        <v>281</v>
      </c>
      <c r="S2563" s="49" t="n">
        <v>0</v>
      </c>
      <c r="T2563" s="49" t="n">
        <v>0</v>
      </c>
      <c r="U2563" s="49" t="s">
        <v>5373</v>
      </c>
    </row>
    <row r="2564" customFormat="false" ht="15" hidden="false" customHeight="false" outlineLevel="0" collapsed="false">
      <c r="B2564" s="48" t="n">
        <v>45821.7692476852</v>
      </c>
      <c r="C2564" s="4" t="n">
        <f aca="false">YEAR(B2564)</f>
        <v>2025</v>
      </c>
      <c r="D2564" s="49" t="s">
        <v>283</v>
      </c>
      <c r="E2564" s="49" t="s">
        <v>5374</v>
      </c>
      <c r="F2564" s="50" t="n">
        <v>2</v>
      </c>
      <c r="G2564" s="49" t="s">
        <v>287</v>
      </c>
      <c r="H2564" s="51" t="n">
        <v>0.0115</v>
      </c>
      <c r="I2564" s="51" t="n">
        <v>0.2489</v>
      </c>
      <c r="J2564" s="51" t="n">
        <v>0.7396</v>
      </c>
      <c r="K2564" s="49"/>
      <c r="L2564" s="49"/>
      <c r="M2564" s="49"/>
      <c r="N2564" s="49"/>
      <c r="O2564" s="49"/>
      <c r="P2564" s="49"/>
      <c r="Q2564" s="49"/>
      <c r="R2564" s="49"/>
      <c r="S2564" s="49" t="n">
        <v>0</v>
      </c>
      <c r="T2564" s="49" t="n">
        <v>0</v>
      </c>
      <c r="U2564" s="49" t="s">
        <v>5375</v>
      </c>
    </row>
    <row r="2565" customFormat="false" ht="15" hidden="false" customHeight="false" outlineLevel="0" collapsed="false">
      <c r="B2565" s="48" t="n">
        <v>45821.9199884259</v>
      </c>
      <c r="C2565" s="4" t="n">
        <f aca="false">YEAR(B2565)</f>
        <v>2025</v>
      </c>
      <c r="D2565" s="49" t="s">
        <v>283</v>
      </c>
      <c r="E2565" s="49" t="s">
        <v>5376</v>
      </c>
      <c r="F2565" s="50" t="n">
        <v>1</v>
      </c>
      <c r="G2565" s="49" t="s">
        <v>287</v>
      </c>
      <c r="H2565" s="51" t="n">
        <v>0.0027</v>
      </c>
      <c r="I2565" s="51" t="n">
        <v>0.1158</v>
      </c>
      <c r="J2565" s="51" t="n">
        <v>0.8815</v>
      </c>
      <c r="K2565" s="49"/>
      <c r="L2565" s="49"/>
      <c r="M2565" s="49"/>
      <c r="N2565" s="49"/>
      <c r="O2565" s="49"/>
      <c r="P2565" s="49"/>
      <c r="Q2565" s="49"/>
      <c r="R2565" s="49"/>
      <c r="S2565" s="49" t="n">
        <v>0</v>
      </c>
      <c r="T2565" s="49" t="n">
        <v>0</v>
      </c>
      <c r="U2565" s="49" t="s">
        <v>5377</v>
      </c>
    </row>
    <row r="2566" customFormat="false" ht="15" hidden="false" customHeight="false" outlineLevel="0" collapsed="false">
      <c r="B2566" s="48" t="n">
        <v>45823.3865277778</v>
      </c>
      <c r="C2566" s="4" t="n">
        <f aca="false">YEAR(B2566)</f>
        <v>2025</v>
      </c>
      <c r="D2566" s="49" t="s">
        <v>283</v>
      </c>
      <c r="E2566" s="49" t="s">
        <v>5378</v>
      </c>
      <c r="F2566" s="50" t="n">
        <v>2</v>
      </c>
      <c r="G2566" s="49" t="s">
        <v>280</v>
      </c>
      <c r="H2566" s="51" t="n">
        <v>0.5937</v>
      </c>
      <c r="I2566" s="51" t="n">
        <v>0.3625</v>
      </c>
      <c r="J2566" s="51" t="n">
        <v>0.0439</v>
      </c>
      <c r="K2566" s="49"/>
      <c r="L2566" s="49"/>
      <c r="M2566" s="49"/>
      <c r="N2566" s="49"/>
      <c r="O2566" s="49"/>
      <c r="P2566" s="49"/>
      <c r="Q2566" s="49"/>
      <c r="R2566" s="49"/>
      <c r="S2566" s="49" t="n">
        <v>0</v>
      </c>
      <c r="T2566" s="49" t="n">
        <v>0</v>
      </c>
      <c r="U2566" s="49" t="s">
        <v>5379</v>
      </c>
    </row>
    <row r="2567" customFormat="false" ht="15" hidden="false" customHeight="false" outlineLevel="0" collapsed="false">
      <c r="B2567" s="48" t="n">
        <v>45823.4128356482</v>
      </c>
      <c r="C2567" s="4" t="n">
        <f aca="false">YEAR(B2567)</f>
        <v>2025</v>
      </c>
      <c r="D2567" s="49" t="s">
        <v>278</v>
      </c>
      <c r="E2567" s="49" t="s">
        <v>5380</v>
      </c>
      <c r="F2567" s="50" t="n">
        <v>0</v>
      </c>
      <c r="G2567" s="49" t="s">
        <v>280</v>
      </c>
      <c r="H2567" s="51" t="n">
        <v>0.7088</v>
      </c>
      <c r="I2567" s="51" t="n">
        <v>0.2739</v>
      </c>
      <c r="J2567" s="51" t="n">
        <v>0.0173</v>
      </c>
      <c r="K2567" s="49"/>
      <c r="L2567" s="49"/>
      <c r="M2567" s="49"/>
      <c r="N2567" s="49"/>
      <c r="O2567" s="49"/>
      <c r="P2567" s="49"/>
      <c r="Q2567" s="49"/>
      <c r="R2567" s="49"/>
      <c r="S2567" s="49" t="n">
        <v>0</v>
      </c>
      <c r="T2567" s="49" t="n">
        <v>0</v>
      </c>
      <c r="U2567" s="49" t="s">
        <v>5381</v>
      </c>
    </row>
    <row r="2568" customFormat="false" ht="15" hidden="false" customHeight="false" outlineLevel="0" collapsed="false">
      <c r="B2568" s="48" t="n">
        <v>45823.4696759259</v>
      </c>
      <c r="C2568" s="4" t="n">
        <f aca="false">YEAR(B2568)</f>
        <v>2025</v>
      </c>
      <c r="D2568" s="49" t="s">
        <v>283</v>
      </c>
      <c r="E2568" s="49" t="s">
        <v>5382</v>
      </c>
      <c r="F2568" s="50" t="n">
        <v>7</v>
      </c>
      <c r="G2568" s="49" t="s">
        <v>287</v>
      </c>
      <c r="H2568" s="51" t="n">
        <v>0.0089</v>
      </c>
      <c r="I2568" s="51" t="n">
        <v>0.3721</v>
      </c>
      <c r="J2568" s="51" t="n">
        <v>0.619</v>
      </c>
      <c r="K2568" s="49"/>
      <c r="L2568" s="49"/>
      <c r="M2568" s="49"/>
      <c r="N2568" s="49"/>
      <c r="O2568" s="49"/>
      <c r="P2568" s="49"/>
      <c r="Q2568" s="49"/>
      <c r="R2568" s="49"/>
      <c r="S2568" s="49" t="n">
        <v>0</v>
      </c>
      <c r="T2568" s="49" t="n">
        <v>0</v>
      </c>
      <c r="U2568" s="49" t="s">
        <v>5383</v>
      </c>
    </row>
    <row r="2569" customFormat="false" ht="15" hidden="false" customHeight="false" outlineLevel="0" collapsed="false">
      <c r="B2569" s="48" t="n">
        <v>45823.8775115741</v>
      </c>
      <c r="C2569" s="4" t="n">
        <f aca="false">YEAR(B2569)</f>
        <v>2025</v>
      </c>
      <c r="D2569" s="49" t="s">
        <v>283</v>
      </c>
      <c r="E2569" s="49" t="s">
        <v>5384</v>
      </c>
      <c r="F2569" s="50" t="n">
        <v>30</v>
      </c>
      <c r="G2569" s="49" t="s">
        <v>287</v>
      </c>
      <c r="H2569" s="51" t="n">
        <v>0.0136</v>
      </c>
      <c r="I2569" s="51" t="n">
        <v>0.0604</v>
      </c>
      <c r="J2569" s="51" t="n">
        <v>0.9261</v>
      </c>
      <c r="K2569" s="49"/>
      <c r="L2569" s="49"/>
      <c r="M2569" s="49"/>
      <c r="N2569" s="49"/>
      <c r="O2569" s="49"/>
      <c r="P2569" s="49"/>
      <c r="Q2569" s="49"/>
      <c r="R2569" s="49"/>
      <c r="S2569" s="49" t="n">
        <v>0</v>
      </c>
      <c r="T2569" s="49" t="n">
        <v>0</v>
      </c>
      <c r="U2569" s="49" t="s">
        <v>5385</v>
      </c>
    </row>
    <row r="2570" customFormat="false" ht="15" hidden="false" customHeight="false" outlineLevel="0" collapsed="false">
      <c r="B2570" s="48" t="n">
        <v>45824.5900578704</v>
      </c>
      <c r="C2570" s="4" t="n">
        <f aca="false">YEAR(B2570)</f>
        <v>2025</v>
      </c>
      <c r="D2570" s="49" t="s">
        <v>278</v>
      </c>
      <c r="E2570" s="49" t="s">
        <v>5386</v>
      </c>
      <c r="F2570" s="50" t="n">
        <v>3</v>
      </c>
      <c r="G2570" s="49" t="s">
        <v>280</v>
      </c>
      <c r="H2570" s="51" t="n">
        <v>0.7677</v>
      </c>
      <c r="I2570" s="51" t="n">
        <v>0.2207</v>
      </c>
      <c r="J2570" s="51" t="n">
        <v>0.0116</v>
      </c>
      <c r="K2570" s="49"/>
      <c r="L2570" s="49"/>
      <c r="M2570" s="49"/>
      <c r="N2570" s="49"/>
      <c r="O2570" s="49"/>
      <c r="P2570" s="49"/>
      <c r="Q2570" s="49"/>
      <c r="R2570" s="49"/>
      <c r="S2570" s="49" t="n">
        <v>0</v>
      </c>
      <c r="T2570" s="49" t="n">
        <v>0</v>
      </c>
      <c r="U2570" s="49" t="s">
        <v>5387</v>
      </c>
    </row>
    <row r="2571" customFormat="false" ht="15" hidden="false" customHeight="false" outlineLevel="0" collapsed="false">
      <c r="B2571" s="48" t="n">
        <v>45825.1031134259</v>
      </c>
      <c r="C2571" s="4" t="n">
        <f aca="false">YEAR(B2571)</f>
        <v>2025</v>
      </c>
      <c r="D2571" s="49" t="s">
        <v>283</v>
      </c>
      <c r="E2571" s="49" t="s">
        <v>5378</v>
      </c>
      <c r="F2571" s="50" t="n">
        <v>1</v>
      </c>
      <c r="G2571" s="49" t="s">
        <v>280</v>
      </c>
      <c r="H2571" s="51" t="n">
        <v>0.5787</v>
      </c>
      <c r="I2571" s="51" t="n">
        <v>0.383</v>
      </c>
      <c r="J2571" s="51" t="n">
        <v>0.0383</v>
      </c>
      <c r="K2571" s="49"/>
      <c r="L2571" s="49"/>
      <c r="M2571" s="49"/>
      <c r="N2571" s="49"/>
      <c r="O2571" s="49"/>
      <c r="P2571" s="49"/>
      <c r="Q2571" s="49"/>
      <c r="R2571" s="49"/>
      <c r="S2571" s="49" t="n">
        <v>0</v>
      </c>
      <c r="T2571" s="49" t="n">
        <v>0</v>
      </c>
      <c r="U2571" s="49" t="s">
        <v>5388</v>
      </c>
    </row>
    <row r="2572" customFormat="false" ht="15" hidden="false" customHeight="false" outlineLevel="0" collapsed="false">
      <c r="B2572" s="48" t="n">
        <v>45825.2376388889</v>
      </c>
      <c r="C2572" s="4" t="n">
        <f aca="false">YEAR(B2572)</f>
        <v>2025</v>
      </c>
      <c r="D2572" s="49" t="s">
        <v>278</v>
      </c>
      <c r="E2572" s="49" t="s">
        <v>5389</v>
      </c>
      <c r="F2572" s="50" t="n">
        <v>0</v>
      </c>
      <c r="G2572" s="49" t="s">
        <v>280</v>
      </c>
      <c r="H2572" s="51" t="n">
        <v>0.8919</v>
      </c>
      <c r="I2572" s="51" t="n">
        <v>0.0959</v>
      </c>
      <c r="J2572" s="51" t="n">
        <v>0.0122</v>
      </c>
      <c r="K2572" s="49"/>
      <c r="L2572" s="49"/>
      <c r="M2572" s="49"/>
      <c r="N2572" s="49"/>
      <c r="O2572" s="49"/>
      <c r="P2572" s="49"/>
      <c r="Q2572" s="49"/>
      <c r="R2572" s="49"/>
      <c r="S2572" s="49" t="n">
        <v>0</v>
      </c>
      <c r="T2572" s="49" t="n">
        <v>0</v>
      </c>
      <c r="U2572" s="49" t="s">
        <v>5390</v>
      </c>
    </row>
    <row r="2573" customFormat="false" ht="15" hidden="false" customHeight="false" outlineLevel="0" collapsed="false">
      <c r="B2573" s="48" t="n">
        <v>45825.3343634259</v>
      </c>
      <c r="C2573" s="4" t="n">
        <f aca="false">YEAR(B2573)</f>
        <v>2025</v>
      </c>
      <c r="D2573" s="49" t="s">
        <v>283</v>
      </c>
      <c r="E2573" s="49" t="s">
        <v>5391</v>
      </c>
      <c r="F2573" s="50" t="n">
        <v>45</v>
      </c>
      <c r="G2573" s="49" t="s">
        <v>287</v>
      </c>
      <c r="H2573" s="51" t="n">
        <v>0.0088</v>
      </c>
      <c r="I2573" s="51" t="n">
        <v>0.0422</v>
      </c>
      <c r="J2573" s="51" t="n">
        <v>0.949</v>
      </c>
      <c r="K2573" s="49"/>
      <c r="L2573" s="49"/>
      <c r="M2573" s="49"/>
      <c r="N2573" s="49"/>
      <c r="O2573" s="49"/>
      <c r="P2573" s="49" t="s">
        <v>281</v>
      </c>
      <c r="Q2573" s="49"/>
      <c r="R2573" s="49"/>
      <c r="S2573" s="49" t="n">
        <v>0</v>
      </c>
      <c r="T2573" s="49" t="n">
        <v>0</v>
      </c>
      <c r="U2573" s="49" t="s">
        <v>5392</v>
      </c>
    </row>
    <row r="2574" customFormat="false" ht="15" hidden="false" customHeight="false" outlineLevel="0" collapsed="false">
      <c r="B2574" s="48" t="n">
        <v>45825.5099421296</v>
      </c>
      <c r="C2574" s="4" t="n">
        <f aca="false">YEAR(B2574)</f>
        <v>2025</v>
      </c>
      <c r="D2574" s="49" t="s">
        <v>283</v>
      </c>
      <c r="E2574" s="49" t="s">
        <v>5393</v>
      </c>
      <c r="F2574" s="50" t="n">
        <v>0</v>
      </c>
      <c r="G2574" s="49" t="s">
        <v>280</v>
      </c>
      <c r="H2574" s="51" t="n">
        <v>0.7296</v>
      </c>
      <c r="I2574" s="51" t="n">
        <v>0.2424</v>
      </c>
      <c r="J2574" s="51" t="n">
        <v>0.028</v>
      </c>
      <c r="K2574" s="49"/>
      <c r="L2574" s="49"/>
      <c r="M2574" s="49"/>
      <c r="N2574" s="49"/>
      <c r="O2574" s="49"/>
      <c r="P2574" s="49"/>
      <c r="Q2574" s="49"/>
      <c r="R2574" s="49"/>
      <c r="S2574" s="49" t="n">
        <v>0</v>
      </c>
      <c r="T2574" s="49" t="n">
        <v>0</v>
      </c>
      <c r="U2574" s="49" t="s">
        <v>5394</v>
      </c>
    </row>
    <row r="2575" customFormat="false" ht="15" hidden="false" customHeight="false" outlineLevel="0" collapsed="false">
      <c r="B2575" s="48" t="n">
        <v>45825.8779050926</v>
      </c>
      <c r="C2575" s="4" t="n">
        <f aca="false">YEAR(B2575)</f>
        <v>2025</v>
      </c>
      <c r="D2575" s="49" t="s">
        <v>278</v>
      </c>
      <c r="E2575" s="49" t="s">
        <v>5395</v>
      </c>
      <c r="F2575" s="50" t="n">
        <v>6</v>
      </c>
      <c r="G2575" s="49" t="s">
        <v>280</v>
      </c>
      <c r="H2575" s="51" t="n">
        <v>0.7447</v>
      </c>
      <c r="I2575" s="51" t="n">
        <v>0.2466</v>
      </c>
      <c r="J2575" s="51" t="n">
        <v>0.0087</v>
      </c>
      <c r="K2575" s="49" t="s">
        <v>281</v>
      </c>
      <c r="L2575" s="49"/>
      <c r="M2575" s="49"/>
      <c r="N2575" s="49"/>
      <c r="O2575" s="49"/>
      <c r="P2575" s="49"/>
      <c r="Q2575" s="49"/>
      <c r="R2575" s="49"/>
      <c r="S2575" s="49" t="n">
        <v>0</v>
      </c>
      <c r="T2575" s="49" t="n">
        <v>0</v>
      </c>
      <c r="U2575" s="49" t="s">
        <v>5396</v>
      </c>
    </row>
    <row r="2576" customFormat="false" ht="15" hidden="false" customHeight="false" outlineLevel="0" collapsed="false">
      <c r="B2576" s="48" t="n">
        <v>45825.8807986111</v>
      </c>
      <c r="C2576" s="4" t="n">
        <f aca="false">YEAR(B2576)</f>
        <v>2025</v>
      </c>
      <c r="D2576" s="49" t="s">
        <v>283</v>
      </c>
      <c r="E2576" s="49" t="s">
        <v>5397</v>
      </c>
      <c r="F2576" s="50" t="n">
        <v>0</v>
      </c>
      <c r="G2576" s="49" t="s">
        <v>290</v>
      </c>
      <c r="H2576" s="51" t="n">
        <v>0.4203</v>
      </c>
      <c r="I2576" s="51" t="n">
        <v>0.5119</v>
      </c>
      <c r="J2576" s="51" t="n">
        <v>0.0678</v>
      </c>
      <c r="K2576" s="49"/>
      <c r="L2576" s="49"/>
      <c r="M2576" s="49"/>
      <c r="N2576" s="49"/>
      <c r="O2576" s="49"/>
      <c r="P2576" s="49"/>
      <c r="Q2576" s="49"/>
      <c r="R2576" s="49"/>
      <c r="S2576" s="49" t="n">
        <v>0</v>
      </c>
      <c r="T2576" s="49" t="n">
        <v>0</v>
      </c>
      <c r="U2576" s="49" t="s">
        <v>5398</v>
      </c>
    </row>
    <row r="2577" customFormat="false" ht="15" hidden="false" customHeight="false" outlineLevel="0" collapsed="false">
      <c r="B2577" s="48" t="n">
        <v>45826.8482523148</v>
      </c>
      <c r="C2577" s="4" t="n">
        <f aca="false">YEAR(B2577)</f>
        <v>2025</v>
      </c>
      <c r="D2577" s="49" t="s">
        <v>283</v>
      </c>
      <c r="E2577" s="49" t="s">
        <v>5399</v>
      </c>
      <c r="F2577" s="50" t="n">
        <v>1</v>
      </c>
      <c r="G2577" s="49" t="s">
        <v>280</v>
      </c>
      <c r="H2577" s="51" t="n">
        <v>0.6457</v>
      </c>
      <c r="I2577" s="51" t="n">
        <v>0.3386</v>
      </c>
      <c r="J2577" s="51" t="n">
        <v>0.0157</v>
      </c>
      <c r="K2577" s="49"/>
      <c r="L2577" s="49"/>
      <c r="M2577" s="49"/>
      <c r="N2577" s="49"/>
      <c r="O2577" s="49"/>
      <c r="P2577" s="49"/>
      <c r="Q2577" s="49"/>
      <c r="R2577" s="49" t="s">
        <v>281</v>
      </c>
      <c r="S2577" s="49" t="n">
        <v>0</v>
      </c>
      <c r="T2577" s="49" t="n">
        <v>0</v>
      </c>
      <c r="U2577" s="49" t="s">
        <v>5400</v>
      </c>
    </row>
    <row r="2578" customFormat="false" ht="15" hidden="false" customHeight="false" outlineLevel="0" collapsed="false">
      <c r="B2578" s="48" t="n">
        <v>45827.6748726852</v>
      </c>
      <c r="C2578" s="4" t="n">
        <f aca="false">YEAR(B2578)</f>
        <v>2025</v>
      </c>
      <c r="D2578" s="49" t="s">
        <v>283</v>
      </c>
      <c r="E2578" s="49" t="s">
        <v>5401</v>
      </c>
      <c r="F2578" s="50" t="n">
        <v>14</v>
      </c>
      <c r="G2578" s="49" t="s">
        <v>287</v>
      </c>
      <c r="H2578" s="51" t="n">
        <v>0.0034</v>
      </c>
      <c r="I2578" s="51" t="n">
        <v>0.0868</v>
      </c>
      <c r="J2578" s="51" t="n">
        <v>0.9098</v>
      </c>
      <c r="K2578" s="49"/>
      <c r="L2578" s="49"/>
      <c r="M2578" s="49"/>
      <c r="N2578" s="49"/>
      <c r="O2578" s="49"/>
      <c r="P2578" s="49"/>
      <c r="Q2578" s="49"/>
      <c r="R2578" s="49"/>
      <c r="S2578" s="49" t="n">
        <v>0</v>
      </c>
      <c r="T2578" s="49" t="n">
        <v>0</v>
      </c>
      <c r="U2578" s="49" t="s">
        <v>5402</v>
      </c>
    </row>
    <row r="2579" customFormat="false" ht="15" hidden="false" customHeight="false" outlineLevel="0" collapsed="false">
      <c r="B2579" s="48" t="n">
        <v>45828.3947916667</v>
      </c>
      <c r="C2579" s="4" t="n">
        <f aca="false">YEAR(B2579)</f>
        <v>2025</v>
      </c>
      <c r="D2579" s="49" t="s">
        <v>283</v>
      </c>
      <c r="E2579" s="49" t="s">
        <v>5403</v>
      </c>
      <c r="F2579" s="50" t="n">
        <v>1</v>
      </c>
      <c r="G2579" s="49" t="s">
        <v>290</v>
      </c>
      <c r="H2579" s="51" t="n">
        <v>0.0302</v>
      </c>
      <c r="I2579" s="51" t="n">
        <v>0.9069</v>
      </c>
      <c r="J2579" s="51" t="n">
        <v>0.0629</v>
      </c>
      <c r="K2579" s="49"/>
      <c r="L2579" s="49"/>
      <c r="M2579" s="49"/>
      <c r="N2579" s="49"/>
      <c r="O2579" s="49"/>
      <c r="P2579" s="49"/>
      <c r="Q2579" s="49"/>
      <c r="R2579" s="49"/>
      <c r="S2579" s="49" t="n">
        <v>0</v>
      </c>
      <c r="T2579" s="49" t="n">
        <v>0</v>
      </c>
      <c r="U2579" s="49" t="s">
        <v>5404</v>
      </c>
    </row>
    <row r="2580" customFormat="false" ht="15" hidden="false" customHeight="false" outlineLevel="0" collapsed="false">
      <c r="B2580" s="48" t="n">
        <v>45828.7210300926</v>
      </c>
      <c r="C2580" s="4" t="n">
        <f aca="false">YEAR(B2580)</f>
        <v>2025</v>
      </c>
      <c r="D2580" s="49" t="s">
        <v>283</v>
      </c>
      <c r="E2580" s="49" t="s">
        <v>5405</v>
      </c>
      <c r="F2580" s="50" t="n">
        <v>0</v>
      </c>
      <c r="G2580" s="49" t="s">
        <v>290</v>
      </c>
      <c r="H2580" s="51" t="n">
        <v>0.3783</v>
      </c>
      <c r="I2580" s="51" t="n">
        <v>0.5606</v>
      </c>
      <c r="J2580" s="51" t="n">
        <v>0.0611</v>
      </c>
      <c r="K2580" s="49"/>
      <c r="L2580" s="49"/>
      <c r="M2580" s="49"/>
      <c r="N2580" s="49"/>
      <c r="O2580" s="49"/>
      <c r="P2580" s="49"/>
      <c r="Q2580" s="49" t="s">
        <v>281</v>
      </c>
      <c r="R2580" s="49"/>
      <c r="S2580" s="49" t="n">
        <v>0</v>
      </c>
      <c r="T2580" s="49" t="n">
        <v>0</v>
      </c>
      <c r="U2580" s="49" t="s">
        <v>5406</v>
      </c>
    </row>
    <row r="2581" customFormat="false" ht="15" hidden="false" customHeight="false" outlineLevel="0" collapsed="false">
      <c r="B2581" s="48" t="n">
        <v>45829.613599537</v>
      </c>
      <c r="C2581" s="4" t="n">
        <f aca="false">YEAR(B2581)</f>
        <v>2025</v>
      </c>
      <c r="D2581" s="49" t="s">
        <v>283</v>
      </c>
      <c r="E2581" s="49" t="s">
        <v>5407</v>
      </c>
      <c r="F2581" s="50" t="n">
        <v>4</v>
      </c>
      <c r="G2581" s="49" t="s">
        <v>287</v>
      </c>
      <c r="H2581" s="51" t="n">
        <v>0.0113</v>
      </c>
      <c r="I2581" s="51" t="n">
        <v>0.4304</v>
      </c>
      <c r="J2581" s="51" t="n">
        <v>0.5583</v>
      </c>
      <c r="K2581" s="49"/>
      <c r="L2581" s="49"/>
      <c r="M2581" s="49"/>
      <c r="N2581" s="49"/>
      <c r="O2581" s="49"/>
      <c r="P2581" s="49"/>
      <c r="Q2581" s="49"/>
      <c r="R2581" s="49"/>
      <c r="S2581" s="49" t="n">
        <v>0</v>
      </c>
      <c r="T2581" s="49" t="n">
        <v>0</v>
      </c>
      <c r="U2581" s="49" t="s">
        <v>5408</v>
      </c>
    </row>
    <row r="2582" customFormat="false" ht="15" hidden="false" customHeight="false" outlineLevel="0" collapsed="false">
      <c r="B2582" s="48" t="n">
        <v>45830.6372222222</v>
      </c>
      <c r="C2582" s="4" t="n">
        <f aca="false">YEAR(B2582)</f>
        <v>2025</v>
      </c>
      <c r="D2582" s="49" t="s">
        <v>283</v>
      </c>
      <c r="E2582" s="49" t="s">
        <v>5409</v>
      </c>
      <c r="F2582" s="50" t="n">
        <v>110</v>
      </c>
      <c r="G2582" s="49" t="s">
        <v>290</v>
      </c>
      <c r="H2582" s="51" t="n">
        <v>0.0406</v>
      </c>
      <c r="I2582" s="51" t="n">
        <v>0.6783</v>
      </c>
      <c r="J2582" s="51" t="n">
        <v>0.2811</v>
      </c>
      <c r="K2582" s="49"/>
      <c r="L2582" s="49"/>
      <c r="M2582" s="49"/>
      <c r="N2582" s="49"/>
      <c r="O2582" s="49"/>
      <c r="P2582" s="49"/>
      <c r="Q2582" s="49"/>
      <c r="R2582" s="49"/>
      <c r="S2582" s="49" t="n">
        <v>0</v>
      </c>
      <c r="T2582" s="49" t="n">
        <v>0</v>
      </c>
      <c r="U2582" s="49" t="s">
        <v>5410</v>
      </c>
    </row>
    <row r="2583" customFormat="false" ht="15" hidden="false" customHeight="false" outlineLevel="0" collapsed="false">
      <c r="B2583" s="48" t="n">
        <v>45830.6960416667</v>
      </c>
      <c r="C2583" s="4" t="n">
        <f aca="false">YEAR(B2583)</f>
        <v>2025</v>
      </c>
      <c r="D2583" s="49" t="s">
        <v>278</v>
      </c>
      <c r="E2583" s="49" t="s">
        <v>5411</v>
      </c>
      <c r="F2583" s="50" t="n">
        <v>1</v>
      </c>
      <c r="G2583" s="49" t="s">
        <v>290</v>
      </c>
      <c r="H2583" s="51" t="n">
        <v>0.4356</v>
      </c>
      <c r="I2583" s="51" t="n">
        <v>0.5406</v>
      </c>
      <c r="J2583" s="51" t="n">
        <v>0.0238</v>
      </c>
      <c r="K2583" s="49"/>
      <c r="L2583" s="49"/>
      <c r="M2583" s="49"/>
      <c r="N2583" s="49"/>
      <c r="O2583" s="49"/>
      <c r="P2583" s="49"/>
      <c r="Q2583" s="49"/>
      <c r="R2583" s="49" t="s">
        <v>281</v>
      </c>
      <c r="S2583" s="49" t="n">
        <v>0</v>
      </c>
      <c r="T2583" s="49" t="n">
        <v>0</v>
      </c>
      <c r="U2583" s="49" t="s">
        <v>5412</v>
      </c>
    </row>
    <row r="2584" customFormat="false" ht="15" hidden="false" customHeight="false" outlineLevel="0" collapsed="false">
      <c r="B2584" s="48" t="n">
        <v>45831.6317361111</v>
      </c>
      <c r="C2584" s="4" t="n">
        <f aca="false">YEAR(B2584)</f>
        <v>2025</v>
      </c>
      <c r="D2584" s="49" t="s">
        <v>283</v>
      </c>
      <c r="E2584" s="49" t="s">
        <v>5413</v>
      </c>
      <c r="F2584" s="50" t="n">
        <v>19</v>
      </c>
      <c r="G2584" s="49" t="s">
        <v>287</v>
      </c>
      <c r="H2584" s="51" t="n">
        <v>0.1485</v>
      </c>
      <c r="I2584" s="51" t="n">
        <v>0.3465</v>
      </c>
      <c r="J2584" s="51" t="n">
        <v>0.505</v>
      </c>
      <c r="K2584" s="49"/>
      <c r="L2584" s="49"/>
      <c r="M2584" s="49"/>
      <c r="N2584" s="49"/>
      <c r="O2584" s="49"/>
      <c r="P2584" s="49"/>
      <c r="Q2584" s="49"/>
      <c r="R2584" s="49"/>
      <c r="S2584" s="49" t="n">
        <v>0</v>
      </c>
      <c r="T2584" s="49" t="n">
        <v>0</v>
      </c>
      <c r="U2584" s="49" t="s">
        <v>5414</v>
      </c>
    </row>
    <row r="2585" customFormat="false" ht="15" hidden="false" customHeight="false" outlineLevel="0" collapsed="false">
      <c r="B2585" s="48" t="n">
        <v>45831.7627777778</v>
      </c>
      <c r="C2585" s="4" t="n">
        <f aca="false">YEAR(B2585)</f>
        <v>2025</v>
      </c>
      <c r="D2585" s="49" t="s">
        <v>283</v>
      </c>
      <c r="E2585" s="49" t="s">
        <v>5415</v>
      </c>
      <c r="F2585" s="50" t="n">
        <v>1</v>
      </c>
      <c r="G2585" s="49" t="s">
        <v>287</v>
      </c>
      <c r="H2585" s="51" t="n">
        <v>0.0041</v>
      </c>
      <c r="I2585" s="51" t="n">
        <v>0.0855</v>
      </c>
      <c r="J2585" s="51" t="n">
        <v>0.9104</v>
      </c>
      <c r="K2585" s="49"/>
      <c r="L2585" s="49"/>
      <c r="M2585" s="49"/>
      <c r="N2585" s="49"/>
      <c r="O2585" s="49"/>
      <c r="P2585" s="49"/>
      <c r="Q2585" s="49"/>
      <c r="R2585" s="49"/>
      <c r="S2585" s="49" t="n">
        <v>0</v>
      </c>
      <c r="T2585" s="49" t="n">
        <v>0</v>
      </c>
      <c r="U2585" s="49" t="s">
        <v>5416</v>
      </c>
    </row>
    <row r="2586" customFormat="false" ht="15" hidden="false" customHeight="false" outlineLevel="0" collapsed="false">
      <c r="B2586" s="48" t="n">
        <v>45832.5000231482</v>
      </c>
      <c r="C2586" s="4" t="n">
        <f aca="false">YEAR(B2586)</f>
        <v>2025</v>
      </c>
      <c r="D2586" s="49" t="s">
        <v>283</v>
      </c>
      <c r="E2586" s="49" t="s">
        <v>5417</v>
      </c>
      <c r="F2586" s="50" t="n">
        <v>4</v>
      </c>
      <c r="G2586" s="49" t="s">
        <v>290</v>
      </c>
      <c r="H2586" s="51" t="n">
        <v>0.4274</v>
      </c>
      <c r="I2586" s="51" t="n">
        <v>0.5128</v>
      </c>
      <c r="J2586" s="51" t="n">
        <v>0.0598</v>
      </c>
      <c r="K2586" s="49"/>
      <c r="L2586" s="49"/>
      <c r="M2586" s="49"/>
      <c r="N2586" s="49"/>
      <c r="O2586" s="49"/>
      <c r="P2586" s="49"/>
      <c r="Q2586" s="49"/>
      <c r="R2586" s="49"/>
      <c r="S2586" s="49" t="n">
        <v>0</v>
      </c>
      <c r="T2586" s="49" t="n">
        <v>0</v>
      </c>
      <c r="U2586" s="49" t="s">
        <v>5418</v>
      </c>
    </row>
    <row r="2587" customFormat="false" ht="15" hidden="false" customHeight="false" outlineLevel="0" collapsed="false">
      <c r="B2587" s="48" t="n">
        <v>45832.5749768519</v>
      </c>
      <c r="C2587" s="4" t="n">
        <f aca="false">YEAR(B2587)</f>
        <v>2025</v>
      </c>
      <c r="D2587" s="49" t="s">
        <v>283</v>
      </c>
      <c r="E2587" s="49" t="s">
        <v>5419</v>
      </c>
      <c r="F2587" s="50" t="n">
        <v>1</v>
      </c>
      <c r="G2587" s="49" t="s">
        <v>280</v>
      </c>
      <c r="H2587" s="51" t="n">
        <v>0.7716</v>
      </c>
      <c r="I2587" s="51" t="n">
        <v>0.1938</v>
      </c>
      <c r="J2587" s="51" t="n">
        <v>0.0346</v>
      </c>
      <c r="K2587" s="49"/>
      <c r="L2587" s="49"/>
      <c r="M2587" s="49"/>
      <c r="N2587" s="49"/>
      <c r="O2587" s="49"/>
      <c r="P2587" s="49"/>
      <c r="Q2587" s="49"/>
      <c r="R2587" s="49"/>
      <c r="S2587" s="49" t="n">
        <v>0</v>
      </c>
      <c r="T2587" s="49" t="n">
        <v>0</v>
      </c>
      <c r="U2587" s="49" t="s">
        <v>5420</v>
      </c>
    </row>
    <row r="2588" customFormat="false" ht="15" hidden="false" customHeight="false" outlineLevel="0" collapsed="false">
      <c r="B2588" s="48" t="n">
        <v>45832.8486458333</v>
      </c>
      <c r="C2588" s="4" t="n">
        <f aca="false">YEAR(B2588)</f>
        <v>2025</v>
      </c>
      <c r="D2588" s="49" t="s">
        <v>283</v>
      </c>
      <c r="E2588" s="49" t="s">
        <v>5421</v>
      </c>
      <c r="F2588" s="50" t="n">
        <v>0</v>
      </c>
      <c r="G2588" s="49" t="s">
        <v>290</v>
      </c>
      <c r="H2588" s="51" t="n">
        <v>0.3983</v>
      </c>
      <c r="I2588" s="51" t="n">
        <v>0.537</v>
      </c>
      <c r="J2588" s="51" t="n">
        <v>0.0647</v>
      </c>
      <c r="K2588" s="49"/>
      <c r="L2588" s="49"/>
      <c r="M2588" s="49"/>
      <c r="N2588" s="49"/>
      <c r="O2588" s="49"/>
      <c r="P2588" s="49"/>
      <c r="Q2588" s="49"/>
      <c r="R2588" s="49"/>
      <c r="S2588" s="49" t="n">
        <v>0</v>
      </c>
      <c r="T2588" s="49" t="n">
        <v>0</v>
      </c>
      <c r="U2588" s="49" t="s">
        <v>5422</v>
      </c>
    </row>
    <row r="2589" customFormat="false" ht="15" hidden="false" customHeight="false" outlineLevel="0" collapsed="false">
      <c r="B2589" s="48" t="n">
        <v>45833.8617592593</v>
      </c>
      <c r="C2589" s="4" t="n">
        <f aca="false">YEAR(B2589)</f>
        <v>2025</v>
      </c>
      <c r="D2589" s="49" t="s">
        <v>283</v>
      </c>
      <c r="E2589" s="49" t="s">
        <v>5423</v>
      </c>
      <c r="F2589" s="50" t="n">
        <v>1</v>
      </c>
      <c r="G2589" s="49" t="s">
        <v>287</v>
      </c>
      <c r="H2589" s="51" t="n">
        <v>0.0032</v>
      </c>
      <c r="I2589" s="51" t="n">
        <v>0.1801</v>
      </c>
      <c r="J2589" s="51" t="n">
        <v>0.8167</v>
      </c>
      <c r="K2589" s="49"/>
      <c r="L2589" s="49"/>
      <c r="M2589" s="49"/>
      <c r="N2589" s="49"/>
      <c r="O2589" s="49"/>
      <c r="P2589" s="49"/>
      <c r="Q2589" s="49"/>
      <c r="R2589" s="49"/>
      <c r="S2589" s="49" t="n">
        <v>0</v>
      </c>
      <c r="T2589" s="49" t="n">
        <v>0</v>
      </c>
      <c r="U2589" s="49" t="s">
        <v>5424</v>
      </c>
    </row>
    <row r="2590" customFormat="false" ht="15" hidden="false" customHeight="false" outlineLevel="0" collapsed="false">
      <c r="B2590" s="48" t="n">
        <v>45834.2936111111</v>
      </c>
      <c r="C2590" s="4" t="n">
        <f aca="false">YEAR(B2590)</f>
        <v>2025</v>
      </c>
      <c r="D2590" s="49" t="s">
        <v>283</v>
      </c>
      <c r="E2590" s="49" t="s">
        <v>5425</v>
      </c>
      <c r="F2590" s="50" t="n">
        <v>0</v>
      </c>
      <c r="G2590" s="49" t="s">
        <v>290</v>
      </c>
      <c r="H2590" s="51" t="n">
        <v>0.0336</v>
      </c>
      <c r="I2590" s="51" t="n">
        <v>0.7635</v>
      </c>
      <c r="J2590" s="51" t="n">
        <v>0.2029</v>
      </c>
      <c r="K2590" s="49"/>
      <c r="L2590" s="49"/>
      <c r="M2590" s="49"/>
      <c r="N2590" s="49"/>
      <c r="O2590" s="49"/>
      <c r="P2590" s="49"/>
      <c r="Q2590" s="49"/>
      <c r="R2590" s="49"/>
      <c r="S2590" s="49" t="n">
        <v>0</v>
      </c>
      <c r="T2590" s="49" t="n">
        <v>0</v>
      </c>
      <c r="U2590" s="49" t="s">
        <v>5426</v>
      </c>
    </row>
    <row r="2591" customFormat="false" ht="15" hidden="false" customHeight="false" outlineLevel="0" collapsed="false">
      <c r="B2591" s="48" t="n">
        <v>45836.01375</v>
      </c>
      <c r="C2591" s="4" t="n">
        <f aca="false">YEAR(B2591)</f>
        <v>2025</v>
      </c>
      <c r="D2591" s="49" t="s">
        <v>278</v>
      </c>
      <c r="E2591" s="49" t="s">
        <v>5427</v>
      </c>
      <c r="F2591" s="50" t="n">
        <v>0</v>
      </c>
      <c r="G2591" s="49" t="s">
        <v>280</v>
      </c>
      <c r="H2591" s="51" t="n">
        <v>0.8945</v>
      </c>
      <c r="I2591" s="51" t="n">
        <v>0.0954</v>
      </c>
      <c r="J2591" s="51" t="n">
        <v>0.01</v>
      </c>
      <c r="K2591" s="49"/>
      <c r="L2591" s="49"/>
      <c r="M2591" s="49"/>
      <c r="N2591" s="49"/>
      <c r="O2591" s="49"/>
      <c r="P2591" s="49"/>
      <c r="Q2591" s="49"/>
      <c r="R2591" s="49"/>
      <c r="S2591" s="49" t="n">
        <v>0</v>
      </c>
      <c r="T2591" s="49" t="n">
        <v>0</v>
      </c>
      <c r="U2591" s="49" t="s">
        <v>5428</v>
      </c>
    </row>
    <row r="2592" customFormat="false" ht="15" hidden="false" customHeight="false" outlineLevel="0" collapsed="false">
      <c r="B2592" s="48" t="n">
        <v>45836.8963078704</v>
      </c>
      <c r="C2592" s="4" t="n">
        <f aca="false">YEAR(B2592)</f>
        <v>2025</v>
      </c>
      <c r="D2592" s="49" t="s">
        <v>278</v>
      </c>
      <c r="E2592" s="49" t="s">
        <v>5429</v>
      </c>
      <c r="F2592" s="50" t="n">
        <v>0</v>
      </c>
      <c r="G2592" s="49" t="s">
        <v>280</v>
      </c>
      <c r="H2592" s="51" t="n">
        <v>0.7484</v>
      </c>
      <c r="I2592" s="51" t="n">
        <v>0.2185</v>
      </c>
      <c r="J2592" s="51" t="n">
        <v>0.0332</v>
      </c>
      <c r="K2592" s="49"/>
      <c r="L2592" s="49"/>
      <c r="M2592" s="49" t="s">
        <v>281</v>
      </c>
      <c r="N2592" s="49"/>
      <c r="O2592" s="49"/>
      <c r="P2592" s="49"/>
      <c r="Q2592" s="49" t="s">
        <v>281</v>
      </c>
      <c r="R2592" s="49"/>
      <c r="S2592" s="49" t="n">
        <v>0</v>
      </c>
      <c r="T2592" s="49" t="n">
        <v>0</v>
      </c>
      <c r="U2592" s="49" t="s">
        <v>5430</v>
      </c>
    </row>
    <row r="2593" customFormat="false" ht="15" hidden="false" customHeight="false" outlineLevel="0" collapsed="false">
      <c r="B2593" s="48" t="n">
        <v>45837.1342592593</v>
      </c>
      <c r="C2593" s="4" t="n">
        <f aca="false">YEAR(B2593)</f>
        <v>2025</v>
      </c>
      <c r="D2593" s="49" t="s">
        <v>283</v>
      </c>
      <c r="E2593" s="49" t="s">
        <v>5431</v>
      </c>
      <c r="F2593" s="50" t="n">
        <v>1</v>
      </c>
      <c r="G2593" s="49" t="s">
        <v>287</v>
      </c>
      <c r="H2593" s="51" t="n">
        <v>0.0031</v>
      </c>
      <c r="I2593" s="51" t="n">
        <v>0.0079</v>
      </c>
      <c r="J2593" s="51" t="n">
        <v>0.989</v>
      </c>
      <c r="K2593" s="49"/>
      <c r="L2593" s="49"/>
      <c r="M2593" s="49"/>
      <c r="N2593" s="49"/>
      <c r="O2593" s="49"/>
      <c r="P2593" s="49"/>
      <c r="Q2593" s="49"/>
      <c r="R2593" s="49"/>
      <c r="S2593" s="49" t="n">
        <v>0</v>
      </c>
      <c r="T2593" s="49" t="n">
        <v>0</v>
      </c>
      <c r="U2593" s="49" t="s">
        <v>5432</v>
      </c>
    </row>
    <row r="2594" customFormat="false" ht="15" hidden="false" customHeight="false" outlineLevel="0" collapsed="false">
      <c r="B2594" s="48" t="n">
        <v>45837.5500231482</v>
      </c>
      <c r="C2594" s="4" t="n">
        <f aca="false">YEAR(B2594)</f>
        <v>2025</v>
      </c>
      <c r="D2594" s="49" t="s">
        <v>283</v>
      </c>
      <c r="E2594" s="49" t="s">
        <v>5433</v>
      </c>
      <c r="F2594" s="50" t="n">
        <v>8</v>
      </c>
      <c r="G2594" s="49" t="s">
        <v>287</v>
      </c>
      <c r="H2594" s="51" t="n">
        <v>0.0042</v>
      </c>
      <c r="I2594" s="51" t="n">
        <v>0.0946</v>
      </c>
      <c r="J2594" s="51" t="n">
        <v>0.9012</v>
      </c>
      <c r="K2594" s="49"/>
      <c r="L2594" s="49"/>
      <c r="M2594" s="49"/>
      <c r="N2594" s="49"/>
      <c r="O2594" s="49"/>
      <c r="P2594" s="49" t="s">
        <v>281</v>
      </c>
      <c r="Q2594" s="49"/>
      <c r="R2594" s="49"/>
      <c r="S2594" s="49" t="n">
        <v>0</v>
      </c>
      <c r="T2594" s="49" t="n">
        <v>0</v>
      </c>
      <c r="U2594" s="49" t="s">
        <v>5434</v>
      </c>
    </row>
    <row r="2595" customFormat="false" ht="15" hidden="false" customHeight="false" outlineLevel="0" collapsed="false">
      <c r="B2595" s="48" t="n">
        <v>45837.7544907407</v>
      </c>
      <c r="C2595" s="4" t="n">
        <f aca="false">YEAR(B2595)</f>
        <v>2025</v>
      </c>
      <c r="D2595" s="49" t="s">
        <v>283</v>
      </c>
      <c r="E2595" s="49" t="s">
        <v>5435</v>
      </c>
      <c r="F2595" s="50" t="n">
        <v>2</v>
      </c>
      <c r="G2595" s="49" t="s">
        <v>280</v>
      </c>
      <c r="H2595" s="51" t="n">
        <v>0.7387</v>
      </c>
      <c r="I2595" s="51" t="n">
        <v>0.2183</v>
      </c>
      <c r="J2595" s="51" t="n">
        <v>0.043</v>
      </c>
      <c r="K2595" s="49"/>
      <c r="L2595" s="49"/>
      <c r="M2595" s="49"/>
      <c r="N2595" s="49"/>
      <c r="O2595" s="49"/>
      <c r="P2595" s="49"/>
      <c r="Q2595" s="49"/>
      <c r="R2595" s="49"/>
      <c r="S2595" s="49" t="n">
        <v>0</v>
      </c>
      <c r="T2595" s="49" t="n">
        <v>0</v>
      </c>
      <c r="U2595" s="49" t="s">
        <v>5436</v>
      </c>
    </row>
    <row r="2596" customFormat="false" ht="15" hidden="false" customHeight="false" outlineLevel="0" collapsed="false">
      <c r="B2596" s="48" t="n">
        <v>45837.9320601852</v>
      </c>
      <c r="C2596" s="4" t="n">
        <f aca="false">YEAR(B2596)</f>
        <v>2025</v>
      </c>
      <c r="D2596" s="49" t="s">
        <v>283</v>
      </c>
      <c r="E2596" s="49" t="s">
        <v>5437</v>
      </c>
      <c r="F2596" s="50" t="n">
        <v>21</v>
      </c>
      <c r="G2596" s="49" t="s">
        <v>290</v>
      </c>
      <c r="H2596" s="51" t="n">
        <v>0.2188</v>
      </c>
      <c r="I2596" s="51" t="n">
        <v>0.7447</v>
      </c>
      <c r="J2596" s="51" t="n">
        <v>0.0365</v>
      </c>
      <c r="K2596" s="49"/>
      <c r="L2596" s="49" t="s">
        <v>281</v>
      </c>
      <c r="M2596" s="49"/>
      <c r="N2596" s="49"/>
      <c r="O2596" s="49"/>
      <c r="P2596" s="49"/>
      <c r="Q2596" s="49"/>
      <c r="R2596" s="49"/>
      <c r="S2596" s="49" t="n">
        <v>0</v>
      </c>
      <c r="T2596" s="49" t="n">
        <v>0</v>
      </c>
      <c r="U2596" s="49" t="s">
        <v>5438</v>
      </c>
    </row>
    <row r="2597" customFormat="false" ht="15" hidden="false" customHeight="false" outlineLevel="0" collapsed="false">
      <c r="B2597" s="48" t="n">
        <v>45837.9425115741</v>
      </c>
      <c r="C2597" s="4" t="n">
        <f aca="false">YEAR(B2597)</f>
        <v>2025</v>
      </c>
      <c r="D2597" s="49" t="s">
        <v>283</v>
      </c>
      <c r="E2597" s="49" t="s">
        <v>5439</v>
      </c>
      <c r="F2597" s="50" t="n">
        <v>2</v>
      </c>
      <c r="G2597" s="49" t="s">
        <v>287</v>
      </c>
      <c r="H2597" s="51" t="n">
        <v>0.0086</v>
      </c>
      <c r="I2597" s="51" t="n">
        <v>0.122</v>
      </c>
      <c r="J2597" s="51" t="n">
        <v>0.8694</v>
      </c>
      <c r="K2597" s="49"/>
      <c r="L2597" s="49"/>
      <c r="M2597" s="49"/>
      <c r="N2597" s="49"/>
      <c r="O2597" s="49"/>
      <c r="P2597" s="49"/>
      <c r="Q2597" s="49"/>
      <c r="R2597" s="49"/>
      <c r="S2597" s="49" t="n">
        <v>0</v>
      </c>
      <c r="T2597" s="49" t="n">
        <v>0</v>
      </c>
      <c r="U2597" s="49" t="s">
        <v>5440</v>
      </c>
    </row>
    <row r="2598" customFormat="false" ht="15" hidden="false" customHeight="false" outlineLevel="0" collapsed="false">
      <c r="B2598" s="48" t="n">
        <v>45838.4136111111</v>
      </c>
      <c r="C2598" s="4" t="n">
        <f aca="false">YEAR(B2598)</f>
        <v>2025</v>
      </c>
      <c r="D2598" s="49" t="s">
        <v>278</v>
      </c>
      <c r="E2598" s="49" t="s">
        <v>5441</v>
      </c>
      <c r="F2598" s="50" t="n">
        <v>752</v>
      </c>
      <c r="G2598" s="49" t="s">
        <v>287</v>
      </c>
      <c r="H2598" s="51" t="n">
        <v>0.0133</v>
      </c>
      <c r="I2598" s="51" t="n">
        <v>0.0634</v>
      </c>
      <c r="J2598" s="51" t="n">
        <v>0.9234</v>
      </c>
      <c r="K2598" s="49"/>
      <c r="L2598" s="49"/>
      <c r="M2598" s="49" t="s">
        <v>281</v>
      </c>
      <c r="N2598" s="49"/>
      <c r="O2598" s="49"/>
      <c r="P2598" s="49"/>
      <c r="Q2598" s="49" t="s">
        <v>281</v>
      </c>
      <c r="R2598" s="49"/>
      <c r="S2598" s="49" t="n">
        <v>0</v>
      </c>
      <c r="T2598" s="49" t="n">
        <v>0</v>
      </c>
      <c r="U2598" s="49" t="s">
        <v>5442</v>
      </c>
    </row>
    <row r="2599" customFormat="false" ht="15" hidden="false" customHeight="false" outlineLevel="0" collapsed="false">
      <c r="B2599" s="48" t="n">
        <v>45838.4281018519</v>
      </c>
      <c r="C2599" s="4" t="n">
        <f aca="false">YEAR(B2599)</f>
        <v>2025</v>
      </c>
      <c r="D2599" s="49" t="s">
        <v>283</v>
      </c>
      <c r="E2599" s="49" t="s">
        <v>5443</v>
      </c>
      <c r="F2599" s="50" t="n">
        <v>0</v>
      </c>
      <c r="G2599" s="49" t="s">
        <v>290</v>
      </c>
      <c r="H2599" s="51" t="n">
        <v>0.1449</v>
      </c>
      <c r="I2599" s="51" t="n">
        <v>0.6561</v>
      </c>
      <c r="J2599" s="51" t="n">
        <v>0.199</v>
      </c>
      <c r="K2599" s="49"/>
      <c r="L2599" s="49"/>
      <c r="M2599" s="49"/>
      <c r="N2599" s="49"/>
      <c r="O2599" s="49"/>
      <c r="P2599" s="49"/>
      <c r="Q2599" s="49"/>
      <c r="R2599" s="49"/>
      <c r="S2599" s="49" t="n">
        <v>0</v>
      </c>
      <c r="T2599" s="49" t="n">
        <v>0</v>
      </c>
      <c r="U2599" s="49" t="s">
        <v>5444</v>
      </c>
    </row>
    <row r="2600" customFormat="false" ht="15" hidden="false" customHeight="false" outlineLevel="0" collapsed="false">
      <c r="B2600" s="48" t="n">
        <v>45838.7288194444</v>
      </c>
      <c r="C2600" s="4" t="n">
        <f aca="false">YEAR(B2600)</f>
        <v>2025</v>
      </c>
      <c r="D2600" s="49" t="s">
        <v>278</v>
      </c>
      <c r="E2600" s="49" t="s">
        <v>5445</v>
      </c>
      <c r="F2600" s="50" t="n">
        <v>0</v>
      </c>
      <c r="G2600" s="49" t="s">
        <v>280</v>
      </c>
      <c r="H2600" s="51" t="n">
        <v>0.9131</v>
      </c>
      <c r="I2600" s="51" t="n">
        <v>0.0784</v>
      </c>
      <c r="J2600" s="51" t="n">
        <v>0.0085</v>
      </c>
      <c r="K2600" s="49"/>
      <c r="L2600" s="49"/>
      <c r="M2600" s="49"/>
      <c r="N2600" s="49"/>
      <c r="O2600" s="49"/>
      <c r="P2600" s="49"/>
      <c r="Q2600" s="49"/>
      <c r="R2600" s="49" t="s">
        <v>281</v>
      </c>
      <c r="S2600" s="49" t="n">
        <v>0</v>
      </c>
      <c r="T2600" s="49" t="n">
        <v>0</v>
      </c>
      <c r="U2600" s="49" t="s">
        <v>5446</v>
      </c>
    </row>
    <row r="2601" customFormat="false" ht="15" hidden="false" customHeight="false" outlineLevel="0" collapsed="false">
      <c r="B2601" s="48" t="n">
        <v>45838.8974537037</v>
      </c>
      <c r="C2601" s="4" t="n">
        <f aca="false">YEAR(B2601)</f>
        <v>2025</v>
      </c>
      <c r="D2601" s="49" t="s">
        <v>283</v>
      </c>
      <c r="E2601" s="49" t="s">
        <v>5447</v>
      </c>
      <c r="F2601" s="50" t="n">
        <v>2</v>
      </c>
      <c r="G2601" s="49" t="s">
        <v>287</v>
      </c>
      <c r="H2601" s="51" t="n">
        <v>0.0082</v>
      </c>
      <c r="I2601" s="51" t="n">
        <v>0.0367</v>
      </c>
      <c r="J2601" s="51" t="n">
        <v>0.9552</v>
      </c>
      <c r="K2601" s="49"/>
      <c r="L2601" s="49"/>
      <c r="M2601" s="49"/>
      <c r="N2601" s="49"/>
      <c r="O2601" s="49"/>
      <c r="P2601" s="49"/>
      <c r="Q2601" s="49"/>
      <c r="R2601" s="49"/>
      <c r="S2601" s="49" t="n">
        <v>0</v>
      </c>
      <c r="T2601" s="49" t="n">
        <v>0</v>
      </c>
      <c r="U2601" s="49" t="s">
        <v>5448</v>
      </c>
    </row>
    <row r="2602" customFormat="false" ht="15" hidden="false" customHeight="false" outlineLevel="0" collapsed="false">
      <c r="B2602" s="48" t="n">
        <v>45839.6647222222</v>
      </c>
      <c r="C2602" s="4" t="n">
        <f aca="false">YEAR(B2602)</f>
        <v>2025</v>
      </c>
      <c r="D2602" s="49" t="s">
        <v>278</v>
      </c>
      <c r="E2602" s="49" t="s">
        <v>5449</v>
      </c>
      <c r="F2602" s="50" t="n">
        <v>0</v>
      </c>
      <c r="G2602" s="49" t="s">
        <v>290</v>
      </c>
      <c r="H2602" s="51" t="n">
        <v>0.0103</v>
      </c>
      <c r="I2602" s="51" t="n">
        <v>0.5616</v>
      </c>
      <c r="J2602" s="51" t="n">
        <v>0.4282</v>
      </c>
      <c r="K2602" s="49"/>
      <c r="L2602" s="49"/>
      <c r="M2602" s="49"/>
      <c r="N2602" s="49"/>
      <c r="O2602" s="49"/>
      <c r="P2602" s="49"/>
      <c r="Q2602" s="49"/>
      <c r="R2602" s="49" t="s">
        <v>281</v>
      </c>
      <c r="S2602" s="49" t="n">
        <v>0</v>
      </c>
      <c r="T2602" s="49" t="n">
        <v>0</v>
      </c>
      <c r="U2602" s="49" t="s">
        <v>5450</v>
      </c>
    </row>
    <row r="2603" customFormat="false" ht="15" hidden="false" customHeight="false" outlineLevel="0" collapsed="false">
      <c r="B2603" s="48" t="n">
        <v>45840.4361226852</v>
      </c>
      <c r="C2603" s="4" t="n">
        <f aca="false">YEAR(B2603)</f>
        <v>2025</v>
      </c>
      <c r="D2603" s="49" t="s">
        <v>278</v>
      </c>
      <c r="E2603" s="49" t="s">
        <v>5451</v>
      </c>
      <c r="F2603" s="50" t="n">
        <v>300</v>
      </c>
      <c r="G2603" s="49" t="s">
        <v>280</v>
      </c>
      <c r="H2603" s="51" t="n">
        <v>0.8465</v>
      </c>
      <c r="I2603" s="51" t="n">
        <v>0.145</v>
      </c>
      <c r="J2603" s="51" t="n">
        <v>0.0085</v>
      </c>
      <c r="K2603" s="49" t="s">
        <v>281</v>
      </c>
      <c r="L2603" s="49"/>
      <c r="M2603" s="49"/>
      <c r="N2603" s="49"/>
      <c r="O2603" s="49"/>
      <c r="P2603" s="49"/>
      <c r="Q2603" s="49"/>
      <c r="R2603" s="49"/>
      <c r="S2603" s="49" t="n">
        <v>0</v>
      </c>
      <c r="T2603" s="49" t="n">
        <v>0</v>
      </c>
      <c r="U2603" s="49" t="s">
        <v>5452</v>
      </c>
    </row>
    <row r="2604" customFormat="false" ht="15" hidden="false" customHeight="false" outlineLevel="0" collapsed="false">
      <c r="B2604" s="48" t="n">
        <v>45840.6971412037</v>
      </c>
      <c r="C2604" s="4" t="n">
        <f aca="false">YEAR(B2604)</f>
        <v>2025</v>
      </c>
      <c r="D2604" s="49" t="s">
        <v>278</v>
      </c>
      <c r="E2604" s="49" t="s">
        <v>5453</v>
      </c>
      <c r="F2604" s="50" t="n">
        <v>1</v>
      </c>
      <c r="G2604" s="49" t="s">
        <v>290</v>
      </c>
      <c r="H2604" s="51" t="n">
        <v>0.0727</v>
      </c>
      <c r="I2604" s="51" t="n">
        <v>0.8258</v>
      </c>
      <c r="J2604" s="51" t="n">
        <v>0.1015</v>
      </c>
      <c r="K2604" s="49"/>
      <c r="L2604" s="49"/>
      <c r="M2604" s="49"/>
      <c r="N2604" s="49"/>
      <c r="O2604" s="49"/>
      <c r="P2604" s="49"/>
      <c r="Q2604" s="49"/>
      <c r="R2604" s="49"/>
      <c r="S2604" s="49" t="n">
        <v>0</v>
      </c>
      <c r="T2604" s="49" t="n">
        <v>0</v>
      </c>
      <c r="U2604" s="49" t="s">
        <v>5454</v>
      </c>
    </row>
    <row r="2605" customFormat="false" ht="15" hidden="false" customHeight="false" outlineLevel="0" collapsed="false">
      <c r="B2605" s="48" t="n">
        <v>45841.6519212963</v>
      </c>
      <c r="C2605" s="4" t="n">
        <f aca="false">YEAR(B2605)</f>
        <v>2025</v>
      </c>
      <c r="D2605" s="49" t="s">
        <v>283</v>
      </c>
      <c r="E2605" s="49" t="s">
        <v>5455</v>
      </c>
      <c r="F2605" s="50" t="n">
        <v>1</v>
      </c>
      <c r="G2605" s="49" t="s">
        <v>290</v>
      </c>
      <c r="H2605" s="51" t="n">
        <v>0.0271</v>
      </c>
      <c r="I2605" s="51" t="n">
        <v>0.6423</v>
      </c>
      <c r="J2605" s="51" t="n">
        <v>0.3306</v>
      </c>
      <c r="K2605" s="49"/>
      <c r="L2605" s="49"/>
      <c r="M2605" s="49"/>
      <c r="N2605" s="49"/>
      <c r="O2605" s="49"/>
      <c r="P2605" s="49"/>
      <c r="Q2605" s="49"/>
      <c r="R2605" s="49"/>
      <c r="S2605" s="49" t="n">
        <v>0</v>
      </c>
      <c r="T2605" s="49" t="n">
        <v>0</v>
      </c>
      <c r="U2605" s="49" t="s">
        <v>5456</v>
      </c>
    </row>
    <row r="2606" customFormat="false" ht="15" hidden="false" customHeight="false" outlineLevel="0" collapsed="false">
      <c r="B2606" s="48" t="n">
        <v>45841.7658912037</v>
      </c>
      <c r="C2606" s="4" t="n">
        <f aca="false">YEAR(B2606)</f>
        <v>2025</v>
      </c>
      <c r="D2606" s="49" t="s">
        <v>283</v>
      </c>
      <c r="E2606" s="49" t="s">
        <v>5457</v>
      </c>
      <c r="F2606" s="50" t="n">
        <v>0</v>
      </c>
      <c r="G2606" s="49" t="s">
        <v>280</v>
      </c>
      <c r="H2606" s="51" t="n">
        <v>0.52</v>
      </c>
      <c r="I2606" s="51" t="n">
        <v>0.4605</v>
      </c>
      <c r="J2606" s="51" t="n">
        <v>0.0195</v>
      </c>
      <c r="K2606" s="49"/>
      <c r="L2606" s="49"/>
      <c r="M2606" s="49"/>
      <c r="N2606" s="49"/>
      <c r="O2606" s="49"/>
      <c r="P2606" s="49"/>
      <c r="Q2606" s="49"/>
      <c r="R2606" s="49" t="s">
        <v>281</v>
      </c>
      <c r="S2606" s="49" t="n">
        <v>0</v>
      </c>
      <c r="T2606" s="49" t="n">
        <v>0</v>
      </c>
      <c r="U2606" s="49" t="s">
        <v>5458</v>
      </c>
    </row>
    <row r="2607" customFormat="false" ht="15" hidden="false" customHeight="false" outlineLevel="0" collapsed="false">
      <c r="B2607" s="48" t="n">
        <v>45841.7749768519</v>
      </c>
      <c r="C2607" s="4" t="n">
        <f aca="false">YEAR(B2607)</f>
        <v>2025</v>
      </c>
      <c r="D2607" s="49" t="s">
        <v>283</v>
      </c>
      <c r="E2607" s="49" t="s">
        <v>5459</v>
      </c>
      <c r="F2607" s="50" t="n">
        <v>2</v>
      </c>
      <c r="G2607" s="49" t="s">
        <v>280</v>
      </c>
      <c r="H2607" s="51" t="n">
        <v>0.5951</v>
      </c>
      <c r="I2607" s="51" t="n">
        <v>0.3602</v>
      </c>
      <c r="J2607" s="51" t="n">
        <v>0.0447</v>
      </c>
      <c r="K2607" s="49" t="s">
        <v>281</v>
      </c>
      <c r="L2607" s="49"/>
      <c r="M2607" s="49"/>
      <c r="N2607" s="49"/>
      <c r="O2607" s="49"/>
      <c r="P2607" s="49"/>
      <c r="Q2607" s="49"/>
      <c r="R2607" s="49"/>
      <c r="S2607" s="49" t="n">
        <v>0</v>
      </c>
      <c r="T2607" s="49" t="n">
        <v>0</v>
      </c>
      <c r="U2607" s="49" t="s">
        <v>5460</v>
      </c>
    </row>
    <row r="2608" customFormat="false" ht="15" hidden="false" customHeight="false" outlineLevel="0" collapsed="false">
      <c r="B2608" s="48" t="n">
        <v>45842.8871527778</v>
      </c>
      <c r="C2608" s="4" t="n">
        <f aca="false">YEAR(B2608)</f>
        <v>2025</v>
      </c>
      <c r="D2608" s="49" t="s">
        <v>283</v>
      </c>
      <c r="E2608" s="49" t="s">
        <v>5461</v>
      </c>
      <c r="F2608" s="50" t="n">
        <v>1</v>
      </c>
      <c r="G2608" s="49" t="s">
        <v>290</v>
      </c>
      <c r="H2608" s="51" t="n">
        <v>0.0619</v>
      </c>
      <c r="I2608" s="51" t="n">
        <v>0.858</v>
      </c>
      <c r="J2608" s="51" t="n">
        <v>0.0801</v>
      </c>
      <c r="K2608" s="49"/>
      <c r="L2608" s="49"/>
      <c r="M2608" s="49"/>
      <c r="N2608" s="49"/>
      <c r="O2608" s="49"/>
      <c r="P2608" s="49"/>
      <c r="Q2608" s="49" t="s">
        <v>281</v>
      </c>
      <c r="R2608" s="49"/>
      <c r="S2608" s="49" t="n">
        <v>0</v>
      </c>
      <c r="T2608" s="49" t="n">
        <v>0</v>
      </c>
      <c r="U2608" s="49" t="s">
        <v>5462</v>
      </c>
    </row>
    <row r="2609" customFormat="false" ht="15" hidden="false" customHeight="false" outlineLevel="0" collapsed="false">
      <c r="B2609" s="48" t="n">
        <v>45843.0820486111</v>
      </c>
      <c r="C2609" s="4" t="n">
        <f aca="false">YEAR(B2609)</f>
        <v>2025</v>
      </c>
      <c r="D2609" s="49" t="s">
        <v>283</v>
      </c>
      <c r="E2609" s="49" t="s">
        <v>5463</v>
      </c>
      <c r="F2609" s="50" t="n">
        <v>1</v>
      </c>
      <c r="G2609" s="49" t="s">
        <v>280</v>
      </c>
      <c r="H2609" s="51" t="n">
        <v>0.877</v>
      </c>
      <c r="I2609" s="51" t="n">
        <v>0.115</v>
      </c>
      <c r="J2609" s="51" t="n">
        <v>0.0081</v>
      </c>
      <c r="K2609" s="49"/>
      <c r="L2609" s="49"/>
      <c r="M2609" s="49"/>
      <c r="N2609" s="49"/>
      <c r="O2609" s="49"/>
      <c r="P2609" s="49"/>
      <c r="Q2609" s="49"/>
      <c r="R2609" s="49" t="s">
        <v>281</v>
      </c>
      <c r="S2609" s="49" t="n">
        <v>0</v>
      </c>
      <c r="T2609" s="49" t="n">
        <v>0</v>
      </c>
      <c r="U2609" s="49" t="s">
        <v>5464</v>
      </c>
    </row>
    <row r="2610" customFormat="false" ht="15" hidden="false" customHeight="false" outlineLevel="0" collapsed="false">
      <c r="B2610" s="48" t="n">
        <v>45843.4070833333</v>
      </c>
      <c r="C2610" s="4" t="n">
        <f aca="false">YEAR(B2610)</f>
        <v>2025</v>
      </c>
      <c r="D2610" s="49" t="s">
        <v>283</v>
      </c>
      <c r="E2610" s="49" t="s">
        <v>5465</v>
      </c>
      <c r="F2610" s="50" t="n">
        <v>6</v>
      </c>
      <c r="G2610" s="49" t="s">
        <v>280</v>
      </c>
      <c r="H2610" s="51" t="n">
        <v>0.8501</v>
      </c>
      <c r="I2610" s="51" t="n">
        <v>0.1362</v>
      </c>
      <c r="J2610" s="51" t="n">
        <v>0.0137</v>
      </c>
      <c r="K2610" s="49"/>
      <c r="L2610" s="49"/>
      <c r="M2610" s="49"/>
      <c r="N2610" s="49"/>
      <c r="O2610" s="49"/>
      <c r="P2610" s="49"/>
      <c r="Q2610" s="49"/>
      <c r="R2610" s="49"/>
      <c r="S2610" s="49" t="n">
        <v>0</v>
      </c>
      <c r="T2610" s="49" t="n">
        <v>0</v>
      </c>
      <c r="U2610" s="49" t="s">
        <v>5466</v>
      </c>
    </row>
    <row r="2611" customFormat="false" ht="15" hidden="false" customHeight="false" outlineLevel="0" collapsed="false">
      <c r="B2611" s="48" t="n">
        <v>45843.4660416667</v>
      </c>
      <c r="C2611" s="4" t="n">
        <f aca="false">YEAR(B2611)</f>
        <v>2025</v>
      </c>
      <c r="D2611" s="49" t="s">
        <v>283</v>
      </c>
      <c r="E2611" s="49" t="s">
        <v>5467</v>
      </c>
      <c r="F2611" s="50" t="n">
        <v>1</v>
      </c>
      <c r="G2611" s="49" t="s">
        <v>287</v>
      </c>
      <c r="H2611" s="51" t="n">
        <v>0.0037</v>
      </c>
      <c r="I2611" s="51" t="n">
        <v>0.1003</v>
      </c>
      <c r="J2611" s="51" t="n">
        <v>0.896</v>
      </c>
      <c r="K2611" s="49"/>
      <c r="L2611" s="49"/>
      <c r="M2611" s="49"/>
      <c r="N2611" s="49"/>
      <c r="O2611" s="49"/>
      <c r="P2611" s="49"/>
      <c r="Q2611" s="49"/>
      <c r="R2611" s="49"/>
      <c r="S2611" s="49" t="n">
        <v>0</v>
      </c>
      <c r="T2611" s="49" t="n">
        <v>0</v>
      </c>
      <c r="U2611" s="49" t="s">
        <v>5468</v>
      </c>
    </row>
    <row r="2612" customFormat="false" ht="15" hidden="false" customHeight="false" outlineLevel="0" collapsed="false">
      <c r="B2612" s="48" t="n">
        <v>45843.761875</v>
      </c>
      <c r="C2612" s="4" t="n">
        <f aca="false">YEAR(B2612)</f>
        <v>2025</v>
      </c>
      <c r="D2612" s="49" t="s">
        <v>283</v>
      </c>
      <c r="E2612" s="49" t="s">
        <v>5469</v>
      </c>
      <c r="F2612" s="50" t="n">
        <v>3</v>
      </c>
      <c r="G2612" s="49" t="s">
        <v>287</v>
      </c>
      <c r="H2612" s="51" t="n">
        <v>0.0029</v>
      </c>
      <c r="I2612" s="51" t="n">
        <v>0.0631</v>
      </c>
      <c r="J2612" s="51" t="n">
        <v>0.934</v>
      </c>
      <c r="K2612" s="49"/>
      <c r="L2612" s="49"/>
      <c r="M2612" s="49"/>
      <c r="N2612" s="49"/>
      <c r="O2612" s="49"/>
      <c r="P2612" s="49"/>
      <c r="Q2612" s="49"/>
      <c r="R2612" s="49"/>
      <c r="S2612" s="49" t="n">
        <v>0</v>
      </c>
      <c r="T2612" s="49" t="n">
        <v>0</v>
      </c>
      <c r="U2612" s="49" t="s">
        <v>5470</v>
      </c>
    </row>
    <row r="2613" customFormat="false" ht="15" hidden="false" customHeight="false" outlineLevel="0" collapsed="false">
      <c r="B2613" s="48" t="n">
        <v>45844.448912037</v>
      </c>
      <c r="C2613" s="4" t="n">
        <f aca="false">YEAR(B2613)</f>
        <v>2025</v>
      </c>
      <c r="D2613" s="49" t="s">
        <v>283</v>
      </c>
      <c r="E2613" s="49" t="s">
        <v>5471</v>
      </c>
      <c r="F2613" s="50" t="n">
        <v>3</v>
      </c>
      <c r="G2613" s="49" t="s">
        <v>287</v>
      </c>
      <c r="H2613" s="51" t="n">
        <v>0.0109</v>
      </c>
      <c r="I2613" s="51" t="n">
        <v>0.1941</v>
      </c>
      <c r="J2613" s="51" t="n">
        <v>0.795</v>
      </c>
      <c r="K2613" s="49"/>
      <c r="L2613" s="49"/>
      <c r="M2613" s="49"/>
      <c r="N2613" s="49"/>
      <c r="O2613" s="49"/>
      <c r="P2613" s="49"/>
      <c r="Q2613" s="49"/>
      <c r="R2613" s="49"/>
      <c r="S2613" s="49" t="n">
        <v>0</v>
      </c>
      <c r="T2613" s="49" t="n">
        <v>0</v>
      </c>
      <c r="U2613" s="49" t="s">
        <v>5472</v>
      </c>
    </row>
    <row r="2614" customFormat="false" ht="15" hidden="false" customHeight="false" outlineLevel="0" collapsed="false">
      <c r="B2614" s="48" t="n">
        <v>45844.5677430556</v>
      </c>
      <c r="C2614" s="4" t="n">
        <f aca="false">YEAR(B2614)</f>
        <v>2025</v>
      </c>
      <c r="D2614" s="49" t="s">
        <v>283</v>
      </c>
      <c r="E2614" s="49" t="s">
        <v>5473</v>
      </c>
      <c r="F2614" s="50" t="n">
        <v>6</v>
      </c>
      <c r="G2614" s="49" t="s">
        <v>287</v>
      </c>
      <c r="H2614" s="51" t="n">
        <v>0.005</v>
      </c>
      <c r="I2614" s="51" t="n">
        <v>0.0776</v>
      </c>
      <c r="J2614" s="51" t="n">
        <v>0.9174</v>
      </c>
      <c r="K2614" s="49"/>
      <c r="L2614" s="49"/>
      <c r="M2614" s="49"/>
      <c r="N2614" s="49"/>
      <c r="O2614" s="49"/>
      <c r="P2614" s="49"/>
      <c r="Q2614" s="49"/>
      <c r="R2614" s="49"/>
      <c r="S2614" s="49" t="n">
        <v>0</v>
      </c>
      <c r="T2614" s="49" t="n">
        <v>0</v>
      </c>
      <c r="U2614" s="49" t="s">
        <v>5474</v>
      </c>
    </row>
    <row r="2615" customFormat="false" ht="15" hidden="false" customHeight="false" outlineLevel="0" collapsed="false">
      <c r="B2615" s="48" t="n">
        <v>45845.0427083333</v>
      </c>
      <c r="C2615" s="4" t="n">
        <f aca="false">YEAR(B2615)</f>
        <v>2025</v>
      </c>
      <c r="D2615" s="49" t="s">
        <v>283</v>
      </c>
      <c r="E2615" s="49" t="s">
        <v>5475</v>
      </c>
      <c r="F2615" s="50" t="n">
        <v>3</v>
      </c>
      <c r="G2615" s="49" t="s">
        <v>280</v>
      </c>
      <c r="H2615" s="51" t="n">
        <v>0.8581</v>
      </c>
      <c r="I2615" s="51" t="n">
        <v>0.1284</v>
      </c>
      <c r="J2615" s="51" t="n">
        <v>0.0135</v>
      </c>
      <c r="K2615" s="49"/>
      <c r="L2615" s="49"/>
      <c r="M2615" s="49"/>
      <c r="N2615" s="49"/>
      <c r="O2615" s="49"/>
      <c r="P2615" s="49"/>
      <c r="Q2615" s="49" t="s">
        <v>281</v>
      </c>
      <c r="R2615" s="49"/>
      <c r="S2615" s="49" t="n">
        <v>0</v>
      </c>
      <c r="T2615" s="49" t="n">
        <v>0</v>
      </c>
      <c r="U2615" s="49" t="s">
        <v>5476</v>
      </c>
    </row>
    <row r="2616" customFormat="false" ht="15" hidden="false" customHeight="false" outlineLevel="0" collapsed="false">
      <c r="B2616" s="48" t="n">
        <v>45845.454837963</v>
      </c>
      <c r="C2616" s="4" t="n">
        <f aca="false">YEAR(B2616)</f>
        <v>2025</v>
      </c>
      <c r="D2616" s="49" t="s">
        <v>278</v>
      </c>
      <c r="E2616" s="49" t="s">
        <v>5477</v>
      </c>
      <c r="F2616" s="50" t="n">
        <v>1</v>
      </c>
      <c r="G2616" s="49" t="s">
        <v>280</v>
      </c>
      <c r="H2616" s="51" t="n">
        <v>0.5005</v>
      </c>
      <c r="I2616" s="51" t="n">
        <v>0.416</v>
      </c>
      <c r="J2616" s="51" t="n">
        <v>0.0834</v>
      </c>
      <c r="K2616" s="49"/>
      <c r="L2616" s="49"/>
      <c r="M2616" s="49"/>
      <c r="N2616" s="49"/>
      <c r="O2616" s="49"/>
      <c r="P2616" s="49"/>
      <c r="Q2616" s="49"/>
      <c r="R2616" s="49"/>
      <c r="S2616" s="49" t="n">
        <v>0</v>
      </c>
      <c r="T2616" s="49" t="n">
        <v>0</v>
      </c>
      <c r="U2616" s="49" t="s">
        <v>5478</v>
      </c>
    </row>
    <row r="2617" customFormat="false" ht="15" hidden="false" customHeight="false" outlineLevel="0" collapsed="false">
      <c r="B2617" s="48" t="n">
        <v>45845.720462963</v>
      </c>
      <c r="C2617" s="4" t="n">
        <f aca="false">YEAR(B2617)</f>
        <v>2025</v>
      </c>
      <c r="D2617" s="49" t="s">
        <v>283</v>
      </c>
      <c r="E2617" s="49" t="s">
        <v>5479</v>
      </c>
      <c r="F2617" s="50" t="n">
        <v>1</v>
      </c>
      <c r="G2617" s="49" t="s">
        <v>287</v>
      </c>
      <c r="H2617" s="51" t="n">
        <v>0.0102</v>
      </c>
      <c r="I2617" s="51" t="n">
        <v>0.4549</v>
      </c>
      <c r="J2617" s="51" t="n">
        <v>0.5349</v>
      </c>
      <c r="K2617" s="49"/>
      <c r="L2617" s="49"/>
      <c r="M2617" s="49"/>
      <c r="N2617" s="49"/>
      <c r="O2617" s="49"/>
      <c r="P2617" s="49"/>
      <c r="Q2617" s="49"/>
      <c r="R2617" s="49"/>
      <c r="S2617" s="49" t="n">
        <v>0</v>
      </c>
      <c r="T2617" s="49" t="n">
        <v>0</v>
      </c>
      <c r="U2617" s="49" t="s">
        <v>5480</v>
      </c>
    </row>
    <row r="2618" customFormat="false" ht="15" hidden="false" customHeight="false" outlineLevel="0" collapsed="false">
      <c r="B2618" s="48" t="n">
        <v>45845.9257986111</v>
      </c>
      <c r="C2618" s="4" t="n">
        <f aca="false">YEAR(B2618)</f>
        <v>2025</v>
      </c>
      <c r="D2618" s="49" t="s">
        <v>278</v>
      </c>
      <c r="E2618" s="49" t="s">
        <v>5481</v>
      </c>
      <c r="F2618" s="50" t="n">
        <v>1</v>
      </c>
      <c r="G2618" s="49" t="s">
        <v>280</v>
      </c>
      <c r="H2618" s="51" t="n">
        <v>0.9201</v>
      </c>
      <c r="I2618" s="51" t="n">
        <v>0.0734</v>
      </c>
      <c r="J2618" s="51" t="n">
        <v>0.0064</v>
      </c>
      <c r="K2618" s="49"/>
      <c r="L2618" s="49"/>
      <c r="M2618" s="49"/>
      <c r="N2618" s="49"/>
      <c r="O2618" s="49"/>
      <c r="P2618" s="49"/>
      <c r="Q2618" s="49" t="s">
        <v>281</v>
      </c>
      <c r="R2618" s="49"/>
      <c r="S2618" s="49" t="n">
        <v>0</v>
      </c>
      <c r="T2618" s="49" t="n">
        <v>0</v>
      </c>
      <c r="U2618" s="49" t="s">
        <v>5482</v>
      </c>
    </row>
    <row r="2619" customFormat="false" ht="15" hidden="false" customHeight="false" outlineLevel="0" collapsed="false">
      <c r="B2619" s="48" t="n">
        <v>45845.9367361111</v>
      </c>
      <c r="C2619" s="4" t="n">
        <f aca="false">YEAR(B2619)</f>
        <v>2025</v>
      </c>
      <c r="D2619" s="49" t="s">
        <v>283</v>
      </c>
      <c r="E2619" s="49" t="s">
        <v>5483</v>
      </c>
      <c r="F2619" s="50" t="n">
        <v>2</v>
      </c>
      <c r="G2619" s="49" t="s">
        <v>287</v>
      </c>
      <c r="H2619" s="51" t="n">
        <v>0.0042</v>
      </c>
      <c r="I2619" s="51" t="n">
        <v>0.3328</v>
      </c>
      <c r="J2619" s="51" t="n">
        <v>0.663</v>
      </c>
      <c r="K2619" s="49"/>
      <c r="L2619" s="49"/>
      <c r="M2619" s="49"/>
      <c r="N2619" s="49"/>
      <c r="O2619" s="49"/>
      <c r="P2619" s="49"/>
      <c r="Q2619" s="49"/>
      <c r="R2619" s="49"/>
      <c r="S2619" s="49" t="n">
        <v>0</v>
      </c>
      <c r="T2619" s="49" t="n">
        <v>0</v>
      </c>
      <c r="U2619" s="49" t="s">
        <v>5484</v>
      </c>
    </row>
    <row r="2620" customFormat="false" ht="15" hidden="false" customHeight="false" outlineLevel="0" collapsed="false">
      <c r="B2620" s="48" t="n">
        <v>45846.4260763889</v>
      </c>
      <c r="C2620" s="4" t="n">
        <f aca="false">YEAR(B2620)</f>
        <v>2025</v>
      </c>
      <c r="D2620" s="49" t="s">
        <v>283</v>
      </c>
      <c r="E2620" s="49" t="s">
        <v>5485</v>
      </c>
      <c r="F2620" s="50" t="n">
        <v>2</v>
      </c>
      <c r="G2620" s="49" t="s">
        <v>280</v>
      </c>
      <c r="H2620" s="51" t="n">
        <v>0.5008</v>
      </c>
      <c r="I2620" s="51" t="n">
        <v>0.4697</v>
      </c>
      <c r="J2620" s="51" t="n">
        <v>0.0296</v>
      </c>
      <c r="K2620" s="49"/>
      <c r="L2620" s="49"/>
      <c r="M2620" s="49"/>
      <c r="N2620" s="49"/>
      <c r="O2620" s="49"/>
      <c r="P2620" s="49"/>
      <c r="Q2620" s="49" t="s">
        <v>281</v>
      </c>
      <c r="R2620" s="49"/>
      <c r="S2620" s="49" t="n">
        <v>0</v>
      </c>
      <c r="T2620" s="49" t="n">
        <v>0</v>
      </c>
      <c r="U2620" s="49" t="s">
        <v>5486</v>
      </c>
    </row>
    <row r="2621" customFormat="false" ht="15" hidden="false" customHeight="false" outlineLevel="0" collapsed="false">
      <c r="B2621" s="48" t="n">
        <v>45846.4673958333</v>
      </c>
      <c r="C2621" s="4" t="n">
        <f aca="false">YEAR(B2621)</f>
        <v>2025</v>
      </c>
      <c r="D2621" s="49" t="s">
        <v>283</v>
      </c>
      <c r="E2621" s="49" t="s">
        <v>5487</v>
      </c>
      <c r="F2621" s="50" t="n">
        <v>0</v>
      </c>
      <c r="G2621" s="49" t="s">
        <v>287</v>
      </c>
      <c r="H2621" s="51" t="n">
        <v>0.005</v>
      </c>
      <c r="I2621" s="51" t="n">
        <v>0.2286</v>
      </c>
      <c r="J2621" s="51" t="n">
        <v>0.7664</v>
      </c>
      <c r="K2621" s="49"/>
      <c r="L2621" s="49"/>
      <c r="M2621" s="49"/>
      <c r="N2621" s="49"/>
      <c r="O2621" s="49"/>
      <c r="P2621" s="49"/>
      <c r="Q2621" s="49"/>
      <c r="R2621" s="49"/>
      <c r="S2621" s="49" t="n">
        <v>0</v>
      </c>
      <c r="T2621" s="49" t="n">
        <v>0</v>
      </c>
      <c r="U2621" s="49" t="s">
        <v>5488</v>
      </c>
    </row>
    <row r="2622" customFormat="false" ht="15" hidden="false" customHeight="false" outlineLevel="0" collapsed="false">
      <c r="B2622" s="48" t="n">
        <v>45846.5658217593</v>
      </c>
      <c r="C2622" s="4" t="n">
        <f aca="false">YEAR(B2622)</f>
        <v>2025</v>
      </c>
      <c r="D2622" s="49" t="s">
        <v>283</v>
      </c>
      <c r="E2622" s="49" t="s">
        <v>5489</v>
      </c>
      <c r="F2622" s="50" t="n">
        <v>5</v>
      </c>
      <c r="G2622" s="49" t="s">
        <v>280</v>
      </c>
      <c r="H2622" s="51" t="n">
        <v>0.8534</v>
      </c>
      <c r="I2622" s="51" t="n">
        <v>0.1362</v>
      </c>
      <c r="J2622" s="51" t="n">
        <v>0.0103</v>
      </c>
      <c r="K2622" s="49"/>
      <c r="L2622" s="49"/>
      <c r="M2622" s="49"/>
      <c r="N2622" s="49"/>
      <c r="O2622" s="49"/>
      <c r="P2622" s="49"/>
      <c r="Q2622" s="49" t="s">
        <v>281</v>
      </c>
      <c r="R2622" s="49"/>
      <c r="S2622" s="49" t="n">
        <v>0</v>
      </c>
      <c r="T2622" s="49" t="n">
        <v>0</v>
      </c>
      <c r="U2622" s="49" t="s">
        <v>5490</v>
      </c>
    </row>
    <row r="2623" customFormat="false" ht="15" hidden="false" customHeight="false" outlineLevel="0" collapsed="false">
      <c r="B2623" s="48" t="n">
        <v>45846.5823263889</v>
      </c>
      <c r="C2623" s="4" t="n">
        <f aca="false">YEAR(B2623)</f>
        <v>2025</v>
      </c>
      <c r="D2623" s="49" t="s">
        <v>278</v>
      </c>
      <c r="E2623" s="49" t="s">
        <v>5491</v>
      </c>
      <c r="F2623" s="50" t="n">
        <v>0</v>
      </c>
      <c r="G2623" s="49" t="s">
        <v>280</v>
      </c>
      <c r="H2623" s="51" t="n">
        <v>0.5494</v>
      </c>
      <c r="I2623" s="51" t="n">
        <v>0.373</v>
      </c>
      <c r="J2623" s="51" t="n">
        <v>0.0776</v>
      </c>
      <c r="K2623" s="49"/>
      <c r="L2623" s="49"/>
      <c r="M2623" s="49"/>
      <c r="N2623" s="49"/>
      <c r="O2623" s="49"/>
      <c r="P2623" s="49"/>
      <c r="Q2623" s="49" t="s">
        <v>281</v>
      </c>
      <c r="R2623" s="49" t="s">
        <v>281</v>
      </c>
      <c r="S2623" s="49" t="n">
        <v>0</v>
      </c>
      <c r="T2623" s="49" t="n">
        <v>0</v>
      </c>
      <c r="U2623" s="49" t="s">
        <v>5492</v>
      </c>
    </row>
    <row r="2624" customFormat="false" ht="15" hidden="false" customHeight="false" outlineLevel="0" collapsed="false">
      <c r="B2624" s="48" t="n">
        <v>45846.5991666667</v>
      </c>
      <c r="C2624" s="4" t="n">
        <f aca="false">YEAR(B2624)</f>
        <v>2025</v>
      </c>
      <c r="D2624" s="49" t="s">
        <v>283</v>
      </c>
      <c r="E2624" s="49" t="s">
        <v>5493</v>
      </c>
      <c r="F2624" s="50" t="n">
        <v>1</v>
      </c>
      <c r="G2624" s="49" t="s">
        <v>287</v>
      </c>
      <c r="H2624" s="51" t="n">
        <v>0.0044</v>
      </c>
      <c r="I2624" s="51" t="n">
        <v>0.1001</v>
      </c>
      <c r="J2624" s="51" t="n">
        <v>0.8954</v>
      </c>
      <c r="K2624" s="49"/>
      <c r="L2624" s="49"/>
      <c r="M2624" s="49"/>
      <c r="N2624" s="49"/>
      <c r="O2624" s="49"/>
      <c r="P2624" s="49"/>
      <c r="Q2624" s="49"/>
      <c r="R2624" s="49"/>
      <c r="S2624" s="49" t="n">
        <v>0</v>
      </c>
      <c r="T2624" s="49" t="n">
        <v>0</v>
      </c>
      <c r="U2624" s="49" t="s">
        <v>5494</v>
      </c>
    </row>
    <row r="2625" customFormat="false" ht="15" hidden="false" customHeight="false" outlineLevel="0" collapsed="false">
      <c r="B2625" s="48" t="n">
        <v>45847.0265277778</v>
      </c>
      <c r="C2625" s="4" t="n">
        <f aca="false">YEAR(B2625)</f>
        <v>2025</v>
      </c>
      <c r="D2625" s="49" t="s">
        <v>283</v>
      </c>
      <c r="E2625" s="49" t="s">
        <v>5495</v>
      </c>
      <c r="F2625" s="50" t="n">
        <v>3</v>
      </c>
      <c r="G2625" s="49" t="s">
        <v>280</v>
      </c>
      <c r="H2625" s="51" t="n">
        <v>0.9474</v>
      </c>
      <c r="I2625" s="51" t="n">
        <v>0.0485</v>
      </c>
      <c r="J2625" s="51" t="n">
        <v>0.004</v>
      </c>
      <c r="K2625" s="49"/>
      <c r="L2625" s="49"/>
      <c r="M2625" s="49"/>
      <c r="N2625" s="49"/>
      <c r="O2625" s="49"/>
      <c r="P2625" s="49"/>
      <c r="Q2625" s="49" t="s">
        <v>281</v>
      </c>
      <c r="R2625" s="49"/>
      <c r="S2625" s="49" t="n">
        <v>1</v>
      </c>
      <c r="T2625" s="49" t="n">
        <v>0</v>
      </c>
      <c r="U2625" s="49" t="s">
        <v>5496</v>
      </c>
    </row>
    <row r="2626" customFormat="false" ht="15" hidden="false" customHeight="false" outlineLevel="0" collapsed="false">
      <c r="B2626" s="48" t="n">
        <v>45847.3100810185</v>
      </c>
      <c r="C2626" s="4" t="n">
        <f aca="false">YEAR(B2626)</f>
        <v>2025</v>
      </c>
      <c r="D2626" s="49" t="s">
        <v>283</v>
      </c>
      <c r="E2626" s="49" t="s">
        <v>5497</v>
      </c>
      <c r="F2626" s="50" t="n">
        <v>1</v>
      </c>
      <c r="G2626" s="49" t="s">
        <v>280</v>
      </c>
      <c r="H2626" s="51" t="n">
        <v>0.8032</v>
      </c>
      <c r="I2626" s="51" t="n">
        <v>0.187</v>
      </c>
      <c r="J2626" s="51" t="n">
        <v>0.0098</v>
      </c>
      <c r="K2626" s="49"/>
      <c r="L2626" s="49"/>
      <c r="M2626" s="49"/>
      <c r="N2626" s="49"/>
      <c r="O2626" s="49"/>
      <c r="P2626" s="49"/>
      <c r="Q2626" s="49"/>
      <c r="R2626" s="49" t="s">
        <v>281</v>
      </c>
      <c r="S2626" s="49" t="n">
        <v>0</v>
      </c>
      <c r="T2626" s="49" t="n">
        <v>0</v>
      </c>
      <c r="U2626" s="49" t="s">
        <v>5498</v>
      </c>
    </row>
    <row r="2627" customFormat="false" ht="15" hidden="false" customHeight="false" outlineLevel="0" collapsed="false">
      <c r="B2627" s="48" t="n">
        <v>45848.0915393519</v>
      </c>
      <c r="C2627" s="4" t="n">
        <f aca="false">YEAR(B2627)</f>
        <v>2025</v>
      </c>
      <c r="D2627" s="49" t="s">
        <v>278</v>
      </c>
      <c r="E2627" s="49" t="s">
        <v>5499</v>
      </c>
      <c r="F2627" s="50" t="n">
        <v>8</v>
      </c>
      <c r="G2627" s="49" t="s">
        <v>290</v>
      </c>
      <c r="H2627" s="51" t="n">
        <v>0.0828</v>
      </c>
      <c r="I2627" s="51" t="n">
        <v>0.8332</v>
      </c>
      <c r="J2627" s="51" t="n">
        <v>0.0841</v>
      </c>
      <c r="K2627" s="49" t="s">
        <v>281</v>
      </c>
      <c r="L2627" s="49"/>
      <c r="M2627" s="49"/>
      <c r="N2627" s="49"/>
      <c r="O2627" s="49"/>
      <c r="P2627" s="49"/>
      <c r="Q2627" s="49"/>
      <c r="R2627" s="49" t="s">
        <v>281</v>
      </c>
      <c r="S2627" s="49" t="n">
        <v>0</v>
      </c>
      <c r="T2627" s="49" t="n">
        <v>0</v>
      </c>
      <c r="U2627" s="49" t="s">
        <v>5500</v>
      </c>
    </row>
    <row r="2628" customFormat="false" ht="15" hidden="false" customHeight="false" outlineLevel="0" collapsed="false">
      <c r="B2628" s="48" t="n">
        <v>45848.4821990741</v>
      </c>
      <c r="C2628" s="4" t="n">
        <f aca="false">YEAR(B2628)</f>
        <v>2025</v>
      </c>
      <c r="D2628" s="49" t="s">
        <v>283</v>
      </c>
      <c r="E2628" s="49" t="s">
        <v>5501</v>
      </c>
      <c r="F2628" s="50" t="n">
        <v>0</v>
      </c>
      <c r="G2628" s="49" t="s">
        <v>290</v>
      </c>
      <c r="H2628" s="51" t="n">
        <v>0.0057</v>
      </c>
      <c r="I2628" s="51" t="n">
        <v>0.6272</v>
      </c>
      <c r="J2628" s="51" t="n">
        <v>0.3672</v>
      </c>
      <c r="K2628" s="49"/>
      <c r="L2628" s="49"/>
      <c r="M2628" s="49"/>
      <c r="N2628" s="49"/>
      <c r="O2628" s="49"/>
      <c r="P2628" s="49"/>
      <c r="Q2628" s="49"/>
      <c r="R2628" s="49"/>
      <c r="S2628" s="49" t="n">
        <v>0</v>
      </c>
      <c r="T2628" s="49" t="n">
        <v>0</v>
      </c>
      <c r="U2628" s="49" t="s">
        <v>5502</v>
      </c>
    </row>
    <row r="2629" customFormat="false" ht="15" hidden="false" customHeight="false" outlineLevel="0" collapsed="false">
      <c r="B2629" s="48" t="n">
        <v>45848.6609375</v>
      </c>
      <c r="C2629" s="4" t="n">
        <f aca="false">YEAR(B2629)</f>
        <v>2025</v>
      </c>
      <c r="D2629" s="49" t="s">
        <v>283</v>
      </c>
      <c r="E2629" s="49" t="s">
        <v>5503</v>
      </c>
      <c r="F2629" s="50" t="n">
        <v>3</v>
      </c>
      <c r="G2629" s="49" t="s">
        <v>280</v>
      </c>
      <c r="H2629" s="51" t="n">
        <v>0.8342</v>
      </c>
      <c r="I2629" s="51" t="n">
        <v>0.1502</v>
      </c>
      <c r="J2629" s="51" t="n">
        <v>0.0157</v>
      </c>
      <c r="K2629" s="49"/>
      <c r="L2629" s="49"/>
      <c r="M2629" s="49" t="s">
        <v>281</v>
      </c>
      <c r="N2629" s="49"/>
      <c r="O2629" s="49"/>
      <c r="P2629" s="49"/>
      <c r="Q2629" s="49"/>
      <c r="R2629" s="49"/>
      <c r="S2629" s="49" t="n">
        <v>0</v>
      </c>
      <c r="T2629" s="49" t="n">
        <v>1</v>
      </c>
      <c r="U2629" s="49" t="s">
        <v>5504</v>
      </c>
    </row>
    <row r="2630" customFormat="false" ht="15" hidden="false" customHeight="false" outlineLevel="0" collapsed="false">
      <c r="B2630" s="48" t="n">
        <v>45848.7813657407</v>
      </c>
      <c r="C2630" s="4" t="n">
        <f aca="false">YEAR(B2630)</f>
        <v>2025</v>
      </c>
      <c r="D2630" s="49" t="s">
        <v>283</v>
      </c>
      <c r="E2630" s="49" t="s">
        <v>5505</v>
      </c>
      <c r="F2630" s="50" t="n">
        <v>2</v>
      </c>
      <c r="G2630" s="49" t="s">
        <v>287</v>
      </c>
      <c r="H2630" s="51" t="n">
        <v>0.0346</v>
      </c>
      <c r="I2630" s="51" t="n">
        <v>0.371</v>
      </c>
      <c r="J2630" s="51" t="n">
        <v>0.5944</v>
      </c>
      <c r="K2630" s="49"/>
      <c r="L2630" s="49"/>
      <c r="M2630" s="49"/>
      <c r="N2630" s="49"/>
      <c r="O2630" s="49"/>
      <c r="P2630" s="49"/>
      <c r="Q2630" s="49"/>
      <c r="R2630" s="49"/>
      <c r="S2630" s="49" t="n">
        <v>0</v>
      </c>
      <c r="T2630" s="49" t="n">
        <v>0</v>
      </c>
      <c r="U2630" s="49" t="s">
        <v>5506</v>
      </c>
    </row>
    <row r="2631" customFormat="false" ht="15" hidden="false" customHeight="false" outlineLevel="0" collapsed="false">
      <c r="B2631" s="48" t="n">
        <v>45849.6187152778</v>
      </c>
      <c r="C2631" s="4" t="n">
        <f aca="false">YEAR(B2631)</f>
        <v>2025</v>
      </c>
      <c r="D2631" s="49" t="s">
        <v>278</v>
      </c>
      <c r="E2631" s="49" t="s">
        <v>5507</v>
      </c>
      <c r="F2631" s="50" t="n">
        <v>0</v>
      </c>
      <c r="G2631" s="49" t="s">
        <v>280</v>
      </c>
      <c r="H2631" s="51" t="n">
        <v>0.7192</v>
      </c>
      <c r="I2631" s="51" t="n">
        <v>0.2532</v>
      </c>
      <c r="J2631" s="51" t="n">
        <v>0.0276</v>
      </c>
      <c r="K2631" s="49"/>
      <c r="L2631" s="49"/>
      <c r="M2631" s="49"/>
      <c r="N2631" s="49"/>
      <c r="O2631" s="49"/>
      <c r="P2631" s="49"/>
      <c r="Q2631" s="49" t="s">
        <v>281</v>
      </c>
      <c r="R2631" s="49"/>
      <c r="S2631" s="49" t="n">
        <v>0</v>
      </c>
      <c r="T2631" s="49" t="n">
        <v>0</v>
      </c>
      <c r="U2631" s="49" t="s">
        <v>5508</v>
      </c>
    </row>
    <row r="2632" customFormat="false" ht="15" hidden="false" customHeight="false" outlineLevel="0" collapsed="false">
      <c r="B2632" s="48" t="n">
        <v>45851.3447685185</v>
      </c>
      <c r="C2632" s="4" t="n">
        <f aca="false">YEAR(B2632)</f>
        <v>2025</v>
      </c>
      <c r="D2632" s="49" t="s">
        <v>283</v>
      </c>
      <c r="E2632" s="49" t="s">
        <v>5509</v>
      </c>
      <c r="F2632" s="50" t="n">
        <v>1</v>
      </c>
      <c r="G2632" s="49" t="s">
        <v>280</v>
      </c>
      <c r="H2632" s="51" t="n">
        <v>0.6486</v>
      </c>
      <c r="I2632" s="51" t="n">
        <v>0.2913</v>
      </c>
      <c r="J2632" s="51" t="n">
        <v>0.0601</v>
      </c>
      <c r="K2632" s="49"/>
      <c r="L2632" s="49"/>
      <c r="M2632" s="49"/>
      <c r="N2632" s="49"/>
      <c r="O2632" s="49"/>
      <c r="P2632" s="49"/>
      <c r="Q2632" s="49"/>
      <c r="R2632" s="49" t="s">
        <v>281</v>
      </c>
      <c r="S2632" s="49" t="n">
        <v>0</v>
      </c>
      <c r="T2632" s="49" t="n">
        <v>0</v>
      </c>
      <c r="U2632" s="49" t="s">
        <v>5510</v>
      </c>
    </row>
    <row r="2633" customFormat="false" ht="15" hidden="false" customHeight="false" outlineLevel="0" collapsed="false">
      <c r="B2633" s="48" t="n">
        <v>45851.5138773148</v>
      </c>
      <c r="C2633" s="4" t="n">
        <f aca="false">YEAR(B2633)</f>
        <v>2025</v>
      </c>
      <c r="D2633" s="49" t="s">
        <v>283</v>
      </c>
      <c r="E2633" s="49" t="s">
        <v>5511</v>
      </c>
      <c r="F2633" s="50" t="n">
        <v>0</v>
      </c>
      <c r="G2633" s="49" t="s">
        <v>287</v>
      </c>
      <c r="H2633" s="51" t="n">
        <v>0.004</v>
      </c>
      <c r="I2633" s="51" t="n">
        <v>0.2443</v>
      </c>
      <c r="J2633" s="51" t="n">
        <v>0.7516</v>
      </c>
      <c r="K2633" s="49"/>
      <c r="L2633" s="49"/>
      <c r="M2633" s="49"/>
      <c r="N2633" s="49"/>
      <c r="O2633" s="49"/>
      <c r="P2633" s="49"/>
      <c r="Q2633" s="49"/>
      <c r="R2633" s="49"/>
      <c r="S2633" s="49" t="n">
        <v>0</v>
      </c>
      <c r="T2633" s="49" t="n">
        <v>0</v>
      </c>
      <c r="U2633" s="49" t="s">
        <v>5512</v>
      </c>
    </row>
    <row r="2634" customFormat="false" ht="15" hidden="false" customHeight="false" outlineLevel="0" collapsed="false">
      <c r="B2634" s="48" t="n">
        <v>45852.1425115741</v>
      </c>
      <c r="C2634" s="4" t="n">
        <f aca="false">YEAR(B2634)</f>
        <v>2025</v>
      </c>
      <c r="D2634" s="49" t="s">
        <v>283</v>
      </c>
      <c r="E2634" s="49" t="s">
        <v>5513</v>
      </c>
      <c r="F2634" s="50" t="n">
        <v>3</v>
      </c>
      <c r="G2634" s="49" t="s">
        <v>287</v>
      </c>
      <c r="H2634" s="51" t="n">
        <v>0.0019</v>
      </c>
      <c r="I2634" s="51" t="n">
        <v>0.0902</v>
      </c>
      <c r="J2634" s="51" t="n">
        <v>0.9079</v>
      </c>
      <c r="K2634" s="49"/>
      <c r="L2634" s="49"/>
      <c r="M2634" s="49"/>
      <c r="N2634" s="49"/>
      <c r="O2634" s="49"/>
      <c r="P2634" s="49"/>
      <c r="Q2634" s="49"/>
      <c r="R2634" s="49"/>
      <c r="S2634" s="49" t="n">
        <v>0</v>
      </c>
      <c r="T2634" s="49" t="n">
        <v>0</v>
      </c>
      <c r="U2634" s="49" t="s">
        <v>5514</v>
      </c>
    </row>
    <row r="2635" customFormat="false" ht="15" hidden="false" customHeight="false" outlineLevel="0" collapsed="false">
      <c r="B2635" s="48" t="n">
        <v>45852.1666666667</v>
      </c>
      <c r="C2635" s="4" t="n">
        <f aca="false">YEAR(B2635)</f>
        <v>2025</v>
      </c>
      <c r="D2635" s="49" t="s">
        <v>283</v>
      </c>
      <c r="E2635" s="49" t="s">
        <v>5515</v>
      </c>
      <c r="F2635" s="50" t="n">
        <v>1</v>
      </c>
      <c r="G2635" s="49" t="s">
        <v>287</v>
      </c>
      <c r="H2635" s="51" t="n">
        <v>0.0867</v>
      </c>
      <c r="I2635" s="51" t="n">
        <v>0.352</v>
      </c>
      <c r="J2635" s="51" t="n">
        <v>0.5613</v>
      </c>
      <c r="K2635" s="49"/>
      <c r="L2635" s="49"/>
      <c r="M2635" s="49"/>
      <c r="N2635" s="49"/>
      <c r="O2635" s="49"/>
      <c r="P2635" s="49"/>
      <c r="Q2635" s="49"/>
      <c r="R2635" s="49"/>
      <c r="S2635" s="49" t="n">
        <v>0</v>
      </c>
      <c r="T2635" s="49" t="n">
        <v>0</v>
      </c>
      <c r="U2635" s="49" t="s">
        <v>5516</v>
      </c>
    </row>
    <row r="2636" customFormat="false" ht="15" hidden="false" customHeight="false" outlineLevel="0" collapsed="false">
      <c r="B2636" s="48" t="n">
        <v>45852.3336574074</v>
      </c>
      <c r="C2636" s="4" t="n">
        <f aca="false">YEAR(B2636)</f>
        <v>2025</v>
      </c>
      <c r="D2636" s="49" t="s">
        <v>283</v>
      </c>
      <c r="E2636" s="49" t="s">
        <v>5517</v>
      </c>
      <c r="F2636" s="50" t="n">
        <v>3</v>
      </c>
      <c r="G2636" s="49" t="s">
        <v>280</v>
      </c>
      <c r="H2636" s="51" t="n">
        <v>0.8032</v>
      </c>
      <c r="I2636" s="51" t="n">
        <v>0.1893</v>
      </c>
      <c r="J2636" s="51" t="n">
        <v>0.0075</v>
      </c>
      <c r="K2636" s="49"/>
      <c r="L2636" s="49"/>
      <c r="M2636" s="49"/>
      <c r="N2636" s="49"/>
      <c r="O2636" s="49"/>
      <c r="P2636" s="49"/>
      <c r="Q2636" s="49"/>
      <c r="R2636" s="49"/>
      <c r="S2636" s="49" t="n">
        <v>0</v>
      </c>
      <c r="T2636" s="49" t="n">
        <v>0</v>
      </c>
      <c r="U2636" s="49" t="s">
        <v>5518</v>
      </c>
    </row>
    <row r="2637" customFormat="false" ht="15" hidden="false" customHeight="false" outlineLevel="0" collapsed="false">
      <c r="B2637" s="48" t="n">
        <v>45852.5163425926</v>
      </c>
      <c r="C2637" s="4" t="n">
        <f aca="false">YEAR(B2637)</f>
        <v>2025</v>
      </c>
      <c r="D2637" s="49" t="s">
        <v>283</v>
      </c>
      <c r="E2637" s="49" t="s">
        <v>5519</v>
      </c>
      <c r="F2637" s="50" t="n">
        <v>3</v>
      </c>
      <c r="G2637" s="49" t="s">
        <v>287</v>
      </c>
      <c r="H2637" s="51" t="n">
        <v>0.0026</v>
      </c>
      <c r="I2637" s="51" t="n">
        <v>0.1657</v>
      </c>
      <c r="J2637" s="51" t="n">
        <v>0.8317</v>
      </c>
      <c r="K2637" s="49"/>
      <c r="L2637" s="49"/>
      <c r="M2637" s="49"/>
      <c r="N2637" s="49"/>
      <c r="O2637" s="49"/>
      <c r="P2637" s="49"/>
      <c r="Q2637" s="49"/>
      <c r="R2637" s="49"/>
      <c r="S2637" s="49" t="n">
        <v>0</v>
      </c>
      <c r="T2637" s="49" t="n">
        <v>0</v>
      </c>
      <c r="U2637" s="49" t="s">
        <v>5520</v>
      </c>
    </row>
    <row r="2638" customFormat="false" ht="15" hidden="false" customHeight="false" outlineLevel="0" collapsed="false">
      <c r="B2638" s="48" t="n">
        <v>45852.5710648148</v>
      </c>
      <c r="C2638" s="4" t="n">
        <f aca="false">YEAR(B2638)</f>
        <v>2025</v>
      </c>
      <c r="D2638" s="49" t="s">
        <v>283</v>
      </c>
      <c r="E2638" s="49" t="s">
        <v>5521</v>
      </c>
      <c r="F2638" s="50" t="n">
        <v>0</v>
      </c>
      <c r="G2638" s="49" t="s">
        <v>290</v>
      </c>
      <c r="H2638" s="51" t="n">
        <v>0.4495</v>
      </c>
      <c r="I2638" s="51" t="n">
        <v>0.4575</v>
      </c>
      <c r="J2638" s="51" t="n">
        <v>0.093</v>
      </c>
      <c r="K2638" s="49"/>
      <c r="L2638" s="49"/>
      <c r="M2638" s="49"/>
      <c r="N2638" s="49"/>
      <c r="O2638" s="49"/>
      <c r="P2638" s="49"/>
      <c r="Q2638" s="49"/>
      <c r="R2638" s="49"/>
      <c r="S2638" s="49" t="n">
        <v>0</v>
      </c>
      <c r="T2638" s="49" t="n">
        <v>0</v>
      </c>
      <c r="U2638" s="49" t="s">
        <v>5522</v>
      </c>
    </row>
    <row r="2639" customFormat="false" ht="15" hidden="false" customHeight="false" outlineLevel="0" collapsed="false">
      <c r="B2639" s="48" t="n">
        <v>45852.6171990741</v>
      </c>
      <c r="C2639" s="4" t="n">
        <f aca="false">YEAR(B2639)</f>
        <v>2025</v>
      </c>
      <c r="D2639" s="49" t="s">
        <v>283</v>
      </c>
      <c r="E2639" s="49" t="s">
        <v>5523</v>
      </c>
      <c r="F2639" s="50" t="n">
        <v>5</v>
      </c>
      <c r="G2639" s="49" t="s">
        <v>287</v>
      </c>
      <c r="H2639" s="51" t="n">
        <v>0.0036</v>
      </c>
      <c r="I2639" s="51" t="n">
        <v>0.0789</v>
      </c>
      <c r="J2639" s="51" t="n">
        <v>0.9175</v>
      </c>
      <c r="K2639" s="49"/>
      <c r="L2639" s="49"/>
      <c r="M2639" s="49"/>
      <c r="N2639" s="49"/>
      <c r="O2639" s="49"/>
      <c r="P2639" s="49"/>
      <c r="Q2639" s="49"/>
      <c r="R2639" s="49"/>
      <c r="S2639" s="49" t="n">
        <v>0</v>
      </c>
      <c r="T2639" s="49" t="n">
        <v>0</v>
      </c>
      <c r="U2639" s="49" t="s">
        <v>5524</v>
      </c>
    </row>
    <row r="2640" customFormat="false" ht="15" hidden="false" customHeight="false" outlineLevel="0" collapsed="false">
      <c r="B2640" s="48" t="n">
        <v>45853.6457175926</v>
      </c>
      <c r="C2640" s="4" t="n">
        <f aca="false">YEAR(B2640)</f>
        <v>2025</v>
      </c>
      <c r="D2640" s="49" t="s">
        <v>283</v>
      </c>
      <c r="E2640" s="49" t="s">
        <v>5525</v>
      </c>
      <c r="F2640" s="50" t="n">
        <v>1</v>
      </c>
      <c r="G2640" s="49" t="s">
        <v>280</v>
      </c>
      <c r="H2640" s="51" t="n">
        <v>0.8504</v>
      </c>
      <c r="I2640" s="51" t="n">
        <v>0.1399</v>
      </c>
      <c r="J2640" s="51" t="n">
        <v>0.0097</v>
      </c>
      <c r="K2640" s="49"/>
      <c r="L2640" s="49"/>
      <c r="M2640" s="49"/>
      <c r="N2640" s="49"/>
      <c r="O2640" s="49"/>
      <c r="P2640" s="49"/>
      <c r="Q2640" s="49"/>
      <c r="R2640" s="49"/>
      <c r="S2640" s="49" t="n">
        <v>0</v>
      </c>
      <c r="T2640" s="49" t="n">
        <v>0</v>
      </c>
      <c r="U2640" s="49" t="s">
        <v>5526</v>
      </c>
    </row>
    <row r="2641" customFormat="false" ht="15" hidden="false" customHeight="false" outlineLevel="0" collapsed="false">
      <c r="B2641" s="48" t="n">
        <v>45853.7798032407</v>
      </c>
      <c r="C2641" s="4" t="n">
        <f aca="false">YEAR(B2641)</f>
        <v>2025</v>
      </c>
      <c r="D2641" s="49" t="s">
        <v>283</v>
      </c>
      <c r="E2641" s="49" t="s">
        <v>5527</v>
      </c>
      <c r="F2641" s="50" t="n">
        <v>11</v>
      </c>
      <c r="G2641" s="49" t="s">
        <v>280</v>
      </c>
      <c r="H2641" s="51" t="n">
        <v>0.7931</v>
      </c>
      <c r="I2641" s="51" t="n">
        <v>0.1933</v>
      </c>
      <c r="J2641" s="51" t="n">
        <v>0.0136</v>
      </c>
      <c r="K2641" s="49"/>
      <c r="L2641" s="49"/>
      <c r="M2641" s="49"/>
      <c r="N2641" s="49"/>
      <c r="O2641" s="49"/>
      <c r="P2641" s="49"/>
      <c r="Q2641" s="49"/>
      <c r="R2641" s="49" t="s">
        <v>281</v>
      </c>
      <c r="S2641" s="49" t="n">
        <v>0</v>
      </c>
      <c r="T2641" s="49" t="n">
        <v>0</v>
      </c>
      <c r="U2641" s="49" t="s">
        <v>5528</v>
      </c>
    </row>
    <row r="2642" customFormat="false" ht="15" hidden="false" customHeight="false" outlineLevel="0" collapsed="false">
      <c r="B2642" s="48" t="n">
        <v>45854.0448263889</v>
      </c>
      <c r="C2642" s="4" t="n">
        <f aca="false">YEAR(B2642)</f>
        <v>2025</v>
      </c>
      <c r="D2642" s="49" t="s">
        <v>283</v>
      </c>
      <c r="E2642" s="49" t="s">
        <v>5529</v>
      </c>
      <c r="F2642" s="50" t="n">
        <v>1</v>
      </c>
      <c r="G2642" s="49" t="s">
        <v>280</v>
      </c>
      <c r="H2642" s="51" t="n">
        <v>0.8987</v>
      </c>
      <c r="I2642" s="51" t="n">
        <v>0.0919</v>
      </c>
      <c r="J2642" s="51" t="n">
        <v>0.0094</v>
      </c>
      <c r="K2642" s="49"/>
      <c r="L2642" s="49" t="s">
        <v>281</v>
      </c>
      <c r="M2642" s="49"/>
      <c r="N2642" s="49"/>
      <c r="O2642" s="49"/>
      <c r="P2642" s="49"/>
      <c r="Q2642" s="49"/>
      <c r="R2642" s="49"/>
      <c r="S2642" s="49" t="n">
        <v>0</v>
      </c>
      <c r="T2642" s="49" t="n">
        <v>0</v>
      </c>
      <c r="U2642" s="49" t="s">
        <v>5530</v>
      </c>
    </row>
    <row r="2643" customFormat="false" ht="15" hidden="false" customHeight="false" outlineLevel="0" collapsed="false">
      <c r="B2643" s="48" t="n">
        <v>45854.0458217593</v>
      </c>
      <c r="C2643" s="4" t="n">
        <f aca="false">YEAR(B2643)</f>
        <v>2025</v>
      </c>
      <c r="D2643" s="49" t="s">
        <v>278</v>
      </c>
      <c r="E2643" s="49" t="s">
        <v>5529</v>
      </c>
      <c r="F2643" s="50" t="n">
        <v>0</v>
      </c>
      <c r="G2643" s="49" t="s">
        <v>280</v>
      </c>
      <c r="H2643" s="51" t="n">
        <v>0.8987</v>
      </c>
      <c r="I2643" s="51" t="n">
        <v>0.0919</v>
      </c>
      <c r="J2643" s="51" t="n">
        <v>0.0094</v>
      </c>
      <c r="K2643" s="49"/>
      <c r="L2643" s="49" t="s">
        <v>281</v>
      </c>
      <c r="M2643" s="49"/>
      <c r="N2643" s="49"/>
      <c r="O2643" s="49"/>
      <c r="P2643" s="49"/>
      <c r="Q2643" s="49"/>
      <c r="R2643" s="49"/>
      <c r="S2643" s="49" t="n">
        <v>0</v>
      </c>
      <c r="T2643" s="49" t="n">
        <v>0</v>
      </c>
      <c r="U2643" s="49" t="s">
        <v>5531</v>
      </c>
    </row>
    <row r="2644" customFormat="false" ht="15" hidden="false" customHeight="false" outlineLevel="0" collapsed="false">
      <c r="B2644" s="48" t="n">
        <v>45854.6762962963</v>
      </c>
      <c r="C2644" s="4" t="n">
        <f aca="false">YEAR(B2644)</f>
        <v>2025</v>
      </c>
      <c r="D2644" s="49" t="s">
        <v>283</v>
      </c>
      <c r="E2644" s="49" t="s">
        <v>5532</v>
      </c>
      <c r="F2644" s="50" t="n">
        <v>1</v>
      </c>
      <c r="G2644" s="49" t="s">
        <v>280</v>
      </c>
      <c r="H2644" s="51" t="n">
        <v>0.6441</v>
      </c>
      <c r="I2644" s="51" t="n">
        <v>0.3327</v>
      </c>
      <c r="J2644" s="51" t="n">
        <v>0.0233</v>
      </c>
      <c r="K2644" s="49"/>
      <c r="L2644" s="49"/>
      <c r="M2644" s="49"/>
      <c r="N2644" s="49"/>
      <c r="O2644" s="49"/>
      <c r="P2644" s="49"/>
      <c r="Q2644" s="49" t="s">
        <v>281</v>
      </c>
      <c r="R2644" s="49"/>
      <c r="S2644" s="49" t="n">
        <v>0</v>
      </c>
      <c r="T2644" s="49" t="n">
        <v>0</v>
      </c>
      <c r="U2644" s="49" t="s">
        <v>5533</v>
      </c>
    </row>
    <row r="2645" customFormat="false" ht="15" hidden="false" customHeight="false" outlineLevel="0" collapsed="false">
      <c r="B2645" s="48" t="n">
        <v>45854.9295486111</v>
      </c>
      <c r="C2645" s="4" t="n">
        <f aca="false">YEAR(B2645)</f>
        <v>2025</v>
      </c>
      <c r="D2645" s="49" t="s">
        <v>283</v>
      </c>
      <c r="E2645" s="49" t="s">
        <v>5534</v>
      </c>
      <c r="F2645" s="50" t="n">
        <v>1</v>
      </c>
      <c r="G2645" s="49" t="s">
        <v>280</v>
      </c>
      <c r="H2645" s="51" t="n">
        <v>0.9263</v>
      </c>
      <c r="I2645" s="51" t="n">
        <v>0.0677</v>
      </c>
      <c r="J2645" s="51" t="n">
        <v>0.006</v>
      </c>
      <c r="K2645" s="49" t="s">
        <v>281</v>
      </c>
      <c r="L2645" s="49"/>
      <c r="M2645" s="49"/>
      <c r="N2645" s="49"/>
      <c r="O2645" s="49"/>
      <c r="P2645" s="49"/>
      <c r="Q2645" s="49"/>
      <c r="R2645" s="49"/>
      <c r="S2645" s="49" t="n">
        <v>0</v>
      </c>
      <c r="T2645" s="49" t="n">
        <v>0</v>
      </c>
      <c r="U2645" s="49" t="s">
        <v>5535</v>
      </c>
    </row>
    <row r="2646" customFormat="false" ht="15" hidden="false" customHeight="false" outlineLevel="0" collapsed="false">
      <c r="B2646" s="48" t="n">
        <v>45855.2810300926</v>
      </c>
      <c r="C2646" s="4" t="n">
        <f aca="false">YEAR(B2646)</f>
        <v>2025</v>
      </c>
      <c r="D2646" s="49" t="s">
        <v>283</v>
      </c>
      <c r="E2646" s="49" t="s">
        <v>5536</v>
      </c>
      <c r="F2646" s="50" t="n">
        <v>1</v>
      </c>
      <c r="G2646" s="49" t="s">
        <v>280</v>
      </c>
      <c r="H2646" s="51" t="n">
        <v>0.8579</v>
      </c>
      <c r="I2646" s="51" t="n">
        <v>0.1255</v>
      </c>
      <c r="J2646" s="51" t="n">
        <v>0.0166</v>
      </c>
      <c r="K2646" s="49" t="s">
        <v>281</v>
      </c>
      <c r="L2646" s="49"/>
      <c r="M2646" s="49"/>
      <c r="N2646" s="49"/>
      <c r="O2646" s="49"/>
      <c r="P2646" s="49"/>
      <c r="Q2646" s="49"/>
      <c r="R2646" s="49"/>
      <c r="S2646" s="49" t="n">
        <v>0</v>
      </c>
      <c r="T2646" s="49" t="n">
        <v>0</v>
      </c>
      <c r="U2646" s="49" t="s">
        <v>5537</v>
      </c>
    </row>
    <row r="2647" customFormat="false" ht="15" hidden="false" customHeight="false" outlineLevel="0" collapsed="false">
      <c r="B2647" s="48" t="n">
        <v>45855.8374421296</v>
      </c>
      <c r="C2647" s="4" t="n">
        <f aca="false">YEAR(B2647)</f>
        <v>2025</v>
      </c>
      <c r="D2647" s="49" t="s">
        <v>283</v>
      </c>
      <c r="E2647" s="49" t="s">
        <v>5538</v>
      </c>
      <c r="F2647" s="50" t="n">
        <v>3</v>
      </c>
      <c r="G2647" s="49" t="s">
        <v>280</v>
      </c>
      <c r="H2647" s="51" t="n">
        <v>0.8826</v>
      </c>
      <c r="I2647" s="51" t="n">
        <v>0.1101</v>
      </c>
      <c r="J2647" s="51" t="n">
        <v>0.0072</v>
      </c>
      <c r="K2647" s="49" t="s">
        <v>281</v>
      </c>
      <c r="L2647" s="49"/>
      <c r="M2647" s="49"/>
      <c r="N2647" s="49"/>
      <c r="O2647" s="49"/>
      <c r="P2647" s="49"/>
      <c r="Q2647" s="49"/>
      <c r="R2647" s="49" t="s">
        <v>281</v>
      </c>
      <c r="S2647" s="49" t="n">
        <v>0</v>
      </c>
      <c r="T2647" s="49" t="n">
        <v>0</v>
      </c>
      <c r="U2647" s="49" t="s">
        <v>5539</v>
      </c>
    </row>
    <row r="2648" customFormat="false" ht="15" hidden="false" customHeight="false" outlineLevel="0" collapsed="false">
      <c r="B2648" s="48" t="n">
        <v>45855.8871643519</v>
      </c>
      <c r="C2648" s="4" t="n">
        <f aca="false">YEAR(B2648)</f>
        <v>2025</v>
      </c>
      <c r="D2648" s="49" t="s">
        <v>278</v>
      </c>
      <c r="E2648" s="49" t="s">
        <v>5538</v>
      </c>
      <c r="F2648" s="50" t="n">
        <v>10</v>
      </c>
      <c r="G2648" s="49" t="s">
        <v>280</v>
      </c>
      <c r="H2648" s="51" t="n">
        <v>0.8202</v>
      </c>
      <c r="I2648" s="51" t="n">
        <v>0.1705</v>
      </c>
      <c r="J2648" s="51" t="n">
        <v>0.0092</v>
      </c>
      <c r="K2648" s="49" t="s">
        <v>281</v>
      </c>
      <c r="L2648" s="49"/>
      <c r="M2648" s="49"/>
      <c r="N2648" s="49"/>
      <c r="O2648" s="49"/>
      <c r="P2648" s="49"/>
      <c r="Q2648" s="49"/>
      <c r="R2648" s="49" t="s">
        <v>281</v>
      </c>
      <c r="S2648" s="49" t="n">
        <v>0</v>
      </c>
      <c r="T2648" s="49" t="n">
        <v>0</v>
      </c>
      <c r="U2648" s="49" t="s">
        <v>5540</v>
      </c>
    </row>
    <row r="2649" customFormat="false" ht="15" hidden="false" customHeight="false" outlineLevel="0" collapsed="false">
      <c r="B2649" s="48" t="n">
        <v>45856.3906134259</v>
      </c>
      <c r="C2649" s="4" t="n">
        <f aca="false">YEAR(B2649)</f>
        <v>2025</v>
      </c>
      <c r="D2649" s="49" t="s">
        <v>283</v>
      </c>
      <c r="E2649" s="49" t="s">
        <v>5541</v>
      </c>
      <c r="F2649" s="50" t="n">
        <v>1</v>
      </c>
      <c r="G2649" s="49" t="s">
        <v>280</v>
      </c>
      <c r="H2649" s="51" t="n">
        <v>0.7914</v>
      </c>
      <c r="I2649" s="51" t="n">
        <v>0.1837</v>
      </c>
      <c r="J2649" s="51" t="n">
        <v>0.0248</v>
      </c>
      <c r="K2649" s="49"/>
      <c r="L2649" s="49"/>
      <c r="M2649" s="49"/>
      <c r="N2649" s="49"/>
      <c r="O2649" s="49"/>
      <c r="P2649" s="49"/>
      <c r="Q2649" s="49"/>
      <c r="R2649" s="49" t="s">
        <v>281</v>
      </c>
      <c r="S2649" s="49" t="n">
        <v>0</v>
      </c>
      <c r="T2649" s="49" t="n">
        <v>0</v>
      </c>
      <c r="U2649" s="49" t="s">
        <v>5542</v>
      </c>
    </row>
    <row r="2650" customFormat="false" ht="15" hidden="false" customHeight="false" outlineLevel="0" collapsed="false">
      <c r="B2650" s="48" t="n">
        <v>45856.7596643519</v>
      </c>
      <c r="C2650" s="4" t="n">
        <f aca="false">YEAR(B2650)</f>
        <v>2025</v>
      </c>
      <c r="D2650" s="49" t="s">
        <v>283</v>
      </c>
      <c r="E2650" s="49" t="s">
        <v>5543</v>
      </c>
      <c r="F2650" s="50" t="n">
        <v>1</v>
      </c>
      <c r="G2650" s="49" t="s">
        <v>290</v>
      </c>
      <c r="H2650" s="51" t="n">
        <v>0.0126</v>
      </c>
      <c r="I2650" s="51" t="n">
        <v>0.7472</v>
      </c>
      <c r="J2650" s="51" t="n">
        <v>0.2402</v>
      </c>
      <c r="K2650" s="49"/>
      <c r="L2650" s="49"/>
      <c r="M2650" s="49"/>
      <c r="N2650" s="49"/>
      <c r="O2650" s="49"/>
      <c r="P2650" s="49"/>
      <c r="Q2650" s="49"/>
      <c r="R2650" s="49"/>
      <c r="S2650" s="49" t="n">
        <v>0</v>
      </c>
      <c r="T2650" s="49" t="n">
        <v>0</v>
      </c>
      <c r="U2650" s="49" t="s">
        <v>5544</v>
      </c>
    </row>
    <row r="2651" customFormat="false" ht="15" hidden="false" customHeight="false" outlineLevel="0" collapsed="false">
      <c r="B2651" s="48" t="n">
        <v>45857.104537037</v>
      </c>
      <c r="C2651" s="4" t="n">
        <f aca="false">YEAR(B2651)</f>
        <v>2025</v>
      </c>
      <c r="D2651" s="49" t="s">
        <v>278</v>
      </c>
      <c r="E2651" s="49" t="s">
        <v>5545</v>
      </c>
      <c r="F2651" s="50" t="n">
        <v>0</v>
      </c>
      <c r="G2651" s="49" t="s">
        <v>287</v>
      </c>
      <c r="H2651" s="51" t="n">
        <v>0.0058</v>
      </c>
      <c r="I2651" s="51" t="n">
        <v>0.1268</v>
      </c>
      <c r="J2651" s="51" t="n">
        <v>0.8675</v>
      </c>
      <c r="K2651" s="49"/>
      <c r="L2651" s="49"/>
      <c r="M2651" s="49"/>
      <c r="N2651" s="49"/>
      <c r="O2651" s="49"/>
      <c r="P2651" s="49"/>
      <c r="Q2651" s="49"/>
      <c r="R2651" s="49"/>
      <c r="S2651" s="49" t="n">
        <v>0</v>
      </c>
      <c r="T2651" s="49" t="n">
        <v>0</v>
      </c>
      <c r="U2651" s="49" t="s">
        <v>5546</v>
      </c>
    </row>
    <row r="2652" customFormat="false" ht="15" hidden="false" customHeight="false" outlineLevel="0" collapsed="false">
      <c r="B2652" s="48" t="n">
        <v>45857.1684722222</v>
      </c>
      <c r="C2652" s="4" t="n">
        <f aca="false">YEAR(B2652)</f>
        <v>2025</v>
      </c>
      <c r="D2652" s="49" t="s">
        <v>278</v>
      </c>
      <c r="E2652" s="49" t="s">
        <v>5547</v>
      </c>
      <c r="F2652" s="50" t="n">
        <v>5</v>
      </c>
      <c r="G2652" s="49" t="s">
        <v>280</v>
      </c>
      <c r="H2652" s="51" t="n">
        <v>0.9243</v>
      </c>
      <c r="I2652" s="51" t="n">
        <v>0.0661</v>
      </c>
      <c r="J2652" s="51" t="n">
        <v>0.0097</v>
      </c>
      <c r="K2652" s="49"/>
      <c r="L2652" s="49"/>
      <c r="M2652" s="49"/>
      <c r="N2652" s="49"/>
      <c r="O2652" s="49"/>
      <c r="P2652" s="49"/>
      <c r="Q2652" s="49" t="s">
        <v>281</v>
      </c>
      <c r="R2652" s="49"/>
      <c r="S2652" s="49" t="n">
        <v>0</v>
      </c>
      <c r="T2652" s="49" t="n">
        <v>0</v>
      </c>
      <c r="U2652" s="49" t="s">
        <v>5548</v>
      </c>
    </row>
    <row r="2653" customFormat="false" ht="15" hidden="false" customHeight="false" outlineLevel="0" collapsed="false">
      <c r="B2653" s="48" t="n">
        <v>45857.7883912037</v>
      </c>
      <c r="C2653" s="4" t="n">
        <f aca="false">YEAR(B2653)</f>
        <v>2025</v>
      </c>
      <c r="D2653" s="49" t="s">
        <v>283</v>
      </c>
      <c r="E2653" s="49" t="s">
        <v>5549</v>
      </c>
      <c r="F2653" s="50" t="n">
        <v>0</v>
      </c>
      <c r="G2653" s="49" t="s">
        <v>290</v>
      </c>
      <c r="H2653" s="51" t="n">
        <v>0.0287</v>
      </c>
      <c r="I2653" s="51" t="n">
        <v>0.7614</v>
      </c>
      <c r="J2653" s="51" t="n">
        <v>0.2099</v>
      </c>
      <c r="K2653" s="49"/>
      <c r="L2653" s="49"/>
      <c r="M2653" s="49"/>
      <c r="N2653" s="49"/>
      <c r="O2653" s="49"/>
      <c r="P2653" s="49"/>
      <c r="Q2653" s="49"/>
      <c r="R2653" s="49"/>
      <c r="S2653" s="49" t="n">
        <v>0</v>
      </c>
      <c r="T2653" s="49" t="n">
        <v>0</v>
      </c>
      <c r="U2653" s="49" t="s">
        <v>5550</v>
      </c>
    </row>
    <row r="2654" customFormat="false" ht="15" hidden="false" customHeight="false" outlineLevel="0" collapsed="false">
      <c r="B2654" s="48" t="n">
        <v>45857.946400463</v>
      </c>
      <c r="C2654" s="4" t="n">
        <f aca="false">YEAR(B2654)</f>
        <v>2025</v>
      </c>
      <c r="D2654" s="49" t="s">
        <v>278</v>
      </c>
      <c r="E2654" s="49" t="s">
        <v>5551</v>
      </c>
      <c r="F2654" s="50" t="n">
        <v>1</v>
      </c>
      <c r="G2654" s="49" t="s">
        <v>280</v>
      </c>
      <c r="H2654" s="51" t="n">
        <v>0.6473</v>
      </c>
      <c r="I2654" s="51" t="n">
        <v>0.3326</v>
      </c>
      <c r="J2654" s="51" t="n">
        <v>0.0201</v>
      </c>
      <c r="K2654" s="49"/>
      <c r="L2654" s="49"/>
      <c r="M2654" s="49"/>
      <c r="N2654" s="49"/>
      <c r="O2654" s="49" t="s">
        <v>281</v>
      </c>
      <c r="P2654" s="49"/>
      <c r="Q2654" s="49"/>
      <c r="R2654" s="49"/>
      <c r="S2654" s="49" t="n">
        <v>0</v>
      </c>
      <c r="T2654" s="49" t="n">
        <v>0</v>
      </c>
      <c r="U2654" s="49" t="s">
        <v>5552</v>
      </c>
    </row>
    <row r="2655" customFormat="false" ht="15" hidden="false" customHeight="false" outlineLevel="0" collapsed="false">
      <c r="B2655" s="48" t="n">
        <v>45859.5012268519</v>
      </c>
      <c r="C2655" s="4" t="n">
        <f aca="false">YEAR(B2655)</f>
        <v>2025</v>
      </c>
      <c r="D2655" s="49" t="s">
        <v>278</v>
      </c>
      <c r="E2655" s="49" t="s">
        <v>5553</v>
      </c>
      <c r="F2655" s="50" t="n">
        <v>815</v>
      </c>
      <c r="G2655" s="49" t="s">
        <v>287</v>
      </c>
      <c r="H2655" s="51" t="n">
        <v>0.0016</v>
      </c>
      <c r="I2655" s="51" t="n">
        <v>0.0818</v>
      </c>
      <c r="J2655" s="51" t="n">
        <v>0.9165</v>
      </c>
      <c r="K2655" s="49"/>
      <c r="L2655" s="49"/>
      <c r="M2655" s="49"/>
      <c r="N2655" s="49"/>
      <c r="O2655" s="49"/>
      <c r="P2655" s="49"/>
      <c r="Q2655" s="49"/>
      <c r="R2655" s="49" t="s">
        <v>281</v>
      </c>
      <c r="S2655" s="49" t="n">
        <v>0</v>
      </c>
      <c r="T2655" s="49" t="n">
        <v>0</v>
      </c>
      <c r="U2655" s="49" t="s">
        <v>5554</v>
      </c>
    </row>
    <row r="2656" customFormat="false" ht="15" hidden="false" customHeight="false" outlineLevel="0" collapsed="false">
      <c r="B2656" s="48" t="n">
        <v>45859.5624189815</v>
      </c>
      <c r="C2656" s="4" t="n">
        <f aca="false">YEAR(B2656)</f>
        <v>2025</v>
      </c>
      <c r="D2656" s="49" t="s">
        <v>283</v>
      </c>
      <c r="E2656" s="49" t="s">
        <v>5555</v>
      </c>
      <c r="F2656" s="50" t="n">
        <v>1</v>
      </c>
      <c r="G2656" s="49" t="s">
        <v>280</v>
      </c>
      <c r="H2656" s="51" t="n">
        <v>0.4968</v>
      </c>
      <c r="I2656" s="51" t="n">
        <v>0.4308</v>
      </c>
      <c r="J2656" s="51" t="n">
        <v>0.0725</v>
      </c>
      <c r="K2656" s="49" t="s">
        <v>281</v>
      </c>
      <c r="L2656" s="49"/>
      <c r="M2656" s="49"/>
      <c r="N2656" s="49"/>
      <c r="O2656" s="49"/>
      <c r="P2656" s="49"/>
      <c r="Q2656" s="49" t="s">
        <v>281</v>
      </c>
      <c r="R2656" s="49"/>
      <c r="S2656" s="49" t="n">
        <v>0</v>
      </c>
      <c r="T2656" s="49" t="n">
        <v>0</v>
      </c>
      <c r="U2656" s="49" t="s">
        <v>5556</v>
      </c>
    </row>
    <row r="2657" customFormat="false" ht="15" hidden="false" customHeight="false" outlineLevel="0" collapsed="false">
      <c r="B2657" s="48" t="n">
        <v>45859.8165277778</v>
      </c>
      <c r="C2657" s="4" t="n">
        <f aca="false">YEAR(B2657)</f>
        <v>2025</v>
      </c>
      <c r="D2657" s="49" t="s">
        <v>283</v>
      </c>
      <c r="E2657" s="49" t="s">
        <v>5557</v>
      </c>
      <c r="F2657" s="50" t="n">
        <v>5</v>
      </c>
      <c r="G2657" s="49" t="s">
        <v>280</v>
      </c>
      <c r="H2657" s="51" t="n">
        <v>0.6916</v>
      </c>
      <c r="I2657" s="51" t="n">
        <v>0.2791</v>
      </c>
      <c r="J2657" s="51" t="n">
        <v>0.0293</v>
      </c>
      <c r="K2657" s="49"/>
      <c r="L2657" s="49"/>
      <c r="M2657" s="49"/>
      <c r="N2657" s="49"/>
      <c r="O2657" s="49"/>
      <c r="P2657" s="49"/>
      <c r="Q2657" s="49" t="s">
        <v>281</v>
      </c>
      <c r="R2657" s="49"/>
      <c r="S2657" s="49" t="n">
        <v>0</v>
      </c>
      <c r="T2657" s="49" t="n">
        <v>0</v>
      </c>
      <c r="U2657" s="49" t="s">
        <v>5558</v>
      </c>
    </row>
    <row r="2658" customFormat="false" ht="15" hidden="false" customHeight="false" outlineLevel="0" collapsed="false">
      <c r="B2658" s="48" t="n">
        <v>45859.9243634259</v>
      </c>
      <c r="C2658" s="4" t="n">
        <f aca="false">YEAR(B2658)</f>
        <v>2025</v>
      </c>
      <c r="D2658" s="49" t="s">
        <v>283</v>
      </c>
      <c r="E2658" s="49" t="s">
        <v>5559</v>
      </c>
      <c r="F2658" s="50" t="n">
        <v>1</v>
      </c>
      <c r="G2658" s="49" t="s">
        <v>280</v>
      </c>
      <c r="H2658" s="51" t="n">
        <v>0.7142</v>
      </c>
      <c r="I2658" s="51" t="n">
        <v>0.267</v>
      </c>
      <c r="J2658" s="51" t="n">
        <v>0.0187</v>
      </c>
      <c r="K2658" s="49"/>
      <c r="L2658" s="49"/>
      <c r="M2658" s="49"/>
      <c r="N2658" s="49"/>
      <c r="O2658" s="49"/>
      <c r="P2658" s="49"/>
      <c r="Q2658" s="49"/>
      <c r="R2658" s="49"/>
      <c r="S2658" s="49" t="n">
        <v>0</v>
      </c>
      <c r="T2658" s="49" t="n">
        <v>0</v>
      </c>
      <c r="U2658" s="49" t="s">
        <v>5560</v>
      </c>
    </row>
    <row r="2659" customFormat="false" ht="15" hidden="false" customHeight="false" outlineLevel="0" collapsed="false">
      <c r="B2659" s="48" t="n">
        <v>45860.2665972222</v>
      </c>
      <c r="C2659" s="4" t="n">
        <f aca="false">YEAR(B2659)</f>
        <v>2025</v>
      </c>
      <c r="D2659" s="49" t="s">
        <v>283</v>
      </c>
      <c r="E2659" s="49" t="s">
        <v>5561</v>
      </c>
      <c r="F2659" s="50" t="n">
        <v>8</v>
      </c>
      <c r="G2659" s="49" t="s">
        <v>280</v>
      </c>
      <c r="H2659" s="51" t="n">
        <v>0.9467</v>
      </c>
      <c r="I2659" s="51" t="n">
        <v>0.0478</v>
      </c>
      <c r="J2659" s="51" t="n">
        <v>0.0055</v>
      </c>
      <c r="K2659" s="49"/>
      <c r="L2659" s="49"/>
      <c r="M2659" s="49"/>
      <c r="N2659" s="49"/>
      <c r="O2659" s="49"/>
      <c r="P2659" s="49"/>
      <c r="Q2659" s="49" t="s">
        <v>281</v>
      </c>
      <c r="R2659" s="49"/>
      <c r="S2659" s="49" t="n">
        <v>0</v>
      </c>
      <c r="T2659" s="49" t="n">
        <v>0</v>
      </c>
      <c r="U2659" s="49" t="s">
        <v>5562</v>
      </c>
    </row>
    <row r="2660" customFormat="false" ht="15" hidden="false" customHeight="false" outlineLevel="0" collapsed="false">
      <c r="B2660" s="48" t="n">
        <v>45860.9225115741</v>
      </c>
      <c r="C2660" s="4" t="n">
        <f aca="false">YEAR(B2660)</f>
        <v>2025</v>
      </c>
      <c r="D2660" s="49" t="s">
        <v>278</v>
      </c>
      <c r="E2660" s="49" t="s">
        <v>5563</v>
      </c>
      <c r="F2660" s="50" t="n">
        <v>0</v>
      </c>
      <c r="G2660" s="49" t="s">
        <v>290</v>
      </c>
      <c r="H2660" s="51" t="n">
        <v>0.0191</v>
      </c>
      <c r="I2660" s="51" t="n">
        <v>0.7382</v>
      </c>
      <c r="J2660" s="51" t="n">
        <v>0.2426</v>
      </c>
      <c r="K2660" s="49"/>
      <c r="L2660" s="49"/>
      <c r="M2660" s="49"/>
      <c r="N2660" s="49"/>
      <c r="O2660" s="49"/>
      <c r="P2660" s="49"/>
      <c r="Q2660" s="49"/>
      <c r="R2660" s="49"/>
      <c r="S2660" s="49" t="n">
        <v>0</v>
      </c>
      <c r="T2660" s="49" t="n">
        <v>0</v>
      </c>
      <c r="U2660" s="49" t="s">
        <v>5564</v>
      </c>
    </row>
    <row r="2661" customFormat="false" ht="15" hidden="false" customHeight="false" outlineLevel="0" collapsed="false">
      <c r="B2661" s="48" t="n">
        <v>45860.9329976852</v>
      </c>
      <c r="C2661" s="4" t="n">
        <f aca="false">YEAR(B2661)</f>
        <v>2025</v>
      </c>
      <c r="D2661" s="49" t="s">
        <v>283</v>
      </c>
      <c r="E2661" s="49" t="s">
        <v>5565</v>
      </c>
      <c r="F2661" s="50" t="n">
        <v>2</v>
      </c>
      <c r="G2661" s="49" t="s">
        <v>287</v>
      </c>
      <c r="H2661" s="51" t="n">
        <v>0.0206</v>
      </c>
      <c r="I2661" s="51" t="n">
        <v>0.2535</v>
      </c>
      <c r="J2661" s="51" t="n">
        <v>0.7259</v>
      </c>
      <c r="K2661" s="49"/>
      <c r="L2661" s="49"/>
      <c r="M2661" s="49"/>
      <c r="N2661" s="49"/>
      <c r="O2661" s="49"/>
      <c r="P2661" s="49"/>
      <c r="Q2661" s="49"/>
      <c r="R2661" s="49"/>
      <c r="S2661" s="49" t="n">
        <v>0</v>
      </c>
      <c r="T2661" s="49" t="n">
        <v>0</v>
      </c>
      <c r="U2661" s="49" t="s">
        <v>5566</v>
      </c>
    </row>
    <row r="2662" customFormat="false" ht="15" hidden="false" customHeight="false" outlineLevel="0" collapsed="false">
      <c r="B2662" s="48" t="n">
        <v>45861.0854282407</v>
      </c>
      <c r="C2662" s="4" t="n">
        <f aca="false">YEAR(B2662)</f>
        <v>2025</v>
      </c>
      <c r="D2662" s="49" t="s">
        <v>278</v>
      </c>
      <c r="E2662" s="49" t="s">
        <v>5567</v>
      </c>
      <c r="F2662" s="50" t="n">
        <v>3</v>
      </c>
      <c r="G2662" s="49" t="s">
        <v>280</v>
      </c>
      <c r="H2662" s="51" t="n">
        <v>0.8659</v>
      </c>
      <c r="I2662" s="51" t="n">
        <v>0.1251</v>
      </c>
      <c r="J2662" s="51" t="n">
        <v>0.009</v>
      </c>
      <c r="K2662" s="49"/>
      <c r="L2662" s="49"/>
      <c r="M2662" s="49"/>
      <c r="N2662" s="49"/>
      <c r="O2662" s="49"/>
      <c r="P2662" s="49"/>
      <c r="Q2662" s="49"/>
      <c r="R2662" s="49"/>
      <c r="S2662" s="49" t="n">
        <v>0</v>
      </c>
      <c r="T2662" s="49" t="n">
        <v>0</v>
      </c>
      <c r="U2662" s="49" t="s">
        <v>5568</v>
      </c>
    </row>
    <row r="2663" customFormat="false" ht="15" hidden="false" customHeight="false" outlineLevel="0" collapsed="false">
      <c r="B2663" s="48" t="n">
        <v>45861.428599537</v>
      </c>
      <c r="C2663" s="4" t="n">
        <f aca="false">YEAR(B2663)</f>
        <v>2025</v>
      </c>
      <c r="D2663" s="49" t="s">
        <v>283</v>
      </c>
      <c r="E2663" s="49" t="s">
        <v>5569</v>
      </c>
      <c r="F2663" s="50" t="n">
        <v>1</v>
      </c>
      <c r="G2663" s="49" t="s">
        <v>280</v>
      </c>
      <c r="H2663" s="51" t="n">
        <v>0.7483</v>
      </c>
      <c r="I2663" s="51" t="n">
        <v>0.2412</v>
      </c>
      <c r="J2663" s="51" t="n">
        <v>0.0105</v>
      </c>
      <c r="K2663" s="49" t="s">
        <v>281</v>
      </c>
      <c r="L2663" s="49"/>
      <c r="M2663" s="49" t="s">
        <v>281</v>
      </c>
      <c r="N2663" s="49"/>
      <c r="O2663" s="49"/>
      <c r="P2663" s="49"/>
      <c r="Q2663" s="49"/>
      <c r="R2663" s="49"/>
      <c r="S2663" s="49" t="n">
        <v>0</v>
      </c>
      <c r="T2663" s="49" t="n">
        <v>0</v>
      </c>
      <c r="U2663" s="49" t="s">
        <v>5570</v>
      </c>
    </row>
    <row r="2664" customFormat="false" ht="15" hidden="false" customHeight="false" outlineLevel="0" collapsed="false">
      <c r="B2664" s="48" t="n">
        <v>45861.5230555556</v>
      </c>
      <c r="C2664" s="4" t="n">
        <f aca="false">YEAR(B2664)</f>
        <v>2025</v>
      </c>
      <c r="D2664" s="49" t="s">
        <v>278</v>
      </c>
      <c r="E2664" s="49" t="s">
        <v>5571</v>
      </c>
      <c r="F2664" s="50" t="n">
        <v>2</v>
      </c>
      <c r="G2664" s="49" t="s">
        <v>280</v>
      </c>
      <c r="H2664" s="51" t="n">
        <v>0.8765</v>
      </c>
      <c r="I2664" s="51" t="n">
        <v>0.1149</v>
      </c>
      <c r="J2664" s="51" t="n">
        <v>0.0086</v>
      </c>
      <c r="K2664" s="49"/>
      <c r="L2664" s="49"/>
      <c r="M2664" s="49" t="s">
        <v>281</v>
      </c>
      <c r="N2664" s="49"/>
      <c r="O2664" s="49"/>
      <c r="P2664" s="49"/>
      <c r="Q2664" s="49"/>
      <c r="R2664" s="49"/>
      <c r="S2664" s="49" t="n">
        <v>0</v>
      </c>
      <c r="T2664" s="49" t="n">
        <v>0</v>
      </c>
      <c r="U2664" s="49" t="s">
        <v>5572</v>
      </c>
    </row>
    <row r="2665" customFormat="false" ht="15" hidden="false" customHeight="false" outlineLevel="0" collapsed="false">
      <c r="B2665" s="48" t="n">
        <v>45861.773287037</v>
      </c>
      <c r="C2665" s="4" t="n">
        <f aca="false">YEAR(B2665)</f>
        <v>2025</v>
      </c>
      <c r="D2665" s="49" t="s">
        <v>283</v>
      </c>
      <c r="E2665" s="49" t="s">
        <v>5573</v>
      </c>
      <c r="F2665" s="50" t="n">
        <v>1</v>
      </c>
      <c r="G2665" s="49" t="s">
        <v>290</v>
      </c>
      <c r="H2665" s="51" t="n">
        <v>0.0678</v>
      </c>
      <c r="I2665" s="51" t="n">
        <v>0.8389</v>
      </c>
      <c r="J2665" s="51" t="n">
        <v>0.0932</v>
      </c>
      <c r="K2665" s="49" t="s">
        <v>281</v>
      </c>
      <c r="L2665" s="49"/>
      <c r="M2665" s="49" t="s">
        <v>281</v>
      </c>
      <c r="N2665" s="49"/>
      <c r="O2665" s="49"/>
      <c r="P2665" s="49"/>
      <c r="Q2665" s="49"/>
      <c r="R2665" s="49"/>
      <c r="S2665" s="49" t="n">
        <v>0</v>
      </c>
      <c r="T2665" s="49" t="n">
        <v>0</v>
      </c>
      <c r="U2665" s="49" t="s">
        <v>5574</v>
      </c>
    </row>
    <row r="2666" customFormat="false" ht="15" hidden="false" customHeight="false" outlineLevel="0" collapsed="false">
      <c r="B2666" s="48" t="n">
        <v>45861.9010069444</v>
      </c>
      <c r="C2666" s="4" t="n">
        <f aca="false">YEAR(B2666)</f>
        <v>2025</v>
      </c>
      <c r="D2666" s="49" t="s">
        <v>283</v>
      </c>
      <c r="E2666" s="49" t="s">
        <v>5575</v>
      </c>
      <c r="F2666" s="50" t="n">
        <v>8</v>
      </c>
      <c r="G2666" s="49" t="s">
        <v>290</v>
      </c>
      <c r="H2666" s="51" t="n">
        <v>0.1875</v>
      </c>
      <c r="I2666" s="51" t="n">
        <v>0.6609</v>
      </c>
      <c r="J2666" s="51" t="n">
        <v>0.1515</v>
      </c>
      <c r="K2666" s="49"/>
      <c r="L2666" s="49"/>
      <c r="M2666" s="49"/>
      <c r="N2666" s="49"/>
      <c r="O2666" s="49"/>
      <c r="P2666" s="49"/>
      <c r="Q2666" s="49" t="s">
        <v>281</v>
      </c>
      <c r="R2666" s="49"/>
      <c r="S2666" s="49" t="n">
        <v>0</v>
      </c>
      <c r="T2666" s="49" t="n">
        <v>0</v>
      </c>
      <c r="U2666" s="49" t="s">
        <v>5576</v>
      </c>
    </row>
    <row r="2667" customFormat="false" ht="15" hidden="false" customHeight="false" outlineLevel="0" collapsed="false">
      <c r="B2667" s="48" t="n">
        <v>45862.082962963</v>
      </c>
      <c r="C2667" s="4" t="n">
        <f aca="false">YEAR(B2667)</f>
        <v>2025</v>
      </c>
      <c r="D2667" s="49" t="s">
        <v>278</v>
      </c>
      <c r="E2667" s="49" t="s">
        <v>5577</v>
      </c>
      <c r="F2667" s="50" t="n">
        <v>2</v>
      </c>
      <c r="G2667" s="49" t="s">
        <v>280</v>
      </c>
      <c r="H2667" s="51" t="n">
        <v>0.8914</v>
      </c>
      <c r="I2667" s="51" t="n">
        <v>0.1014</v>
      </c>
      <c r="J2667" s="51" t="n">
        <v>0.0073</v>
      </c>
      <c r="K2667" s="49" t="s">
        <v>281</v>
      </c>
      <c r="L2667" s="49"/>
      <c r="M2667" s="49"/>
      <c r="N2667" s="49"/>
      <c r="O2667" s="49"/>
      <c r="P2667" s="49"/>
      <c r="Q2667" s="49"/>
      <c r="R2667" s="49"/>
      <c r="S2667" s="49" t="n">
        <v>0</v>
      </c>
      <c r="T2667" s="49" t="n">
        <v>0</v>
      </c>
      <c r="U2667" s="49" t="s">
        <v>5578</v>
      </c>
    </row>
    <row r="2668" customFormat="false" ht="15" hidden="false" customHeight="false" outlineLevel="0" collapsed="false">
      <c r="B2668" s="48" t="n">
        <v>45862.1583680556</v>
      </c>
      <c r="C2668" s="4" t="n">
        <f aca="false">YEAR(B2668)</f>
        <v>2025</v>
      </c>
      <c r="D2668" s="49" t="s">
        <v>283</v>
      </c>
      <c r="E2668" s="49" t="s">
        <v>5579</v>
      </c>
      <c r="F2668" s="50" t="n">
        <v>1</v>
      </c>
      <c r="G2668" s="49" t="s">
        <v>280</v>
      </c>
      <c r="H2668" s="51" t="n">
        <v>0.6767</v>
      </c>
      <c r="I2668" s="51" t="n">
        <v>0.3022</v>
      </c>
      <c r="J2668" s="51" t="n">
        <v>0.0211</v>
      </c>
      <c r="K2668" s="49"/>
      <c r="L2668" s="49"/>
      <c r="M2668" s="49"/>
      <c r="N2668" s="49"/>
      <c r="O2668" s="49"/>
      <c r="P2668" s="49"/>
      <c r="Q2668" s="49"/>
      <c r="R2668" s="49"/>
      <c r="S2668" s="49" t="n">
        <v>0</v>
      </c>
      <c r="T2668" s="49" t="n">
        <v>0</v>
      </c>
      <c r="U2668" s="49" t="s">
        <v>5580</v>
      </c>
    </row>
    <row r="2669" customFormat="false" ht="15" hidden="false" customHeight="false" outlineLevel="0" collapsed="false">
      <c r="B2669" s="48" t="n">
        <v>45862.5033796296</v>
      </c>
      <c r="C2669" s="4" t="n">
        <f aca="false">YEAR(B2669)</f>
        <v>2025</v>
      </c>
      <c r="D2669" s="49" t="s">
        <v>278</v>
      </c>
      <c r="E2669" s="49" t="s">
        <v>5581</v>
      </c>
      <c r="F2669" s="50" t="n">
        <v>0</v>
      </c>
      <c r="G2669" s="49" t="s">
        <v>280</v>
      </c>
      <c r="H2669" s="51" t="n">
        <v>0.5298</v>
      </c>
      <c r="I2669" s="51" t="n">
        <v>0.4388</v>
      </c>
      <c r="J2669" s="51" t="n">
        <v>0.0314</v>
      </c>
      <c r="K2669" s="49" t="s">
        <v>281</v>
      </c>
      <c r="L2669" s="49"/>
      <c r="M2669" s="49"/>
      <c r="N2669" s="49"/>
      <c r="O2669" s="49"/>
      <c r="P2669" s="49"/>
      <c r="Q2669" s="49"/>
      <c r="R2669" s="49" t="s">
        <v>281</v>
      </c>
      <c r="S2669" s="49" t="n">
        <v>0</v>
      </c>
      <c r="T2669" s="49" t="n">
        <v>0</v>
      </c>
      <c r="U2669" s="49" t="s">
        <v>5582</v>
      </c>
    </row>
    <row r="2670" customFormat="false" ht="15" hidden="false" customHeight="false" outlineLevel="0" collapsed="false">
      <c r="B2670" s="48" t="n">
        <v>45862.5940625</v>
      </c>
      <c r="C2670" s="4" t="n">
        <f aca="false">YEAR(B2670)</f>
        <v>2025</v>
      </c>
      <c r="D2670" s="49" t="s">
        <v>278</v>
      </c>
      <c r="E2670" s="49" t="s">
        <v>5583</v>
      </c>
      <c r="F2670" s="50" t="n">
        <v>0</v>
      </c>
      <c r="G2670" s="49" t="s">
        <v>280</v>
      </c>
      <c r="H2670" s="51" t="n">
        <v>0.8187</v>
      </c>
      <c r="I2670" s="51" t="n">
        <v>0.1719</v>
      </c>
      <c r="J2670" s="51" t="n">
        <v>0.0094</v>
      </c>
      <c r="K2670" s="49"/>
      <c r="L2670" s="49"/>
      <c r="M2670" s="49"/>
      <c r="N2670" s="49"/>
      <c r="O2670" s="49"/>
      <c r="P2670" s="49"/>
      <c r="Q2670" s="49"/>
      <c r="R2670" s="49"/>
      <c r="S2670" s="49" t="n">
        <v>0</v>
      </c>
      <c r="T2670" s="49" t="n">
        <v>0</v>
      </c>
      <c r="U2670" s="49" t="s">
        <v>5584</v>
      </c>
    </row>
    <row r="2671" customFormat="false" ht="15" hidden="false" customHeight="false" outlineLevel="0" collapsed="false">
      <c r="B2671" s="48" t="n">
        <v>45862.602662037</v>
      </c>
      <c r="C2671" s="4" t="n">
        <f aca="false">YEAR(B2671)</f>
        <v>2025</v>
      </c>
      <c r="D2671" s="49" t="s">
        <v>278</v>
      </c>
      <c r="E2671" s="49" t="s">
        <v>5585</v>
      </c>
      <c r="F2671" s="50" t="n">
        <v>1</v>
      </c>
      <c r="G2671" s="49" t="s">
        <v>287</v>
      </c>
      <c r="H2671" s="51" t="n">
        <v>0.0065</v>
      </c>
      <c r="I2671" s="51" t="n">
        <v>0.2028</v>
      </c>
      <c r="J2671" s="51" t="n">
        <v>0.7907</v>
      </c>
      <c r="K2671" s="49"/>
      <c r="L2671" s="49"/>
      <c r="M2671" s="49"/>
      <c r="N2671" s="49"/>
      <c r="O2671" s="49"/>
      <c r="P2671" s="49"/>
      <c r="Q2671" s="49"/>
      <c r="R2671" s="49"/>
      <c r="S2671" s="49" t="n">
        <v>0</v>
      </c>
      <c r="T2671" s="49" t="n">
        <v>0</v>
      </c>
      <c r="U2671" s="49" t="s">
        <v>5586</v>
      </c>
    </row>
    <row r="2672" customFormat="false" ht="15" hidden="false" customHeight="false" outlineLevel="0" collapsed="false">
      <c r="B2672" s="48" t="n">
        <v>45862.6985185185</v>
      </c>
      <c r="C2672" s="4" t="n">
        <f aca="false">YEAR(B2672)</f>
        <v>2025</v>
      </c>
      <c r="D2672" s="49" t="s">
        <v>283</v>
      </c>
      <c r="E2672" s="49" t="s">
        <v>5587</v>
      </c>
      <c r="F2672" s="50" t="n">
        <v>1</v>
      </c>
      <c r="G2672" s="49" t="s">
        <v>290</v>
      </c>
      <c r="H2672" s="51" t="n">
        <v>0.4694</v>
      </c>
      <c r="I2672" s="51" t="n">
        <v>0.4774</v>
      </c>
      <c r="J2672" s="51" t="n">
        <v>0.0532</v>
      </c>
      <c r="K2672" s="49"/>
      <c r="L2672" s="49"/>
      <c r="M2672" s="49"/>
      <c r="N2672" s="49"/>
      <c r="O2672" s="49"/>
      <c r="P2672" s="49"/>
      <c r="Q2672" s="49"/>
      <c r="R2672" s="49"/>
      <c r="S2672" s="49" t="n">
        <v>0</v>
      </c>
      <c r="T2672" s="49" t="n">
        <v>0</v>
      </c>
      <c r="U2672" s="49" t="s">
        <v>5588</v>
      </c>
    </row>
    <row r="2673" customFormat="false" ht="15" hidden="false" customHeight="false" outlineLevel="0" collapsed="false">
      <c r="B2673" s="48" t="n">
        <v>45862.8060300926</v>
      </c>
      <c r="C2673" s="4" t="n">
        <f aca="false">YEAR(B2673)</f>
        <v>2025</v>
      </c>
      <c r="D2673" s="49" t="s">
        <v>283</v>
      </c>
      <c r="E2673" s="49" t="s">
        <v>5589</v>
      </c>
      <c r="F2673" s="50" t="n">
        <v>0</v>
      </c>
      <c r="G2673" s="49" t="s">
        <v>280</v>
      </c>
      <c r="H2673" s="51" t="n">
        <v>0.7339</v>
      </c>
      <c r="I2673" s="51" t="n">
        <v>0.2364</v>
      </c>
      <c r="J2673" s="51" t="n">
        <v>0.0297</v>
      </c>
      <c r="K2673" s="49"/>
      <c r="L2673" s="49"/>
      <c r="M2673" s="49"/>
      <c r="N2673" s="49"/>
      <c r="O2673" s="49"/>
      <c r="P2673" s="49"/>
      <c r="Q2673" s="49"/>
      <c r="R2673" s="49"/>
      <c r="S2673" s="49" t="n">
        <v>0</v>
      </c>
      <c r="T2673" s="49" t="n">
        <v>0</v>
      </c>
      <c r="U2673" s="49" t="s">
        <v>5590</v>
      </c>
    </row>
    <row r="2674" customFormat="false" ht="15" hidden="false" customHeight="false" outlineLevel="0" collapsed="false">
      <c r="B2674" s="48" t="n">
        <v>45862.874525463</v>
      </c>
      <c r="C2674" s="4" t="n">
        <f aca="false">YEAR(B2674)</f>
        <v>2025</v>
      </c>
      <c r="D2674" s="49" t="s">
        <v>283</v>
      </c>
      <c r="E2674" s="49" t="s">
        <v>5591</v>
      </c>
      <c r="F2674" s="50" t="n">
        <v>3</v>
      </c>
      <c r="G2674" s="49" t="s">
        <v>280</v>
      </c>
      <c r="H2674" s="51" t="n">
        <v>0.742</v>
      </c>
      <c r="I2674" s="51" t="n">
        <v>0.2315</v>
      </c>
      <c r="J2674" s="51" t="n">
        <v>0.0265</v>
      </c>
      <c r="K2674" s="49" t="s">
        <v>281</v>
      </c>
      <c r="L2674" s="49"/>
      <c r="M2674" s="49"/>
      <c r="N2674" s="49"/>
      <c r="O2674" s="49"/>
      <c r="P2674" s="49"/>
      <c r="Q2674" s="49"/>
      <c r="R2674" s="49"/>
      <c r="S2674" s="49" t="n">
        <v>0</v>
      </c>
      <c r="T2674" s="49" t="n">
        <v>0</v>
      </c>
      <c r="U2674" s="49" t="s">
        <v>5592</v>
      </c>
    </row>
    <row r="2675" customFormat="false" ht="15" hidden="false" customHeight="false" outlineLevel="0" collapsed="false">
      <c r="B2675" s="48" t="n">
        <v>45862.9996643519</v>
      </c>
      <c r="C2675" s="4" t="n">
        <f aca="false">YEAR(B2675)</f>
        <v>2025</v>
      </c>
      <c r="D2675" s="49" t="s">
        <v>283</v>
      </c>
      <c r="E2675" s="49" t="s">
        <v>5593</v>
      </c>
      <c r="F2675" s="50" t="n">
        <v>1</v>
      </c>
      <c r="G2675" s="49" t="s">
        <v>290</v>
      </c>
      <c r="H2675" s="51" t="n">
        <v>0.0149</v>
      </c>
      <c r="I2675" s="51" t="n">
        <v>0.9181</v>
      </c>
      <c r="J2675" s="51" t="n">
        <v>0.0671</v>
      </c>
      <c r="K2675" s="49"/>
      <c r="L2675" s="49"/>
      <c r="M2675" s="49"/>
      <c r="N2675" s="49"/>
      <c r="O2675" s="49"/>
      <c r="P2675" s="49"/>
      <c r="Q2675" s="49"/>
      <c r="R2675" s="49"/>
      <c r="S2675" s="49" t="n">
        <v>0</v>
      </c>
      <c r="T2675" s="49" t="n">
        <v>0</v>
      </c>
      <c r="U2675" s="49" t="s">
        <v>5594</v>
      </c>
    </row>
    <row r="2676" customFormat="false" ht="15" hidden="false" customHeight="false" outlineLevel="0" collapsed="false">
      <c r="B2676" s="48" t="n">
        <v>45863.3149768519</v>
      </c>
      <c r="C2676" s="4" t="n">
        <f aca="false">YEAR(B2676)</f>
        <v>2025</v>
      </c>
      <c r="D2676" s="49" t="s">
        <v>283</v>
      </c>
      <c r="E2676" s="49" t="s">
        <v>5595</v>
      </c>
      <c r="F2676" s="50" t="n">
        <v>2</v>
      </c>
      <c r="G2676" s="49" t="s">
        <v>290</v>
      </c>
      <c r="H2676" s="51" t="n">
        <v>0.0204</v>
      </c>
      <c r="I2676" s="51" t="n">
        <v>0.8936</v>
      </c>
      <c r="J2676" s="51" t="n">
        <v>0.086</v>
      </c>
      <c r="K2676" s="49"/>
      <c r="L2676" s="49"/>
      <c r="M2676" s="49"/>
      <c r="N2676" s="49"/>
      <c r="O2676" s="49" t="s">
        <v>281</v>
      </c>
      <c r="P2676" s="49"/>
      <c r="Q2676" s="49"/>
      <c r="R2676" s="49"/>
      <c r="S2676" s="49" t="n">
        <v>0</v>
      </c>
      <c r="T2676" s="49" t="n">
        <v>0</v>
      </c>
      <c r="U2676" s="49" t="s">
        <v>5596</v>
      </c>
    </row>
    <row r="2677" customFormat="false" ht="15" hidden="false" customHeight="false" outlineLevel="0" collapsed="false">
      <c r="B2677" s="48" t="n">
        <v>45863.4343865741</v>
      </c>
      <c r="C2677" s="4" t="n">
        <f aca="false">YEAR(B2677)</f>
        <v>2025</v>
      </c>
      <c r="D2677" s="49" t="s">
        <v>283</v>
      </c>
      <c r="E2677" s="49" t="s">
        <v>5597</v>
      </c>
      <c r="F2677" s="50" t="n">
        <v>1</v>
      </c>
      <c r="G2677" s="49" t="s">
        <v>280</v>
      </c>
      <c r="H2677" s="51" t="n">
        <v>0.7161</v>
      </c>
      <c r="I2677" s="51" t="n">
        <v>0.2444</v>
      </c>
      <c r="J2677" s="51" t="n">
        <v>0.0395</v>
      </c>
      <c r="K2677" s="49"/>
      <c r="L2677" s="49"/>
      <c r="M2677" s="49"/>
      <c r="N2677" s="49"/>
      <c r="O2677" s="49"/>
      <c r="P2677" s="49"/>
      <c r="Q2677" s="49"/>
      <c r="R2677" s="49"/>
      <c r="S2677" s="49" t="n">
        <v>0</v>
      </c>
      <c r="T2677" s="49" t="n">
        <v>0</v>
      </c>
      <c r="U2677" s="49" t="s">
        <v>5598</v>
      </c>
    </row>
    <row r="2678" customFormat="false" ht="15" hidden="false" customHeight="false" outlineLevel="0" collapsed="false">
      <c r="B2678" s="48" t="n">
        <v>45863.7491898148</v>
      </c>
      <c r="C2678" s="4" t="n">
        <f aca="false">YEAR(B2678)</f>
        <v>2025</v>
      </c>
      <c r="D2678" s="49" t="s">
        <v>283</v>
      </c>
      <c r="E2678" s="49" t="s">
        <v>5599</v>
      </c>
      <c r="F2678" s="50" t="n">
        <v>2</v>
      </c>
      <c r="G2678" s="49" t="s">
        <v>287</v>
      </c>
      <c r="H2678" s="51" t="n">
        <v>0.005</v>
      </c>
      <c r="I2678" s="51" t="n">
        <v>0.4561</v>
      </c>
      <c r="J2678" s="51" t="n">
        <v>0.5389</v>
      </c>
      <c r="K2678" s="49"/>
      <c r="L2678" s="49"/>
      <c r="M2678" s="49"/>
      <c r="N2678" s="49"/>
      <c r="O2678" s="49"/>
      <c r="P2678" s="49"/>
      <c r="Q2678" s="49"/>
      <c r="R2678" s="49"/>
      <c r="S2678" s="49" t="n">
        <v>0</v>
      </c>
      <c r="T2678" s="49" t="n">
        <v>0</v>
      </c>
      <c r="U2678" s="49" t="s">
        <v>5600</v>
      </c>
    </row>
    <row r="2679" customFormat="false" ht="15" hidden="false" customHeight="false" outlineLevel="0" collapsed="false">
      <c r="B2679" s="48" t="n">
        <v>45864.6521643519</v>
      </c>
      <c r="C2679" s="4" t="n">
        <f aca="false">YEAR(B2679)</f>
        <v>2025</v>
      </c>
      <c r="D2679" s="49" t="s">
        <v>278</v>
      </c>
      <c r="E2679" s="49" t="s">
        <v>5601</v>
      </c>
      <c r="F2679" s="50" t="n">
        <v>5</v>
      </c>
      <c r="G2679" s="49" t="s">
        <v>290</v>
      </c>
      <c r="H2679" s="51" t="n">
        <v>0.3176</v>
      </c>
      <c r="I2679" s="51" t="n">
        <v>0.6131</v>
      </c>
      <c r="J2679" s="51" t="n">
        <v>0.0692</v>
      </c>
      <c r="K2679" s="49"/>
      <c r="L2679" s="49"/>
      <c r="M2679" s="49"/>
      <c r="N2679" s="49"/>
      <c r="O2679" s="49"/>
      <c r="P2679" s="49"/>
      <c r="Q2679" s="49"/>
      <c r="R2679" s="49"/>
      <c r="S2679" s="49" t="n">
        <v>0</v>
      </c>
      <c r="T2679" s="49" t="n">
        <v>0</v>
      </c>
      <c r="U2679" s="49" t="s">
        <v>5602</v>
      </c>
    </row>
    <row r="2680" customFormat="false" ht="15" hidden="false" customHeight="false" outlineLevel="0" collapsed="false">
      <c r="B2680" s="48" t="n">
        <v>45864.9041782407</v>
      </c>
      <c r="C2680" s="4" t="n">
        <f aca="false">YEAR(B2680)</f>
        <v>2025</v>
      </c>
      <c r="D2680" s="49" t="s">
        <v>283</v>
      </c>
      <c r="E2680" s="49" t="s">
        <v>5603</v>
      </c>
      <c r="F2680" s="50" t="n">
        <v>2</v>
      </c>
      <c r="G2680" s="49" t="s">
        <v>287</v>
      </c>
      <c r="H2680" s="51" t="n">
        <v>0.0242</v>
      </c>
      <c r="I2680" s="51" t="n">
        <v>0.3905</v>
      </c>
      <c r="J2680" s="51" t="n">
        <v>0.5852</v>
      </c>
      <c r="K2680" s="49"/>
      <c r="L2680" s="49"/>
      <c r="M2680" s="49"/>
      <c r="N2680" s="49"/>
      <c r="O2680" s="49"/>
      <c r="P2680" s="49"/>
      <c r="Q2680" s="49"/>
      <c r="R2680" s="49"/>
      <c r="S2680" s="49" t="n">
        <v>0</v>
      </c>
      <c r="T2680" s="49" t="n">
        <v>0</v>
      </c>
      <c r="U2680" s="49" t="s">
        <v>5604</v>
      </c>
    </row>
    <row r="2681" customFormat="false" ht="15" hidden="false" customHeight="false" outlineLevel="0" collapsed="false">
      <c r="B2681" s="48" t="n">
        <v>45865.1231712963</v>
      </c>
      <c r="C2681" s="4" t="n">
        <f aca="false">YEAR(B2681)</f>
        <v>2025</v>
      </c>
      <c r="D2681" s="49" t="s">
        <v>278</v>
      </c>
      <c r="E2681" s="49" t="s">
        <v>5605</v>
      </c>
      <c r="F2681" s="50" t="n">
        <v>1</v>
      </c>
      <c r="G2681" s="49" t="s">
        <v>280</v>
      </c>
      <c r="H2681" s="51" t="n">
        <v>0.6178</v>
      </c>
      <c r="I2681" s="51" t="n">
        <v>0.3653</v>
      </c>
      <c r="J2681" s="51" t="n">
        <v>0.0169</v>
      </c>
      <c r="K2681" s="49"/>
      <c r="L2681" s="49"/>
      <c r="M2681" s="49"/>
      <c r="N2681" s="49"/>
      <c r="O2681" s="49"/>
      <c r="P2681" s="49"/>
      <c r="Q2681" s="49"/>
      <c r="R2681" s="49" t="s">
        <v>281</v>
      </c>
      <c r="S2681" s="49" t="n">
        <v>0</v>
      </c>
      <c r="T2681" s="49" t="n">
        <v>0</v>
      </c>
      <c r="U2681" s="49" t="s">
        <v>5606</v>
      </c>
    </row>
    <row r="2682" customFormat="false" ht="15" hidden="false" customHeight="false" outlineLevel="0" collapsed="false">
      <c r="B2682" s="48" t="n">
        <v>45865.2360300926</v>
      </c>
      <c r="C2682" s="4" t="n">
        <f aca="false">YEAR(B2682)</f>
        <v>2025</v>
      </c>
      <c r="D2682" s="49" t="s">
        <v>278</v>
      </c>
      <c r="E2682" s="49" t="s">
        <v>5607</v>
      </c>
      <c r="F2682" s="50" t="n">
        <v>1</v>
      </c>
      <c r="G2682" s="49" t="s">
        <v>280</v>
      </c>
      <c r="H2682" s="51" t="n">
        <v>0.9002</v>
      </c>
      <c r="I2682" s="51" t="n">
        <v>0.0943</v>
      </c>
      <c r="J2682" s="51" t="n">
        <v>0.0054</v>
      </c>
      <c r="K2682" s="49"/>
      <c r="L2682" s="49"/>
      <c r="M2682" s="49"/>
      <c r="N2682" s="49"/>
      <c r="O2682" s="49"/>
      <c r="P2682" s="49"/>
      <c r="Q2682" s="49"/>
      <c r="R2682" s="49"/>
      <c r="S2682" s="49" t="n">
        <v>0</v>
      </c>
      <c r="T2682" s="49" t="n">
        <v>0</v>
      </c>
      <c r="U2682" s="49" t="s">
        <v>5608</v>
      </c>
    </row>
    <row r="2683" customFormat="false" ht="15" hidden="false" customHeight="false" outlineLevel="0" collapsed="false">
      <c r="B2683" s="48" t="n">
        <v>45866.1513657407</v>
      </c>
      <c r="C2683" s="4" t="n">
        <f aca="false">YEAR(B2683)</f>
        <v>2025</v>
      </c>
      <c r="D2683" s="49" t="s">
        <v>283</v>
      </c>
      <c r="E2683" s="49" t="s">
        <v>5609</v>
      </c>
      <c r="F2683" s="50" t="n">
        <v>1</v>
      </c>
      <c r="G2683" s="49" t="s">
        <v>290</v>
      </c>
      <c r="H2683" s="51" t="n">
        <v>0.0143</v>
      </c>
      <c r="I2683" s="51" t="n">
        <v>0.4951</v>
      </c>
      <c r="J2683" s="51" t="n">
        <v>0.4906</v>
      </c>
      <c r="K2683" s="49"/>
      <c r="L2683" s="49"/>
      <c r="M2683" s="49"/>
      <c r="N2683" s="49"/>
      <c r="O2683" s="49"/>
      <c r="P2683" s="49"/>
      <c r="Q2683" s="49"/>
      <c r="R2683" s="49"/>
      <c r="S2683" s="49" t="n">
        <v>0</v>
      </c>
      <c r="T2683" s="49" t="n">
        <v>0</v>
      </c>
      <c r="U2683" s="49" t="s">
        <v>5610</v>
      </c>
    </row>
    <row r="2684" customFormat="false" ht="15" hidden="false" customHeight="false" outlineLevel="0" collapsed="false">
      <c r="B2684" s="48" t="n">
        <v>45866.4595023148</v>
      </c>
      <c r="C2684" s="4" t="n">
        <f aca="false">YEAR(B2684)</f>
        <v>2025</v>
      </c>
      <c r="D2684" s="49" t="s">
        <v>283</v>
      </c>
      <c r="E2684" s="49" t="s">
        <v>5611</v>
      </c>
      <c r="F2684" s="50" t="n">
        <v>1</v>
      </c>
      <c r="G2684" s="49" t="s">
        <v>280</v>
      </c>
      <c r="H2684" s="51" t="n">
        <v>0.6125</v>
      </c>
      <c r="I2684" s="51" t="n">
        <v>0.3598</v>
      </c>
      <c r="J2684" s="51" t="n">
        <v>0.0278</v>
      </c>
      <c r="K2684" s="49"/>
      <c r="L2684" s="49"/>
      <c r="M2684" s="49" t="s">
        <v>281</v>
      </c>
      <c r="N2684" s="49"/>
      <c r="O2684" s="49"/>
      <c r="P2684" s="49"/>
      <c r="Q2684" s="49" t="s">
        <v>281</v>
      </c>
      <c r="R2684" s="49"/>
      <c r="S2684" s="49" t="n">
        <v>0</v>
      </c>
      <c r="T2684" s="49" t="n">
        <v>0</v>
      </c>
      <c r="U2684" s="49" t="s">
        <v>5612</v>
      </c>
    </row>
    <row r="2685" customFormat="false" ht="15" hidden="false" customHeight="false" outlineLevel="0" collapsed="false">
      <c r="B2685" s="48" t="n">
        <v>45866.5392361111</v>
      </c>
      <c r="C2685" s="4" t="n">
        <f aca="false">YEAR(B2685)</f>
        <v>2025</v>
      </c>
      <c r="D2685" s="49" t="s">
        <v>283</v>
      </c>
      <c r="E2685" s="49" t="s">
        <v>5613</v>
      </c>
      <c r="F2685" s="50" t="n">
        <v>1</v>
      </c>
      <c r="G2685" s="49" t="s">
        <v>287</v>
      </c>
      <c r="H2685" s="51" t="n">
        <v>0.0234</v>
      </c>
      <c r="I2685" s="51" t="n">
        <v>0.4596</v>
      </c>
      <c r="J2685" s="51" t="n">
        <v>0.517</v>
      </c>
      <c r="K2685" s="49"/>
      <c r="L2685" s="49"/>
      <c r="M2685" s="49"/>
      <c r="N2685" s="49"/>
      <c r="O2685" s="49"/>
      <c r="P2685" s="49"/>
      <c r="Q2685" s="49"/>
      <c r="R2685" s="49"/>
      <c r="S2685" s="49" t="n">
        <v>0</v>
      </c>
      <c r="T2685" s="49" t="n">
        <v>0</v>
      </c>
      <c r="U2685" s="49" t="s">
        <v>5614</v>
      </c>
    </row>
    <row r="2686" customFormat="false" ht="15" hidden="false" customHeight="false" outlineLevel="0" collapsed="false">
      <c r="B2686" s="48" t="n">
        <v>45867.2468518519</v>
      </c>
      <c r="C2686" s="4" t="n">
        <f aca="false">YEAR(B2686)</f>
        <v>2025</v>
      </c>
      <c r="D2686" s="49" t="s">
        <v>283</v>
      </c>
      <c r="E2686" s="49" t="s">
        <v>5615</v>
      </c>
      <c r="F2686" s="50" t="n">
        <v>6</v>
      </c>
      <c r="G2686" s="49" t="s">
        <v>287</v>
      </c>
      <c r="H2686" s="51" t="n">
        <v>0.0082</v>
      </c>
      <c r="I2686" s="51" t="n">
        <v>0.1221</v>
      </c>
      <c r="J2686" s="51" t="n">
        <v>0.8696</v>
      </c>
      <c r="K2686" s="49"/>
      <c r="L2686" s="49"/>
      <c r="M2686" s="49"/>
      <c r="N2686" s="49"/>
      <c r="O2686" s="49"/>
      <c r="P2686" s="49" t="s">
        <v>281</v>
      </c>
      <c r="Q2686" s="49"/>
      <c r="R2686" s="49" t="s">
        <v>281</v>
      </c>
      <c r="S2686" s="49" t="n">
        <v>0</v>
      </c>
      <c r="T2686" s="49" t="n">
        <v>0</v>
      </c>
      <c r="U2686" s="49" t="s">
        <v>5616</v>
      </c>
    </row>
    <row r="2687" customFormat="false" ht="15" hidden="false" customHeight="false" outlineLevel="0" collapsed="false">
      <c r="B2687" s="48" t="n">
        <v>45867.3504050926</v>
      </c>
      <c r="C2687" s="4" t="n">
        <f aca="false">YEAR(B2687)</f>
        <v>2025</v>
      </c>
      <c r="D2687" s="49" t="s">
        <v>278</v>
      </c>
      <c r="E2687" s="49" t="s">
        <v>5617</v>
      </c>
      <c r="F2687" s="50" t="n">
        <v>2</v>
      </c>
      <c r="G2687" s="49" t="s">
        <v>280</v>
      </c>
      <c r="H2687" s="51" t="n">
        <v>0.8322</v>
      </c>
      <c r="I2687" s="51" t="n">
        <v>0.1579</v>
      </c>
      <c r="J2687" s="51" t="n">
        <v>0.0099</v>
      </c>
      <c r="K2687" s="49"/>
      <c r="L2687" s="49"/>
      <c r="M2687" s="49"/>
      <c r="N2687" s="49"/>
      <c r="O2687" s="49"/>
      <c r="P2687" s="49"/>
      <c r="Q2687" s="49"/>
      <c r="R2687" s="49"/>
      <c r="S2687" s="49" t="n">
        <v>0</v>
      </c>
      <c r="T2687" s="49" t="n">
        <v>0</v>
      </c>
      <c r="U2687" s="49" t="s">
        <v>5618</v>
      </c>
    </row>
    <row r="2688" customFormat="false" ht="15" hidden="false" customHeight="false" outlineLevel="0" collapsed="false">
      <c r="B2688" s="48" t="n">
        <v>45868.4173032407</v>
      </c>
      <c r="C2688" s="4" t="n">
        <f aca="false">YEAR(B2688)</f>
        <v>2025</v>
      </c>
      <c r="D2688" s="49" t="s">
        <v>283</v>
      </c>
      <c r="E2688" s="49" t="s">
        <v>5619</v>
      </c>
      <c r="F2688" s="50" t="n">
        <v>3</v>
      </c>
      <c r="G2688" s="49" t="s">
        <v>287</v>
      </c>
      <c r="H2688" s="51" t="n">
        <v>0.0038</v>
      </c>
      <c r="I2688" s="51" t="n">
        <v>0.2256</v>
      </c>
      <c r="J2688" s="51" t="n">
        <v>0.7706</v>
      </c>
      <c r="K2688" s="49"/>
      <c r="L2688" s="49"/>
      <c r="M2688" s="49"/>
      <c r="N2688" s="49"/>
      <c r="O2688" s="49"/>
      <c r="P2688" s="49"/>
      <c r="Q2688" s="49"/>
      <c r="R2688" s="49"/>
      <c r="S2688" s="49" t="n">
        <v>0</v>
      </c>
      <c r="T2688" s="49" t="n">
        <v>0</v>
      </c>
      <c r="U2688" s="49" t="s">
        <v>5620</v>
      </c>
    </row>
    <row r="2689" customFormat="false" ht="15" hidden="false" customHeight="false" outlineLevel="0" collapsed="false">
      <c r="B2689" s="48" t="n">
        <v>45868.4692824074</v>
      </c>
      <c r="C2689" s="4" t="n">
        <f aca="false">YEAR(B2689)</f>
        <v>2025</v>
      </c>
      <c r="D2689" s="49" t="s">
        <v>283</v>
      </c>
      <c r="E2689" s="49" t="s">
        <v>5621</v>
      </c>
      <c r="F2689" s="50" t="n">
        <v>1</v>
      </c>
      <c r="G2689" s="49" t="s">
        <v>290</v>
      </c>
      <c r="H2689" s="51" t="n">
        <v>0.1732</v>
      </c>
      <c r="I2689" s="51" t="n">
        <v>0.4197</v>
      </c>
      <c r="J2689" s="51" t="n">
        <v>0.4071</v>
      </c>
      <c r="K2689" s="49"/>
      <c r="L2689" s="49"/>
      <c r="M2689" s="49"/>
      <c r="N2689" s="49"/>
      <c r="O2689" s="49"/>
      <c r="P2689" s="49"/>
      <c r="Q2689" s="49"/>
      <c r="R2689" s="49"/>
      <c r="S2689" s="49" t="n">
        <v>0</v>
      </c>
      <c r="T2689" s="49" t="n">
        <v>0</v>
      </c>
      <c r="U2689" s="49" t="s">
        <v>5622</v>
      </c>
    </row>
    <row r="2690" customFormat="false" ht="15" hidden="false" customHeight="false" outlineLevel="0" collapsed="false">
      <c r="B2690" s="48" t="n">
        <v>45868.7097800926</v>
      </c>
      <c r="C2690" s="4" t="n">
        <f aca="false">YEAR(B2690)</f>
        <v>2025</v>
      </c>
      <c r="D2690" s="49" t="s">
        <v>283</v>
      </c>
      <c r="E2690" s="49" t="s">
        <v>5623</v>
      </c>
      <c r="F2690" s="50" t="n">
        <v>2</v>
      </c>
      <c r="G2690" s="49" t="s">
        <v>290</v>
      </c>
      <c r="H2690" s="51" t="n">
        <v>0.1896</v>
      </c>
      <c r="I2690" s="51" t="n">
        <v>0.5402</v>
      </c>
      <c r="J2690" s="51" t="n">
        <v>0.2703</v>
      </c>
      <c r="K2690" s="49"/>
      <c r="L2690" s="49"/>
      <c r="M2690" s="49"/>
      <c r="N2690" s="49"/>
      <c r="O2690" s="49"/>
      <c r="P2690" s="49"/>
      <c r="Q2690" s="49"/>
      <c r="R2690" s="49"/>
      <c r="S2690" s="49" t="n">
        <v>0</v>
      </c>
      <c r="T2690" s="49" t="n">
        <v>0</v>
      </c>
      <c r="U2690" s="49" t="s">
        <v>5624</v>
      </c>
    </row>
    <row r="2691" customFormat="false" ht="15" hidden="false" customHeight="false" outlineLevel="0" collapsed="false">
      <c r="B2691" s="48" t="n">
        <v>45868.8029398148</v>
      </c>
      <c r="C2691" s="4" t="n">
        <f aca="false">YEAR(B2691)</f>
        <v>2025</v>
      </c>
      <c r="D2691" s="49" t="s">
        <v>283</v>
      </c>
      <c r="E2691" s="49" t="s">
        <v>5625</v>
      </c>
      <c r="F2691" s="50" t="n">
        <v>1</v>
      </c>
      <c r="G2691" s="49" t="s">
        <v>287</v>
      </c>
      <c r="H2691" s="51" t="n">
        <v>0.0074</v>
      </c>
      <c r="I2691" s="51" t="n">
        <v>0.3866</v>
      </c>
      <c r="J2691" s="51" t="n">
        <v>0.606</v>
      </c>
      <c r="K2691" s="49"/>
      <c r="L2691" s="49"/>
      <c r="M2691" s="49"/>
      <c r="N2691" s="49"/>
      <c r="O2691" s="49"/>
      <c r="P2691" s="49"/>
      <c r="Q2691" s="49"/>
      <c r="R2691" s="49"/>
      <c r="S2691" s="49" t="n">
        <v>0</v>
      </c>
      <c r="T2691" s="49" t="n">
        <v>0</v>
      </c>
      <c r="U2691" s="49" t="s">
        <v>5626</v>
      </c>
    </row>
    <row r="2692" customFormat="false" ht="15" hidden="false" customHeight="false" outlineLevel="0" collapsed="false">
      <c r="B2692" s="48" t="n">
        <v>45869.5012384259</v>
      </c>
      <c r="C2692" s="4" t="n">
        <f aca="false">YEAR(B2692)</f>
        <v>2025</v>
      </c>
      <c r="D2692" s="49" t="s">
        <v>278</v>
      </c>
      <c r="E2692" s="49" t="s">
        <v>5627</v>
      </c>
      <c r="F2692" s="50" t="n">
        <v>0</v>
      </c>
      <c r="G2692" s="49" t="s">
        <v>290</v>
      </c>
      <c r="H2692" s="51" t="n">
        <v>0.4269</v>
      </c>
      <c r="I2692" s="51" t="n">
        <v>0.5171</v>
      </c>
      <c r="J2692" s="51" t="n">
        <v>0.056</v>
      </c>
      <c r="K2692" s="49"/>
      <c r="L2692" s="49"/>
      <c r="M2692" s="49"/>
      <c r="N2692" s="49"/>
      <c r="O2692" s="49"/>
      <c r="P2692" s="49"/>
      <c r="Q2692" s="49"/>
      <c r="R2692" s="49" t="s">
        <v>281</v>
      </c>
      <c r="S2692" s="49" t="n">
        <v>0</v>
      </c>
      <c r="T2692" s="49" t="n">
        <v>0</v>
      </c>
      <c r="U2692" s="49" t="s">
        <v>5628</v>
      </c>
    </row>
    <row r="2693" customFormat="false" ht="15" hidden="false" customHeight="false" outlineLevel="0" collapsed="false">
      <c r="B2693" s="48" t="n">
        <v>45869.5758217593</v>
      </c>
      <c r="C2693" s="4" t="n">
        <f aca="false">YEAR(B2693)</f>
        <v>2025</v>
      </c>
      <c r="D2693" s="49" t="s">
        <v>278</v>
      </c>
      <c r="E2693" s="49" t="s">
        <v>5629</v>
      </c>
      <c r="F2693" s="50" t="n">
        <v>0</v>
      </c>
      <c r="G2693" s="49" t="s">
        <v>280</v>
      </c>
      <c r="H2693" s="51" t="n">
        <v>0.7577</v>
      </c>
      <c r="I2693" s="51" t="n">
        <v>0.2231</v>
      </c>
      <c r="J2693" s="51" t="n">
        <v>0.0192</v>
      </c>
      <c r="K2693" s="49"/>
      <c r="L2693" s="49"/>
      <c r="M2693" s="49"/>
      <c r="N2693" s="49"/>
      <c r="O2693" s="49"/>
      <c r="P2693" s="49"/>
      <c r="Q2693" s="49"/>
      <c r="R2693" s="49"/>
      <c r="S2693" s="49" t="n">
        <v>0</v>
      </c>
      <c r="T2693" s="49" t="n">
        <v>0</v>
      </c>
      <c r="U2693" s="49" t="s">
        <v>5630</v>
      </c>
    </row>
    <row r="2694" customFormat="false" ht="15" hidden="false" customHeight="false" outlineLevel="0" collapsed="false">
      <c r="B2694" s="48" t="n">
        <v>45870.1090046296</v>
      </c>
      <c r="C2694" s="4" t="n">
        <f aca="false">YEAR(B2694)</f>
        <v>2025</v>
      </c>
      <c r="D2694" s="49" t="s">
        <v>283</v>
      </c>
      <c r="E2694" s="49" t="s">
        <v>5631</v>
      </c>
      <c r="F2694" s="50" t="n">
        <v>0</v>
      </c>
      <c r="G2694" s="49" t="s">
        <v>290</v>
      </c>
      <c r="H2694" s="51" t="n">
        <v>0.0136</v>
      </c>
      <c r="I2694" s="51" t="n">
        <v>0.6701</v>
      </c>
      <c r="J2694" s="51" t="n">
        <v>0.3163</v>
      </c>
      <c r="K2694" s="49"/>
      <c r="L2694" s="49"/>
      <c r="M2694" s="49"/>
      <c r="N2694" s="49"/>
      <c r="O2694" s="49"/>
      <c r="P2694" s="49"/>
      <c r="Q2694" s="49"/>
      <c r="R2694" s="49"/>
      <c r="S2694" s="49" t="n">
        <v>0</v>
      </c>
      <c r="T2694" s="49" t="n">
        <v>0</v>
      </c>
      <c r="U2694" s="49" t="s">
        <v>5632</v>
      </c>
    </row>
    <row r="2695" customFormat="false" ht="15" hidden="false" customHeight="false" outlineLevel="0" collapsed="false">
      <c r="B2695" s="48" t="n">
        <v>45870.2172916667</v>
      </c>
      <c r="C2695" s="4" t="n">
        <f aca="false">YEAR(B2695)</f>
        <v>2025</v>
      </c>
      <c r="D2695" s="49" t="s">
        <v>283</v>
      </c>
      <c r="E2695" s="49" t="s">
        <v>5633</v>
      </c>
      <c r="F2695" s="50" t="n">
        <v>1</v>
      </c>
      <c r="G2695" s="49" t="s">
        <v>280</v>
      </c>
      <c r="H2695" s="51" t="n">
        <v>0.8837</v>
      </c>
      <c r="I2695" s="51" t="n">
        <v>0.1072</v>
      </c>
      <c r="J2695" s="51" t="n">
        <v>0.009</v>
      </c>
      <c r="K2695" s="49"/>
      <c r="L2695" s="49"/>
      <c r="M2695" s="49"/>
      <c r="N2695" s="49"/>
      <c r="O2695" s="49"/>
      <c r="P2695" s="49"/>
      <c r="Q2695" s="49"/>
      <c r="R2695" s="49"/>
      <c r="S2695" s="49" t="n">
        <v>0</v>
      </c>
      <c r="T2695" s="49" t="n">
        <v>0</v>
      </c>
      <c r="U2695" s="49" t="s">
        <v>5634</v>
      </c>
    </row>
    <row r="2696" customFormat="false" ht="15" hidden="false" customHeight="false" outlineLevel="0" collapsed="false">
      <c r="B2696" s="48" t="n">
        <v>45870.4800810185</v>
      </c>
      <c r="C2696" s="4" t="n">
        <f aca="false">YEAR(B2696)</f>
        <v>2025</v>
      </c>
      <c r="D2696" s="49" t="s">
        <v>283</v>
      </c>
      <c r="E2696" s="49" t="s">
        <v>5635</v>
      </c>
      <c r="F2696" s="50" t="n">
        <v>3</v>
      </c>
      <c r="G2696" s="49" t="s">
        <v>280</v>
      </c>
      <c r="H2696" s="51" t="n">
        <v>0.9346</v>
      </c>
      <c r="I2696" s="51" t="n">
        <v>0.0578</v>
      </c>
      <c r="J2696" s="51" t="n">
        <v>0.0076</v>
      </c>
      <c r="K2696" s="49"/>
      <c r="L2696" s="49"/>
      <c r="M2696" s="49"/>
      <c r="N2696" s="49"/>
      <c r="O2696" s="49"/>
      <c r="P2696" s="49"/>
      <c r="Q2696" s="49"/>
      <c r="R2696" s="49"/>
      <c r="S2696" s="49" t="n">
        <v>0</v>
      </c>
      <c r="T2696" s="49" t="n">
        <v>0</v>
      </c>
      <c r="U2696" s="49" t="s">
        <v>5636</v>
      </c>
    </row>
    <row r="2697" customFormat="false" ht="15" hidden="false" customHeight="false" outlineLevel="0" collapsed="false">
      <c r="B2697" s="48" t="n">
        <v>45870.6353356482</v>
      </c>
      <c r="C2697" s="4" t="n">
        <f aca="false">YEAR(B2697)</f>
        <v>2025</v>
      </c>
      <c r="D2697" s="49" t="s">
        <v>278</v>
      </c>
      <c r="E2697" s="49" t="s">
        <v>5637</v>
      </c>
      <c r="F2697" s="50" t="n">
        <v>0</v>
      </c>
      <c r="G2697" s="49" t="s">
        <v>290</v>
      </c>
      <c r="H2697" s="51" t="n">
        <v>0.4386</v>
      </c>
      <c r="I2697" s="51" t="n">
        <v>0.5295</v>
      </c>
      <c r="J2697" s="51" t="n">
        <v>0.0319</v>
      </c>
      <c r="K2697" s="49"/>
      <c r="L2697" s="49"/>
      <c r="M2697" s="49"/>
      <c r="N2697" s="49"/>
      <c r="O2697" s="49"/>
      <c r="P2697" s="49"/>
      <c r="Q2697" s="49"/>
      <c r="R2697" s="49" t="s">
        <v>281</v>
      </c>
      <c r="S2697" s="49" t="n">
        <v>0</v>
      </c>
      <c r="T2697" s="49" t="n">
        <v>0</v>
      </c>
      <c r="U2697" s="49" t="s">
        <v>5638</v>
      </c>
    </row>
    <row r="2698" customFormat="false" ht="15" hidden="false" customHeight="false" outlineLevel="0" collapsed="false">
      <c r="B2698" s="48" t="n">
        <v>45870.8993402778</v>
      </c>
      <c r="C2698" s="4" t="n">
        <f aca="false">YEAR(B2698)</f>
        <v>2025</v>
      </c>
      <c r="D2698" s="49" t="s">
        <v>283</v>
      </c>
      <c r="E2698" s="49" t="s">
        <v>5639</v>
      </c>
      <c r="F2698" s="50" t="n">
        <v>0</v>
      </c>
      <c r="G2698" s="49" t="s">
        <v>280</v>
      </c>
      <c r="H2698" s="51" t="n">
        <v>0.7662</v>
      </c>
      <c r="I2698" s="51" t="n">
        <v>0.2218</v>
      </c>
      <c r="J2698" s="51" t="n">
        <v>0.012</v>
      </c>
      <c r="K2698" s="49"/>
      <c r="L2698" s="49"/>
      <c r="M2698" s="49"/>
      <c r="N2698" s="49"/>
      <c r="O2698" s="49"/>
      <c r="P2698" s="49"/>
      <c r="Q2698" s="49"/>
      <c r="R2698" s="49"/>
      <c r="S2698" s="49" t="n">
        <v>0</v>
      </c>
      <c r="T2698" s="49" t="n">
        <v>0</v>
      </c>
      <c r="U2698" s="49" t="s">
        <v>5640</v>
      </c>
    </row>
    <row r="2699" customFormat="false" ht="15" hidden="false" customHeight="false" outlineLevel="0" collapsed="false">
      <c r="B2699" s="48" t="n">
        <v>45871.1291203704</v>
      </c>
      <c r="C2699" s="4" t="n">
        <f aca="false">YEAR(B2699)</f>
        <v>2025</v>
      </c>
      <c r="D2699" s="49" t="s">
        <v>278</v>
      </c>
      <c r="E2699" s="49" t="s">
        <v>5641</v>
      </c>
      <c r="F2699" s="50" t="n">
        <v>1</v>
      </c>
      <c r="G2699" s="49" t="s">
        <v>290</v>
      </c>
      <c r="H2699" s="51" t="n">
        <v>0.1666</v>
      </c>
      <c r="I2699" s="51" t="n">
        <v>0.8096</v>
      </c>
      <c r="J2699" s="51" t="n">
        <v>0.0238</v>
      </c>
      <c r="K2699" s="49"/>
      <c r="L2699" s="49"/>
      <c r="M2699" s="49"/>
      <c r="N2699" s="49"/>
      <c r="O2699" s="49"/>
      <c r="P2699" s="49"/>
      <c r="Q2699" s="49" t="s">
        <v>281</v>
      </c>
      <c r="R2699" s="49"/>
      <c r="S2699" s="49" t="n">
        <v>0</v>
      </c>
      <c r="T2699" s="49" t="n">
        <v>0</v>
      </c>
      <c r="U2699" s="49" t="s">
        <v>5642</v>
      </c>
    </row>
    <row r="2700" customFormat="false" ht="15" hidden="false" customHeight="false" outlineLevel="0" collapsed="false">
      <c r="B2700" s="48" t="n">
        <v>45872.4581481482</v>
      </c>
      <c r="C2700" s="4" t="n">
        <f aca="false">YEAR(B2700)</f>
        <v>2025</v>
      </c>
      <c r="D2700" s="49" t="s">
        <v>283</v>
      </c>
      <c r="E2700" s="49" t="s">
        <v>5643</v>
      </c>
      <c r="F2700" s="50" t="n">
        <v>6</v>
      </c>
      <c r="G2700" s="49" t="s">
        <v>280</v>
      </c>
      <c r="H2700" s="51" t="n">
        <v>0.915</v>
      </c>
      <c r="I2700" s="51" t="n">
        <v>0.0797</v>
      </c>
      <c r="J2700" s="51" t="n">
        <v>0.0053</v>
      </c>
      <c r="K2700" s="49"/>
      <c r="L2700" s="49"/>
      <c r="M2700" s="49"/>
      <c r="N2700" s="49"/>
      <c r="O2700" s="49"/>
      <c r="P2700" s="49"/>
      <c r="Q2700" s="49"/>
      <c r="R2700" s="49"/>
      <c r="S2700" s="49" t="n">
        <v>0</v>
      </c>
      <c r="T2700" s="49" t="n">
        <v>0</v>
      </c>
      <c r="U2700" s="49" t="s">
        <v>5644</v>
      </c>
    </row>
    <row r="2701" customFormat="false" ht="15" hidden="false" customHeight="false" outlineLevel="0" collapsed="false">
      <c r="B2701" s="48" t="n">
        <v>45872.5116319444</v>
      </c>
      <c r="C2701" s="4" t="n">
        <f aca="false">YEAR(B2701)</f>
        <v>2025</v>
      </c>
      <c r="D2701" s="49" t="s">
        <v>283</v>
      </c>
      <c r="E2701" s="49" t="s">
        <v>5645</v>
      </c>
      <c r="F2701" s="50" t="n">
        <v>1</v>
      </c>
      <c r="G2701" s="49" t="s">
        <v>280</v>
      </c>
      <c r="H2701" s="51" t="n">
        <v>0.4695</v>
      </c>
      <c r="I2701" s="51" t="n">
        <v>0.4552</v>
      </c>
      <c r="J2701" s="51" t="n">
        <v>0.0754</v>
      </c>
      <c r="K2701" s="49"/>
      <c r="L2701" s="49"/>
      <c r="M2701" s="49"/>
      <c r="N2701" s="49"/>
      <c r="O2701" s="49"/>
      <c r="P2701" s="49"/>
      <c r="Q2701" s="49"/>
      <c r="R2701" s="49"/>
      <c r="S2701" s="49" t="n">
        <v>0</v>
      </c>
      <c r="T2701" s="49" t="n">
        <v>0</v>
      </c>
      <c r="U2701" s="49" t="s">
        <v>5646</v>
      </c>
    </row>
    <row r="2702" customFormat="false" ht="15" hidden="false" customHeight="false" outlineLevel="0" collapsed="false">
      <c r="B2702" s="48" t="n">
        <v>45872.867337963</v>
      </c>
      <c r="C2702" s="4" t="n">
        <f aca="false">YEAR(B2702)</f>
        <v>2025</v>
      </c>
      <c r="D2702" s="49" t="s">
        <v>283</v>
      </c>
      <c r="E2702" s="49" t="s">
        <v>5647</v>
      </c>
      <c r="F2702" s="50" t="n">
        <v>1</v>
      </c>
      <c r="G2702" s="49" t="s">
        <v>287</v>
      </c>
      <c r="H2702" s="51" t="n">
        <v>0.0284</v>
      </c>
      <c r="I2702" s="51" t="n">
        <v>0.2652</v>
      </c>
      <c r="J2702" s="51" t="n">
        <v>0.7064</v>
      </c>
      <c r="K2702" s="49"/>
      <c r="L2702" s="49"/>
      <c r="M2702" s="49"/>
      <c r="N2702" s="49"/>
      <c r="O2702" s="49"/>
      <c r="P2702" s="49"/>
      <c r="Q2702" s="49"/>
      <c r="R2702" s="49"/>
      <c r="S2702" s="49" t="n">
        <v>0</v>
      </c>
      <c r="T2702" s="49" t="n">
        <v>0</v>
      </c>
      <c r="U2702" s="49" t="s">
        <v>5648</v>
      </c>
    </row>
    <row r="2703" customFormat="false" ht="15" hidden="false" customHeight="false" outlineLevel="0" collapsed="false">
      <c r="B2703" s="48" t="n">
        <v>45873.2868402778</v>
      </c>
      <c r="C2703" s="4" t="n">
        <f aca="false">YEAR(B2703)</f>
        <v>2025</v>
      </c>
      <c r="D2703" s="49" t="s">
        <v>283</v>
      </c>
      <c r="E2703" s="49" t="s">
        <v>5649</v>
      </c>
      <c r="F2703" s="50" t="n">
        <v>1</v>
      </c>
      <c r="G2703" s="49" t="s">
        <v>280</v>
      </c>
      <c r="H2703" s="51" t="n">
        <v>0.5994</v>
      </c>
      <c r="I2703" s="51" t="n">
        <v>0.375</v>
      </c>
      <c r="J2703" s="51" t="n">
        <v>0.0257</v>
      </c>
      <c r="K2703" s="49"/>
      <c r="L2703" s="49"/>
      <c r="M2703" s="49"/>
      <c r="N2703" s="49"/>
      <c r="O2703" s="49"/>
      <c r="P2703" s="49"/>
      <c r="Q2703" s="49"/>
      <c r="R2703" s="49"/>
      <c r="S2703" s="49" t="n">
        <v>0</v>
      </c>
      <c r="T2703" s="49" t="n">
        <v>0</v>
      </c>
      <c r="U2703" s="49" t="s">
        <v>5650</v>
      </c>
    </row>
    <row r="2704" customFormat="false" ht="15" hidden="false" customHeight="false" outlineLevel="0" collapsed="false">
      <c r="B2704" s="48" t="n">
        <v>45873.3496527778</v>
      </c>
      <c r="C2704" s="4" t="n">
        <f aca="false">YEAR(B2704)</f>
        <v>2025</v>
      </c>
      <c r="D2704" s="49" t="s">
        <v>283</v>
      </c>
      <c r="E2704" s="49" t="s">
        <v>5651</v>
      </c>
      <c r="F2704" s="50" t="n">
        <v>1</v>
      </c>
      <c r="G2704" s="49" t="s">
        <v>280</v>
      </c>
      <c r="H2704" s="51" t="n">
        <v>0.7509</v>
      </c>
      <c r="I2704" s="51" t="n">
        <v>0.2102</v>
      </c>
      <c r="J2704" s="51" t="n">
        <v>0.0389</v>
      </c>
      <c r="K2704" s="49" t="s">
        <v>281</v>
      </c>
      <c r="L2704" s="49"/>
      <c r="M2704" s="49" t="s">
        <v>281</v>
      </c>
      <c r="N2704" s="49"/>
      <c r="O2704" s="49"/>
      <c r="P2704" s="49"/>
      <c r="Q2704" s="49" t="s">
        <v>281</v>
      </c>
      <c r="R2704" s="49"/>
      <c r="S2704" s="49" t="n">
        <v>0</v>
      </c>
      <c r="T2704" s="49" t="n">
        <v>1</v>
      </c>
      <c r="U2704" s="49" t="s">
        <v>5652</v>
      </c>
    </row>
    <row r="2705" customFormat="false" ht="15" hidden="false" customHeight="false" outlineLevel="0" collapsed="false">
      <c r="B2705" s="48" t="n">
        <v>45873.4316435185</v>
      </c>
      <c r="C2705" s="4" t="n">
        <f aca="false">YEAR(B2705)</f>
        <v>2025</v>
      </c>
      <c r="D2705" s="49" t="s">
        <v>283</v>
      </c>
      <c r="E2705" s="49" t="s">
        <v>5653</v>
      </c>
      <c r="F2705" s="50" t="n">
        <v>1</v>
      </c>
      <c r="G2705" s="49" t="s">
        <v>287</v>
      </c>
      <c r="H2705" s="51" t="n">
        <v>0.0072</v>
      </c>
      <c r="I2705" s="51" t="n">
        <v>0.3681</v>
      </c>
      <c r="J2705" s="51" t="n">
        <v>0.6247</v>
      </c>
      <c r="K2705" s="49"/>
      <c r="L2705" s="49"/>
      <c r="M2705" s="49"/>
      <c r="N2705" s="49"/>
      <c r="O2705" s="49"/>
      <c r="P2705" s="49"/>
      <c r="Q2705" s="49"/>
      <c r="R2705" s="49"/>
      <c r="S2705" s="49" t="n">
        <v>0</v>
      </c>
      <c r="T2705" s="49" t="n">
        <v>0</v>
      </c>
      <c r="U2705" s="49" t="s">
        <v>5654</v>
      </c>
    </row>
    <row r="2706" customFormat="false" ht="15" hidden="false" customHeight="false" outlineLevel="0" collapsed="false">
      <c r="B2706" s="48" t="n">
        <v>45873.6231365741</v>
      </c>
      <c r="C2706" s="4" t="n">
        <f aca="false">YEAR(B2706)</f>
        <v>2025</v>
      </c>
      <c r="D2706" s="49" t="s">
        <v>278</v>
      </c>
      <c r="E2706" s="49" t="s">
        <v>5655</v>
      </c>
      <c r="F2706" s="50" t="n">
        <v>0</v>
      </c>
      <c r="G2706" s="49" t="s">
        <v>280</v>
      </c>
      <c r="H2706" s="51" t="n">
        <v>0.9565</v>
      </c>
      <c r="I2706" s="51" t="n">
        <v>0.0385</v>
      </c>
      <c r="J2706" s="51" t="n">
        <v>0.005</v>
      </c>
      <c r="K2706" s="49"/>
      <c r="L2706" s="49"/>
      <c r="M2706" s="49"/>
      <c r="N2706" s="49"/>
      <c r="O2706" s="49"/>
      <c r="P2706" s="49"/>
      <c r="Q2706" s="49" t="s">
        <v>281</v>
      </c>
      <c r="R2706" s="49"/>
      <c r="S2706" s="49" t="n">
        <v>0</v>
      </c>
      <c r="T2706" s="49" t="n">
        <v>0</v>
      </c>
      <c r="U2706" s="49" t="s">
        <v>5656</v>
      </c>
    </row>
    <row r="2707" customFormat="false" ht="15" hidden="false" customHeight="false" outlineLevel="0" collapsed="false">
      <c r="B2707" s="48" t="n">
        <v>45873.6570949074</v>
      </c>
      <c r="C2707" s="4" t="n">
        <f aca="false">YEAR(B2707)</f>
        <v>2025</v>
      </c>
      <c r="D2707" s="49" t="s">
        <v>283</v>
      </c>
      <c r="E2707" s="49" t="s">
        <v>5657</v>
      </c>
      <c r="F2707" s="50" t="n">
        <v>1</v>
      </c>
      <c r="G2707" s="49" t="s">
        <v>290</v>
      </c>
      <c r="H2707" s="51" t="n">
        <v>0.2713</v>
      </c>
      <c r="I2707" s="51" t="n">
        <v>0.6857</v>
      </c>
      <c r="J2707" s="51" t="n">
        <v>0.043</v>
      </c>
      <c r="K2707" s="49"/>
      <c r="L2707" s="49"/>
      <c r="M2707" s="49"/>
      <c r="N2707" s="49"/>
      <c r="O2707" s="49"/>
      <c r="P2707" s="49"/>
      <c r="Q2707" s="49"/>
      <c r="R2707" s="49" t="s">
        <v>281</v>
      </c>
      <c r="S2707" s="49" t="n">
        <v>0</v>
      </c>
      <c r="T2707" s="49" t="n">
        <v>0</v>
      </c>
      <c r="U2707" s="49" t="s">
        <v>5658</v>
      </c>
    </row>
    <row r="2708" customFormat="false" ht="15" hidden="false" customHeight="false" outlineLevel="0" collapsed="false">
      <c r="B2708" s="48" t="n">
        <v>45874.1707638889</v>
      </c>
      <c r="C2708" s="4" t="n">
        <f aca="false">YEAR(B2708)</f>
        <v>2025</v>
      </c>
      <c r="D2708" s="49" t="s">
        <v>278</v>
      </c>
      <c r="E2708" s="49" t="s">
        <v>5659</v>
      </c>
      <c r="F2708" s="50" t="n">
        <v>0</v>
      </c>
      <c r="G2708" s="49" t="s">
        <v>290</v>
      </c>
      <c r="H2708" s="51" t="n">
        <v>0.0938</v>
      </c>
      <c r="I2708" s="51" t="n">
        <v>0.5223</v>
      </c>
      <c r="J2708" s="51" t="n">
        <v>0.3839</v>
      </c>
      <c r="K2708" s="49"/>
      <c r="L2708" s="49"/>
      <c r="M2708" s="49"/>
      <c r="N2708" s="49"/>
      <c r="O2708" s="49"/>
      <c r="P2708" s="49"/>
      <c r="Q2708" s="49"/>
      <c r="R2708" s="49"/>
      <c r="S2708" s="49" t="n">
        <v>0</v>
      </c>
      <c r="T2708" s="49" t="n">
        <v>0</v>
      </c>
      <c r="U2708" s="49" t="s">
        <v>5660</v>
      </c>
    </row>
    <row r="2709" customFormat="false" ht="15" hidden="false" customHeight="false" outlineLevel="0" collapsed="false">
      <c r="B2709" s="48" t="n">
        <v>45874.2682175926</v>
      </c>
      <c r="C2709" s="4" t="n">
        <f aca="false">YEAR(B2709)</f>
        <v>2025</v>
      </c>
      <c r="D2709" s="49" t="s">
        <v>283</v>
      </c>
      <c r="E2709" s="49" t="s">
        <v>5661</v>
      </c>
      <c r="F2709" s="50" t="n">
        <v>1</v>
      </c>
      <c r="G2709" s="49" t="s">
        <v>287</v>
      </c>
      <c r="H2709" s="51" t="n">
        <v>0.0029</v>
      </c>
      <c r="I2709" s="51" t="n">
        <v>0.0753</v>
      </c>
      <c r="J2709" s="51" t="n">
        <v>0.9218</v>
      </c>
      <c r="K2709" s="49"/>
      <c r="L2709" s="49"/>
      <c r="M2709" s="49"/>
      <c r="N2709" s="49"/>
      <c r="O2709" s="49"/>
      <c r="P2709" s="49"/>
      <c r="Q2709" s="49"/>
      <c r="R2709" s="49"/>
      <c r="S2709" s="49" t="n">
        <v>0</v>
      </c>
      <c r="T2709" s="49" t="n">
        <v>0</v>
      </c>
      <c r="U2709" s="49" t="s">
        <v>5662</v>
      </c>
    </row>
    <row r="2710" customFormat="false" ht="15" hidden="false" customHeight="false" outlineLevel="0" collapsed="false">
      <c r="B2710" s="48" t="n">
        <v>45874.5978125</v>
      </c>
      <c r="C2710" s="4" t="n">
        <f aca="false">YEAR(B2710)</f>
        <v>2025</v>
      </c>
      <c r="D2710" s="49" t="s">
        <v>283</v>
      </c>
      <c r="E2710" s="49" t="s">
        <v>5663</v>
      </c>
      <c r="F2710" s="50" t="n">
        <v>1</v>
      </c>
      <c r="G2710" s="49" t="s">
        <v>280</v>
      </c>
      <c r="H2710" s="51" t="n">
        <v>0.7069</v>
      </c>
      <c r="I2710" s="51" t="n">
        <v>0.2425</v>
      </c>
      <c r="J2710" s="51" t="n">
        <v>0.0506</v>
      </c>
      <c r="K2710" s="49"/>
      <c r="L2710" s="49"/>
      <c r="M2710" s="49"/>
      <c r="N2710" s="49"/>
      <c r="O2710" s="49"/>
      <c r="P2710" s="49"/>
      <c r="Q2710" s="49"/>
      <c r="R2710" s="49" t="s">
        <v>281</v>
      </c>
      <c r="S2710" s="49" t="n">
        <v>0</v>
      </c>
      <c r="T2710" s="49" t="n">
        <v>0</v>
      </c>
      <c r="U2710" s="49" t="s">
        <v>5664</v>
      </c>
    </row>
    <row r="2711" customFormat="false" ht="15" hidden="false" customHeight="false" outlineLevel="0" collapsed="false">
      <c r="B2711" s="48" t="n">
        <v>45874.6925</v>
      </c>
      <c r="C2711" s="4" t="n">
        <f aca="false">YEAR(B2711)</f>
        <v>2025</v>
      </c>
      <c r="D2711" s="49" t="s">
        <v>283</v>
      </c>
      <c r="E2711" s="49" t="s">
        <v>5665</v>
      </c>
      <c r="F2711" s="50" t="n">
        <v>2</v>
      </c>
      <c r="G2711" s="49" t="s">
        <v>287</v>
      </c>
      <c r="H2711" s="51" t="n">
        <v>0.0091</v>
      </c>
      <c r="I2711" s="51" t="n">
        <v>0.285</v>
      </c>
      <c r="J2711" s="51" t="n">
        <v>0.7059</v>
      </c>
      <c r="K2711" s="49"/>
      <c r="L2711" s="49"/>
      <c r="M2711" s="49"/>
      <c r="N2711" s="49"/>
      <c r="O2711" s="49"/>
      <c r="P2711" s="49"/>
      <c r="Q2711" s="49"/>
      <c r="R2711" s="49"/>
      <c r="S2711" s="49" t="n">
        <v>0</v>
      </c>
      <c r="T2711" s="49" t="n">
        <v>0</v>
      </c>
      <c r="U2711" s="49" t="s">
        <v>5666</v>
      </c>
    </row>
    <row r="2712" customFormat="false" ht="15" hidden="false" customHeight="false" outlineLevel="0" collapsed="false">
      <c r="B2712" s="48" t="n">
        <v>45875.0853587963</v>
      </c>
      <c r="C2712" s="4" t="n">
        <f aca="false">YEAR(B2712)</f>
        <v>2025</v>
      </c>
      <c r="D2712" s="49" t="s">
        <v>283</v>
      </c>
      <c r="E2712" s="49" t="s">
        <v>5667</v>
      </c>
      <c r="F2712" s="50" t="n">
        <v>2</v>
      </c>
      <c r="G2712" s="49" t="s">
        <v>290</v>
      </c>
      <c r="H2712" s="51" t="n">
        <v>0.0158</v>
      </c>
      <c r="I2712" s="51" t="n">
        <v>0.6921</v>
      </c>
      <c r="J2712" s="51" t="n">
        <v>0.2922</v>
      </c>
      <c r="K2712" s="49"/>
      <c r="L2712" s="49"/>
      <c r="M2712" s="49"/>
      <c r="N2712" s="49"/>
      <c r="O2712" s="49"/>
      <c r="P2712" s="49"/>
      <c r="Q2712" s="49"/>
      <c r="R2712" s="49"/>
      <c r="S2712" s="49" t="n">
        <v>0</v>
      </c>
      <c r="T2712" s="49" t="n">
        <v>0</v>
      </c>
      <c r="U2712" s="49" t="s">
        <v>5668</v>
      </c>
    </row>
    <row r="2713" customFormat="false" ht="15" hidden="false" customHeight="false" outlineLevel="0" collapsed="false">
      <c r="B2713" s="48" t="n">
        <v>45876.1476041667</v>
      </c>
      <c r="C2713" s="4" t="n">
        <f aca="false">YEAR(B2713)</f>
        <v>2025</v>
      </c>
      <c r="D2713" s="49" t="s">
        <v>283</v>
      </c>
      <c r="E2713" s="49" t="s">
        <v>5669</v>
      </c>
      <c r="F2713" s="50" t="n">
        <v>1</v>
      </c>
      <c r="G2713" s="49" t="s">
        <v>290</v>
      </c>
      <c r="H2713" s="51" t="n">
        <v>0.0706</v>
      </c>
      <c r="I2713" s="51" t="n">
        <v>0.5204</v>
      </c>
      <c r="J2713" s="51" t="n">
        <v>0.409</v>
      </c>
      <c r="K2713" s="49"/>
      <c r="L2713" s="49"/>
      <c r="M2713" s="49"/>
      <c r="N2713" s="49"/>
      <c r="O2713" s="49"/>
      <c r="P2713" s="49"/>
      <c r="Q2713" s="49"/>
      <c r="R2713" s="49"/>
      <c r="S2713" s="49" t="n">
        <v>0</v>
      </c>
      <c r="T2713" s="49" t="n">
        <v>0</v>
      </c>
      <c r="U2713" s="49" t="s">
        <v>5670</v>
      </c>
    </row>
    <row r="2714" customFormat="false" ht="15" hidden="false" customHeight="false" outlineLevel="0" collapsed="false">
      <c r="B2714" s="48" t="n">
        <v>45876.6258564815</v>
      </c>
      <c r="C2714" s="4" t="n">
        <f aca="false">YEAR(B2714)</f>
        <v>2025</v>
      </c>
      <c r="D2714" s="49" t="s">
        <v>278</v>
      </c>
      <c r="E2714" s="49" t="s">
        <v>5671</v>
      </c>
      <c r="F2714" s="50" t="n">
        <v>0</v>
      </c>
      <c r="G2714" s="49" t="s">
        <v>287</v>
      </c>
      <c r="H2714" s="51" t="n">
        <v>0.01</v>
      </c>
      <c r="I2714" s="51" t="n">
        <v>0.0295</v>
      </c>
      <c r="J2714" s="51" t="n">
        <v>0.9605</v>
      </c>
      <c r="K2714" s="49"/>
      <c r="L2714" s="49"/>
      <c r="M2714" s="49"/>
      <c r="N2714" s="49"/>
      <c r="O2714" s="49"/>
      <c r="P2714" s="49"/>
      <c r="Q2714" s="49"/>
      <c r="R2714" s="49"/>
      <c r="S2714" s="49" t="n">
        <v>0</v>
      </c>
      <c r="T2714" s="49" t="n">
        <v>0</v>
      </c>
      <c r="U2714" s="49" t="s">
        <v>5672</v>
      </c>
    </row>
    <row r="2715" customFormat="false" ht="15" hidden="false" customHeight="false" outlineLevel="0" collapsed="false">
      <c r="B2715" s="48" t="n">
        <v>45877.4268055556</v>
      </c>
      <c r="C2715" s="4" t="n">
        <f aca="false">YEAR(B2715)</f>
        <v>2025</v>
      </c>
      <c r="D2715" s="49" t="s">
        <v>283</v>
      </c>
      <c r="E2715" s="49" t="s">
        <v>5673</v>
      </c>
      <c r="F2715" s="50" t="n">
        <v>1</v>
      </c>
      <c r="G2715" s="49" t="s">
        <v>280</v>
      </c>
      <c r="H2715" s="51" t="n">
        <v>0.7708</v>
      </c>
      <c r="I2715" s="51" t="n">
        <v>0.1835</v>
      </c>
      <c r="J2715" s="51" t="n">
        <v>0.0458</v>
      </c>
      <c r="K2715" s="49"/>
      <c r="L2715" s="49"/>
      <c r="M2715" s="49"/>
      <c r="N2715" s="49"/>
      <c r="O2715" s="49"/>
      <c r="P2715" s="49"/>
      <c r="Q2715" s="49" t="s">
        <v>281</v>
      </c>
      <c r="R2715" s="49"/>
      <c r="S2715" s="49" t="n">
        <v>0</v>
      </c>
      <c r="T2715" s="49" t="n">
        <v>0</v>
      </c>
      <c r="U2715" s="49" t="s">
        <v>5674</v>
      </c>
    </row>
    <row r="2716" customFormat="false" ht="15" hidden="false" customHeight="false" outlineLevel="0" collapsed="false">
      <c r="B2716" s="48" t="n">
        <v>45877.4510069444</v>
      </c>
      <c r="C2716" s="4" t="n">
        <f aca="false">YEAR(B2716)</f>
        <v>2025</v>
      </c>
      <c r="D2716" s="49" t="s">
        <v>283</v>
      </c>
      <c r="E2716" s="49" t="s">
        <v>5675</v>
      </c>
      <c r="F2716" s="50" t="n">
        <v>1</v>
      </c>
      <c r="G2716" s="49" t="s">
        <v>290</v>
      </c>
      <c r="H2716" s="51" t="n">
        <v>0.1738</v>
      </c>
      <c r="I2716" s="51" t="n">
        <v>0.7536</v>
      </c>
      <c r="J2716" s="51" t="n">
        <v>0.0727</v>
      </c>
      <c r="K2716" s="49" t="s">
        <v>281</v>
      </c>
      <c r="L2716" s="49"/>
      <c r="M2716" s="49"/>
      <c r="N2716" s="49"/>
      <c r="O2716" s="49"/>
      <c r="P2716" s="49"/>
      <c r="Q2716" s="49"/>
      <c r="R2716" s="49" t="s">
        <v>281</v>
      </c>
      <c r="S2716" s="49" t="n">
        <v>0</v>
      </c>
      <c r="T2716" s="49" t="n">
        <v>0</v>
      </c>
      <c r="U2716" s="49" t="s">
        <v>5676</v>
      </c>
    </row>
    <row r="2717" customFormat="false" ht="15" hidden="false" customHeight="false" outlineLevel="0" collapsed="false">
      <c r="B2717" s="48" t="n">
        <v>45877.8115046296</v>
      </c>
      <c r="C2717" s="4" t="n">
        <f aca="false">YEAR(B2717)</f>
        <v>2025</v>
      </c>
      <c r="D2717" s="49" t="s">
        <v>283</v>
      </c>
      <c r="E2717" s="49" t="s">
        <v>5677</v>
      </c>
      <c r="F2717" s="50" t="n">
        <v>1</v>
      </c>
      <c r="G2717" s="49" t="s">
        <v>280</v>
      </c>
      <c r="H2717" s="51" t="n">
        <v>0.5327</v>
      </c>
      <c r="I2717" s="51" t="n">
        <v>0.4279</v>
      </c>
      <c r="J2717" s="51" t="n">
        <v>0.0394</v>
      </c>
      <c r="K2717" s="49"/>
      <c r="L2717" s="49"/>
      <c r="M2717" s="49"/>
      <c r="N2717" s="49"/>
      <c r="O2717" s="49"/>
      <c r="P2717" s="49"/>
      <c r="Q2717" s="49"/>
      <c r="R2717" s="49"/>
      <c r="S2717" s="49" t="n">
        <v>0</v>
      </c>
      <c r="T2717" s="49" t="n">
        <v>0</v>
      </c>
      <c r="U2717" s="49" t="s">
        <v>5678</v>
      </c>
    </row>
    <row r="2718" customFormat="false" ht="15" hidden="false" customHeight="false" outlineLevel="0" collapsed="false">
      <c r="B2718" s="48" t="n">
        <v>45877.8547453704</v>
      </c>
      <c r="C2718" s="4" t="n">
        <f aca="false">YEAR(B2718)</f>
        <v>2025</v>
      </c>
      <c r="D2718" s="49" t="s">
        <v>283</v>
      </c>
      <c r="E2718" s="49" t="s">
        <v>5679</v>
      </c>
      <c r="F2718" s="50" t="n">
        <v>1</v>
      </c>
      <c r="G2718" s="49" t="s">
        <v>287</v>
      </c>
      <c r="H2718" s="51" t="n">
        <v>0.0021</v>
      </c>
      <c r="I2718" s="51" t="n">
        <v>0.1186</v>
      </c>
      <c r="J2718" s="51" t="n">
        <v>0.8793</v>
      </c>
      <c r="K2718" s="49"/>
      <c r="L2718" s="49"/>
      <c r="M2718" s="49"/>
      <c r="N2718" s="49"/>
      <c r="O2718" s="49"/>
      <c r="P2718" s="49"/>
      <c r="Q2718" s="49"/>
      <c r="R2718" s="49"/>
      <c r="S2718" s="49" t="n">
        <v>0</v>
      </c>
      <c r="T2718" s="49" t="n">
        <v>0</v>
      </c>
      <c r="U2718" s="49" t="s">
        <v>5680</v>
      </c>
    </row>
    <row r="2719" customFormat="false" ht="15" hidden="false" customHeight="false" outlineLevel="0" collapsed="false">
      <c r="B2719" s="48" t="n">
        <v>45878.6172800926</v>
      </c>
      <c r="C2719" s="4" t="n">
        <f aca="false">YEAR(B2719)</f>
        <v>2025</v>
      </c>
      <c r="D2719" s="49" t="s">
        <v>283</v>
      </c>
      <c r="E2719" s="49" t="s">
        <v>5681</v>
      </c>
      <c r="F2719" s="50" t="n">
        <v>1</v>
      </c>
      <c r="G2719" s="49" t="s">
        <v>287</v>
      </c>
      <c r="H2719" s="51" t="n">
        <v>0.0077</v>
      </c>
      <c r="I2719" s="51" t="n">
        <v>0.2652</v>
      </c>
      <c r="J2719" s="51" t="n">
        <v>0.727</v>
      </c>
      <c r="K2719" s="49"/>
      <c r="L2719" s="49"/>
      <c r="M2719" s="49"/>
      <c r="N2719" s="49"/>
      <c r="O2719" s="49"/>
      <c r="P2719" s="49"/>
      <c r="Q2719" s="49"/>
      <c r="R2719" s="49"/>
      <c r="S2719" s="49" t="n">
        <v>0</v>
      </c>
      <c r="T2719" s="49" t="n">
        <v>0</v>
      </c>
      <c r="U2719" s="49" t="s">
        <v>5682</v>
      </c>
    </row>
    <row r="2720" customFormat="false" ht="15" hidden="false" customHeight="false" outlineLevel="0" collapsed="false">
      <c r="B2720" s="48" t="n">
        <v>45878.9958564815</v>
      </c>
      <c r="C2720" s="4" t="n">
        <f aca="false">YEAR(B2720)</f>
        <v>2025</v>
      </c>
      <c r="D2720" s="49" t="s">
        <v>283</v>
      </c>
      <c r="E2720" s="49" t="s">
        <v>5683</v>
      </c>
      <c r="F2720" s="50" t="n">
        <v>1</v>
      </c>
      <c r="G2720" s="49" t="s">
        <v>280</v>
      </c>
      <c r="H2720" s="51" t="n">
        <v>0.7308</v>
      </c>
      <c r="I2720" s="51" t="n">
        <v>0.2525</v>
      </c>
      <c r="J2720" s="51" t="n">
        <v>0.0167</v>
      </c>
      <c r="K2720" s="49"/>
      <c r="L2720" s="49"/>
      <c r="M2720" s="49"/>
      <c r="N2720" s="49" t="s">
        <v>281</v>
      </c>
      <c r="O2720" s="49"/>
      <c r="P2720" s="49"/>
      <c r="Q2720" s="49"/>
      <c r="R2720" s="49"/>
      <c r="S2720" s="49" t="n">
        <v>0</v>
      </c>
      <c r="T2720" s="49" t="n">
        <v>0</v>
      </c>
      <c r="U2720" s="49" t="s">
        <v>5684</v>
      </c>
    </row>
    <row r="2721" customFormat="false" ht="15" hidden="false" customHeight="false" outlineLevel="0" collapsed="false">
      <c r="B2721" s="48" t="n">
        <v>45880.0693402778</v>
      </c>
      <c r="C2721" s="4" t="n">
        <f aca="false">YEAR(B2721)</f>
        <v>2025</v>
      </c>
      <c r="D2721" s="49" t="s">
        <v>283</v>
      </c>
      <c r="E2721" s="49" t="s">
        <v>5685</v>
      </c>
      <c r="F2721" s="50" t="n">
        <v>1</v>
      </c>
      <c r="G2721" s="49" t="s">
        <v>287</v>
      </c>
      <c r="H2721" s="51" t="n">
        <v>0.0063</v>
      </c>
      <c r="I2721" s="51" t="n">
        <v>0.1638</v>
      </c>
      <c r="J2721" s="51" t="n">
        <v>0.83</v>
      </c>
      <c r="K2721" s="49"/>
      <c r="L2721" s="49"/>
      <c r="M2721" s="49"/>
      <c r="N2721" s="49"/>
      <c r="O2721" s="49"/>
      <c r="P2721" s="49"/>
      <c r="Q2721" s="49"/>
      <c r="R2721" s="49"/>
      <c r="S2721" s="49" t="n">
        <v>0</v>
      </c>
      <c r="T2721" s="49" t="n">
        <v>0</v>
      </c>
      <c r="U2721" s="49" t="s">
        <v>5686</v>
      </c>
    </row>
    <row r="2722" customFormat="false" ht="15" hidden="false" customHeight="false" outlineLevel="0" collapsed="false">
      <c r="B2722" s="48" t="n">
        <v>45880.128275463</v>
      </c>
      <c r="C2722" s="4" t="n">
        <f aca="false">YEAR(B2722)</f>
        <v>2025</v>
      </c>
      <c r="D2722" s="49" t="s">
        <v>283</v>
      </c>
      <c r="E2722" s="49" t="s">
        <v>5687</v>
      </c>
      <c r="F2722" s="50" t="n">
        <v>6</v>
      </c>
      <c r="G2722" s="49" t="s">
        <v>290</v>
      </c>
      <c r="H2722" s="51" t="n">
        <v>0.0655</v>
      </c>
      <c r="I2722" s="51" t="n">
        <v>0.7419</v>
      </c>
      <c r="J2722" s="51" t="n">
        <v>0.1926</v>
      </c>
      <c r="K2722" s="49"/>
      <c r="L2722" s="49"/>
      <c r="M2722" s="49"/>
      <c r="N2722" s="49"/>
      <c r="O2722" s="49"/>
      <c r="P2722" s="49"/>
      <c r="Q2722" s="49"/>
      <c r="R2722" s="49"/>
      <c r="S2722" s="49" t="n">
        <v>0</v>
      </c>
      <c r="T2722" s="49" t="n">
        <v>0</v>
      </c>
      <c r="U2722" s="49" t="s">
        <v>5688</v>
      </c>
    </row>
    <row r="2723" customFormat="false" ht="15" hidden="false" customHeight="false" outlineLevel="0" collapsed="false">
      <c r="B2723" s="48" t="n">
        <v>45880.1593981482</v>
      </c>
      <c r="C2723" s="4" t="n">
        <f aca="false">YEAR(B2723)</f>
        <v>2025</v>
      </c>
      <c r="D2723" s="49" t="s">
        <v>278</v>
      </c>
      <c r="E2723" s="49" t="s">
        <v>5689</v>
      </c>
      <c r="F2723" s="50" t="n">
        <v>0</v>
      </c>
      <c r="G2723" s="49" t="s">
        <v>287</v>
      </c>
      <c r="H2723" s="51" t="n">
        <v>0.0129</v>
      </c>
      <c r="I2723" s="51" t="n">
        <v>0.2367</v>
      </c>
      <c r="J2723" s="51" t="n">
        <v>0.7504</v>
      </c>
      <c r="K2723" s="49"/>
      <c r="L2723" s="49"/>
      <c r="M2723" s="49"/>
      <c r="N2723" s="49"/>
      <c r="O2723" s="49" t="s">
        <v>281</v>
      </c>
      <c r="P2723" s="49"/>
      <c r="Q2723" s="49"/>
      <c r="R2723" s="49"/>
      <c r="S2723" s="49" t="n">
        <v>0</v>
      </c>
      <c r="T2723" s="49" t="n">
        <v>0</v>
      </c>
      <c r="U2723" s="49" t="s">
        <v>5690</v>
      </c>
    </row>
    <row r="2724" customFormat="false" ht="15" hidden="false" customHeight="false" outlineLevel="0" collapsed="false">
      <c r="B2724" s="48" t="n">
        <v>45881.1903240741</v>
      </c>
      <c r="C2724" s="4" t="n">
        <f aca="false">YEAR(B2724)</f>
        <v>2025</v>
      </c>
      <c r="D2724" s="49" t="s">
        <v>283</v>
      </c>
      <c r="E2724" s="49" t="s">
        <v>5691</v>
      </c>
      <c r="F2724" s="50" t="n">
        <v>0</v>
      </c>
      <c r="G2724" s="49" t="s">
        <v>280</v>
      </c>
      <c r="H2724" s="51" t="n">
        <v>0.7261</v>
      </c>
      <c r="I2724" s="51" t="n">
        <v>0.2579</v>
      </c>
      <c r="J2724" s="51" t="n">
        <v>0.0159</v>
      </c>
      <c r="K2724" s="49"/>
      <c r="L2724" s="49"/>
      <c r="M2724" s="49"/>
      <c r="N2724" s="49"/>
      <c r="O2724" s="49"/>
      <c r="P2724" s="49"/>
      <c r="Q2724" s="49"/>
      <c r="R2724" s="49" t="s">
        <v>281</v>
      </c>
      <c r="S2724" s="49" t="n">
        <v>0</v>
      </c>
      <c r="T2724" s="49" t="n">
        <v>1</v>
      </c>
      <c r="U2724" s="49" t="s">
        <v>5692</v>
      </c>
    </row>
    <row r="2725" customFormat="false" ht="15" hidden="false" customHeight="false" outlineLevel="0" collapsed="false">
      <c r="B2725" s="48" t="n">
        <v>45881.6912731482</v>
      </c>
      <c r="C2725" s="4" t="n">
        <f aca="false">YEAR(B2725)</f>
        <v>2025</v>
      </c>
      <c r="D2725" s="49" t="s">
        <v>283</v>
      </c>
      <c r="E2725" s="49" t="s">
        <v>5693</v>
      </c>
      <c r="F2725" s="50" t="n">
        <v>1</v>
      </c>
      <c r="G2725" s="49" t="s">
        <v>280</v>
      </c>
      <c r="H2725" s="51" t="n">
        <v>0.6913</v>
      </c>
      <c r="I2725" s="51" t="n">
        <v>0.2893</v>
      </c>
      <c r="J2725" s="51" t="n">
        <v>0.0194</v>
      </c>
      <c r="K2725" s="49"/>
      <c r="L2725" s="49"/>
      <c r="M2725" s="49"/>
      <c r="N2725" s="49"/>
      <c r="O2725" s="49"/>
      <c r="P2725" s="49"/>
      <c r="Q2725" s="49"/>
      <c r="R2725" s="49"/>
      <c r="S2725" s="49" t="n">
        <v>0</v>
      </c>
      <c r="T2725" s="49" t="n">
        <v>0</v>
      </c>
      <c r="U2725" s="49" t="s">
        <v>5694</v>
      </c>
    </row>
    <row r="2726" customFormat="false" ht="15" hidden="false" customHeight="false" outlineLevel="0" collapsed="false">
      <c r="B2726" s="48" t="n">
        <v>45882.8861689815</v>
      </c>
      <c r="C2726" s="4" t="n">
        <f aca="false">YEAR(B2726)</f>
        <v>2025</v>
      </c>
      <c r="D2726" s="49" t="s">
        <v>283</v>
      </c>
      <c r="E2726" s="49" t="s">
        <v>5695</v>
      </c>
      <c r="F2726" s="50" t="n">
        <v>15</v>
      </c>
      <c r="G2726" s="49" t="s">
        <v>287</v>
      </c>
      <c r="H2726" s="51" t="n">
        <v>0.0091</v>
      </c>
      <c r="I2726" s="51" t="n">
        <v>0.187</v>
      </c>
      <c r="J2726" s="51" t="n">
        <v>0.8039</v>
      </c>
      <c r="K2726" s="49"/>
      <c r="L2726" s="49"/>
      <c r="M2726" s="49"/>
      <c r="N2726" s="49"/>
      <c r="O2726" s="49"/>
      <c r="P2726" s="49"/>
      <c r="Q2726" s="49"/>
      <c r="R2726" s="49"/>
      <c r="S2726" s="49" t="n">
        <v>0</v>
      </c>
      <c r="T2726" s="49" t="n">
        <v>0</v>
      </c>
      <c r="U2726" s="49" t="s">
        <v>5696</v>
      </c>
    </row>
    <row r="2727" customFormat="false" ht="15" hidden="false" customHeight="false" outlineLevel="0" collapsed="false">
      <c r="B2727" s="48" t="n">
        <v>45883.6169444445</v>
      </c>
      <c r="C2727" s="4" t="n">
        <f aca="false">YEAR(B2727)</f>
        <v>2025</v>
      </c>
      <c r="D2727" s="49" t="s">
        <v>278</v>
      </c>
      <c r="E2727" s="49" t="s">
        <v>5697</v>
      </c>
      <c r="F2727" s="50" t="n">
        <v>1</v>
      </c>
      <c r="G2727" s="49" t="s">
        <v>280</v>
      </c>
      <c r="H2727" s="51" t="n">
        <v>0.7118</v>
      </c>
      <c r="I2727" s="51" t="n">
        <v>0.2758</v>
      </c>
      <c r="J2727" s="51" t="n">
        <v>0.0124</v>
      </c>
      <c r="K2727" s="49" t="s">
        <v>281</v>
      </c>
      <c r="L2727" s="49"/>
      <c r="M2727" s="49"/>
      <c r="N2727" s="49"/>
      <c r="O2727" s="49"/>
      <c r="P2727" s="49"/>
      <c r="Q2727" s="49"/>
      <c r="R2727" s="49" t="s">
        <v>281</v>
      </c>
      <c r="S2727" s="49" t="n">
        <v>0</v>
      </c>
      <c r="T2727" s="49" t="n">
        <v>0</v>
      </c>
      <c r="U2727" s="49" t="s">
        <v>5698</v>
      </c>
    </row>
    <row r="2728" customFormat="false" ht="15" hidden="false" customHeight="false" outlineLevel="0" collapsed="false">
      <c r="B2728" s="48" t="n">
        <v>45886.5675462963</v>
      </c>
      <c r="C2728" s="4" t="n">
        <f aca="false">YEAR(B2728)</f>
        <v>2025</v>
      </c>
      <c r="D2728" s="49" t="s">
        <v>278</v>
      </c>
      <c r="E2728" s="49" t="s">
        <v>5699</v>
      </c>
      <c r="F2728" s="50" t="n">
        <v>3</v>
      </c>
      <c r="G2728" s="49" t="s">
        <v>290</v>
      </c>
      <c r="H2728" s="51" t="n">
        <v>0.2069</v>
      </c>
      <c r="I2728" s="51" t="n">
        <v>0.7483</v>
      </c>
      <c r="J2728" s="51" t="n">
        <v>0.0448</v>
      </c>
      <c r="K2728" s="49"/>
      <c r="L2728" s="49" t="s">
        <v>281</v>
      </c>
      <c r="M2728" s="49"/>
      <c r="N2728" s="49"/>
      <c r="O2728" s="49"/>
      <c r="P2728" s="49"/>
      <c r="Q2728" s="49"/>
      <c r="R2728" s="49"/>
      <c r="S2728" s="49" t="n">
        <v>0</v>
      </c>
      <c r="T2728" s="49" t="n">
        <v>0</v>
      </c>
      <c r="U2728" s="49" t="s">
        <v>5700</v>
      </c>
    </row>
    <row r="2729" customFormat="false" ht="15" hidden="false" customHeight="false" outlineLevel="0" collapsed="false">
      <c r="B2729" s="48" t="n">
        <v>45886.8464930556</v>
      </c>
      <c r="C2729" s="4" t="n">
        <f aca="false">YEAR(B2729)</f>
        <v>2025</v>
      </c>
      <c r="D2729" s="49" t="s">
        <v>283</v>
      </c>
      <c r="E2729" s="49" t="s">
        <v>5701</v>
      </c>
      <c r="F2729" s="50" t="n">
        <v>1</v>
      </c>
      <c r="G2729" s="49" t="s">
        <v>287</v>
      </c>
      <c r="H2729" s="51" t="n">
        <v>0.0116</v>
      </c>
      <c r="I2729" s="51" t="n">
        <v>0.0247</v>
      </c>
      <c r="J2729" s="51" t="n">
        <v>0.9638</v>
      </c>
      <c r="K2729" s="49"/>
      <c r="L2729" s="49"/>
      <c r="M2729" s="49"/>
      <c r="N2729" s="49"/>
      <c r="O2729" s="49"/>
      <c r="P2729" s="49"/>
      <c r="Q2729" s="49"/>
      <c r="R2729" s="49"/>
      <c r="S2729" s="49" t="n">
        <v>0</v>
      </c>
      <c r="T2729" s="49" t="n">
        <v>0</v>
      </c>
      <c r="U2729" s="49" t="s">
        <v>5702</v>
      </c>
    </row>
    <row r="2730" customFormat="false" ht="15" hidden="false" customHeight="false" outlineLevel="0" collapsed="false">
      <c r="B2730" s="48" t="n">
        <v>45888.490625</v>
      </c>
      <c r="C2730" s="4" t="n">
        <f aca="false">YEAR(B2730)</f>
        <v>2025</v>
      </c>
      <c r="D2730" s="49" t="s">
        <v>283</v>
      </c>
      <c r="E2730" s="49" t="s">
        <v>5703</v>
      </c>
      <c r="F2730" s="50" t="n">
        <v>2</v>
      </c>
      <c r="G2730" s="49" t="s">
        <v>287</v>
      </c>
      <c r="H2730" s="51" t="n">
        <v>0.003</v>
      </c>
      <c r="I2730" s="51" t="n">
        <v>0.133</v>
      </c>
      <c r="J2730" s="51" t="n">
        <v>0.8641</v>
      </c>
      <c r="K2730" s="49"/>
      <c r="L2730" s="49"/>
      <c r="M2730" s="49"/>
      <c r="N2730" s="49"/>
      <c r="O2730" s="49"/>
      <c r="P2730" s="49"/>
      <c r="Q2730" s="49"/>
      <c r="R2730" s="49"/>
      <c r="S2730" s="49" t="n">
        <v>0</v>
      </c>
      <c r="T2730" s="49" t="n">
        <v>0</v>
      </c>
      <c r="U2730" s="49" t="s">
        <v>5704</v>
      </c>
    </row>
    <row r="2731" customFormat="false" ht="15" hidden="false" customHeight="false" outlineLevel="0" collapsed="false">
      <c r="B2731" s="48" t="n">
        <v>45888.6713310185</v>
      </c>
      <c r="C2731" s="4" t="n">
        <f aca="false">YEAR(B2731)</f>
        <v>2025</v>
      </c>
      <c r="D2731" s="49" t="s">
        <v>278</v>
      </c>
      <c r="E2731" s="49" t="s">
        <v>5705</v>
      </c>
      <c r="F2731" s="50" t="n">
        <v>0</v>
      </c>
      <c r="G2731" s="49" t="s">
        <v>280</v>
      </c>
      <c r="H2731" s="51" t="n">
        <v>0.7519</v>
      </c>
      <c r="I2731" s="51" t="n">
        <v>0.2346</v>
      </c>
      <c r="J2731" s="51" t="n">
        <v>0.0135</v>
      </c>
      <c r="K2731" s="49"/>
      <c r="L2731" s="49"/>
      <c r="M2731" s="49"/>
      <c r="N2731" s="49"/>
      <c r="O2731" s="49"/>
      <c r="P2731" s="49"/>
      <c r="Q2731" s="49"/>
      <c r="R2731" s="49"/>
      <c r="S2731" s="49" t="n">
        <v>0</v>
      </c>
      <c r="T2731" s="49" t="n">
        <v>0</v>
      </c>
      <c r="U2731" s="49" t="s">
        <v>5706</v>
      </c>
    </row>
    <row r="2732" customFormat="false" ht="15" hidden="false" customHeight="false" outlineLevel="0" collapsed="false">
      <c r="B2732" s="48" t="n">
        <v>45888.8445717593</v>
      </c>
      <c r="C2732" s="4" t="n">
        <f aca="false">YEAR(B2732)</f>
        <v>2025</v>
      </c>
      <c r="D2732" s="49" t="s">
        <v>283</v>
      </c>
      <c r="E2732" s="49" t="s">
        <v>5707</v>
      </c>
      <c r="F2732" s="50" t="n">
        <v>2</v>
      </c>
      <c r="G2732" s="49" t="s">
        <v>290</v>
      </c>
      <c r="H2732" s="51" t="n">
        <v>0.2054</v>
      </c>
      <c r="I2732" s="51" t="n">
        <v>0.5168</v>
      </c>
      <c r="J2732" s="51" t="n">
        <v>0.2778</v>
      </c>
      <c r="K2732" s="49"/>
      <c r="L2732" s="49"/>
      <c r="M2732" s="49"/>
      <c r="N2732" s="49"/>
      <c r="O2732" s="49"/>
      <c r="P2732" s="49"/>
      <c r="Q2732" s="49"/>
      <c r="R2732" s="49"/>
      <c r="S2732" s="49" t="n">
        <v>0</v>
      </c>
      <c r="T2732" s="49" t="n">
        <v>0</v>
      </c>
      <c r="U2732" s="49" t="s">
        <v>5708</v>
      </c>
    </row>
    <row r="2733" customFormat="false" ht="15" hidden="false" customHeight="false" outlineLevel="0" collapsed="false">
      <c r="B2733" s="48" t="n">
        <v>45888.8719097222</v>
      </c>
      <c r="C2733" s="4" t="n">
        <f aca="false">YEAR(B2733)</f>
        <v>2025</v>
      </c>
      <c r="D2733" s="49" t="s">
        <v>278</v>
      </c>
      <c r="E2733" s="49" t="s">
        <v>5709</v>
      </c>
      <c r="F2733" s="50" t="n">
        <v>0</v>
      </c>
      <c r="G2733" s="49" t="s">
        <v>280</v>
      </c>
      <c r="H2733" s="51" t="n">
        <v>0.9324</v>
      </c>
      <c r="I2733" s="51" t="n">
        <v>0.0579</v>
      </c>
      <c r="J2733" s="51" t="n">
        <v>0.0096</v>
      </c>
      <c r="K2733" s="49"/>
      <c r="L2733" s="49"/>
      <c r="M2733" s="49"/>
      <c r="N2733" s="49"/>
      <c r="O2733" s="49"/>
      <c r="P2733" s="49"/>
      <c r="Q2733" s="49"/>
      <c r="R2733" s="49" t="s">
        <v>281</v>
      </c>
      <c r="S2733" s="49" t="n">
        <v>0</v>
      </c>
      <c r="T2733" s="49" t="n">
        <v>0</v>
      </c>
      <c r="U2733" s="49" t="s">
        <v>5710</v>
      </c>
    </row>
    <row r="2734" customFormat="false" ht="15" hidden="false" customHeight="false" outlineLevel="0" collapsed="false">
      <c r="B2734" s="48" t="n">
        <v>45889.0096064815</v>
      </c>
      <c r="C2734" s="4" t="n">
        <f aca="false">YEAR(B2734)</f>
        <v>2025</v>
      </c>
      <c r="D2734" s="49" t="s">
        <v>278</v>
      </c>
      <c r="E2734" s="49" t="s">
        <v>5711</v>
      </c>
      <c r="F2734" s="50" t="n">
        <v>3</v>
      </c>
      <c r="G2734" s="49" t="s">
        <v>290</v>
      </c>
      <c r="H2734" s="51" t="n">
        <v>0.278</v>
      </c>
      <c r="I2734" s="51" t="n">
        <v>0.6545</v>
      </c>
      <c r="J2734" s="51" t="n">
        <v>0.0675</v>
      </c>
      <c r="K2734" s="49"/>
      <c r="L2734" s="49"/>
      <c r="M2734" s="49"/>
      <c r="N2734" s="49"/>
      <c r="O2734" s="49"/>
      <c r="P2734" s="49"/>
      <c r="Q2734" s="49"/>
      <c r="R2734" s="49"/>
      <c r="S2734" s="49" t="n">
        <v>0</v>
      </c>
      <c r="T2734" s="49" t="n">
        <v>0</v>
      </c>
      <c r="U2734" s="49" t="s">
        <v>5712</v>
      </c>
    </row>
    <row r="2735" customFormat="false" ht="15" hidden="false" customHeight="false" outlineLevel="0" collapsed="false">
      <c r="B2735" s="48" t="n">
        <v>45889.6642361111</v>
      </c>
      <c r="C2735" s="4" t="n">
        <f aca="false">YEAR(B2735)</f>
        <v>2025</v>
      </c>
      <c r="D2735" s="49" t="s">
        <v>283</v>
      </c>
      <c r="E2735" s="49" t="s">
        <v>5713</v>
      </c>
      <c r="F2735" s="50" t="n">
        <v>1</v>
      </c>
      <c r="G2735" s="49" t="s">
        <v>280</v>
      </c>
      <c r="H2735" s="51" t="n">
        <v>0.8707</v>
      </c>
      <c r="I2735" s="51" t="n">
        <v>0.1229</v>
      </c>
      <c r="J2735" s="51" t="n">
        <v>0.0064</v>
      </c>
      <c r="K2735" s="49" t="s">
        <v>281</v>
      </c>
      <c r="L2735" s="49"/>
      <c r="M2735" s="49"/>
      <c r="N2735" s="49"/>
      <c r="O2735" s="49"/>
      <c r="P2735" s="49"/>
      <c r="Q2735" s="49"/>
      <c r="R2735" s="49"/>
      <c r="S2735" s="49" t="n">
        <v>0</v>
      </c>
      <c r="T2735" s="49" t="n">
        <v>0</v>
      </c>
      <c r="U2735" s="49" t="s">
        <v>5714</v>
      </c>
    </row>
    <row r="2736" customFormat="false" ht="15" hidden="false" customHeight="false" outlineLevel="0" collapsed="false">
      <c r="B2736" s="48" t="n">
        <v>45889.6701157407</v>
      </c>
      <c r="C2736" s="4" t="n">
        <f aca="false">YEAR(B2736)</f>
        <v>2025</v>
      </c>
      <c r="D2736" s="49" t="s">
        <v>283</v>
      </c>
      <c r="E2736" s="49" t="s">
        <v>5715</v>
      </c>
      <c r="F2736" s="50" t="n">
        <v>1</v>
      </c>
      <c r="G2736" s="49" t="s">
        <v>290</v>
      </c>
      <c r="H2736" s="51" t="n">
        <v>0.0102</v>
      </c>
      <c r="I2736" s="51" t="n">
        <v>0.6411</v>
      </c>
      <c r="J2736" s="51" t="n">
        <v>0.3487</v>
      </c>
      <c r="K2736" s="49"/>
      <c r="L2736" s="49"/>
      <c r="M2736" s="49"/>
      <c r="N2736" s="49"/>
      <c r="O2736" s="49"/>
      <c r="P2736" s="49"/>
      <c r="Q2736" s="49"/>
      <c r="R2736" s="49"/>
      <c r="S2736" s="49" t="n">
        <v>0</v>
      </c>
      <c r="T2736" s="49" t="n">
        <v>0</v>
      </c>
      <c r="U2736" s="49" t="s">
        <v>5716</v>
      </c>
    </row>
    <row r="2737" customFormat="false" ht="15" hidden="false" customHeight="false" outlineLevel="0" collapsed="false">
      <c r="B2737" s="48" t="n">
        <v>45890.0836342593</v>
      </c>
      <c r="C2737" s="4" t="n">
        <f aca="false">YEAR(B2737)</f>
        <v>2025</v>
      </c>
      <c r="D2737" s="49" t="s">
        <v>278</v>
      </c>
      <c r="E2737" s="49" t="s">
        <v>5717</v>
      </c>
      <c r="F2737" s="50" t="n">
        <v>0</v>
      </c>
      <c r="G2737" s="49" t="s">
        <v>287</v>
      </c>
      <c r="H2737" s="51" t="n">
        <v>0.0202</v>
      </c>
      <c r="I2737" s="51" t="n">
        <v>0.3951</v>
      </c>
      <c r="J2737" s="51" t="n">
        <v>0.5847</v>
      </c>
      <c r="K2737" s="49"/>
      <c r="L2737" s="49"/>
      <c r="M2737" s="49"/>
      <c r="N2737" s="49"/>
      <c r="O2737" s="49"/>
      <c r="P2737" s="49"/>
      <c r="Q2737" s="49"/>
      <c r="R2737" s="49"/>
      <c r="S2737" s="49" t="n">
        <v>0</v>
      </c>
      <c r="T2737" s="49" t="n">
        <v>0</v>
      </c>
      <c r="U2737" s="49" t="s">
        <v>5718</v>
      </c>
    </row>
    <row r="2738" customFormat="false" ht="15" hidden="false" customHeight="false" outlineLevel="0" collapsed="false">
      <c r="B2738" s="48" t="n">
        <v>45890.9319212963</v>
      </c>
      <c r="C2738" s="4" t="n">
        <f aca="false">YEAR(B2738)</f>
        <v>2025</v>
      </c>
      <c r="D2738" s="49" t="s">
        <v>278</v>
      </c>
      <c r="E2738" s="49" t="s">
        <v>5719</v>
      </c>
      <c r="F2738" s="50" t="n">
        <v>0</v>
      </c>
      <c r="G2738" s="49" t="s">
        <v>287</v>
      </c>
      <c r="H2738" s="51" t="n">
        <v>0.0036</v>
      </c>
      <c r="I2738" s="51" t="n">
        <v>0.2003</v>
      </c>
      <c r="J2738" s="51" t="n">
        <v>0.7961</v>
      </c>
      <c r="K2738" s="49"/>
      <c r="L2738" s="49"/>
      <c r="M2738" s="49"/>
      <c r="N2738" s="49"/>
      <c r="O2738" s="49"/>
      <c r="P2738" s="49"/>
      <c r="Q2738" s="49"/>
      <c r="R2738" s="49"/>
      <c r="S2738" s="49" t="n">
        <v>0</v>
      </c>
      <c r="T2738" s="49" t="n">
        <v>0</v>
      </c>
      <c r="U2738" s="49" t="s">
        <v>5720</v>
      </c>
    </row>
    <row r="2739" customFormat="false" ht="15" hidden="false" customHeight="false" outlineLevel="0" collapsed="false">
      <c r="B2739" s="48" t="n">
        <v>45891.692974537</v>
      </c>
      <c r="C2739" s="4" t="n">
        <f aca="false">YEAR(B2739)</f>
        <v>2025</v>
      </c>
      <c r="D2739" s="49" t="s">
        <v>283</v>
      </c>
      <c r="E2739" s="49" t="s">
        <v>5721</v>
      </c>
      <c r="F2739" s="50" t="n">
        <v>1</v>
      </c>
      <c r="G2739" s="49" t="s">
        <v>290</v>
      </c>
      <c r="H2739" s="51" t="n">
        <v>0.0134</v>
      </c>
      <c r="I2739" s="51" t="n">
        <v>0.7099</v>
      </c>
      <c r="J2739" s="51" t="n">
        <v>0.2767</v>
      </c>
      <c r="K2739" s="49"/>
      <c r="L2739" s="49"/>
      <c r="M2739" s="49"/>
      <c r="N2739" s="49"/>
      <c r="O2739" s="49"/>
      <c r="P2739" s="49"/>
      <c r="Q2739" s="49"/>
      <c r="R2739" s="49"/>
      <c r="S2739" s="49" t="n">
        <v>0</v>
      </c>
      <c r="T2739" s="49" t="n">
        <v>0</v>
      </c>
      <c r="U2739" s="49" t="s">
        <v>5722</v>
      </c>
    </row>
    <row r="2740" customFormat="false" ht="15" hidden="false" customHeight="false" outlineLevel="0" collapsed="false">
      <c r="B2740" s="48" t="n">
        <v>45892.2804398148</v>
      </c>
      <c r="C2740" s="4" t="n">
        <f aca="false">YEAR(B2740)</f>
        <v>2025</v>
      </c>
      <c r="D2740" s="49" t="s">
        <v>283</v>
      </c>
      <c r="E2740" s="49" t="s">
        <v>5723</v>
      </c>
      <c r="F2740" s="50" t="n">
        <v>3</v>
      </c>
      <c r="G2740" s="49" t="s">
        <v>290</v>
      </c>
      <c r="H2740" s="51" t="n">
        <v>0.0682</v>
      </c>
      <c r="I2740" s="51" t="n">
        <v>0.7545</v>
      </c>
      <c r="J2740" s="51" t="n">
        <v>0.1773</v>
      </c>
      <c r="K2740" s="49"/>
      <c r="L2740" s="49"/>
      <c r="M2740" s="49"/>
      <c r="N2740" s="49"/>
      <c r="O2740" s="49"/>
      <c r="P2740" s="49"/>
      <c r="Q2740" s="49"/>
      <c r="R2740" s="49"/>
      <c r="S2740" s="49" t="n">
        <v>0</v>
      </c>
      <c r="T2740" s="49" t="n">
        <v>0</v>
      </c>
      <c r="U2740" s="49" t="s">
        <v>5724</v>
      </c>
    </row>
    <row r="2741" customFormat="false" ht="15" hidden="false" customHeight="false" outlineLevel="0" collapsed="false">
      <c r="B2741" s="48" t="n">
        <v>45892.915150463</v>
      </c>
      <c r="C2741" s="4" t="n">
        <f aca="false">YEAR(B2741)</f>
        <v>2025</v>
      </c>
      <c r="D2741" s="49" t="s">
        <v>283</v>
      </c>
      <c r="E2741" s="49" t="s">
        <v>5725</v>
      </c>
      <c r="F2741" s="50" t="n">
        <v>1</v>
      </c>
      <c r="G2741" s="49" t="s">
        <v>287</v>
      </c>
      <c r="H2741" s="51" t="n">
        <v>0.006</v>
      </c>
      <c r="I2741" s="51" t="n">
        <v>0.3223</v>
      </c>
      <c r="J2741" s="51" t="n">
        <v>0.6717</v>
      </c>
      <c r="K2741" s="49"/>
      <c r="L2741" s="49"/>
      <c r="M2741" s="49"/>
      <c r="N2741" s="49"/>
      <c r="O2741" s="49"/>
      <c r="P2741" s="49"/>
      <c r="Q2741" s="49"/>
      <c r="R2741" s="49"/>
      <c r="S2741" s="49" t="n">
        <v>0</v>
      </c>
      <c r="T2741" s="49" t="n">
        <v>0</v>
      </c>
      <c r="U2741" s="49" t="s">
        <v>5726</v>
      </c>
    </row>
    <row r="2742" customFormat="false" ht="15" hidden="false" customHeight="false" outlineLevel="0" collapsed="false">
      <c r="B2742" s="48" t="n">
        <v>45893.4447800926</v>
      </c>
      <c r="C2742" s="4" t="n">
        <f aca="false">YEAR(B2742)</f>
        <v>2025</v>
      </c>
      <c r="D2742" s="49" t="s">
        <v>283</v>
      </c>
      <c r="E2742" s="49" t="s">
        <v>5727</v>
      </c>
      <c r="F2742" s="50" t="n">
        <v>2</v>
      </c>
      <c r="G2742" s="49" t="s">
        <v>287</v>
      </c>
      <c r="H2742" s="51" t="n">
        <v>0.0127</v>
      </c>
      <c r="I2742" s="51" t="n">
        <v>0.2257</v>
      </c>
      <c r="J2742" s="51" t="n">
        <v>0.7616</v>
      </c>
      <c r="K2742" s="49"/>
      <c r="L2742" s="49"/>
      <c r="M2742" s="49"/>
      <c r="N2742" s="49"/>
      <c r="O2742" s="49"/>
      <c r="P2742" s="49"/>
      <c r="Q2742" s="49"/>
      <c r="R2742" s="49"/>
      <c r="S2742" s="49" t="n">
        <v>0</v>
      </c>
      <c r="T2742" s="49" t="n">
        <v>0</v>
      </c>
      <c r="U2742" s="49" t="s">
        <v>5728</v>
      </c>
    </row>
    <row r="2743" customFormat="false" ht="15" hidden="false" customHeight="false" outlineLevel="0" collapsed="false">
      <c r="B2743" s="48" t="n">
        <v>45893.4617592593</v>
      </c>
      <c r="C2743" s="4" t="n">
        <f aca="false">YEAR(B2743)</f>
        <v>2025</v>
      </c>
      <c r="D2743" s="49" t="s">
        <v>283</v>
      </c>
      <c r="E2743" s="49" t="s">
        <v>5729</v>
      </c>
      <c r="F2743" s="50" t="n">
        <v>1</v>
      </c>
      <c r="G2743" s="49" t="s">
        <v>290</v>
      </c>
      <c r="H2743" s="51" t="n">
        <v>0.0624</v>
      </c>
      <c r="I2743" s="51" t="n">
        <v>0.9012</v>
      </c>
      <c r="J2743" s="51" t="n">
        <v>0.0364</v>
      </c>
      <c r="K2743" s="49"/>
      <c r="L2743" s="49"/>
      <c r="M2743" s="49"/>
      <c r="N2743" s="49"/>
      <c r="O2743" s="49"/>
      <c r="P2743" s="49"/>
      <c r="Q2743" s="49"/>
      <c r="R2743" s="49"/>
      <c r="S2743" s="49" t="n">
        <v>0</v>
      </c>
      <c r="T2743" s="49" t="n">
        <v>0</v>
      </c>
      <c r="U2743" s="49" t="s">
        <v>5730</v>
      </c>
    </row>
    <row r="2744" customFormat="false" ht="15" hidden="false" customHeight="false" outlineLevel="0" collapsed="false">
      <c r="B2744" s="48" t="n">
        <v>45893.5592361111</v>
      </c>
      <c r="C2744" s="4" t="n">
        <f aca="false">YEAR(B2744)</f>
        <v>2025</v>
      </c>
      <c r="D2744" s="49" t="s">
        <v>283</v>
      </c>
      <c r="E2744" s="49" t="s">
        <v>5731</v>
      </c>
      <c r="F2744" s="50" t="n">
        <v>1</v>
      </c>
      <c r="G2744" s="49" t="s">
        <v>287</v>
      </c>
      <c r="H2744" s="51" t="n">
        <v>0.0028</v>
      </c>
      <c r="I2744" s="51" t="n">
        <v>0.0438</v>
      </c>
      <c r="J2744" s="51" t="n">
        <v>0.9534</v>
      </c>
      <c r="K2744" s="49"/>
      <c r="L2744" s="49"/>
      <c r="M2744" s="49"/>
      <c r="N2744" s="49"/>
      <c r="O2744" s="49"/>
      <c r="P2744" s="49"/>
      <c r="Q2744" s="49"/>
      <c r="R2744" s="49"/>
      <c r="S2744" s="49" t="n">
        <v>0</v>
      </c>
      <c r="T2744" s="49" t="n">
        <v>0</v>
      </c>
      <c r="U2744" s="49" t="s">
        <v>5732</v>
      </c>
    </row>
    <row r="2745" customFormat="false" ht="15" hidden="false" customHeight="false" outlineLevel="0" collapsed="false">
      <c r="B2745" s="48" t="n">
        <v>45893.6076273148</v>
      </c>
      <c r="C2745" s="4" t="n">
        <f aca="false">YEAR(B2745)</f>
        <v>2025</v>
      </c>
      <c r="D2745" s="49" t="s">
        <v>283</v>
      </c>
      <c r="E2745" s="49" t="s">
        <v>5733</v>
      </c>
      <c r="F2745" s="50" t="n">
        <v>34</v>
      </c>
      <c r="G2745" s="49" t="s">
        <v>287</v>
      </c>
      <c r="H2745" s="51" t="n">
        <v>0.0763</v>
      </c>
      <c r="I2745" s="51" t="n">
        <v>0.1886</v>
      </c>
      <c r="J2745" s="51" t="n">
        <v>0.7351</v>
      </c>
      <c r="K2745" s="49"/>
      <c r="L2745" s="49"/>
      <c r="M2745" s="49"/>
      <c r="N2745" s="49"/>
      <c r="O2745" s="49"/>
      <c r="P2745" s="49"/>
      <c r="Q2745" s="49"/>
      <c r="R2745" s="49"/>
      <c r="S2745" s="49" t="n">
        <v>0</v>
      </c>
      <c r="T2745" s="49" t="n">
        <v>0</v>
      </c>
      <c r="U2745" s="49" t="s">
        <v>5734</v>
      </c>
    </row>
    <row r="2746" customFormat="false" ht="15" hidden="false" customHeight="false" outlineLevel="0" collapsed="false">
      <c r="B2746" s="48" t="n">
        <v>45893.6726388889</v>
      </c>
      <c r="C2746" s="4" t="n">
        <f aca="false">YEAR(B2746)</f>
        <v>2025</v>
      </c>
      <c r="D2746" s="49" t="s">
        <v>283</v>
      </c>
      <c r="E2746" s="49" t="s">
        <v>5735</v>
      </c>
      <c r="F2746" s="50" t="n">
        <v>1</v>
      </c>
      <c r="G2746" s="49" t="s">
        <v>287</v>
      </c>
      <c r="H2746" s="51" t="n">
        <v>0.002</v>
      </c>
      <c r="I2746" s="51" t="n">
        <v>0.0226</v>
      </c>
      <c r="J2746" s="51" t="n">
        <v>0.9754</v>
      </c>
      <c r="K2746" s="49"/>
      <c r="L2746" s="49"/>
      <c r="M2746" s="49"/>
      <c r="N2746" s="49"/>
      <c r="O2746" s="49"/>
      <c r="P2746" s="49"/>
      <c r="Q2746" s="49"/>
      <c r="R2746" s="49"/>
      <c r="S2746" s="49" t="n">
        <v>0</v>
      </c>
      <c r="T2746" s="49" t="n">
        <v>0</v>
      </c>
      <c r="U2746" s="49" t="s">
        <v>5736</v>
      </c>
    </row>
    <row r="2747" customFormat="false" ht="15" hidden="false" customHeight="false" outlineLevel="0" collapsed="false">
      <c r="B2747" s="48" t="n">
        <v>45893.7780439815</v>
      </c>
      <c r="C2747" s="4" t="n">
        <f aca="false">YEAR(B2747)</f>
        <v>2025</v>
      </c>
      <c r="D2747" s="49" t="s">
        <v>283</v>
      </c>
      <c r="E2747" s="49" t="s">
        <v>5737</v>
      </c>
      <c r="F2747" s="50" t="n">
        <v>2</v>
      </c>
      <c r="G2747" s="49" t="s">
        <v>280</v>
      </c>
      <c r="H2747" s="51" t="n">
        <v>0.8555</v>
      </c>
      <c r="I2747" s="51" t="n">
        <v>0.1374</v>
      </c>
      <c r="J2747" s="51" t="n">
        <v>0.0071</v>
      </c>
      <c r="K2747" s="49"/>
      <c r="L2747" s="49"/>
      <c r="M2747" s="49"/>
      <c r="N2747" s="49"/>
      <c r="O2747" s="49"/>
      <c r="P2747" s="49"/>
      <c r="Q2747" s="49"/>
      <c r="R2747" s="49"/>
      <c r="S2747" s="49" t="n">
        <v>0</v>
      </c>
      <c r="T2747" s="49" t="n">
        <v>0</v>
      </c>
      <c r="U2747" s="49" t="s">
        <v>5738</v>
      </c>
    </row>
    <row r="2748" customFormat="false" ht="15" hidden="false" customHeight="false" outlineLevel="0" collapsed="false">
      <c r="B2748" s="48" t="n">
        <v>45894.0920138889</v>
      </c>
      <c r="C2748" s="4" t="n">
        <f aca="false">YEAR(B2748)</f>
        <v>2025</v>
      </c>
      <c r="D2748" s="49" t="s">
        <v>278</v>
      </c>
      <c r="E2748" s="49" t="s">
        <v>5739</v>
      </c>
      <c r="F2748" s="50" t="n">
        <v>56</v>
      </c>
      <c r="G2748" s="49" t="s">
        <v>290</v>
      </c>
      <c r="H2748" s="51" t="n">
        <v>0.4301</v>
      </c>
      <c r="I2748" s="51" t="n">
        <v>0.5008</v>
      </c>
      <c r="J2748" s="51" t="n">
        <v>0.0691</v>
      </c>
      <c r="K2748" s="49"/>
      <c r="L2748" s="49"/>
      <c r="M2748" s="49" t="s">
        <v>281</v>
      </c>
      <c r="N2748" s="49"/>
      <c r="O2748" s="49"/>
      <c r="P2748" s="49"/>
      <c r="Q2748" s="49"/>
      <c r="R2748" s="49"/>
      <c r="S2748" s="49" t="n">
        <v>0</v>
      </c>
      <c r="T2748" s="49" t="n">
        <v>0</v>
      </c>
      <c r="U2748" s="49" t="s">
        <v>5740</v>
      </c>
    </row>
    <row r="2749" customFormat="false" ht="15" hidden="false" customHeight="false" outlineLevel="0" collapsed="false">
      <c r="B2749" s="48" t="n">
        <v>45894.6014236111</v>
      </c>
      <c r="C2749" s="4" t="n">
        <f aca="false">YEAR(B2749)</f>
        <v>2025</v>
      </c>
      <c r="D2749" s="49" t="s">
        <v>283</v>
      </c>
      <c r="E2749" s="49" t="s">
        <v>5741</v>
      </c>
      <c r="F2749" s="50" t="n">
        <v>2</v>
      </c>
      <c r="G2749" s="49" t="s">
        <v>280</v>
      </c>
      <c r="H2749" s="51" t="n">
        <v>0.5316</v>
      </c>
      <c r="I2749" s="51" t="n">
        <v>0.4228</v>
      </c>
      <c r="J2749" s="51" t="n">
        <v>0.0456</v>
      </c>
      <c r="K2749" s="49"/>
      <c r="L2749" s="49"/>
      <c r="M2749" s="49"/>
      <c r="N2749" s="49"/>
      <c r="O2749" s="49"/>
      <c r="P2749" s="49"/>
      <c r="Q2749" s="49" t="s">
        <v>281</v>
      </c>
      <c r="R2749" s="49"/>
      <c r="S2749" s="49" t="n">
        <v>0</v>
      </c>
      <c r="T2749" s="49" t="n">
        <v>0</v>
      </c>
      <c r="U2749" s="49" t="s">
        <v>5742</v>
      </c>
    </row>
    <row r="2750" customFormat="false" ht="15" hidden="false" customHeight="false" outlineLevel="0" collapsed="false">
      <c r="B2750" s="48" t="n">
        <v>45896.6544675926</v>
      </c>
      <c r="C2750" s="4" t="n">
        <f aca="false">YEAR(B2750)</f>
        <v>2025</v>
      </c>
      <c r="D2750" s="49" t="s">
        <v>283</v>
      </c>
      <c r="E2750" s="49" t="s">
        <v>5743</v>
      </c>
      <c r="F2750" s="50" t="n">
        <v>1</v>
      </c>
      <c r="G2750" s="49" t="s">
        <v>280</v>
      </c>
      <c r="H2750" s="51" t="n">
        <v>0.7507</v>
      </c>
      <c r="I2750" s="51" t="n">
        <v>0.2403</v>
      </c>
      <c r="J2750" s="51" t="n">
        <v>0.009</v>
      </c>
      <c r="K2750" s="49"/>
      <c r="L2750" s="49"/>
      <c r="M2750" s="49"/>
      <c r="N2750" s="49"/>
      <c r="O2750" s="49"/>
      <c r="P2750" s="49"/>
      <c r="Q2750" s="49"/>
      <c r="R2750" s="49"/>
      <c r="S2750" s="49" t="n">
        <v>0</v>
      </c>
      <c r="T2750" s="49" t="n">
        <v>0</v>
      </c>
      <c r="U2750" s="49" t="s">
        <v>5744</v>
      </c>
    </row>
    <row r="2751" customFormat="false" ht="15" hidden="false" customHeight="false" outlineLevel="0" collapsed="false">
      <c r="B2751" s="48" t="n">
        <v>45897.864837963</v>
      </c>
      <c r="C2751" s="4" t="n">
        <f aca="false">YEAR(B2751)</f>
        <v>2025</v>
      </c>
      <c r="D2751" s="49" t="s">
        <v>278</v>
      </c>
      <c r="E2751" s="49" t="s">
        <v>5745</v>
      </c>
      <c r="F2751" s="50" t="n">
        <v>0</v>
      </c>
      <c r="G2751" s="49" t="s">
        <v>280</v>
      </c>
      <c r="H2751" s="51" t="n">
        <v>0.8011</v>
      </c>
      <c r="I2751" s="51" t="n">
        <v>0.1791</v>
      </c>
      <c r="J2751" s="51" t="n">
        <v>0.0197</v>
      </c>
      <c r="K2751" s="49"/>
      <c r="L2751" s="49"/>
      <c r="M2751" s="49"/>
      <c r="N2751" s="49"/>
      <c r="O2751" s="49"/>
      <c r="P2751" s="49"/>
      <c r="Q2751" s="49"/>
      <c r="R2751" s="49"/>
      <c r="S2751" s="49" t="n">
        <v>0</v>
      </c>
      <c r="T2751" s="49" t="n">
        <v>0</v>
      </c>
      <c r="U2751" s="49" t="s">
        <v>5746</v>
      </c>
    </row>
    <row r="2752" customFormat="false" ht="15" hidden="false" customHeight="false" outlineLevel="0" collapsed="false">
      <c r="B2752" s="48" t="n">
        <v>45898.4179398148</v>
      </c>
      <c r="C2752" s="4" t="n">
        <f aca="false">YEAR(B2752)</f>
        <v>2025</v>
      </c>
      <c r="D2752" s="49" t="s">
        <v>278</v>
      </c>
      <c r="E2752" s="49" t="s">
        <v>5747</v>
      </c>
      <c r="F2752" s="50" t="n">
        <v>0</v>
      </c>
      <c r="G2752" s="49" t="s">
        <v>290</v>
      </c>
      <c r="H2752" s="51" t="n">
        <v>0.0309</v>
      </c>
      <c r="I2752" s="51" t="n">
        <v>0.8851</v>
      </c>
      <c r="J2752" s="51" t="n">
        <v>0.0839</v>
      </c>
      <c r="K2752" s="49"/>
      <c r="L2752" s="49"/>
      <c r="M2752" s="49"/>
      <c r="N2752" s="49"/>
      <c r="O2752" s="49"/>
      <c r="P2752" s="49"/>
      <c r="Q2752" s="49"/>
      <c r="R2752" s="49"/>
      <c r="S2752" s="49" t="n">
        <v>0</v>
      </c>
      <c r="T2752" s="49" t="n">
        <v>1</v>
      </c>
      <c r="U2752" s="49" t="s">
        <v>5748</v>
      </c>
    </row>
    <row r="2753" customFormat="false" ht="15" hidden="false" customHeight="false" outlineLevel="0" collapsed="false">
      <c r="B2753" s="48" t="n">
        <v>45898.6588078704</v>
      </c>
      <c r="C2753" s="4" t="n">
        <f aca="false">YEAR(B2753)</f>
        <v>2025</v>
      </c>
      <c r="D2753" s="49" t="s">
        <v>278</v>
      </c>
      <c r="E2753" s="49" t="s">
        <v>5749</v>
      </c>
      <c r="F2753" s="50" t="n">
        <v>1</v>
      </c>
      <c r="G2753" s="49" t="s">
        <v>280</v>
      </c>
      <c r="H2753" s="51" t="n">
        <v>0.7974</v>
      </c>
      <c r="I2753" s="51" t="n">
        <v>0.1814</v>
      </c>
      <c r="J2753" s="51" t="n">
        <v>0.0212</v>
      </c>
      <c r="K2753" s="49"/>
      <c r="L2753" s="49"/>
      <c r="M2753" s="49"/>
      <c r="N2753" s="49"/>
      <c r="O2753" s="49"/>
      <c r="P2753" s="49"/>
      <c r="Q2753" s="49"/>
      <c r="R2753" s="49"/>
      <c r="S2753" s="49" t="n">
        <v>0</v>
      </c>
      <c r="T2753" s="49" t="n">
        <v>0</v>
      </c>
      <c r="U2753" s="49" t="s">
        <v>5750</v>
      </c>
    </row>
    <row r="2754" customFormat="false" ht="15" hidden="false" customHeight="false" outlineLevel="0" collapsed="false">
      <c r="B2754" s="48" t="n">
        <v>45898.8997916667</v>
      </c>
      <c r="C2754" s="4" t="n">
        <f aca="false">YEAR(B2754)</f>
        <v>2025</v>
      </c>
      <c r="D2754" s="49" t="s">
        <v>283</v>
      </c>
      <c r="E2754" s="49" t="s">
        <v>5751</v>
      </c>
      <c r="F2754" s="50" t="n">
        <v>1</v>
      </c>
      <c r="G2754" s="49" t="s">
        <v>280</v>
      </c>
      <c r="H2754" s="51" t="n">
        <v>0.8778</v>
      </c>
      <c r="I2754" s="51" t="n">
        <v>0.1104</v>
      </c>
      <c r="J2754" s="51" t="n">
        <v>0.0118</v>
      </c>
      <c r="K2754" s="49"/>
      <c r="L2754" s="49"/>
      <c r="M2754" s="49"/>
      <c r="N2754" s="49"/>
      <c r="O2754" s="49"/>
      <c r="P2754" s="49"/>
      <c r="Q2754" s="49"/>
      <c r="R2754" s="49" t="s">
        <v>281</v>
      </c>
      <c r="S2754" s="49" t="n">
        <v>0</v>
      </c>
      <c r="T2754" s="49" t="n">
        <v>0</v>
      </c>
      <c r="U2754" s="49" t="s">
        <v>5752</v>
      </c>
    </row>
    <row r="2755" customFormat="false" ht="15" hidden="false" customHeight="false" outlineLevel="0" collapsed="false">
      <c r="B2755" s="48" t="n">
        <v>45898.9608912037</v>
      </c>
      <c r="C2755" s="4" t="n">
        <f aca="false">YEAR(B2755)</f>
        <v>2025</v>
      </c>
      <c r="D2755" s="49" t="s">
        <v>283</v>
      </c>
      <c r="E2755" s="49" t="s">
        <v>5753</v>
      </c>
      <c r="F2755" s="50" t="n">
        <v>0</v>
      </c>
      <c r="G2755" s="49" t="s">
        <v>290</v>
      </c>
      <c r="H2755" s="51" t="n">
        <v>0.0196</v>
      </c>
      <c r="I2755" s="51" t="n">
        <v>0.9138</v>
      </c>
      <c r="J2755" s="51" t="n">
        <v>0.0667</v>
      </c>
      <c r="K2755" s="49"/>
      <c r="L2755" s="49"/>
      <c r="M2755" s="49"/>
      <c r="N2755" s="49"/>
      <c r="O2755" s="49"/>
      <c r="P2755" s="49"/>
      <c r="Q2755" s="49"/>
      <c r="R2755" s="49"/>
      <c r="S2755" s="49" t="n">
        <v>0</v>
      </c>
      <c r="T2755" s="49" t="n">
        <v>0</v>
      </c>
      <c r="U2755" s="49" t="s">
        <v>5754</v>
      </c>
    </row>
    <row r="2756" customFormat="false" ht="15" hidden="false" customHeight="false" outlineLevel="0" collapsed="false">
      <c r="B2756" s="48" t="n">
        <v>45901.4892708333</v>
      </c>
      <c r="C2756" s="4" t="n">
        <f aca="false">YEAR(B2756)</f>
        <v>2025</v>
      </c>
      <c r="D2756" s="49" t="s">
        <v>283</v>
      </c>
      <c r="E2756" s="49" t="s">
        <v>5755</v>
      </c>
      <c r="F2756" s="50" t="n">
        <v>1</v>
      </c>
      <c r="G2756" s="49" t="s">
        <v>290</v>
      </c>
      <c r="H2756" s="51" t="n">
        <v>0.0119</v>
      </c>
      <c r="I2756" s="51" t="n">
        <v>0.6409</v>
      </c>
      <c r="J2756" s="51" t="n">
        <v>0.3471</v>
      </c>
      <c r="K2756" s="49"/>
      <c r="L2756" s="49"/>
      <c r="M2756" s="49"/>
      <c r="N2756" s="49"/>
      <c r="O2756" s="49"/>
      <c r="P2756" s="49"/>
      <c r="Q2756" s="49"/>
      <c r="R2756" s="49"/>
      <c r="S2756" s="49" t="n">
        <v>0</v>
      </c>
      <c r="T2756" s="49" t="n">
        <v>0</v>
      </c>
      <c r="U2756" s="49" t="s">
        <v>5756</v>
      </c>
    </row>
    <row r="2757" customFormat="false" ht="15" hidden="false" customHeight="false" outlineLevel="0" collapsed="false">
      <c r="B2757" s="48" t="n">
        <v>45901.8726736111</v>
      </c>
      <c r="C2757" s="4" t="n">
        <f aca="false">YEAR(B2757)</f>
        <v>2025</v>
      </c>
      <c r="D2757" s="49" t="s">
        <v>278</v>
      </c>
      <c r="E2757" s="49" t="s">
        <v>5757</v>
      </c>
      <c r="F2757" s="50" t="n">
        <v>2</v>
      </c>
      <c r="G2757" s="49" t="s">
        <v>290</v>
      </c>
      <c r="H2757" s="51" t="n">
        <v>0.2765</v>
      </c>
      <c r="I2757" s="51" t="n">
        <v>0.681</v>
      </c>
      <c r="J2757" s="51" t="n">
        <v>0.0425</v>
      </c>
      <c r="K2757" s="49"/>
      <c r="L2757" s="49"/>
      <c r="M2757" s="49"/>
      <c r="N2757" s="49"/>
      <c r="O2757" s="49"/>
      <c r="P2757" s="49"/>
      <c r="Q2757" s="49"/>
      <c r="R2757" s="49" t="s">
        <v>281</v>
      </c>
      <c r="S2757" s="49" t="n">
        <v>0</v>
      </c>
      <c r="T2757" s="49" t="n">
        <v>0</v>
      </c>
      <c r="U2757" s="49" t="s">
        <v>5758</v>
      </c>
    </row>
    <row r="2758" customFormat="false" ht="15" hidden="false" customHeight="false" outlineLevel="0" collapsed="false">
      <c r="B2758" s="48" t="n">
        <v>45902.6358333333</v>
      </c>
      <c r="C2758" s="4" t="n">
        <f aca="false">YEAR(B2758)</f>
        <v>2025</v>
      </c>
      <c r="D2758" s="49" t="s">
        <v>283</v>
      </c>
      <c r="E2758" s="49" t="s">
        <v>5759</v>
      </c>
      <c r="F2758" s="50" t="n">
        <v>1</v>
      </c>
      <c r="G2758" s="49" t="s">
        <v>290</v>
      </c>
      <c r="H2758" s="51" t="n">
        <v>0.0543</v>
      </c>
      <c r="I2758" s="51" t="n">
        <v>0.8933</v>
      </c>
      <c r="J2758" s="51" t="n">
        <v>0.0524</v>
      </c>
      <c r="K2758" s="49"/>
      <c r="L2758" s="49"/>
      <c r="M2758" s="49"/>
      <c r="N2758" s="49"/>
      <c r="O2758" s="49"/>
      <c r="P2758" s="49"/>
      <c r="Q2758" s="49" t="s">
        <v>281</v>
      </c>
      <c r="R2758" s="49"/>
      <c r="S2758" s="49" t="n">
        <v>0</v>
      </c>
      <c r="T2758" s="49" t="n">
        <v>0</v>
      </c>
      <c r="U2758" s="49" t="s">
        <v>5760</v>
      </c>
    </row>
    <row r="2759" customFormat="false" ht="15" hidden="false" customHeight="false" outlineLevel="0" collapsed="false">
      <c r="B2759" s="48" t="n">
        <v>45904.2862731482</v>
      </c>
      <c r="C2759" s="4" t="n">
        <f aca="false">YEAR(B2759)</f>
        <v>2025</v>
      </c>
      <c r="D2759" s="49" t="s">
        <v>278</v>
      </c>
      <c r="E2759" s="49" t="s">
        <v>5761</v>
      </c>
      <c r="F2759" s="50" t="n">
        <v>9</v>
      </c>
      <c r="G2759" s="49" t="s">
        <v>280</v>
      </c>
      <c r="H2759" s="51" t="n">
        <v>0.5764</v>
      </c>
      <c r="I2759" s="51" t="n">
        <v>0.3945</v>
      </c>
      <c r="J2759" s="51" t="n">
        <v>0.0291</v>
      </c>
      <c r="K2759" s="49"/>
      <c r="L2759" s="49"/>
      <c r="M2759" s="49"/>
      <c r="N2759" s="49"/>
      <c r="O2759" s="49"/>
      <c r="P2759" s="49"/>
      <c r="Q2759" s="49"/>
      <c r="R2759" s="49"/>
      <c r="S2759" s="49" t="n">
        <v>0</v>
      </c>
      <c r="T2759" s="49" t="n">
        <v>0</v>
      </c>
      <c r="U2759" s="49" t="s">
        <v>5762</v>
      </c>
    </row>
    <row r="2760" customFormat="false" ht="15" hidden="false" customHeight="false" outlineLevel="0" collapsed="false">
      <c r="B2760" s="48" t="n">
        <v>45904.5904976852</v>
      </c>
      <c r="C2760" s="4" t="n">
        <f aca="false">YEAR(B2760)</f>
        <v>2025</v>
      </c>
      <c r="D2760" s="49" t="s">
        <v>278</v>
      </c>
      <c r="E2760" s="49" t="s">
        <v>5763</v>
      </c>
      <c r="F2760" s="50" t="n">
        <v>2</v>
      </c>
      <c r="G2760" s="49" t="s">
        <v>280</v>
      </c>
      <c r="H2760" s="51" t="n">
        <v>0.7353</v>
      </c>
      <c r="I2760" s="51" t="n">
        <v>0.2494</v>
      </c>
      <c r="J2760" s="51" t="n">
        <v>0.0153</v>
      </c>
      <c r="K2760" s="49"/>
      <c r="L2760" s="49"/>
      <c r="M2760" s="49"/>
      <c r="N2760" s="49"/>
      <c r="O2760" s="49"/>
      <c r="P2760" s="49"/>
      <c r="Q2760" s="49"/>
      <c r="R2760" s="49"/>
      <c r="S2760" s="49" t="n">
        <v>0</v>
      </c>
      <c r="T2760" s="49" t="n">
        <v>1</v>
      </c>
      <c r="U2760" s="49" t="s">
        <v>5764</v>
      </c>
    </row>
    <row r="2761" customFormat="false" ht="15" hidden="false" customHeight="false" outlineLevel="0" collapsed="false">
      <c r="B2761" s="48" t="n">
        <v>45904.6568402778</v>
      </c>
      <c r="C2761" s="4" t="n">
        <f aca="false">YEAR(B2761)</f>
        <v>2025</v>
      </c>
      <c r="D2761" s="49" t="s">
        <v>278</v>
      </c>
      <c r="E2761" s="49" t="s">
        <v>5765</v>
      </c>
      <c r="F2761" s="50" t="n">
        <v>9</v>
      </c>
      <c r="G2761" s="49" t="s">
        <v>280</v>
      </c>
      <c r="H2761" s="51" t="n">
        <v>0.8146</v>
      </c>
      <c r="I2761" s="51" t="n">
        <v>0.1767</v>
      </c>
      <c r="J2761" s="51" t="n">
        <v>0.0087</v>
      </c>
      <c r="K2761" s="49"/>
      <c r="L2761" s="49"/>
      <c r="M2761" s="49"/>
      <c r="N2761" s="49"/>
      <c r="O2761" s="49"/>
      <c r="P2761" s="49"/>
      <c r="Q2761" s="49"/>
      <c r="R2761" s="49"/>
      <c r="S2761" s="49" t="n">
        <v>0</v>
      </c>
      <c r="T2761" s="49" t="n">
        <v>0</v>
      </c>
      <c r="U2761" s="49" t="s">
        <v>5766</v>
      </c>
    </row>
    <row r="2762" customFormat="false" ht="15" hidden="false" customHeight="false" outlineLevel="0" collapsed="false">
      <c r="B2762" s="48" t="n">
        <v>45904.7438194445</v>
      </c>
      <c r="C2762" s="4" t="n">
        <f aca="false">YEAR(B2762)</f>
        <v>2025</v>
      </c>
      <c r="D2762" s="49" t="s">
        <v>283</v>
      </c>
      <c r="E2762" s="49" t="s">
        <v>5767</v>
      </c>
      <c r="F2762" s="50" t="n">
        <v>0</v>
      </c>
      <c r="G2762" s="49" t="s">
        <v>290</v>
      </c>
      <c r="H2762" s="51" t="n">
        <v>0.0191</v>
      </c>
      <c r="I2762" s="51" t="n">
        <v>0.5696</v>
      </c>
      <c r="J2762" s="51" t="n">
        <v>0.4112</v>
      </c>
      <c r="K2762" s="49"/>
      <c r="L2762" s="49"/>
      <c r="M2762" s="49"/>
      <c r="N2762" s="49"/>
      <c r="O2762" s="49"/>
      <c r="P2762" s="49"/>
      <c r="Q2762" s="49"/>
      <c r="R2762" s="49"/>
      <c r="S2762" s="49" t="n">
        <v>0</v>
      </c>
      <c r="T2762" s="49" t="n">
        <v>0</v>
      </c>
      <c r="U2762" s="49" t="s">
        <v>5768</v>
      </c>
    </row>
    <row r="2763" customFormat="false" ht="15" hidden="false" customHeight="false" outlineLevel="0" collapsed="false">
      <c r="B2763" s="48" t="n">
        <v>45905.0272569444</v>
      </c>
      <c r="C2763" s="4" t="n">
        <f aca="false">YEAR(B2763)</f>
        <v>2025</v>
      </c>
      <c r="D2763" s="49" t="s">
        <v>283</v>
      </c>
      <c r="E2763" s="49" t="s">
        <v>5769</v>
      </c>
      <c r="F2763" s="50" t="n">
        <v>0</v>
      </c>
      <c r="G2763" s="49" t="s">
        <v>280</v>
      </c>
      <c r="H2763" s="51" t="n">
        <v>0.7717</v>
      </c>
      <c r="I2763" s="51" t="n">
        <v>0.2127</v>
      </c>
      <c r="J2763" s="51" t="n">
        <v>0.0156</v>
      </c>
      <c r="K2763" s="49"/>
      <c r="L2763" s="49"/>
      <c r="M2763" s="49"/>
      <c r="N2763" s="49"/>
      <c r="O2763" s="49"/>
      <c r="P2763" s="49"/>
      <c r="Q2763" s="49"/>
      <c r="R2763" s="49"/>
      <c r="S2763" s="49" t="n">
        <v>0</v>
      </c>
      <c r="T2763" s="49" t="n">
        <v>0</v>
      </c>
      <c r="U2763" s="49" t="s">
        <v>5770</v>
      </c>
    </row>
    <row r="2764" customFormat="false" ht="15" hidden="false" customHeight="false" outlineLevel="0" collapsed="false">
      <c r="B2764" s="48" t="n">
        <v>45905.0812268519</v>
      </c>
      <c r="C2764" s="4" t="n">
        <f aca="false">YEAR(B2764)</f>
        <v>2025</v>
      </c>
      <c r="D2764" s="49" t="s">
        <v>283</v>
      </c>
      <c r="E2764" s="49" t="s">
        <v>5771</v>
      </c>
      <c r="F2764" s="50" t="n">
        <v>3</v>
      </c>
      <c r="G2764" s="49" t="s">
        <v>287</v>
      </c>
      <c r="H2764" s="51" t="n">
        <v>0.0181</v>
      </c>
      <c r="I2764" s="51" t="n">
        <v>0.3629</v>
      </c>
      <c r="J2764" s="51" t="n">
        <v>0.6189</v>
      </c>
      <c r="K2764" s="49"/>
      <c r="L2764" s="49"/>
      <c r="M2764" s="49"/>
      <c r="N2764" s="49"/>
      <c r="O2764" s="49"/>
      <c r="P2764" s="49"/>
      <c r="Q2764" s="49"/>
      <c r="R2764" s="49"/>
      <c r="S2764" s="49" t="n">
        <v>0</v>
      </c>
      <c r="T2764" s="49" t="n">
        <v>0</v>
      </c>
      <c r="U2764" s="49" t="s">
        <v>5772</v>
      </c>
    </row>
    <row r="2765" customFormat="false" ht="15" hidden="false" customHeight="false" outlineLevel="0" collapsed="false">
      <c r="B2765" s="48" t="n">
        <v>45905.248125</v>
      </c>
      <c r="C2765" s="4" t="n">
        <f aca="false">YEAR(B2765)</f>
        <v>2025</v>
      </c>
      <c r="D2765" s="49" t="s">
        <v>278</v>
      </c>
      <c r="E2765" s="49" t="s">
        <v>5773</v>
      </c>
      <c r="F2765" s="50" t="n">
        <v>155</v>
      </c>
      <c r="G2765" s="49" t="s">
        <v>280</v>
      </c>
      <c r="H2765" s="51" t="n">
        <v>0.9211</v>
      </c>
      <c r="I2765" s="51" t="n">
        <v>0.0728</v>
      </c>
      <c r="J2765" s="51" t="n">
        <v>0.0061</v>
      </c>
      <c r="K2765" s="49"/>
      <c r="L2765" s="49"/>
      <c r="M2765" s="49"/>
      <c r="N2765" s="49"/>
      <c r="O2765" s="49"/>
      <c r="P2765" s="49"/>
      <c r="Q2765" s="49" t="s">
        <v>281</v>
      </c>
      <c r="R2765" s="49"/>
      <c r="S2765" s="49" t="n">
        <v>0</v>
      </c>
      <c r="T2765" s="49" t="n">
        <v>0</v>
      </c>
      <c r="U2765" s="49" t="s">
        <v>5774</v>
      </c>
    </row>
    <row r="2766" customFormat="false" ht="15" hidden="false" customHeight="false" outlineLevel="0" collapsed="false">
      <c r="B2766" s="48" t="n">
        <v>45905.4650578704</v>
      </c>
      <c r="C2766" s="4" t="n">
        <f aca="false">YEAR(B2766)</f>
        <v>2025</v>
      </c>
      <c r="D2766" s="49" t="s">
        <v>278</v>
      </c>
      <c r="E2766" s="49" t="s">
        <v>5775</v>
      </c>
      <c r="F2766" s="50" t="n">
        <v>32</v>
      </c>
      <c r="G2766" s="49" t="s">
        <v>290</v>
      </c>
      <c r="H2766" s="51" t="n">
        <v>0.1999</v>
      </c>
      <c r="I2766" s="51" t="n">
        <v>0.7492</v>
      </c>
      <c r="J2766" s="51" t="n">
        <v>0.0509</v>
      </c>
      <c r="K2766" s="49"/>
      <c r="L2766" s="49"/>
      <c r="M2766" s="49" t="s">
        <v>281</v>
      </c>
      <c r="N2766" s="49"/>
      <c r="O2766" s="49"/>
      <c r="P2766" s="49"/>
      <c r="Q2766" s="49" t="s">
        <v>281</v>
      </c>
      <c r="R2766" s="49"/>
      <c r="S2766" s="49" t="n">
        <v>0</v>
      </c>
      <c r="T2766" s="49" t="n">
        <v>0</v>
      </c>
      <c r="U2766" s="49" t="s">
        <v>5776</v>
      </c>
    </row>
    <row r="2767" customFormat="false" ht="15" hidden="false" customHeight="false" outlineLevel="0" collapsed="false">
      <c r="B2767" s="48" t="n">
        <v>45905.6244097222</v>
      </c>
      <c r="C2767" s="4" t="n">
        <f aca="false">YEAR(B2767)</f>
        <v>2025</v>
      </c>
      <c r="D2767" s="49" t="s">
        <v>278</v>
      </c>
      <c r="E2767" s="49" t="s">
        <v>5777</v>
      </c>
      <c r="F2767" s="50" t="n">
        <v>0</v>
      </c>
      <c r="G2767" s="49" t="s">
        <v>280</v>
      </c>
      <c r="H2767" s="51" t="n">
        <v>0.6414</v>
      </c>
      <c r="I2767" s="51" t="n">
        <v>0.3433</v>
      </c>
      <c r="J2767" s="51" t="n">
        <v>0.0153</v>
      </c>
      <c r="K2767" s="49"/>
      <c r="L2767" s="49"/>
      <c r="M2767" s="49"/>
      <c r="N2767" s="49"/>
      <c r="O2767" s="49"/>
      <c r="P2767" s="49"/>
      <c r="Q2767" s="49"/>
      <c r="R2767" s="49" t="s">
        <v>281</v>
      </c>
      <c r="S2767" s="49" t="n">
        <v>0</v>
      </c>
      <c r="T2767" s="49" t="n">
        <v>0</v>
      </c>
      <c r="U2767" s="49" t="s">
        <v>5778</v>
      </c>
    </row>
    <row r="2768" customFormat="false" ht="15" hidden="false" customHeight="false" outlineLevel="0" collapsed="false">
      <c r="B2768" s="48" t="n">
        <v>45906.7212962963</v>
      </c>
      <c r="C2768" s="4" t="n">
        <f aca="false">YEAR(B2768)</f>
        <v>2025</v>
      </c>
      <c r="D2768" s="49" t="s">
        <v>278</v>
      </c>
      <c r="E2768" s="49" t="s">
        <v>5779</v>
      </c>
      <c r="F2768" s="50" t="n">
        <v>3</v>
      </c>
      <c r="G2768" s="49" t="s">
        <v>280</v>
      </c>
      <c r="H2768" s="51" t="n">
        <v>0.6908</v>
      </c>
      <c r="I2768" s="51" t="n">
        <v>0.2903</v>
      </c>
      <c r="J2768" s="51" t="n">
        <v>0.0189</v>
      </c>
      <c r="K2768" s="49"/>
      <c r="L2768" s="49"/>
      <c r="M2768" s="49"/>
      <c r="N2768" s="49"/>
      <c r="O2768" s="49"/>
      <c r="P2768" s="49"/>
      <c r="Q2768" s="49"/>
      <c r="R2768" s="49"/>
      <c r="S2768" s="49" t="n">
        <v>0</v>
      </c>
      <c r="T2768" s="49" t="n">
        <v>0</v>
      </c>
      <c r="U2768" s="49" t="s">
        <v>5780</v>
      </c>
    </row>
    <row r="2769" customFormat="false" ht="15" hidden="false" customHeight="false" outlineLevel="0" collapsed="false">
      <c r="B2769" s="48" t="n">
        <v>45907.0390509259</v>
      </c>
      <c r="C2769" s="4" t="n">
        <f aca="false">YEAR(B2769)</f>
        <v>2025</v>
      </c>
      <c r="D2769" s="49" t="s">
        <v>278</v>
      </c>
      <c r="E2769" s="49" t="s">
        <v>5781</v>
      </c>
      <c r="F2769" s="50" t="n">
        <v>2</v>
      </c>
      <c r="G2769" s="49" t="s">
        <v>290</v>
      </c>
      <c r="H2769" s="51" t="n">
        <v>0.3842</v>
      </c>
      <c r="I2769" s="51" t="n">
        <v>0.594</v>
      </c>
      <c r="J2769" s="51" t="n">
        <v>0.0217</v>
      </c>
      <c r="K2769" s="49"/>
      <c r="L2769" s="49"/>
      <c r="M2769" s="49"/>
      <c r="N2769" s="49"/>
      <c r="O2769" s="49"/>
      <c r="P2769" s="49"/>
      <c r="Q2769" s="49"/>
      <c r="R2769" s="49"/>
      <c r="S2769" s="49" t="n">
        <v>0</v>
      </c>
      <c r="T2769" s="49" t="n">
        <v>0</v>
      </c>
      <c r="U2769" s="49" t="s">
        <v>5782</v>
      </c>
    </row>
    <row r="2770" customFormat="false" ht="15" hidden="false" customHeight="false" outlineLevel="0" collapsed="false">
      <c r="B2770" s="48" t="n">
        <v>45907.4920601852</v>
      </c>
      <c r="C2770" s="4" t="n">
        <f aca="false">YEAR(B2770)</f>
        <v>2025</v>
      </c>
      <c r="D2770" s="49" t="s">
        <v>283</v>
      </c>
      <c r="E2770" s="49" t="s">
        <v>5783</v>
      </c>
      <c r="F2770" s="50" t="n">
        <v>7</v>
      </c>
      <c r="G2770" s="49" t="s">
        <v>287</v>
      </c>
      <c r="H2770" s="51" t="n">
        <v>0.0147</v>
      </c>
      <c r="I2770" s="51" t="n">
        <v>0.2856</v>
      </c>
      <c r="J2770" s="51" t="n">
        <v>0.6997</v>
      </c>
      <c r="K2770" s="49"/>
      <c r="L2770" s="49"/>
      <c r="M2770" s="49"/>
      <c r="N2770" s="49"/>
      <c r="O2770" s="49"/>
      <c r="P2770" s="49"/>
      <c r="Q2770" s="49"/>
      <c r="R2770" s="49"/>
      <c r="S2770" s="49" t="n">
        <v>0</v>
      </c>
      <c r="T2770" s="49" t="n">
        <v>0</v>
      </c>
      <c r="U2770" s="49" t="s">
        <v>5784</v>
      </c>
    </row>
    <row r="2771" customFormat="false" ht="15" hidden="false" customHeight="false" outlineLevel="0" collapsed="false">
      <c r="B2771" s="48" t="n">
        <v>45907.7336226852</v>
      </c>
      <c r="C2771" s="4" t="n">
        <f aca="false">YEAR(B2771)</f>
        <v>2025</v>
      </c>
      <c r="D2771" s="49" t="s">
        <v>283</v>
      </c>
      <c r="E2771" s="49" t="s">
        <v>5785</v>
      </c>
      <c r="F2771" s="50" t="n">
        <v>0</v>
      </c>
      <c r="G2771" s="49" t="s">
        <v>287</v>
      </c>
      <c r="H2771" s="51" t="n">
        <v>0.032</v>
      </c>
      <c r="I2771" s="51" t="n">
        <v>0.2592</v>
      </c>
      <c r="J2771" s="51" t="n">
        <v>0.7088</v>
      </c>
      <c r="K2771" s="49"/>
      <c r="L2771" s="49"/>
      <c r="M2771" s="49"/>
      <c r="N2771" s="49"/>
      <c r="O2771" s="49"/>
      <c r="P2771" s="49"/>
      <c r="Q2771" s="49"/>
      <c r="R2771" s="49" t="s">
        <v>281</v>
      </c>
      <c r="S2771" s="49" t="n">
        <v>0</v>
      </c>
      <c r="T2771" s="49" t="n">
        <v>0</v>
      </c>
      <c r="U2771" s="49" t="s">
        <v>5786</v>
      </c>
    </row>
    <row r="2772" customFormat="false" ht="15" hidden="false" customHeight="false" outlineLevel="0" collapsed="false">
      <c r="B2772" s="48" t="n">
        <v>45908.2935069444</v>
      </c>
      <c r="C2772" s="4" t="n">
        <f aca="false">YEAR(B2772)</f>
        <v>2025</v>
      </c>
      <c r="D2772" s="49" t="s">
        <v>283</v>
      </c>
      <c r="E2772" s="49" t="s">
        <v>5787</v>
      </c>
      <c r="F2772" s="50" t="n">
        <v>3</v>
      </c>
      <c r="G2772" s="49" t="s">
        <v>280</v>
      </c>
      <c r="H2772" s="51" t="n">
        <v>0.8573</v>
      </c>
      <c r="I2772" s="51" t="n">
        <v>0.1112</v>
      </c>
      <c r="J2772" s="51" t="n">
        <v>0.0314</v>
      </c>
      <c r="K2772" s="49"/>
      <c r="L2772" s="49"/>
      <c r="M2772" s="49"/>
      <c r="N2772" s="49"/>
      <c r="O2772" s="49"/>
      <c r="P2772" s="49"/>
      <c r="Q2772" s="49" t="s">
        <v>281</v>
      </c>
      <c r="R2772" s="49"/>
      <c r="S2772" s="49" t="n">
        <v>0</v>
      </c>
      <c r="T2772" s="49" t="n">
        <v>0</v>
      </c>
      <c r="U2772" s="49" t="s">
        <v>5788</v>
      </c>
    </row>
    <row r="2773" customFormat="false" ht="15" hidden="false" customHeight="false" outlineLevel="0" collapsed="false">
      <c r="B2773" s="48" t="n">
        <v>45908.4319560185</v>
      </c>
      <c r="C2773" s="4" t="n">
        <f aca="false">YEAR(B2773)</f>
        <v>2025</v>
      </c>
      <c r="D2773" s="49" t="s">
        <v>283</v>
      </c>
      <c r="E2773" s="49" t="s">
        <v>5789</v>
      </c>
      <c r="F2773" s="50" t="n">
        <v>4</v>
      </c>
      <c r="G2773" s="49" t="s">
        <v>287</v>
      </c>
      <c r="H2773" s="51" t="n">
        <v>0.0061</v>
      </c>
      <c r="I2773" s="51" t="n">
        <v>0.0774</v>
      </c>
      <c r="J2773" s="51" t="n">
        <v>0.9165</v>
      </c>
      <c r="K2773" s="49"/>
      <c r="L2773" s="49"/>
      <c r="M2773" s="49"/>
      <c r="N2773" s="49"/>
      <c r="O2773" s="49"/>
      <c r="P2773" s="49"/>
      <c r="Q2773" s="49"/>
      <c r="R2773" s="49"/>
      <c r="S2773" s="49" t="n">
        <v>0</v>
      </c>
      <c r="T2773" s="49" t="n">
        <v>0</v>
      </c>
      <c r="U2773" s="49" t="s">
        <v>5790</v>
      </c>
    </row>
    <row r="2774" customFormat="false" ht="15" hidden="false" customHeight="false" outlineLevel="0" collapsed="false">
      <c r="B2774" s="48" t="n">
        <v>45908.5461805556</v>
      </c>
      <c r="C2774" s="4" t="n">
        <f aca="false">YEAR(B2774)</f>
        <v>2025</v>
      </c>
      <c r="D2774" s="49" t="s">
        <v>278</v>
      </c>
      <c r="E2774" s="49" t="s">
        <v>5791</v>
      </c>
      <c r="F2774" s="50" t="n">
        <v>10</v>
      </c>
      <c r="G2774" s="49" t="s">
        <v>280</v>
      </c>
      <c r="H2774" s="51" t="n">
        <v>0.9111</v>
      </c>
      <c r="I2774" s="51" t="n">
        <v>0.0778</v>
      </c>
      <c r="J2774" s="51" t="n">
        <v>0.0111</v>
      </c>
      <c r="K2774" s="49"/>
      <c r="L2774" s="49"/>
      <c r="M2774" s="49"/>
      <c r="N2774" s="49"/>
      <c r="O2774" s="49"/>
      <c r="P2774" s="49"/>
      <c r="Q2774" s="49"/>
      <c r="R2774" s="49"/>
      <c r="S2774" s="49" t="n">
        <v>0</v>
      </c>
      <c r="T2774" s="49" t="n">
        <v>0</v>
      </c>
      <c r="U2774" s="49" t="s">
        <v>5792</v>
      </c>
    </row>
    <row r="2775" customFormat="false" ht="15" hidden="false" customHeight="false" outlineLevel="0" collapsed="false">
      <c r="B2775" s="48" t="n">
        <v>45908.6515856482</v>
      </c>
      <c r="C2775" s="4" t="n">
        <f aca="false">YEAR(B2775)</f>
        <v>2025</v>
      </c>
      <c r="D2775" s="49" t="s">
        <v>283</v>
      </c>
      <c r="E2775" s="49" t="s">
        <v>5793</v>
      </c>
      <c r="F2775" s="50" t="n">
        <v>4</v>
      </c>
      <c r="G2775" s="49" t="s">
        <v>287</v>
      </c>
      <c r="H2775" s="51" t="n">
        <v>0.0027</v>
      </c>
      <c r="I2775" s="51" t="n">
        <v>0.0863</v>
      </c>
      <c r="J2775" s="51" t="n">
        <v>0.911</v>
      </c>
      <c r="K2775" s="49"/>
      <c r="L2775" s="49"/>
      <c r="M2775" s="49"/>
      <c r="N2775" s="49"/>
      <c r="O2775" s="49"/>
      <c r="P2775" s="49"/>
      <c r="Q2775" s="49"/>
      <c r="R2775" s="49"/>
      <c r="S2775" s="49" t="n">
        <v>0</v>
      </c>
      <c r="T2775" s="49" t="n">
        <v>0</v>
      </c>
      <c r="U2775" s="49" t="s">
        <v>5794</v>
      </c>
    </row>
    <row r="2776" customFormat="false" ht="15" hidden="false" customHeight="false" outlineLevel="0" collapsed="false">
      <c r="B2776" s="48" t="n">
        <v>45908.8088078704</v>
      </c>
      <c r="C2776" s="4" t="n">
        <f aca="false">YEAR(B2776)</f>
        <v>2025</v>
      </c>
      <c r="D2776" s="49" t="s">
        <v>283</v>
      </c>
      <c r="E2776" s="49" t="s">
        <v>5795</v>
      </c>
      <c r="F2776" s="50" t="n">
        <v>16</v>
      </c>
      <c r="G2776" s="49" t="s">
        <v>287</v>
      </c>
      <c r="H2776" s="51" t="n">
        <v>0.0042</v>
      </c>
      <c r="I2776" s="51" t="n">
        <v>0.0323</v>
      </c>
      <c r="J2776" s="51" t="n">
        <v>0.9635</v>
      </c>
      <c r="K2776" s="49"/>
      <c r="L2776" s="49"/>
      <c r="M2776" s="49"/>
      <c r="N2776" s="49"/>
      <c r="O2776" s="49"/>
      <c r="P2776" s="49"/>
      <c r="Q2776" s="49"/>
      <c r="R2776" s="49"/>
      <c r="S2776" s="49" t="n">
        <v>0</v>
      </c>
      <c r="T2776" s="49" t="n">
        <v>0</v>
      </c>
      <c r="U2776" s="49" t="s">
        <v>5796</v>
      </c>
    </row>
    <row r="2777" customFormat="false" ht="15" hidden="false" customHeight="false" outlineLevel="0" collapsed="false">
      <c r="B2777" s="48" t="n">
        <v>45909.0737384259</v>
      </c>
      <c r="C2777" s="4" t="n">
        <f aca="false">YEAR(B2777)</f>
        <v>2025</v>
      </c>
      <c r="D2777" s="49" t="s">
        <v>283</v>
      </c>
      <c r="E2777" s="49" t="s">
        <v>5797</v>
      </c>
      <c r="F2777" s="50" t="n">
        <v>1</v>
      </c>
      <c r="G2777" s="49" t="s">
        <v>287</v>
      </c>
      <c r="H2777" s="51" t="n">
        <v>0.0092</v>
      </c>
      <c r="I2777" s="51" t="n">
        <v>0.3489</v>
      </c>
      <c r="J2777" s="51" t="n">
        <v>0.6419</v>
      </c>
      <c r="K2777" s="49"/>
      <c r="L2777" s="49"/>
      <c r="M2777" s="49"/>
      <c r="N2777" s="49"/>
      <c r="O2777" s="49"/>
      <c r="P2777" s="49" t="s">
        <v>281</v>
      </c>
      <c r="Q2777" s="49"/>
      <c r="R2777" s="49"/>
      <c r="S2777" s="49" t="n">
        <v>0</v>
      </c>
      <c r="T2777" s="49" t="n">
        <v>0</v>
      </c>
      <c r="U2777" s="49" t="s">
        <v>5798</v>
      </c>
    </row>
    <row r="2778" customFormat="false" ht="15" hidden="false" customHeight="false" outlineLevel="0" collapsed="false">
      <c r="B2778" s="48" t="n">
        <v>45909.2389467593</v>
      </c>
      <c r="C2778" s="4" t="n">
        <f aca="false">YEAR(B2778)</f>
        <v>2025</v>
      </c>
      <c r="D2778" s="49" t="s">
        <v>283</v>
      </c>
      <c r="E2778" s="49" t="s">
        <v>5799</v>
      </c>
      <c r="F2778" s="50" t="n">
        <v>0</v>
      </c>
      <c r="G2778" s="49" t="s">
        <v>287</v>
      </c>
      <c r="H2778" s="51" t="n">
        <v>0.004</v>
      </c>
      <c r="I2778" s="51" t="n">
        <v>0.2613</v>
      </c>
      <c r="J2778" s="51" t="n">
        <v>0.7347</v>
      </c>
      <c r="K2778" s="49"/>
      <c r="L2778" s="49"/>
      <c r="M2778" s="49"/>
      <c r="N2778" s="49"/>
      <c r="O2778" s="49"/>
      <c r="P2778" s="49"/>
      <c r="Q2778" s="49"/>
      <c r="R2778" s="49"/>
      <c r="S2778" s="49" t="n">
        <v>0</v>
      </c>
      <c r="T2778" s="49" t="n">
        <v>0</v>
      </c>
      <c r="U2778" s="49" t="s">
        <v>5800</v>
      </c>
    </row>
    <row r="2779" customFormat="false" ht="15" hidden="false" customHeight="false" outlineLevel="0" collapsed="false">
      <c r="B2779" s="48" t="n">
        <v>45909.8588888889</v>
      </c>
      <c r="C2779" s="4" t="n">
        <f aca="false">YEAR(B2779)</f>
        <v>2025</v>
      </c>
      <c r="D2779" s="49" t="s">
        <v>283</v>
      </c>
      <c r="E2779" s="49" t="s">
        <v>5801</v>
      </c>
      <c r="F2779" s="50" t="n">
        <v>2</v>
      </c>
      <c r="G2779" s="49" t="s">
        <v>290</v>
      </c>
      <c r="H2779" s="51" t="n">
        <v>0.2135</v>
      </c>
      <c r="I2779" s="51" t="n">
        <v>0.74</v>
      </c>
      <c r="J2779" s="51" t="n">
        <v>0.0465</v>
      </c>
      <c r="K2779" s="49"/>
      <c r="L2779" s="49"/>
      <c r="M2779" s="49"/>
      <c r="N2779" s="49"/>
      <c r="O2779" s="49"/>
      <c r="P2779" s="49"/>
      <c r="Q2779" s="49"/>
      <c r="R2779" s="49"/>
      <c r="S2779" s="49" t="n">
        <v>0</v>
      </c>
      <c r="T2779" s="49" t="n">
        <v>0</v>
      </c>
      <c r="U2779" s="49" t="s">
        <v>5802</v>
      </c>
    </row>
    <row r="2780" customFormat="false" ht="15" hidden="false" customHeight="false" outlineLevel="0" collapsed="false">
      <c r="B2780" s="48" t="n">
        <v>45910.4221875</v>
      </c>
      <c r="C2780" s="4" t="n">
        <f aca="false">YEAR(B2780)</f>
        <v>2025</v>
      </c>
      <c r="D2780" s="49" t="s">
        <v>283</v>
      </c>
      <c r="E2780" s="49" t="s">
        <v>5803</v>
      </c>
      <c r="F2780" s="50" t="n">
        <v>1</v>
      </c>
      <c r="G2780" s="49" t="s">
        <v>280</v>
      </c>
      <c r="H2780" s="51" t="n">
        <v>0.9442</v>
      </c>
      <c r="I2780" s="51" t="n">
        <v>0.0509</v>
      </c>
      <c r="J2780" s="51" t="n">
        <v>0.0049</v>
      </c>
      <c r="K2780" s="49"/>
      <c r="L2780" s="49"/>
      <c r="M2780" s="49"/>
      <c r="N2780" s="49"/>
      <c r="O2780" s="49"/>
      <c r="P2780" s="49"/>
      <c r="Q2780" s="49"/>
      <c r="R2780" s="49"/>
      <c r="S2780" s="49" t="n">
        <v>1</v>
      </c>
      <c r="T2780" s="49" t="n">
        <v>0</v>
      </c>
      <c r="U2780" s="49" t="s">
        <v>5804</v>
      </c>
    </row>
    <row r="2781" customFormat="false" ht="15" hidden="false" customHeight="false" outlineLevel="0" collapsed="false">
      <c r="B2781" s="48" t="n">
        <v>45910.4541666667</v>
      </c>
      <c r="C2781" s="4" t="n">
        <f aca="false">YEAR(B2781)</f>
        <v>2025</v>
      </c>
      <c r="D2781" s="49" t="s">
        <v>283</v>
      </c>
      <c r="E2781" s="49" t="s">
        <v>5805</v>
      </c>
      <c r="F2781" s="50" t="n">
        <v>1</v>
      </c>
      <c r="G2781" s="49" t="s">
        <v>290</v>
      </c>
      <c r="H2781" s="51" t="n">
        <v>0.0145</v>
      </c>
      <c r="I2781" s="51" t="n">
        <v>0.9172</v>
      </c>
      <c r="J2781" s="51" t="n">
        <v>0.0684</v>
      </c>
      <c r="K2781" s="49"/>
      <c r="L2781" s="49"/>
      <c r="M2781" s="49"/>
      <c r="N2781" s="49"/>
      <c r="O2781" s="49"/>
      <c r="P2781" s="49"/>
      <c r="Q2781" s="49"/>
      <c r="R2781" s="49"/>
      <c r="S2781" s="49" t="n">
        <v>0</v>
      </c>
      <c r="T2781" s="49" t="n">
        <v>0</v>
      </c>
      <c r="U2781" s="49" t="s">
        <v>5806</v>
      </c>
    </row>
    <row r="2782" customFormat="false" ht="15" hidden="false" customHeight="false" outlineLevel="0" collapsed="false">
      <c r="B2782" s="48" t="n">
        <v>45911.408125</v>
      </c>
      <c r="C2782" s="4" t="n">
        <f aca="false">YEAR(B2782)</f>
        <v>2025</v>
      </c>
      <c r="D2782" s="49" t="s">
        <v>283</v>
      </c>
      <c r="E2782" s="49" t="s">
        <v>5807</v>
      </c>
      <c r="F2782" s="50" t="n">
        <v>1</v>
      </c>
      <c r="G2782" s="49" t="s">
        <v>280</v>
      </c>
      <c r="H2782" s="51" t="n">
        <v>0.5179</v>
      </c>
      <c r="I2782" s="51" t="n">
        <v>0.4718</v>
      </c>
      <c r="J2782" s="51" t="n">
        <v>0.0104</v>
      </c>
      <c r="K2782" s="49"/>
      <c r="L2782" s="49"/>
      <c r="M2782" s="49"/>
      <c r="N2782" s="49"/>
      <c r="O2782" s="49"/>
      <c r="P2782" s="49"/>
      <c r="Q2782" s="49"/>
      <c r="R2782" s="49"/>
      <c r="S2782" s="49" t="n">
        <v>0</v>
      </c>
      <c r="T2782" s="49" t="n">
        <v>0</v>
      </c>
      <c r="U2782" s="49" t="s">
        <v>5808</v>
      </c>
    </row>
    <row r="2783" customFormat="false" ht="15" hidden="false" customHeight="false" outlineLevel="0" collapsed="false">
      <c r="B2783" s="48" t="n">
        <v>45912.0705902778</v>
      </c>
      <c r="C2783" s="4" t="n">
        <f aca="false">YEAR(B2783)</f>
        <v>2025</v>
      </c>
      <c r="D2783" s="49" t="s">
        <v>278</v>
      </c>
      <c r="E2783" s="49" t="s">
        <v>5809</v>
      </c>
      <c r="F2783" s="50" t="n">
        <v>5</v>
      </c>
      <c r="G2783" s="49" t="s">
        <v>280</v>
      </c>
      <c r="H2783" s="51" t="n">
        <v>0.5844</v>
      </c>
      <c r="I2783" s="51" t="n">
        <v>0.3945</v>
      </c>
      <c r="J2783" s="51" t="n">
        <v>0.0211</v>
      </c>
      <c r="K2783" s="49"/>
      <c r="L2783" s="49"/>
      <c r="M2783" s="49"/>
      <c r="N2783" s="49"/>
      <c r="O2783" s="49"/>
      <c r="P2783" s="49"/>
      <c r="Q2783" s="49"/>
      <c r="R2783" s="49" t="s">
        <v>281</v>
      </c>
      <c r="S2783" s="49" t="n">
        <v>0</v>
      </c>
      <c r="T2783" s="49" t="n">
        <v>0</v>
      </c>
      <c r="U2783" s="49" t="s">
        <v>5810</v>
      </c>
    </row>
    <row r="2784" customFormat="false" ht="15" hidden="false" customHeight="false" outlineLevel="0" collapsed="false">
      <c r="B2784" s="48" t="n">
        <v>45912.1316782407</v>
      </c>
      <c r="C2784" s="4" t="n">
        <f aca="false">YEAR(B2784)</f>
        <v>2025</v>
      </c>
      <c r="D2784" s="49" t="s">
        <v>278</v>
      </c>
      <c r="E2784" s="49" t="s">
        <v>5811</v>
      </c>
      <c r="F2784" s="50" t="n">
        <v>11</v>
      </c>
      <c r="G2784" s="49" t="s">
        <v>280</v>
      </c>
      <c r="H2784" s="51" t="n">
        <v>0.9237</v>
      </c>
      <c r="I2784" s="51" t="n">
        <v>0.0657</v>
      </c>
      <c r="J2784" s="51" t="n">
        <v>0.0106</v>
      </c>
      <c r="K2784" s="49"/>
      <c r="L2784" s="49"/>
      <c r="M2784" s="49"/>
      <c r="N2784" s="49"/>
      <c r="O2784" s="49"/>
      <c r="P2784" s="49"/>
      <c r="Q2784" s="49" t="s">
        <v>281</v>
      </c>
      <c r="R2784" s="49" t="s">
        <v>281</v>
      </c>
      <c r="S2784" s="49" t="n">
        <v>0</v>
      </c>
      <c r="T2784" s="49" t="n">
        <v>0</v>
      </c>
      <c r="U2784" s="49" t="s">
        <v>5812</v>
      </c>
    </row>
    <row r="2785" customFormat="false" ht="15" hidden="false" customHeight="false" outlineLevel="0" collapsed="false">
      <c r="B2785" s="48" t="n">
        <v>45912.6662384259</v>
      </c>
      <c r="C2785" s="4" t="n">
        <f aca="false">YEAR(B2785)</f>
        <v>2025</v>
      </c>
      <c r="D2785" s="49" t="s">
        <v>278</v>
      </c>
      <c r="E2785" s="49" t="s">
        <v>5813</v>
      </c>
      <c r="F2785" s="50" t="n">
        <v>0</v>
      </c>
      <c r="G2785" s="49" t="s">
        <v>287</v>
      </c>
      <c r="H2785" s="51" t="n">
        <v>0.0028</v>
      </c>
      <c r="I2785" s="51" t="n">
        <v>0.06</v>
      </c>
      <c r="J2785" s="51" t="n">
        <v>0.9372</v>
      </c>
      <c r="K2785" s="49"/>
      <c r="L2785" s="49"/>
      <c r="M2785" s="49"/>
      <c r="N2785" s="49"/>
      <c r="O2785" s="49"/>
      <c r="P2785" s="49"/>
      <c r="Q2785" s="49"/>
      <c r="R2785" s="49"/>
      <c r="S2785" s="49" t="n">
        <v>0</v>
      </c>
      <c r="T2785" s="49" t="n">
        <v>0</v>
      </c>
      <c r="U2785" s="49" t="s">
        <v>5814</v>
      </c>
    </row>
    <row r="2786" customFormat="false" ht="15" hidden="false" customHeight="false" outlineLevel="0" collapsed="false">
      <c r="B2786" s="48" t="n">
        <v>45913.527962963</v>
      </c>
      <c r="C2786" s="4" t="n">
        <f aca="false">YEAR(B2786)</f>
        <v>2025</v>
      </c>
      <c r="D2786" s="49" t="s">
        <v>278</v>
      </c>
      <c r="E2786" s="49" t="s">
        <v>5815</v>
      </c>
      <c r="F2786" s="50" t="n">
        <v>6</v>
      </c>
      <c r="G2786" s="49" t="s">
        <v>290</v>
      </c>
      <c r="H2786" s="51" t="n">
        <v>0.024</v>
      </c>
      <c r="I2786" s="51" t="n">
        <v>0.6296</v>
      </c>
      <c r="J2786" s="51" t="n">
        <v>0.3464</v>
      </c>
      <c r="K2786" s="49"/>
      <c r="L2786" s="49"/>
      <c r="M2786" s="49"/>
      <c r="N2786" s="49"/>
      <c r="O2786" s="49"/>
      <c r="P2786" s="49"/>
      <c r="Q2786" s="49"/>
      <c r="R2786" s="49"/>
      <c r="S2786" s="49" t="n">
        <v>0</v>
      </c>
      <c r="T2786" s="49" t="n">
        <v>0</v>
      </c>
      <c r="U2786" s="49" t="s">
        <v>5816</v>
      </c>
    </row>
    <row r="2787" customFormat="false" ht="15" hidden="false" customHeight="false" outlineLevel="0" collapsed="false">
      <c r="B2787" s="48" t="n">
        <v>45913.6411689815</v>
      </c>
      <c r="C2787" s="4" t="n">
        <f aca="false">YEAR(B2787)</f>
        <v>2025</v>
      </c>
      <c r="D2787" s="49" t="s">
        <v>283</v>
      </c>
      <c r="E2787" s="49" t="s">
        <v>5817</v>
      </c>
      <c r="F2787" s="50" t="n">
        <v>1</v>
      </c>
      <c r="G2787" s="49" t="s">
        <v>287</v>
      </c>
      <c r="H2787" s="51" t="n">
        <v>0.0035</v>
      </c>
      <c r="I2787" s="51" t="n">
        <v>0.1039</v>
      </c>
      <c r="J2787" s="51" t="n">
        <v>0.8926</v>
      </c>
      <c r="K2787" s="49"/>
      <c r="L2787" s="49"/>
      <c r="M2787" s="49"/>
      <c r="N2787" s="49"/>
      <c r="O2787" s="49"/>
      <c r="P2787" s="49"/>
      <c r="Q2787" s="49"/>
      <c r="R2787" s="49"/>
      <c r="S2787" s="49" t="n">
        <v>0</v>
      </c>
      <c r="T2787" s="49" t="n">
        <v>0</v>
      </c>
      <c r="U2787" s="49" t="s">
        <v>5818</v>
      </c>
    </row>
    <row r="2788" customFormat="false" ht="15" hidden="false" customHeight="false" outlineLevel="0" collapsed="false">
      <c r="B2788" s="48" t="n">
        <v>45915.8036921296</v>
      </c>
      <c r="C2788" s="4" t="n">
        <f aca="false">YEAR(B2788)</f>
        <v>2025</v>
      </c>
      <c r="D2788" s="49" t="s">
        <v>278</v>
      </c>
      <c r="E2788" s="49" t="s">
        <v>5819</v>
      </c>
      <c r="F2788" s="50" t="n">
        <v>1</v>
      </c>
      <c r="G2788" s="49" t="s">
        <v>280</v>
      </c>
      <c r="H2788" s="51" t="n">
        <v>0.8316</v>
      </c>
      <c r="I2788" s="51" t="n">
        <v>0.1568</v>
      </c>
      <c r="J2788" s="51" t="n">
        <v>0.0116</v>
      </c>
      <c r="K2788" s="49"/>
      <c r="L2788" s="49"/>
      <c r="M2788" s="49"/>
      <c r="N2788" s="49"/>
      <c r="O2788" s="49"/>
      <c r="P2788" s="49"/>
      <c r="Q2788" s="49"/>
      <c r="R2788" s="49"/>
      <c r="S2788" s="49" t="n">
        <v>0</v>
      </c>
      <c r="T2788" s="49" t="n">
        <v>0</v>
      </c>
      <c r="U2788" s="49" t="s">
        <v>5820</v>
      </c>
    </row>
    <row r="2789" customFormat="false" ht="15" hidden="false" customHeight="false" outlineLevel="0" collapsed="false">
      <c r="B2789" s="48" t="n">
        <v>45917.4580787037</v>
      </c>
      <c r="C2789" s="4" t="n">
        <f aca="false">YEAR(B2789)</f>
        <v>2025</v>
      </c>
      <c r="D2789" s="49" t="s">
        <v>283</v>
      </c>
      <c r="E2789" s="49" t="s">
        <v>5821</v>
      </c>
      <c r="F2789" s="50" t="n">
        <v>1</v>
      </c>
      <c r="G2789" s="49" t="s">
        <v>290</v>
      </c>
      <c r="H2789" s="51" t="n">
        <v>0.0878</v>
      </c>
      <c r="I2789" s="51" t="n">
        <v>0.833</v>
      </c>
      <c r="J2789" s="51" t="n">
        <v>0.0792</v>
      </c>
      <c r="K2789" s="49"/>
      <c r="L2789" s="49"/>
      <c r="M2789" s="49"/>
      <c r="N2789" s="49"/>
      <c r="O2789" s="49"/>
      <c r="P2789" s="49"/>
      <c r="Q2789" s="49"/>
      <c r="R2789" s="49" t="s">
        <v>281</v>
      </c>
      <c r="S2789" s="49" t="n">
        <v>0</v>
      </c>
      <c r="T2789" s="49" t="n">
        <v>0</v>
      </c>
      <c r="U2789" s="49" t="s">
        <v>5822</v>
      </c>
    </row>
    <row r="2790" customFormat="false" ht="15" hidden="false" customHeight="false" outlineLevel="0" collapsed="false">
      <c r="B2790" s="48" t="n">
        <v>45917.5817476852</v>
      </c>
      <c r="C2790" s="4" t="n">
        <f aca="false">YEAR(B2790)</f>
        <v>2025</v>
      </c>
      <c r="D2790" s="49" t="s">
        <v>283</v>
      </c>
      <c r="E2790" s="49" t="s">
        <v>5823</v>
      </c>
      <c r="F2790" s="50" t="n">
        <v>1</v>
      </c>
      <c r="G2790" s="49" t="s">
        <v>287</v>
      </c>
      <c r="H2790" s="51" t="n">
        <v>0.0034</v>
      </c>
      <c r="I2790" s="51" t="n">
        <v>0.1279</v>
      </c>
      <c r="J2790" s="51" t="n">
        <v>0.8687</v>
      </c>
      <c r="K2790" s="49"/>
      <c r="L2790" s="49"/>
      <c r="M2790" s="49"/>
      <c r="N2790" s="49"/>
      <c r="O2790" s="49"/>
      <c r="P2790" s="49"/>
      <c r="Q2790" s="49"/>
      <c r="R2790" s="49"/>
      <c r="S2790" s="49" t="n">
        <v>0</v>
      </c>
      <c r="T2790" s="49" t="n">
        <v>0</v>
      </c>
      <c r="U2790" s="49" t="s">
        <v>5824</v>
      </c>
    </row>
    <row r="2791" customFormat="false" ht="15" hidden="false" customHeight="false" outlineLevel="0" collapsed="false">
      <c r="B2791" s="48" t="n">
        <v>45917.6635416667</v>
      </c>
      <c r="C2791" s="4" t="n">
        <f aca="false">YEAR(B2791)</f>
        <v>2025</v>
      </c>
      <c r="D2791" s="49" t="s">
        <v>278</v>
      </c>
      <c r="E2791" s="49" t="s">
        <v>5825</v>
      </c>
      <c r="F2791" s="50" t="n">
        <v>1</v>
      </c>
      <c r="G2791" s="49" t="s">
        <v>280</v>
      </c>
      <c r="H2791" s="51" t="n">
        <v>0.6572</v>
      </c>
      <c r="I2791" s="51" t="n">
        <v>0.3302</v>
      </c>
      <c r="J2791" s="51" t="n">
        <v>0.0126</v>
      </c>
      <c r="K2791" s="49"/>
      <c r="L2791" s="49"/>
      <c r="M2791" s="49"/>
      <c r="N2791" s="49"/>
      <c r="O2791" s="49"/>
      <c r="P2791" s="49"/>
      <c r="Q2791" s="49"/>
      <c r="R2791" s="49" t="s">
        <v>281</v>
      </c>
      <c r="S2791" s="49" t="n">
        <v>0</v>
      </c>
      <c r="T2791" s="49" t="n">
        <v>0</v>
      </c>
      <c r="U2791" s="49" t="s">
        <v>5826</v>
      </c>
    </row>
    <row r="2792" customFormat="false" ht="15" hidden="false" customHeight="false" outlineLevel="0" collapsed="false">
      <c r="B2792" s="48" t="n">
        <v>45917.9193171296</v>
      </c>
      <c r="C2792" s="4" t="n">
        <f aca="false">YEAR(B2792)</f>
        <v>2025</v>
      </c>
      <c r="D2792" s="49" t="s">
        <v>283</v>
      </c>
      <c r="E2792" s="49" t="s">
        <v>5827</v>
      </c>
      <c r="F2792" s="50" t="n">
        <v>13</v>
      </c>
      <c r="G2792" s="49" t="s">
        <v>287</v>
      </c>
      <c r="H2792" s="51" t="n">
        <v>0.0078</v>
      </c>
      <c r="I2792" s="51" t="n">
        <v>0.0626</v>
      </c>
      <c r="J2792" s="51" t="n">
        <v>0.9296</v>
      </c>
      <c r="K2792" s="49"/>
      <c r="L2792" s="49"/>
      <c r="M2792" s="49"/>
      <c r="N2792" s="49"/>
      <c r="O2792" s="49"/>
      <c r="P2792" s="49"/>
      <c r="Q2792" s="49"/>
      <c r="R2792" s="49"/>
      <c r="S2792" s="49" t="n">
        <v>0</v>
      </c>
      <c r="T2792" s="49" t="n">
        <v>0</v>
      </c>
      <c r="U2792" s="49" t="s">
        <v>5828</v>
      </c>
    </row>
    <row r="2793" customFormat="false" ht="15" hidden="false" customHeight="false" outlineLevel="0" collapsed="false">
      <c r="B2793" s="48" t="n">
        <v>45918.5780092593</v>
      </c>
      <c r="C2793" s="4" t="n">
        <f aca="false">YEAR(B2793)</f>
        <v>2025</v>
      </c>
      <c r="D2793" s="49" t="s">
        <v>283</v>
      </c>
      <c r="E2793" s="49" t="s">
        <v>5829</v>
      </c>
      <c r="F2793" s="50" t="n">
        <v>17</v>
      </c>
      <c r="G2793" s="49" t="s">
        <v>280</v>
      </c>
      <c r="H2793" s="51" t="n">
        <v>0.7976</v>
      </c>
      <c r="I2793" s="51" t="n">
        <v>0.1897</v>
      </c>
      <c r="J2793" s="51" t="n">
        <v>0.0127</v>
      </c>
      <c r="K2793" s="49"/>
      <c r="L2793" s="49"/>
      <c r="M2793" s="49" t="s">
        <v>281</v>
      </c>
      <c r="N2793" s="49"/>
      <c r="O2793" s="49"/>
      <c r="P2793" s="49"/>
      <c r="Q2793" s="49" t="s">
        <v>281</v>
      </c>
      <c r="R2793" s="49"/>
      <c r="S2793" s="49" t="n">
        <v>0</v>
      </c>
      <c r="T2793" s="49" t="n">
        <v>0</v>
      </c>
      <c r="U2793" s="49" t="s">
        <v>5830</v>
      </c>
    </row>
    <row r="2794" customFormat="false" ht="15" hidden="false" customHeight="false" outlineLevel="0" collapsed="false">
      <c r="B2794" s="48" t="n">
        <v>45918.8835532407</v>
      </c>
      <c r="C2794" s="4" t="n">
        <f aca="false">YEAR(B2794)</f>
        <v>2025</v>
      </c>
      <c r="D2794" s="49" t="s">
        <v>278</v>
      </c>
      <c r="E2794" s="49" t="s">
        <v>5831</v>
      </c>
      <c r="F2794" s="50" t="n">
        <v>1</v>
      </c>
      <c r="G2794" s="49" t="s">
        <v>280</v>
      </c>
      <c r="H2794" s="51" t="n">
        <v>0.6312</v>
      </c>
      <c r="I2794" s="51" t="n">
        <v>0.3494</v>
      </c>
      <c r="J2794" s="51" t="n">
        <v>0.0194</v>
      </c>
      <c r="K2794" s="49"/>
      <c r="L2794" s="49"/>
      <c r="M2794" s="49"/>
      <c r="N2794" s="49"/>
      <c r="O2794" s="49"/>
      <c r="P2794" s="49"/>
      <c r="Q2794" s="49"/>
      <c r="R2794" s="49"/>
      <c r="S2794" s="49" t="n">
        <v>0</v>
      </c>
      <c r="T2794" s="49" t="n">
        <v>0</v>
      </c>
      <c r="U2794" s="49" t="s">
        <v>5832</v>
      </c>
    </row>
    <row r="2795" customFormat="false" ht="15" hidden="false" customHeight="false" outlineLevel="0" collapsed="false">
      <c r="B2795" s="48" t="n">
        <v>45919.2401273148</v>
      </c>
      <c r="C2795" s="4" t="n">
        <f aca="false">YEAR(B2795)</f>
        <v>2025</v>
      </c>
      <c r="D2795" s="49" t="s">
        <v>283</v>
      </c>
      <c r="E2795" s="49" t="s">
        <v>5833</v>
      </c>
      <c r="F2795" s="50" t="n">
        <v>110</v>
      </c>
      <c r="G2795" s="49" t="s">
        <v>290</v>
      </c>
      <c r="H2795" s="51" t="n">
        <v>0.4514</v>
      </c>
      <c r="I2795" s="51" t="n">
        <v>0.5223</v>
      </c>
      <c r="J2795" s="51" t="n">
        <v>0.0263</v>
      </c>
      <c r="K2795" s="49"/>
      <c r="L2795" s="49"/>
      <c r="M2795" s="49"/>
      <c r="N2795" s="49"/>
      <c r="O2795" s="49" t="s">
        <v>281</v>
      </c>
      <c r="P2795" s="49"/>
      <c r="Q2795" s="49" t="s">
        <v>281</v>
      </c>
      <c r="R2795" s="49"/>
      <c r="S2795" s="49" t="n">
        <v>0</v>
      </c>
      <c r="T2795" s="49" t="n">
        <v>0</v>
      </c>
      <c r="U2795" s="49" t="s">
        <v>5834</v>
      </c>
    </row>
    <row r="2796" customFormat="false" ht="15" hidden="false" customHeight="false" outlineLevel="0" collapsed="false">
      <c r="B2796" s="48" t="n">
        <v>45919.2429166667</v>
      </c>
      <c r="C2796" s="4" t="n">
        <f aca="false">YEAR(B2796)</f>
        <v>2025</v>
      </c>
      <c r="D2796" s="49" t="s">
        <v>278</v>
      </c>
      <c r="E2796" s="49" t="s">
        <v>5835</v>
      </c>
      <c r="F2796" s="50" t="n">
        <v>139</v>
      </c>
      <c r="G2796" s="49" t="s">
        <v>280</v>
      </c>
      <c r="H2796" s="51" t="n">
        <v>0.8142</v>
      </c>
      <c r="I2796" s="51" t="n">
        <v>0.1703</v>
      </c>
      <c r="J2796" s="51" t="n">
        <v>0.0154</v>
      </c>
      <c r="K2796" s="49"/>
      <c r="L2796" s="49"/>
      <c r="M2796" s="49"/>
      <c r="N2796" s="49"/>
      <c r="O2796" s="49"/>
      <c r="P2796" s="49"/>
      <c r="Q2796" s="49" t="s">
        <v>281</v>
      </c>
      <c r="R2796" s="49"/>
      <c r="S2796" s="49" t="n">
        <v>0</v>
      </c>
      <c r="T2796" s="49" t="n">
        <v>0</v>
      </c>
      <c r="U2796" s="49" t="s">
        <v>5836</v>
      </c>
    </row>
    <row r="2797" customFormat="false" ht="15" hidden="false" customHeight="false" outlineLevel="0" collapsed="false">
      <c r="B2797" s="48" t="n">
        <v>45919.3165046296</v>
      </c>
      <c r="C2797" s="4" t="n">
        <f aca="false">YEAR(B2797)</f>
        <v>2025</v>
      </c>
      <c r="D2797" s="49" t="s">
        <v>278</v>
      </c>
      <c r="E2797" s="49" t="s">
        <v>5837</v>
      </c>
      <c r="F2797" s="50" t="n">
        <v>11</v>
      </c>
      <c r="G2797" s="49" t="s">
        <v>280</v>
      </c>
      <c r="H2797" s="51" t="n">
        <v>0.8682</v>
      </c>
      <c r="I2797" s="51" t="n">
        <v>0.1215</v>
      </c>
      <c r="J2797" s="51" t="n">
        <v>0.0102</v>
      </c>
      <c r="K2797" s="49" t="s">
        <v>281</v>
      </c>
      <c r="L2797" s="49"/>
      <c r="M2797" s="49"/>
      <c r="N2797" s="49"/>
      <c r="O2797" s="49"/>
      <c r="P2797" s="49"/>
      <c r="Q2797" s="49"/>
      <c r="R2797" s="49"/>
      <c r="S2797" s="49" t="n">
        <v>0</v>
      </c>
      <c r="T2797" s="49" t="n">
        <v>0</v>
      </c>
      <c r="U2797" s="49" t="s">
        <v>5838</v>
      </c>
    </row>
    <row r="2798" customFormat="false" ht="15" hidden="false" customHeight="false" outlineLevel="0" collapsed="false">
      <c r="B2798" s="48" t="n">
        <v>45919.3225810185</v>
      </c>
      <c r="C2798" s="4" t="n">
        <f aca="false">YEAR(B2798)</f>
        <v>2025</v>
      </c>
      <c r="D2798" s="49" t="s">
        <v>283</v>
      </c>
      <c r="E2798" s="49" t="s">
        <v>5839</v>
      </c>
      <c r="F2798" s="50" t="n">
        <v>5</v>
      </c>
      <c r="G2798" s="49" t="s">
        <v>290</v>
      </c>
      <c r="H2798" s="51" t="n">
        <v>0.2528</v>
      </c>
      <c r="I2798" s="51" t="n">
        <v>0.6732</v>
      </c>
      <c r="J2798" s="51" t="n">
        <v>0.074</v>
      </c>
      <c r="K2798" s="49"/>
      <c r="L2798" s="49"/>
      <c r="M2798" s="49"/>
      <c r="N2798" s="49"/>
      <c r="O2798" s="49"/>
      <c r="P2798" s="49"/>
      <c r="Q2798" s="49" t="s">
        <v>281</v>
      </c>
      <c r="R2798" s="49"/>
      <c r="S2798" s="49" t="n">
        <v>0</v>
      </c>
      <c r="T2798" s="49" t="n">
        <v>0</v>
      </c>
      <c r="U2798" s="49" t="s">
        <v>5840</v>
      </c>
    </row>
    <row r="2799" customFormat="false" ht="15" hidden="false" customHeight="false" outlineLevel="0" collapsed="false">
      <c r="B2799" s="48" t="n">
        <v>45920.2564467593</v>
      </c>
      <c r="C2799" s="4" t="n">
        <f aca="false">YEAR(B2799)</f>
        <v>2025</v>
      </c>
      <c r="D2799" s="49" t="s">
        <v>278</v>
      </c>
      <c r="E2799" s="49" t="s">
        <v>5841</v>
      </c>
      <c r="F2799" s="50" t="n">
        <v>1</v>
      </c>
      <c r="G2799" s="49" t="s">
        <v>287</v>
      </c>
      <c r="H2799" s="51" t="n">
        <v>0.0311</v>
      </c>
      <c r="I2799" s="51" t="n">
        <v>0.074</v>
      </c>
      <c r="J2799" s="51" t="n">
        <v>0.8949</v>
      </c>
      <c r="K2799" s="49"/>
      <c r="L2799" s="49"/>
      <c r="M2799" s="49"/>
      <c r="N2799" s="49"/>
      <c r="O2799" s="49"/>
      <c r="P2799" s="49"/>
      <c r="Q2799" s="49"/>
      <c r="R2799" s="49"/>
      <c r="S2799" s="49" t="n">
        <v>0</v>
      </c>
      <c r="T2799" s="49" t="n">
        <v>0</v>
      </c>
      <c r="U2799" s="49" t="s">
        <v>5842</v>
      </c>
    </row>
    <row r="2800" customFormat="false" ht="15" hidden="false" customHeight="false" outlineLevel="0" collapsed="false">
      <c r="B2800" s="48" t="n">
        <v>45920.7445833333</v>
      </c>
      <c r="C2800" s="4" t="n">
        <f aca="false">YEAR(B2800)</f>
        <v>2025</v>
      </c>
      <c r="D2800" s="49" t="s">
        <v>283</v>
      </c>
      <c r="E2800" s="49" t="s">
        <v>5843</v>
      </c>
      <c r="F2800" s="50" t="n">
        <v>1</v>
      </c>
      <c r="G2800" s="49" t="s">
        <v>280</v>
      </c>
      <c r="H2800" s="51" t="n">
        <v>0.515</v>
      </c>
      <c r="I2800" s="51" t="n">
        <v>0.4634</v>
      </c>
      <c r="J2800" s="51" t="n">
        <v>0.0216</v>
      </c>
      <c r="K2800" s="49"/>
      <c r="L2800" s="49"/>
      <c r="M2800" s="49"/>
      <c r="N2800" s="49"/>
      <c r="O2800" s="49"/>
      <c r="P2800" s="49"/>
      <c r="Q2800" s="49"/>
      <c r="R2800" s="49" t="s">
        <v>281</v>
      </c>
      <c r="S2800" s="49" t="n">
        <v>0</v>
      </c>
      <c r="T2800" s="49" t="n">
        <v>0</v>
      </c>
      <c r="U2800" s="49" t="s">
        <v>5844</v>
      </c>
    </row>
    <row r="2801" customFormat="false" ht="15" hidden="false" customHeight="false" outlineLevel="0" collapsed="false">
      <c r="B2801" s="48" t="n">
        <v>45920.8137268519</v>
      </c>
      <c r="C2801" s="4" t="n">
        <f aca="false">YEAR(B2801)</f>
        <v>2025</v>
      </c>
      <c r="D2801" s="49" t="s">
        <v>278</v>
      </c>
      <c r="E2801" s="49" t="s">
        <v>5845</v>
      </c>
      <c r="F2801" s="50" t="n">
        <v>1</v>
      </c>
      <c r="G2801" s="49" t="s">
        <v>287</v>
      </c>
      <c r="H2801" s="51" t="n">
        <v>0.034</v>
      </c>
      <c r="I2801" s="51" t="n">
        <v>0.2366</v>
      </c>
      <c r="J2801" s="51" t="n">
        <v>0.7295</v>
      </c>
      <c r="K2801" s="49" t="s">
        <v>281</v>
      </c>
      <c r="L2801" s="49"/>
      <c r="M2801" s="49"/>
      <c r="N2801" s="49"/>
      <c r="O2801" s="49"/>
      <c r="P2801" s="49"/>
      <c r="Q2801" s="49"/>
      <c r="R2801" s="49"/>
      <c r="S2801" s="49" t="n">
        <v>0</v>
      </c>
      <c r="T2801" s="49" t="n">
        <v>0</v>
      </c>
      <c r="U2801" s="49" t="s">
        <v>5846</v>
      </c>
    </row>
    <row r="2802" customFormat="false" ht="15" hidden="false" customHeight="false" outlineLevel="0" collapsed="false">
      <c r="B2802" s="48" t="n">
        <v>45921.832349537</v>
      </c>
      <c r="C2802" s="4" t="n">
        <f aca="false">YEAR(B2802)</f>
        <v>2025</v>
      </c>
      <c r="D2802" s="49" t="s">
        <v>283</v>
      </c>
      <c r="E2802" s="49" t="s">
        <v>5847</v>
      </c>
      <c r="F2802" s="50" t="n">
        <v>1</v>
      </c>
      <c r="G2802" s="49" t="s">
        <v>280</v>
      </c>
      <c r="H2802" s="51" t="n">
        <v>0.7528</v>
      </c>
      <c r="I2802" s="51" t="n">
        <v>0.2314</v>
      </c>
      <c r="J2802" s="51" t="n">
        <v>0.0158</v>
      </c>
      <c r="K2802" s="49"/>
      <c r="L2802" s="49"/>
      <c r="M2802" s="49"/>
      <c r="N2802" s="49"/>
      <c r="O2802" s="49"/>
      <c r="P2802" s="49"/>
      <c r="Q2802" s="49"/>
      <c r="R2802" s="49"/>
      <c r="S2802" s="49" t="n">
        <v>0</v>
      </c>
      <c r="T2802" s="49" t="n">
        <v>0</v>
      </c>
      <c r="U2802" s="49" t="s">
        <v>5848</v>
      </c>
    </row>
    <row r="2803" customFormat="false" ht="15" hidden="false" customHeight="false" outlineLevel="0" collapsed="false">
      <c r="B2803" s="48" t="n">
        <v>45921.8657407407</v>
      </c>
      <c r="C2803" s="4" t="n">
        <f aca="false">YEAR(B2803)</f>
        <v>2025</v>
      </c>
      <c r="D2803" s="49" t="s">
        <v>283</v>
      </c>
      <c r="E2803" s="49" t="s">
        <v>5849</v>
      </c>
      <c r="F2803" s="50" t="n">
        <v>8</v>
      </c>
      <c r="G2803" s="49" t="s">
        <v>287</v>
      </c>
      <c r="H2803" s="51" t="n">
        <v>0.0163</v>
      </c>
      <c r="I2803" s="51" t="n">
        <v>0.0652</v>
      </c>
      <c r="J2803" s="51" t="n">
        <v>0.9185</v>
      </c>
      <c r="K2803" s="49"/>
      <c r="L2803" s="49"/>
      <c r="M2803" s="49"/>
      <c r="N2803" s="49"/>
      <c r="O2803" s="49"/>
      <c r="P2803" s="49"/>
      <c r="Q2803" s="49"/>
      <c r="R2803" s="49" t="s">
        <v>281</v>
      </c>
      <c r="S2803" s="49" t="n">
        <v>0</v>
      </c>
      <c r="T2803" s="49" t="n">
        <v>0</v>
      </c>
      <c r="U2803" s="49" t="s">
        <v>5850</v>
      </c>
    </row>
    <row r="2804" customFormat="false" ht="15" hidden="false" customHeight="false" outlineLevel="0" collapsed="false">
      <c r="B2804" s="48" t="n">
        <v>45921.867349537</v>
      </c>
      <c r="C2804" s="4" t="n">
        <f aca="false">YEAR(B2804)</f>
        <v>2025</v>
      </c>
      <c r="D2804" s="49" t="s">
        <v>278</v>
      </c>
      <c r="E2804" s="49" t="s">
        <v>5849</v>
      </c>
      <c r="F2804" s="50" t="n">
        <v>21</v>
      </c>
      <c r="G2804" s="49" t="s">
        <v>287</v>
      </c>
      <c r="H2804" s="51" t="n">
        <v>0.0163</v>
      </c>
      <c r="I2804" s="51" t="n">
        <v>0.0652</v>
      </c>
      <c r="J2804" s="51" t="n">
        <v>0.9185</v>
      </c>
      <c r="K2804" s="49"/>
      <c r="L2804" s="49"/>
      <c r="M2804" s="49"/>
      <c r="N2804" s="49"/>
      <c r="O2804" s="49"/>
      <c r="P2804" s="49"/>
      <c r="Q2804" s="49"/>
      <c r="R2804" s="49" t="s">
        <v>281</v>
      </c>
      <c r="S2804" s="49" t="n">
        <v>0</v>
      </c>
      <c r="T2804" s="49" t="n">
        <v>0</v>
      </c>
      <c r="U2804" s="49" t="s">
        <v>5851</v>
      </c>
    </row>
    <row r="2805" customFormat="false" ht="15" hidden="false" customHeight="false" outlineLevel="0" collapsed="false">
      <c r="B2805" s="48" t="n">
        <v>45922.2554050926</v>
      </c>
      <c r="C2805" s="4" t="n">
        <f aca="false">YEAR(B2805)</f>
        <v>2025</v>
      </c>
      <c r="D2805" s="49" t="s">
        <v>283</v>
      </c>
      <c r="E2805" s="49" t="s">
        <v>5852</v>
      </c>
      <c r="F2805" s="50" t="n">
        <v>7</v>
      </c>
      <c r="G2805" s="49" t="s">
        <v>280</v>
      </c>
      <c r="H2805" s="51" t="n">
        <v>0.6623</v>
      </c>
      <c r="I2805" s="51" t="n">
        <v>0.3042</v>
      </c>
      <c r="J2805" s="51" t="n">
        <v>0.0335</v>
      </c>
      <c r="K2805" s="49"/>
      <c r="L2805" s="49"/>
      <c r="M2805" s="49"/>
      <c r="N2805" s="49"/>
      <c r="O2805" s="49"/>
      <c r="P2805" s="49"/>
      <c r="Q2805" s="49"/>
      <c r="R2805" s="49"/>
      <c r="S2805" s="49" t="n">
        <v>0</v>
      </c>
      <c r="T2805" s="49" t="n">
        <v>0</v>
      </c>
      <c r="U2805" s="49" t="s">
        <v>5853</v>
      </c>
    </row>
    <row r="2806" customFormat="false" ht="15" hidden="false" customHeight="false" outlineLevel="0" collapsed="false">
      <c r="B2806" s="48" t="n">
        <v>45923.0977314815</v>
      </c>
      <c r="C2806" s="4" t="n">
        <f aca="false">YEAR(B2806)</f>
        <v>2025</v>
      </c>
      <c r="D2806" s="49" t="s">
        <v>278</v>
      </c>
      <c r="E2806" s="49" t="s">
        <v>5854</v>
      </c>
      <c r="F2806" s="50" t="n">
        <v>5</v>
      </c>
      <c r="G2806" s="49" t="s">
        <v>280</v>
      </c>
      <c r="H2806" s="51" t="n">
        <v>0.5054</v>
      </c>
      <c r="I2806" s="51" t="n">
        <v>0.4294</v>
      </c>
      <c r="J2806" s="51" t="n">
        <v>0.0653</v>
      </c>
      <c r="K2806" s="49"/>
      <c r="L2806" s="49"/>
      <c r="M2806" s="49"/>
      <c r="N2806" s="49"/>
      <c r="O2806" s="49"/>
      <c r="P2806" s="49"/>
      <c r="Q2806" s="49"/>
      <c r="R2806" s="49"/>
      <c r="S2806" s="49" t="n">
        <v>0</v>
      </c>
      <c r="T2806" s="49" t="n">
        <v>0</v>
      </c>
      <c r="U2806" s="49" t="s">
        <v>5855</v>
      </c>
    </row>
    <row r="2807" customFormat="false" ht="15" hidden="false" customHeight="false" outlineLevel="0" collapsed="false">
      <c r="B2807" s="48" t="n">
        <v>45923.3316898148</v>
      </c>
      <c r="C2807" s="4" t="n">
        <f aca="false">YEAR(B2807)</f>
        <v>2025</v>
      </c>
      <c r="D2807" s="49" t="s">
        <v>283</v>
      </c>
      <c r="E2807" s="49" t="s">
        <v>5856</v>
      </c>
      <c r="F2807" s="50" t="n">
        <v>3</v>
      </c>
      <c r="G2807" s="49" t="s">
        <v>280</v>
      </c>
      <c r="H2807" s="51" t="n">
        <v>0.6183</v>
      </c>
      <c r="I2807" s="51" t="n">
        <v>0.3595</v>
      </c>
      <c r="J2807" s="51" t="n">
        <v>0.0222</v>
      </c>
      <c r="K2807" s="49"/>
      <c r="L2807" s="49"/>
      <c r="M2807" s="49"/>
      <c r="N2807" s="49"/>
      <c r="O2807" s="49"/>
      <c r="P2807" s="49"/>
      <c r="Q2807" s="49"/>
      <c r="R2807" s="49"/>
      <c r="S2807" s="49" t="n">
        <v>0</v>
      </c>
      <c r="T2807" s="49" t="n">
        <v>0</v>
      </c>
      <c r="U2807" s="49" t="s">
        <v>5857</v>
      </c>
    </row>
    <row r="2808" customFormat="false" ht="15" hidden="false" customHeight="false" outlineLevel="0" collapsed="false">
      <c r="B2808" s="48" t="n">
        <v>45923.5228472222</v>
      </c>
      <c r="C2808" s="4" t="n">
        <f aca="false">YEAR(B2808)</f>
        <v>2025</v>
      </c>
      <c r="D2808" s="49" t="s">
        <v>283</v>
      </c>
      <c r="E2808" s="49" t="s">
        <v>5858</v>
      </c>
      <c r="F2808" s="50" t="n">
        <v>1</v>
      </c>
      <c r="G2808" s="49" t="s">
        <v>287</v>
      </c>
      <c r="H2808" s="51" t="n">
        <v>0.0087</v>
      </c>
      <c r="I2808" s="51" t="n">
        <v>0.0399</v>
      </c>
      <c r="J2808" s="51" t="n">
        <v>0.9514</v>
      </c>
      <c r="K2808" s="49"/>
      <c r="L2808" s="49"/>
      <c r="M2808" s="49"/>
      <c r="N2808" s="49"/>
      <c r="O2808" s="49"/>
      <c r="P2808" s="49"/>
      <c r="Q2808" s="49" t="s">
        <v>281</v>
      </c>
      <c r="R2808" s="49"/>
      <c r="S2808" s="49" t="n">
        <v>0</v>
      </c>
      <c r="T2808" s="49" t="n">
        <v>0</v>
      </c>
      <c r="U2808" s="49" t="s">
        <v>5859</v>
      </c>
    </row>
    <row r="2809" customFormat="false" ht="15" hidden="false" customHeight="false" outlineLevel="0" collapsed="false">
      <c r="B2809" s="48" t="n">
        <v>45924.2880092593</v>
      </c>
      <c r="C2809" s="4" t="n">
        <f aca="false">YEAR(B2809)</f>
        <v>2025</v>
      </c>
      <c r="D2809" s="49" t="s">
        <v>283</v>
      </c>
      <c r="E2809" s="49" t="s">
        <v>5860</v>
      </c>
      <c r="F2809" s="50" t="n">
        <v>4</v>
      </c>
      <c r="G2809" s="49" t="s">
        <v>290</v>
      </c>
      <c r="H2809" s="51" t="n">
        <v>0.0447</v>
      </c>
      <c r="I2809" s="51" t="n">
        <v>0.847</v>
      </c>
      <c r="J2809" s="51" t="n">
        <v>0.1083</v>
      </c>
      <c r="K2809" s="49"/>
      <c r="L2809" s="49"/>
      <c r="M2809" s="49"/>
      <c r="N2809" s="49"/>
      <c r="O2809" s="49"/>
      <c r="P2809" s="49"/>
      <c r="Q2809" s="49"/>
      <c r="R2809" s="49"/>
      <c r="S2809" s="49" t="n">
        <v>0</v>
      </c>
      <c r="T2809" s="49" t="n">
        <v>0</v>
      </c>
      <c r="U2809" s="49" t="s">
        <v>5861</v>
      </c>
    </row>
    <row r="2810" customFormat="false" ht="15" hidden="false" customHeight="false" outlineLevel="0" collapsed="false">
      <c r="B2810" s="48" t="n">
        <v>45924.522662037</v>
      </c>
      <c r="C2810" s="4" t="n">
        <f aca="false">YEAR(B2810)</f>
        <v>2025</v>
      </c>
      <c r="D2810" s="49" t="s">
        <v>278</v>
      </c>
      <c r="E2810" s="49" t="s">
        <v>5862</v>
      </c>
      <c r="F2810" s="50" t="n">
        <v>2</v>
      </c>
      <c r="G2810" s="49" t="s">
        <v>290</v>
      </c>
      <c r="H2810" s="51" t="n">
        <v>0.2083</v>
      </c>
      <c r="I2810" s="51" t="n">
        <v>0.6975</v>
      </c>
      <c r="J2810" s="51" t="n">
        <v>0.0942</v>
      </c>
      <c r="K2810" s="49"/>
      <c r="L2810" s="49"/>
      <c r="M2810" s="49"/>
      <c r="N2810" s="49"/>
      <c r="O2810" s="49"/>
      <c r="P2810" s="49"/>
      <c r="Q2810" s="49"/>
      <c r="R2810" s="49"/>
      <c r="S2810" s="49" t="n">
        <v>0</v>
      </c>
      <c r="T2810" s="49" t="n">
        <v>0</v>
      </c>
      <c r="U2810" s="49" t="s">
        <v>5863</v>
      </c>
    </row>
    <row r="2811" customFormat="false" ht="15" hidden="false" customHeight="false" outlineLevel="0" collapsed="false">
      <c r="B2811" s="48" t="n">
        <v>45924.5623958333</v>
      </c>
      <c r="C2811" s="4" t="n">
        <f aca="false">YEAR(B2811)</f>
        <v>2025</v>
      </c>
      <c r="D2811" s="49" t="s">
        <v>283</v>
      </c>
      <c r="E2811" s="49" t="s">
        <v>5864</v>
      </c>
      <c r="F2811" s="50" t="n">
        <v>1</v>
      </c>
      <c r="G2811" s="49" t="s">
        <v>290</v>
      </c>
      <c r="H2811" s="51" t="n">
        <v>0.0039</v>
      </c>
      <c r="I2811" s="51" t="n">
        <v>0.8458</v>
      </c>
      <c r="J2811" s="51" t="n">
        <v>0.1504</v>
      </c>
      <c r="K2811" s="49"/>
      <c r="L2811" s="49"/>
      <c r="M2811" s="49"/>
      <c r="N2811" s="49"/>
      <c r="O2811" s="49"/>
      <c r="P2811" s="49"/>
      <c r="Q2811" s="49"/>
      <c r="R2811" s="49"/>
      <c r="S2811" s="49" t="n">
        <v>0</v>
      </c>
      <c r="T2811" s="49" t="n">
        <v>0</v>
      </c>
      <c r="U2811" s="49" t="s">
        <v>5865</v>
      </c>
    </row>
    <row r="2812" customFormat="false" ht="15" hidden="false" customHeight="false" outlineLevel="0" collapsed="false">
      <c r="B2812" s="48" t="n">
        <v>45924.8574189815</v>
      </c>
      <c r="C2812" s="4" t="n">
        <f aca="false">YEAR(B2812)</f>
        <v>2025</v>
      </c>
      <c r="D2812" s="49" t="s">
        <v>283</v>
      </c>
      <c r="E2812" s="49" t="s">
        <v>5866</v>
      </c>
      <c r="F2812" s="50" t="n">
        <v>1</v>
      </c>
      <c r="G2812" s="49" t="s">
        <v>287</v>
      </c>
      <c r="H2812" s="51" t="n">
        <v>0.0019</v>
      </c>
      <c r="I2812" s="51" t="n">
        <v>0.095</v>
      </c>
      <c r="J2812" s="51" t="n">
        <v>0.9031</v>
      </c>
      <c r="K2812" s="49"/>
      <c r="L2812" s="49"/>
      <c r="M2812" s="49"/>
      <c r="N2812" s="49"/>
      <c r="O2812" s="49"/>
      <c r="P2812" s="49"/>
      <c r="Q2812" s="49"/>
      <c r="R2812" s="49"/>
      <c r="S2812" s="49" t="n">
        <v>0</v>
      </c>
      <c r="T2812" s="49" t="n">
        <v>0</v>
      </c>
      <c r="U2812" s="49" t="s">
        <v>5867</v>
      </c>
    </row>
    <row r="2813" customFormat="false" ht="15" hidden="false" customHeight="false" outlineLevel="0" collapsed="false">
      <c r="B2813" s="48" t="n">
        <v>45924.882025463</v>
      </c>
      <c r="C2813" s="4" t="n">
        <f aca="false">YEAR(B2813)</f>
        <v>2025</v>
      </c>
      <c r="D2813" s="49" t="s">
        <v>278</v>
      </c>
      <c r="E2813" s="49" t="s">
        <v>5868</v>
      </c>
      <c r="F2813" s="50" t="n">
        <v>1</v>
      </c>
      <c r="G2813" s="49" t="s">
        <v>290</v>
      </c>
      <c r="H2813" s="51" t="n">
        <v>0.2185</v>
      </c>
      <c r="I2813" s="51" t="n">
        <v>0.5301</v>
      </c>
      <c r="J2813" s="51" t="n">
        <v>0.2515</v>
      </c>
      <c r="K2813" s="49"/>
      <c r="L2813" s="49"/>
      <c r="M2813" s="49"/>
      <c r="N2813" s="49"/>
      <c r="O2813" s="49"/>
      <c r="P2813" s="49"/>
      <c r="Q2813" s="49"/>
      <c r="R2813" s="49"/>
      <c r="S2813" s="49" t="n">
        <v>0</v>
      </c>
      <c r="T2813" s="49" t="n">
        <v>0</v>
      </c>
      <c r="U2813" s="49" t="s">
        <v>5869</v>
      </c>
    </row>
    <row r="2814" customFormat="false" ht="15" hidden="false" customHeight="false" outlineLevel="0" collapsed="false">
      <c r="B2814" s="48" t="n">
        <v>45925.1062962963</v>
      </c>
      <c r="C2814" s="4" t="n">
        <f aca="false">YEAR(B2814)</f>
        <v>2025</v>
      </c>
      <c r="D2814" s="49" t="s">
        <v>278</v>
      </c>
      <c r="E2814" s="49" t="s">
        <v>5870</v>
      </c>
      <c r="F2814" s="50" t="n">
        <v>14</v>
      </c>
      <c r="G2814" s="49" t="s">
        <v>290</v>
      </c>
      <c r="H2814" s="51" t="n">
        <v>0.3426</v>
      </c>
      <c r="I2814" s="51" t="n">
        <v>0.619</v>
      </c>
      <c r="J2814" s="51" t="n">
        <v>0.0384</v>
      </c>
      <c r="K2814" s="49"/>
      <c r="L2814" s="49"/>
      <c r="M2814" s="49"/>
      <c r="N2814" s="49"/>
      <c r="O2814" s="49"/>
      <c r="P2814" s="49"/>
      <c r="Q2814" s="49"/>
      <c r="R2814" s="49"/>
      <c r="S2814" s="49" t="n">
        <v>0</v>
      </c>
      <c r="T2814" s="49" t="n">
        <v>0</v>
      </c>
      <c r="U2814" s="49" t="s">
        <v>5871</v>
      </c>
    </row>
    <row r="2815" customFormat="false" ht="15" hidden="false" customHeight="false" outlineLevel="0" collapsed="false">
      <c r="B2815" s="48" t="n">
        <v>45926.4367708333</v>
      </c>
      <c r="C2815" s="4" t="n">
        <f aca="false">YEAR(B2815)</f>
        <v>2025</v>
      </c>
      <c r="D2815" s="49" t="s">
        <v>283</v>
      </c>
      <c r="E2815" s="49" t="s">
        <v>5872</v>
      </c>
      <c r="F2815" s="50" t="n">
        <v>0</v>
      </c>
      <c r="G2815" s="49" t="s">
        <v>280</v>
      </c>
      <c r="H2815" s="51" t="n">
        <v>0.5018</v>
      </c>
      <c r="I2815" s="51" t="n">
        <v>0.3906</v>
      </c>
      <c r="J2815" s="51" t="n">
        <v>0.1076</v>
      </c>
      <c r="K2815" s="49"/>
      <c r="L2815" s="49"/>
      <c r="M2815" s="49" t="s">
        <v>281</v>
      </c>
      <c r="N2815" s="49"/>
      <c r="O2815" s="49"/>
      <c r="P2815" s="49"/>
      <c r="Q2815" s="49" t="s">
        <v>281</v>
      </c>
      <c r="R2815" s="49"/>
      <c r="S2815" s="49" t="n">
        <v>0</v>
      </c>
      <c r="T2815" s="49" t="n">
        <v>0</v>
      </c>
      <c r="U2815" s="49" t="s">
        <v>5873</v>
      </c>
    </row>
    <row r="2816" customFormat="false" ht="15" hidden="false" customHeight="false" outlineLevel="0" collapsed="false">
      <c r="B2816" s="48" t="n">
        <v>45928.5793518519</v>
      </c>
      <c r="C2816" s="4" t="n">
        <f aca="false">YEAR(B2816)</f>
        <v>2025</v>
      </c>
      <c r="D2816" s="49" t="s">
        <v>283</v>
      </c>
      <c r="E2816" s="49" t="s">
        <v>5874</v>
      </c>
      <c r="F2816" s="50" t="n">
        <v>15</v>
      </c>
      <c r="G2816" s="49" t="s">
        <v>287</v>
      </c>
      <c r="H2816" s="51" t="n">
        <v>0.03</v>
      </c>
      <c r="I2816" s="51" t="n">
        <v>0.3506</v>
      </c>
      <c r="J2816" s="51" t="n">
        <v>0.6193</v>
      </c>
      <c r="K2816" s="49"/>
      <c r="L2816" s="49"/>
      <c r="M2816" s="49"/>
      <c r="N2816" s="49"/>
      <c r="O2816" s="49"/>
      <c r="P2816" s="49"/>
      <c r="Q2816" s="49"/>
      <c r="R2816" s="49"/>
      <c r="S2816" s="49" t="n">
        <v>0</v>
      </c>
      <c r="T2816" s="49" t="n">
        <v>0</v>
      </c>
      <c r="U2816" s="49" t="s">
        <v>5875</v>
      </c>
    </row>
    <row r="2817" customFormat="false" ht="15" hidden="false" customHeight="false" outlineLevel="0" collapsed="false">
      <c r="B2817" s="48" t="n">
        <v>45928.8999189815</v>
      </c>
      <c r="C2817" s="4" t="n">
        <f aca="false">YEAR(B2817)</f>
        <v>2025</v>
      </c>
      <c r="D2817" s="49" t="s">
        <v>283</v>
      </c>
      <c r="E2817" s="49" t="s">
        <v>5876</v>
      </c>
      <c r="F2817" s="50" t="n">
        <v>1</v>
      </c>
      <c r="G2817" s="49" t="s">
        <v>290</v>
      </c>
      <c r="H2817" s="51" t="n">
        <v>0.0039</v>
      </c>
      <c r="I2817" s="51" t="n">
        <v>0.6161</v>
      </c>
      <c r="J2817" s="51" t="n">
        <v>0.38</v>
      </c>
      <c r="K2817" s="49"/>
      <c r="L2817" s="49"/>
      <c r="M2817" s="49"/>
      <c r="N2817" s="49"/>
      <c r="O2817" s="49"/>
      <c r="P2817" s="49"/>
      <c r="Q2817" s="49"/>
      <c r="R2817" s="49"/>
      <c r="S2817" s="49" t="n">
        <v>0</v>
      </c>
      <c r="T2817" s="49" t="n">
        <v>0</v>
      </c>
      <c r="U2817" s="49" t="s">
        <v>5877</v>
      </c>
    </row>
    <row r="2818" customFormat="false" ht="15" hidden="false" customHeight="false" outlineLevel="0" collapsed="false">
      <c r="B2818" s="48" t="n">
        <v>45929.0192824074</v>
      </c>
      <c r="C2818" s="4" t="n">
        <f aca="false">YEAR(B2818)</f>
        <v>2025</v>
      </c>
      <c r="D2818" s="49" t="s">
        <v>283</v>
      </c>
      <c r="E2818" s="49" t="s">
        <v>5878</v>
      </c>
      <c r="F2818" s="50" t="n">
        <v>3</v>
      </c>
      <c r="G2818" s="49" t="s">
        <v>290</v>
      </c>
      <c r="H2818" s="51" t="n">
        <v>0.3455</v>
      </c>
      <c r="I2818" s="51" t="n">
        <v>0.5744</v>
      </c>
      <c r="J2818" s="51" t="n">
        <v>0.08</v>
      </c>
      <c r="K2818" s="49"/>
      <c r="L2818" s="49"/>
      <c r="M2818" s="49"/>
      <c r="N2818" s="49"/>
      <c r="O2818" s="49"/>
      <c r="P2818" s="49"/>
      <c r="Q2818" s="49"/>
      <c r="R2818" s="49"/>
      <c r="S2818" s="49" t="n">
        <v>0</v>
      </c>
      <c r="T2818" s="49" t="n">
        <v>0</v>
      </c>
      <c r="U2818" s="49" t="s">
        <v>5879</v>
      </c>
    </row>
    <row r="2819" customFormat="false" ht="15" hidden="false" customHeight="false" outlineLevel="0" collapsed="false">
      <c r="B2819" s="48" t="n">
        <v>45929.3947800926</v>
      </c>
      <c r="C2819" s="4" t="n">
        <f aca="false">YEAR(B2819)</f>
        <v>2025</v>
      </c>
      <c r="D2819" s="49" t="s">
        <v>278</v>
      </c>
      <c r="E2819" s="49" t="s">
        <v>5880</v>
      </c>
      <c r="F2819" s="50" t="n">
        <v>0</v>
      </c>
      <c r="G2819" s="49" t="s">
        <v>290</v>
      </c>
      <c r="H2819" s="51" t="n">
        <v>0.169</v>
      </c>
      <c r="I2819" s="51" t="n">
        <v>0.6993</v>
      </c>
      <c r="J2819" s="51" t="n">
        <v>0.1317</v>
      </c>
      <c r="K2819" s="49"/>
      <c r="L2819" s="49"/>
      <c r="M2819" s="49"/>
      <c r="N2819" s="49"/>
      <c r="O2819" s="49"/>
      <c r="P2819" s="49"/>
      <c r="Q2819" s="49"/>
      <c r="R2819" s="49"/>
      <c r="S2819" s="49" t="n">
        <v>0</v>
      </c>
      <c r="T2819" s="49" t="n">
        <v>0</v>
      </c>
      <c r="U2819" s="49" t="s">
        <v>5881</v>
      </c>
    </row>
    <row r="2820" customFormat="false" ht="15" hidden="false" customHeight="false" outlineLevel="0" collapsed="false">
      <c r="B2820" s="48" t="n">
        <v>45929.9113657407</v>
      </c>
      <c r="C2820" s="4" t="n">
        <f aca="false">YEAR(B2820)</f>
        <v>2025</v>
      </c>
      <c r="D2820" s="49" t="s">
        <v>283</v>
      </c>
      <c r="E2820" s="49" t="s">
        <v>5882</v>
      </c>
      <c r="F2820" s="50" t="n">
        <v>0</v>
      </c>
      <c r="G2820" s="49" t="s">
        <v>287</v>
      </c>
      <c r="H2820" s="51" t="n">
        <v>0.026</v>
      </c>
      <c r="I2820" s="51" t="n">
        <v>0.2205</v>
      </c>
      <c r="J2820" s="51" t="n">
        <v>0.7536</v>
      </c>
      <c r="K2820" s="49"/>
      <c r="L2820" s="49"/>
      <c r="M2820" s="49"/>
      <c r="N2820" s="49"/>
      <c r="O2820" s="49"/>
      <c r="P2820" s="49"/>
      <c r="Q2820" s="49"/>
      <c r="R2820" s="49" t="s">
        <v>281</v>
      </c>
      <c r="S2820" s="49" t="n">
        <v>0</v>
      </c>
      <c r="T2820" s="49" t="n">
        <v>0</v>
      </c>
      <c r="U2820" s="49" t="s">
        <v>5883</v>
      </c>
    </row>
    <row r="2821" customFormat="false" ht="15" hidden="false" customHeight="false" outlineLevel="0" collapsed="false">
      <c r="B2821" s="48" t="n">
        <v>45929.9632523148</v>
      </c>
      <c r="C2821" s="4" t="n">
        <f aca="false">YEAR(B2821)</f>
        <v>2025</v>
      </c>
      <c r="D2821" s="49" t="s">
        <v>278</v>
      </c>
      <c r="E2821" s="49" t="s">
        <v>5884</v>
      </c>
      <c r="F2821" s="50" t="n">
        <v>7</v>
      </c>
      <c r="G2821" s="49" t="s">
        <v>287</v>
      </c>
      <c r="H2821" s="51" t="n">
        <v>0.0077</v>
      </c>
      <c r="I2821" s="51" t="n">
        <v>0.0902</v>
      </c>
      <c r="J2821" s="51" t="n">
        <v>0.9021</v>
      </c>
      <c r="K2821" s="49"/>
      <c r="L2821" s="49"/>
      <c r="M2821" s="49"/>
      <c r="N2821" s="49"/>
      <c r="O2821" s="49"/>
      <c r="P2821" s="49"/>
      <c r="Q2821" s="49"/>
      <c r="R2821" s="49" t="s">
        <v>281</v>
      </c>
      <c r="S2821" s="49" t="n">
        <v>0</v>
      </c>
      <c r="T2821" s="49" t="n">
        <v>0</v>
      </c>
      <c r="U2821" s="49" t="s">
        <v>5885</v>
      </c>
    </row>
    <row r="2822" customFormat="false" ht="15" hidden="false" customHeight="false" outlineLevel="0" collapsed="false">
      <c r="B2822" s="48" t="n">
        <v>45930.406724537</v>
      </c>
      <c r="C2822" s="4" t="n">
        <f aca="false">YEAR(B2822)</f>
        <v>2025</v>
      </c>
      <c r="D2822" s="49" t="s">
        <v>283</v>
      </c>
      <c r="E2822" s="49" t="s">
        <v>5886</v>
      </c>
      <c r="F2822" s="50" t="n">
        <v>1</v>
      </c>
      <c r="G2822" s="49" t="s">
        <v>280</v>
      </c>
      <c r="H2822" s="51" t="n">
        <v>0.6273</v>
      </c>
      <c r="I2822" s="51" t="n">
        <v>0.3531</v>
      </c>
      <c r="J2822" s="51" t="n">
        <v>0.0196</v>
      </c>
      <c r="K2822" s="49"/>
      <c r="L2822" s="49"/>
      <c r="M2822" s="49"/>
      <c r="N2822" s="49"/>
      <c r="O2822" s="49" t="s">
        <v>281</v>
      </c>
      <c r="P2822" s="49"/>
      <c r="Q2822" s="49"/>
      <c r="R2822" s="49"/>
      <c r="S2822" s="49" t="n">
        <v>0</v>
      </c>
      <c r="T2822" s="49" t="n">
        <v>0</v>
      </c>
      <c r="U2822" s="49" t="s">
        <v>5887</v>
      </c>
    </row>
    <row r="2823" customFormat="false" ht="15" hidden="false" customHeight="false" outlineLevel="0" collapsed="false">
      <c r="B2823" s="48" t="n">
        <v>45930.7200694445</v>
      </c>
      <c r="C2823" s="4" t="n">
        <f aca="false">YEAR(B2823)</f>
        <v>2025</v>
      </c>
      <c r="D2823" s="49" t="s">
        <v>278</v>
      </c>
      <c r="E2823" s="49" t="s">
        <v>5888</v>
      </c>
      <c r="F2823" s="50" t="n">
        <v>0</v>
      </c>
      <c r="G2823" s="49" t="s">
        <v>280</v>
      </c>
      <c r="H2823" s="51" t="n">
        <v>0.9033</v>
      </c>
      <c r="I2823" s="51" t="n">
        <v>0.0902</v>
      </c>
      <c r="J2823" s="51" t="n">
        <v>0.0065</v>
      </c>
      <c r="K2823" s="49"/>
      <c r="L2823" s="49"/>
      <c r="M2823" s="49"/>
      <c r="N2823" s="49"/>
      <c r="O2823" s="49"/>
      <c r="P2823" s="49"/>
      <c r="Q2823" s="49"/>
      <c r="R2823" s="49" t="s">
        <v>281</v>
      </c>
      <c r="S2823" s="49" t="n">
        <v>0</v>
      </c>
      <c r="T2823" s="49" t="n">
        <v>0</v>
      </c>
      <c r="U2823" s="49" t="s">
        <v>5889</v>
      </c>
    </row>
    <row r="2824" customFormat="false" ht="15" hidden="false" customHeight="false" outlineLevel="0" collapsed="false">
      <c r="B2824" s="48" t="n">
        <v>45930.8985648148</v>
      </c>
      <c r="C2824" s="4" t="n">
        <f aca="false">YEAR(B2824)</f>
        <v>2025</v>
      </c>
      <c r="D2824" s="49" t="s">
        <v>278</v>
      </c>
      <c r="E2824" s="49" t="s">
        <v>5890</v>
      </c>
      <c r="F2824" s="50" t="n">
        <v>24</v>
      </c>
      <c r="G2824" s="49" t="s">
        <v>280</v>
      </c>
      <c r="H2824" s="51" t="n">
        <v>0.5865</v>
      </c>
      <c r="I2824" s="51" t="n">
        <v>0.3923</v>
      </c>
      <c r="J2824" s="51" t="n">
        <v>0.0212</v>
      </c>
      <c r="K2824" s="49"/>
      <c r="L2824" s="49"/>
      <c r="M2824" s="49"/>
      <c r="N2824" s="49"/>
      <c r="O2824" s="49"/>
      <c r="P2824" s="49"/>
      <c r="Q2824" s="49"/>
      <c r="R2824" s="49"/>
      <c r="S2824" s="49" t="n">
        <v>0</v>
      </c>
      <c r="T2824" s="49" t="n">
        <v>0</v>
      </c>
      <c r="U2824" s="49" t="s">
        <v>5891</v>
      </c>
    </row>
    <row r="2825" customFormat="false" ht="15" hidden="false" customHeight="false" outlineLevel="0" collapsed="false">
      <c r="B2825" s="48" t="n">
        <v>45931.5050694444</v>
      </c>
      <c r="C2825" s="4" t="n">
        <f aca="false">YEAR(B2825)</f>
        <v>2025</v>
      </c>
      <c r="D2825" s="49" t="s">
        <v>278</v>
      </c>
      <c r="E2825" s="49" t="s">
        <v>5892</v>
      </c>
      <c r="F2825" s="50" t="n">
        <v>1</v>
      </c>
      <c r="G2825" s="49" t="s">
        <v>280</v>
      </c>
      <c r="H2825" s="51" t="n">
        <v>0.548</v>
      </c>
      <c r="I2825" s="51" t="n">
        <v>0.4328</v>
      </c>
      <c r="J2825" s="51" t="n">
        <v>0.0192</v>
      </c>
      <c r="K2825" s="49"/>
      <c r="L2825" s="49"/>
      <c r="M2825" s="49"/>
      <c r="N2825" s="49"/>
      <c r="O2825" s="49"/>
      <c r="P2825" s="49"/>
      <c r="Q2825" s="49"/>
      <c r="R2825" s="49"/>
      <c r="S2825" s="49" t="n">
        <v>0</v>
      </c>
      <c r="T2825" s="49" t="n">
        <v>0</v>
      </c>
      <c r="U2825" s="49" t="s">
        <v>5893</v>
      </c>
    </row>
    <row r="2826" customFormat="false" ht="15" hidden="false" customHeight="false" outlineLevel="0" collapsed="false">
      <c r="B2826" s="48" t="n">
        <v>45931.5606597222</v>
      </c>
      <c r="C2826" s="4" t="n">
        <f aca="false">YEAR(B2826)</f>
        <v>2025</v>
      </c>
      <c r="D2826" s="49" t="s">
        <v>278</v>
      </c>
      <c r="E2826" s="49" t="s">
        <v>5894</v>
      </c>
      <c r="F2826" s="50" t="n">
        <v>2</v>
      </c>
      <c r="G2826" s="49" t="s">
        <v>290</v>
      </c>
      <c r="H2826" s="51" t="n">
        <v>0.0138</v>
      </c>
      <c r="I2826" s="51" t="n">
        <v>0.544</v>
      </c>
      <c r="J2826" s="51" t="n">
        <v>0.4422</v>
      </c>
      <c r="K2826" s="49"/>
      <c r="L2826" s="49"/>
      <c r="M2826" s="49"/>
      <c r="N2826" s="49"/>
      <c r="O2826" s="49"/>
      <c r="P2826" s="49"/>
      <c r="Q2826" s="49"/>
      <c r="R2826" s="49"/>
      <c r="S2826" s="49" t="n">
        <v>0</v>
      </c>
      <c r="T2826" s="49" t="n">
        <v>0</v>
      </c>
      <c r="U2826" s="49" t="s">
        <v>5895</v>
      </c>
    </row>
    <row r="2827" customFormat="false" ht="15" hidden="false" customHeight="false" outlineLevel="0" collapsed="false">
      <c r="B2827" s="48" t="n">
        <v>45931.5807986111</v>
      </c>
      <c r="C2827" s="4" t="n">
        <f aca="false">YEAR(B2827)</f>
        <v>2025</v>
      </c>
      <c r="D2827" s="49" t="s">
        <v>278</v>
      </c>
      <c r="E2827" s="49" t="s">
        <v>5896</v>
      </c>
      <c r="F2827" s="50" t="n">
        <v>608</v>
      </c>
      <c r="G2827" s="49" t="s">
        <v>290</v>
      </c>
      <c r="H2827" s="51" t="n">
        <v>0.3262</v>
      </c>
      <c r="I2827" s="51" t="n">
        <v>0.6463</v>
      </c>
      <c r="J2827" s="51" t="n">
        <v>0.0275</v>
      </c>
      <c r="K2827" s="49"/>
      <c r="L2827" s="49"/>
      <c r="M2827" s="49"/>
      <c r="N2827" s="49"/>
      <c r="O2827" s="49"/>
      <c r="P2827" s="49"/>
      <c r="Q2827" s="49"/>
      <c r="R2827" s="49"/>
      <c r="S2827" s="49" t="n">
        <v>0</v>
      </c>
      <c r="T2827" s="49" t="n">
        <v>0</v>
      </c>
      <c r="U2827" s="49" t="s">
        <v>5897</v>
      </c>
    </row>
    <row r="2828" customFormat="false" ht="15" hidden="false" customHeight="false" outlineLevel="0" collapsed="false">
      <c r="B2828" s="48" t="n">
        <v>45931.6414236111</v>
      </c>
      <c r="C2828" s="4" t="n">
        <f aca="false">YEAR(B2828)</f>
        <v>2025</v>
      </c>
      <c r="D2828" s="49" t="s">
        <v>278</v>
      </c>
      <c r="E2828" s="49" t="s">
        <v>5898</v>
      </c>
      <c r="F2828" s="50" t="n">
        <v>1</v>
      </c>
      <c r="G2828" s="49" t="s">
        <v>280</v>
      </c>
      <c r="H2828" s="51" t="n">
        <v>0.6862</v>
      </c>
      <c r="I2828" s="51" t="n">
        <v>0.2966</v>
      </c>
      <c r="J2828" s="51" t="n">
        <v>0.0173</v>
      </c>
      <c r="K2828" s="49"/>
      <c r="L2828" s="49"/>
      <c r="M2828" s="49"/>
      <c r="N2828" s="49"/>
      <c r="O2828" s="49"/>
      <c r="P2828" s="49"/>
      <c r="Q2828" s="49"/>
      <c r="R2828" s="49"/>
      <c r="S2828" s="49" t="n">
        <v>0</v>
      </c>
      <c r="T2828" s="49" t="n">
        <v>0</v>
      </c>
      <c r="U2828" s="49" t="s">
        <v>5899</v>
      </c>
    </row>
    <row r="2829" customFormat="false" ht="15" hidden="false" customHeight="false" outlineLevel="0" collapsed="false">
      <c r="B2829" s="48" t="n">
        <v>45931.8002546296</v>
      </c>
      <c r="C2829" s="4" t="n">
        <f aca="false">YEAR(B2829)</f>
        <v>2025</v>
      </c>
      <c r="D2829" s="49" t="s">
        <v>283</v>
      </c>
      <c r="E2829" s="49" t="s">
        <v>5900</v>
      </c>
      <c r="F2829" s="50" t="n">
        <v>1</v>
      </c>
      <c r="G2829" s="49" t="s">
        <v>280</v>
      </c>
      <c r="H2829" s="51" t="n">
        <v>0.603</v>
      </c>
      <c r="I2829" s="51" t="n">
        <v>0.3043</v>
      </c>
      <c r="J2829" s="51" t="n">
        <v>0.0927</v>
      </c>
      <c r="K2829" s="49"/>
      <c r="L2829" s="49"/>
      <c r="M2829" s="49"/>
      <c r="N2829" s="49"/>
      <c r="O2829" s="49"/>
      <c r="P2829" s="49"/>
      <c r="Q2829" s="49"/>
      <c r="R2829" s="49" t="s">
        <v>281</v>
      </c>
      <c r="S2829" s="49" t="n">
        <v>0</v>
      </c>
      <c r="T2829" s="49" t="n">
        <v>0</v>
      </c>
      <c r="U2829" s="49" t="s">
        <v>5901</v>
      </c>
    </row>
    <row r="2830" customFormat="false" ht="15" hidden="false" customHeight="false" outlineLevel="0" collapsed="false">
      <c r="B2830" s="48" t="n">
        <v>45932.3474074074</v>
      </c>
      <c r="C2830" s="4" t="n">
        <f aca="false">YEAR(B2830)</f>
        <v>2025</v>
      </c>
      <c r="D2830" s="49" t="s">
        <v>278</v>
      </c>
      <c r="E2830" s="49" t="s">
        <v>5902</v>
      </c>
      <c r="F2830" s="50" t="n">
        <v>0</v>
      </c>
      <c r="G2830" s="49" t="s">
        <v>280</v>
      </c>
      <c r="H2830" s="51" t="n">
        <v>0.9182</v>
      </c>
      <c r="I2830" s="51" t="n">
        <v>0.075</v>
      </c>
      <c r="J2830" s="51" t="n">
        <v>0.0068</v>
      </c>
      <c r="K2830" s="49"/>
      <c r="L2830" s="49"/>
      <c r="M2830" s="49"/>
      <c r="N2830" s="49"/>
      <c r="O2830" s="49"/>
      <c r="P2830" s="49"/>
      <c r="Q2830" s="49"/>
      <c r="R2830" s="49"/>
      <c r="S2830" s="49" t="n">
        <v>0</v>
      </c>
      <c r="T2830" s="49" t="n">
        <v>0</v>
      </c>
      <c r="U2830" s="49" t="s">
        <v>5903</v>
      </c>
    </row>
    <row r="2831" customFormat="false" ht="15" hidden="false" customHeight="false" outlineLevel="0" collapsed="false">
      <c r="B2831" s="48" t="n">
        <v>45932.4691319445</v>
      </c>
      <c r="C2831" s="4" t="n">
        <f aca="false">YEAR(B2831)</f>
        <v>2025</v>
      </c>
      <c r="D2831" s="49" t="s">
        <v>283</v>
      </c>
      <c r="E2831" s="49" t="s">
        <v>5904</v>
      </c>
      <c r="F2831" s="50" t="n">
        <v>1</v>
      </c>
      <c r="G2831" s="49" t="s">
        <v>287</v>
      </c>
      <c r="H2831" s="51" t="n">
        <v>0.0029</v>
      </c>
      <c r="I2831" s="51" t="n">
        <v>0.0452</v>
      </c>
      <c r="J2831" s="51" t="n">
        <v>0.952</v>
      </c>
      <c r="K2831" s="49"/>
      <c r="L2831" s="49"/>
      <c r="M2831" s="49"/>
      <c r="N2831" s="49"/>
      <c r="O2831" s="49"/>
      <c r="P2831" s="49"/>
      <c r="Q2831" s="49"/>
      <c r="R2831" s="49"/>
      <c r="S2831" s="49" t="n">
        <v>0</v>
      </c>
      <c r="T2831" s="49" t="n">
        <v>0</v>
      </c>
      <c r="U2831" s="49" t="s">
        <v>5905</v>
      </c>
    </row>
    <row r="2832" customFormat="false" ht="15" hidden="false" customHeight="false" outlineLevel="0" collapsed="false">
      <c r="B2832" s="48" t="n">
        <v>45932.8884375</v>
      </c>
      <c r="C2832" s="4" t="n">
        <f aca="false">YEAR(B2832)</f>
        <v>2025</v>
      </c>
      <c r="D2832" s="49" t="s">
        <v>283</v>
      </c>
      <c r="E2832" s="49" t="s">
        <v>5906</v>
      </c>
      <c r="F2832" s="50" t="n">
        <v>0</v>
      </c>
      <c r="G2832" s="49" t="s">
        <v>280</v>
      </c>
      <c r="H2832" s="51" t="n">
        <v>0.714</v>
      </c>
      <c r="I2832" s="51" t="n">
        <v>0.2724</v>
      </c>
      <c r="J2832" s="51" t="n">
        <v>0.0136</v>
      </c>
      <c r="K2832" s="49"/>
      <c r="L2832" s="49"/>
      <c r="M2832" s="49"/>
      <c r="N2832" s="49"/>
      <c r="O2832" s="49"/>
      <c r="P2832" s="49"/>
      <c r="Q2832" s="49"/>
      <c r="R2832" s="49"/>
      <c r="S2832" s="49" t="n">
        <v>0</v>
      </c>
      <c r="T2832" s="49" t="n">
        <v>0</v>
      </c>
      <c r="U2832" s="49" t="s">
        <v>5907</v>
      </c>
    </row>
    <row r="2833" customFormat="false" ht="15" hidden="false" customHeight="false" outlineLevel="0" collapsed="false">
      <c r="B2833" s="48" t="n">
        <v>45933.2719328704</v>
      </c>
      <c r="C2833" s="4" t="n">
        <f aca="false">YEAR(B2833)</f>
        <v>2025</v>
      </c>
      <c r="D2833" s="49" t="s">
        <v>278</v>
      </c>
      <c r="E2833" s="49" t="s">
        <v>5908</v>
      </c>
      <c r="F2833" s="50" t="n">
        <v>1</v>
      </c>
      <c r="G2833" s="49" t="s">
        <v>290</v>
      </c>
      <c r="H2833" s="51" t="n">
        <v>0.1132</v>
      </c>
      <c r="I2833" s="51" t="n">
        <v>0.851</v>
      </c>
      <c r="J2833" s="51" t="n">
        <v>0.0358</v>
      </c>
      <c r="K2833" s="49"/>
      <c r="L2833" s="49"/>
      <c r="M2833" s="49"/>
      <c r="N2833" s="49"/>
      <c r="O2833" s="49"/>
      <c r="P2833" s="49"/>
      <c r="Q2833" s="49"/>
      <c r="R2833" s="49"/>
      <c r="S2833" s="49" t="n">
        <v>0</v>
      </c>
      <c r="T2833" s="49" t="n">
        <v>0</v>
      </c>
      <c r="U2833" s="49" t="s">
        <v>5909</v>
      </c>
    </row>
    <row r="2834" customFormat="false" ht="15" hidden="false" customHeight="false" outlineLevel="0" collapsed="false">
      <c r="B2834" s="48" t="n">
        <v>45934.4060532407</v>
      </c>
      <c r="C2834" s="4" t="n">
        <f aca="false">YEAR(B2834)</f>
        <v>2025</v>
      </c>
      <c r="D2834" s="49" t="s">
        <v>283</v>
      </c>
      <c r="E2834" s="49" t="s">
        <v>5910</v>
      </c>
      <c r="F2834" s="50" t="n">
        <v>0</v>
      </c>
      <c r="G2834" s="49" t="s">
        <v>287</v>
      </c>
      <c r="H2834" s="51" t="n">
        <v>0.0043</v>
      </c>
      <c r="I2834" s="51" t="n">
        <v>0.0613</v>
      </c>
      <c r="J2834" s="51" t="n">
        <v>0.9344</v>
      </c>
      <c r="K2834" s="49"/>
      <c r="L2834" s="49"/>
      <c r="M2834" s="49"/>
      <c r="N2834" s="49"/>
      <c r="O2834" s="49"/>
      <c r="P2834" s="49"/>
      <c r="Q2834" s="49"/>
      <c r="R2834" s="49"/>
      <c r="S2834" s="49" t="n">
        <v>0</v>
      </c>
      <c r="T2834" s="49" t="n">
        <v>0</v>
      </c>
      <c r="U2834" s="49" t="s">
        <v>5911</v>
      </c>
    </row>
    <row r="2835" customFormat="false" ht="15" hidden="false" customHeight="false" outlineLevel="0" collapsed="false">
      <c r="B2835" s="48" t="n">
        <v>45934.8237615741</v>
      </c>
      <c r="C2835" s="4" t="n">
        <f aca="false">YEAR(B2835)</f>
        <v>2025</v>
      </c>
      <c r="D2835" s="49" t="s">
        <v>278</v>
      </c>
      <c r="E2835" s="49" t="s">
        <v>5912</v>
      </c>
      <c r="F2835" s="50" t="n">
        <v>2</v>
      </c>
      <c r="G2835" s="49" t="s">
        <v>280</v>
      </c>
      <c r="H2835" s="51" t="n">
        <v>0.6975</v>
      </c>
      <c r="I2835" s="51" t="n">
        <v>0.2568</v>
      </c>
      <c r="J2835" s="51" t="n">
        <v>0.0457</v>
      </c>
      <c r="K2835" s="49"/>
      <c r="L2835" s="49"/>
      <c r="M2835" s="49"/>
      <c r="N2835" s="49"/>
      <c r="O2835" s="49"/>
      <c r="P2835" s="49"/>
      <c r="Q2835" s="49" t="s">
        <v>281</v>
      </c>
      <c r="R2835" s="49"/>
      <c r="S2835" s="49" t="n">
        <v>0</v>
      </c>
      <c r="T2835" s="49" t="n">
        <v>0</v>
      </c>
      <c r="U2835" s="49" t="s">
        <v>5913</v>
      </c>
    </row>
    <row r="2836" customFormat="false" ht="15" hidden="false" customHeight="false" outlineLevel="0" collapsed="false">
      <c r="B2836" s="48" t="n">
        <v>45934.944537037</v>
      </c>
      <c r="C2836" s="4" t="n">
        <f aca="false">YEAR(B2836)</f>
        <v>2025</v>
      </c>
      <c r="D2836" s="49" t="s">
        <v>283</v>
      </c>
      <c r="E2836" s="49" t="s">
        <v>5914</v>
      </c>
      <c r="F2836" s="50" t="n">
        <v>1</v>
      </c>
      <c r="G2836" s="49" t="s">
        <v>290</v>
      </c>
      <c r="H2836" s="51" t="n">
        <v>0.007</v>
      </c>
      <c r="I2836" s="51" t="n">
        <v>0.5381</v>
      </c>
      <c r="J2836" s="51" t="n">
        <v>0.455</v>
      </c>
      <c r="K2836" s="49"/>
      <c r="L2836" s="49"/>
      <c r="M2836" s="49"/>
      <c r="N2836" s="49"/>
      <c r="O2836" s="49"/>
      <c r="P2836" s="49"/>
      <c r="Q2836" s="49"/>
      <c r="R2836" s="49"/>
      <c r="S2836" s="49" t="n">
        <v>0</v>
      </c>
      <c r="T2836" s="49" t="n">
        <v>0</v>
      </c>
      <c r="U2836" s="49" t="s">
        <v>5915</v>
      </c>
    </row>
    <row r="2837" customFormat="false" ht="15" hidden="false" customHeight="false" outlineLevel="0" collapsed="false">
      <c r="B2837" s="48" t="n">
        <v>45935.0745486111</v>
      </c>
      <c r="C2837" s="4" t="n">
        <f aca="false">YEAR(B2837)</f>
        <v>2025</v>
      </c>
      <c r="D2837" s="49" t="s">
        <v>278</v>
      </c>
      <c r="E2837" s="49" t="s">
        <v>5916</v>
      </c>
      <c r="F2837" s="50" t="n">
        <v>3</v>
      </c>
      <c r="G2837" s="49" t="s">
        <v>290</v>
      </c>
      <c r="H2837" s="51" t="n">
        <v>0.0488</v>
      </c>
      <c r="I2837" s="51" t="n">
        <v>0.8151</v>
      </c>
      <c r="J2837" s="51" t="n">
        <v>0.136</v>
      </c>
      <c r="K2837" s="49"/>
      <c r="L2837" s="49"/>
      <c r="M2837" s="49"/>
      <c r="N2837" s="49"/>
      <c r="O2837" s="49"/>
      <c r="P2837" s="49"/>
      <c r="Q2837" s="49"/>
      <c r="R2837" s="49"/>
      <c r="S2837" s="49" t="n">
        <v>0</v>
      </c>
      <c r="T2837" s="49" t="n">
        <v>0</v>
      </c>
      <c r="U2837" s="49" t="s">
        <v>5917</v>
      </c>
    </row>
    <row r="2838" customFormat="false" ht="15" hidden="false" customHeight="false" outlineLevel="0" collapsed="false">
      <c r="B2838" s="48" t="n">
        <v>45935.8811921296</v>
      </c>
      <c r="C2838" s="4" t="n">
        <f aca="false">YEAR(B2838)</f>
        <v>2025</v>
      </c>
      <c r="D2838" s="49" t="s">
        <v>278</v>
      </c>
      <c r="E2838" s="49" t="s">
        <v>5918</v>
      </c>
      <c r="F2838" s="50" t="n">
        <v>1</v>
      </c>
      <c r="G2838" s="49" t="s">
        <v>280</v>
      </c>
      <c r="H2838" s="51" t="n">
        <v>0.5235</v>
      </c>
      <c r="I2838" s="51" t="n">
        <v>0.4637</v>
      </c>
      <c r="J2838" s="51" t="n">
        <v>0.0128</v>
      </c>
      <c r="K2838" s="49"/>
      <c r="L2838" s="49"/>
      <c r="M2838" s="49"/>
      <c r="N2838" s="49"/>
      <c r="O2838" s="49"/>
      <c r="P2838" s="49"/>
      <c r="Q2838" s="49"/>
      <c r="R2838" s="49"/>
      <c r="S2838" s="49" t="n">
        <v>0</v>
      </c>
      <c r="T2838" s="49" t="n">
        <v>0</v>
      </c>
      <c r="U2838" s="49" t="s">
        <v>5919</v>
      </c>
    </row>
    <row r="2839" customFormat="false" ht="15" hidden="false" customHeight="false" outlineLevel="0" collapsed="false">
      <c r="B2839" s="48" t="n">
        <v>45935.8816087963</v>
      </c>
      <c r="C2839" s="4" t="n">
        <f aca="false">YEAR(B2839)</f>
        <v>2025</v>
      </c>
      <c r="D2839" s="49" t="s">
        <v>278</v>
      </c>
      <c r="E2839" s="49" t="s">
        <v>5920</v>
      </c>
      <c r="F2839" s="50" t="n">
        <v>0</v>
      </c>
      <c r="G2839" s="49" t="s">
        <v>290</v>
      </c>
      <c r="H2839" s="51" t="n">
        <v>0.3813</v>
      </c>
      <c r="I2839" s="51" t="n">
        <v>0.5991</v>
      </c>
      <c r="J2839" s="51" t="n">
        <v>0.0196</v>
      </c>
      <c r="K2839" s="49"/>
      <c r="L2839" s="49"/>
      <c r="M2839" s="49"/>
      <c r="N2839" s="49"/>
      <c r="O2839" s="49"/>
      <c r="P2839" s="49"/>
      <c r="Q2839" s="49"/>
      <c r="R2839" s="49"/>
      <c r="S2839" s="49" t="n">
        <v>0</v>
      </c>
      <c r="T2839" s="49" t="n">
        <v>0</v>
      </c>
      <c r="U2839" s="49" t="s">
        <v>5921</v>
      </c>
    </row>
    <row r="2840" customFormat="false" ht="15" hidden="false" customHeight="false" outlineLevel="0" collapsed="false">
      <c r="B2840" s="48" t="n">
        <v>45935.9779976852</v>
      </c>
      <c r="C2840" s="4" t="n">
        <f aca="false">YEAR(B2840)</f>
        <v>2025</v>
      </c>
      <c r="D2840" s="49" t="s">
        <v>283</v>
      </c>
      <c r="E2840" s="49" t="s">
        <v>5922</v>
      </c>
      <c r="F2840" s="50" t="n">
        <v>6</v>
      </c>
      <c r="G2840" s="49" t="s">
        <v>280</v>
      </c>
      <c r="H2840" s="51" t="n">
        <v>0.8779</v>
      </c>
      <c r="I2840" s="51" t="n">
        <v>0.1072</v>
      </c>
      <c r="J2840" s="51" t="n">
        <v>0.0149</v>
      </c>
      <c r="K2840" s="49"/>
      <c r="L2840" s="49"/>
      <c r="M2840" s="49"/>
      <c r="N2840" s="49"/>
      <c r="O2840" s="49"/>
      <c r="P2840" s="49"/>
      <c r="Q2840" s="49"/>
      <c r="R2840" s="49"/>
      <c r="S2840" s="49" t="n">
        <v>0</v>
      </c>
      <c r="T2840" s="49" t="n">
        <v>0</v>
      </c>
      <c r="U2840" s="49" t="s">
        <v>5923</v>
      </c>
    </row>
    <row r="2841" customFormat="false" ht="15" hidden="false" customHeight="false" outlineLevel="0" collapsed="false">
      <c r="B2841" s="48" t="n">
        <v>45936.0685416667</v>
      </c>
      <c r="C2841" s="4" t="n">
        <f aca="false">YEAR(B2841)</f>
        <v>2025</v>
      </c>
      <c r="D2841" s="49" t="s">
        <v>278</v>
      </c>
      <c r="E2841" s="49" t="s">
        <v>5924</v>
      </c>
      <c r="F2841" s="50" t="n">
        <v>6</v>
      </c>
      <c r="G2841" s="49" t="s">
        <v>280</v>
      </c>
      <c r="H2841" s="51" t="n">
        <v>0.6329</v>
      </c>
      <c r="I2841" s="51" t="n">
        <v>0.3423</v>
      </c>
      <c r="J2841" s="51" t="n">
        <v>0.0248</v>
      </c>
      <c r="K2841" s="49"/>
      <c r="L2841" s="49"/>
      <c r="M2841" s="49"/>
      <c r="N2841" s="49"/>
      <c r="O2841" s="49"/>
      <c r="P2841" s="49"/>
      <c r="Q2841" s="49" t="s">
        <v>281</v>
      </c>
      <c r="R2841" s="49"/>
      <c r="S2841" s="49" t="n">
        <v>0</v>
      </c>
      <c r="T2841" s="49" t="n">
        <v>0</v>
      </c>
      <c r="U2841" s="49" t="s">
        <v>5925</v>
      </c>
    </row>
    <row r="2842" customFormat="false" ht="15" hidden="false" customHeight="false" outlineLevel="0" collapsed="false">
      <c r="B2842" s="48" t="n">
        <v>45936.3573611111</v>
      </c>
      <c r="C2842" s="4" t="n">
        <f aca="false">YEAR(B2842)</f>
        <v>2025</v>
      </c>
      <c r="D2842" s="49" t="s">
        <v>278</v>
      </c>
      <c r="E2842" s="49" t="s">
        <v>5926</v>
      </c>
      <c r="F2842" s="50" t="n">
        <v>4</v>
      </c>
      <c r="G2842" s="49" t="s">
        <v>280</v>
      </c>
      <c r="H2842" s="51" t="n">
        <v>0.8375</v>
      </c>
      <c r="I2842" s="51" t="n">
        <v>0.1515</v>
      </c>
      <c r="J2842" s="51" t="n">
        <v>0.011</v>
      </c>
      <c r="K2842" s="49"/>
      <c r="L2842" s="49"/>
      <c r="M2842" s="49"/>
      <c r="N2842" s="49"/>
      <c r="O2842" s="49"/>
      <c r="P2842" s="49"/>
      <c r="Q2842" s="49"/>
      <c r="R2842" s="49"/>
      <c r="S2842" s="49" t="n">
        <v>0</v>
      </c>
      <c r="T2842" s="49" t="n">
        <v>0</v>
      </c>
      <c r="U2842" s="49" t="s">
        <v>5927</v>
      </c>
    </row>
    <row r="2843" customFormat="false" ht="15" hidden="false" customHeight="false" outlineLevel="0" collapsed="false">
      <c r="B2843" s="48" t="n">
        <v>45936.423599537</v>
      </c>
      <c r="C2843" s="4" t="n">
        <f aca="false">YEAR(B2843)</f>
        <v>2025</v>
      </c>
      <c r="D2843" s="49" t="s">
        <v>278</v>
      </c>
      <c r="E2843" s="49" t="s">
        <v>5928</v>
      </c>
      <c r="F2843" s="50" t="n">
        <v>0</v>
      </c>
      <c r="G2843" s="49" t="s">
        <v>280</v>
      </c>
      <c r="H2843" s="51" t="n">
        <v>0.7776</v>
      </c>
      <c r="I2843" s="51" t="n">
        <v>0.2085</v>
      </c>
      <c r="J2843" s="51" t="n">
        <v>0.0139</v>
      </c>
      <c r="K2843" s="49"/>
      <c r="L2843" s="49"/>
      <c r="M2843" s="49"/>
      <c r="N2843" s="49"/>
      <c r="O2843" s="49"/>
      <c r="P2843" s="49"/>
      <c r="Q2843" s="49"/>
      <c r="R2843" s="49"/>
      <c r="S2843" s="49" t="n">
        <v>0</v>
      </c>
      <c r="T2843" s="49" t="n">
        <v>0</v>
      </c>
      <c r="U2843" s="49" t="s">
        <v>5929</v>
      </c>
    </row>
    <row r="2844" customFormat="false" ht="15" hidden="false" customHeight="false" outlineLevel="0" collapsed="false">
      <c r="B2844" s="48" t="n">
        <v>45936.995625</v>
      </c>
      <c r="C2844" s="4" t="n">
        <f aca="false">YEAR(B2844)</f>
        <v>2025</v>
      </c>
      <c r="D2844" s="49" t="s">
        <v>283</v>
      </c>
      <c r="E2844" s="49" t="s">
        <v>5930</v>
      </c>
      <c r="F2844" s="50" t="n">
        <v>1</v>
      </c>
      <c r="G2844" s="49" t="s">
        <v>287</v>
      </c>
      <c r="H2844" s="51" t="n">
        <v>0.0052</v>
      </c>
      <c r="I2844" s="51" t="n">
        <v>0.1412</v>
      </c>
      <c r="J2844" s="51" t="n">
        <v>0.8536</v>
      </c>
      <c r="K2844" s="49"/>
      <c r="L2844" s="49"/>
      <c r="M2844" s="49"/>
      <c r="N2844" s="49"/>
      <c r="O2844" s="49"/>
      <c r="P2844" s="49"/>
      <c r="Q2844" s="49"/>
      <c r="R2844" s="49"/>
      <c r="S2844" s="49" t="n">
        <v>0</v>
      </c>
      <c r="T2844" s="49" t="n">
        <v>0</v>
      </c>
      <c r="U2844" s="49" t="s">
        <v>5931</v>
      </c>
    </row>
    <row r="2845" customFormat="false" ht="15" hidden="false" customHeight="false" outlineLevel="0" collapsed="false">
      <c r="B2845" s="48" t="n">
        <v>45937.3763425926</v>
      </c>
      <c r="C2845" s="4" t="n">
        <f aca="false">YEAR(B2845)</f>
        <v>2025</v>
      </c>
      <c r="D2845" s="49" t="s">
        <v>283</v>
      </c>
      <c r="E2845" s="49" t="s">
        <v>5932</v>
      </c>
      <c r="F2845" s="50" t="n">
        <v>1</v>
      </c>
      <c r="G2845" s="49" t="s">
        <v>290</v>
      </c>
      <c r="H2845" s="51" t="n">
        <v>0.0673</v>
      </c>
      <c r="I2845" s="51" t="n">
        <v>0.8319</v>
      </c>
      <c r="J2845" s="51" t="n">
        <v>0.1007</v>
      </c>
      <c r="K2845" s="49"/>
      <c r="L2845" s="49"/>
      <c r="M2845" s="49"/>
      <c r="N2845" s="49"/>
      <c r="O2845" s="49"/>
      <c r="P2845" s="49"/>
      <c r="Q2845" s="49"/>
      <c r="R2845" s="49"/>
      <c r="S2845" s="49" t="n">
        <v>0</v>
      </c>
      <c r="T2845" s="49" t="n">
        <v>0</v>
      </c>
      <c r="U2845" s="49" t="s">
        <v>5933</v>
      </c>
    </row>
    <row r="2846" customFormat="false" ht="15" hidden="false" customHeight="false" outlineLevel="0" collapsed="false">
      <c r="B2846" s="48" t="n">
        <v>45938.2692824074</v>
      </c>
      <c r="C2846" s="4" t="n">
        <f aca="false">YEAR(B2846)</f>
        <v>2025</v>
      </c>
      <c r="D2846" s="49" t="s">
        <v>278</v>
      </c>
      <c r="E2846" s="49" t="s">
        <v>5934</v>
      </c>
      <c r="F2846" s="50" t="n">
        <v>0</v>
      </c>
      <c r="G2846" s="49" t="s">
        <v>280</v>
      </c>
      <c r="H2846" s="51" t="n">
        <v>0.8459</v>
      </c>
      <c r="I2846" s="51" t="n">
        <v>0.1447</v>
      </c>
      <c r="J2846" s="51" t="n">
        <v>0.0094</v>
      </c>
      <c r="K2846" s="49"/>
      <c r="L2846" s="49"/>
      <c r="M2846" s="49"/>
      <c r="N2846" s="49"/>
      <c r="O2846" s="49"/>
      <c r="P2846" s="49"/>
      <c r="Q2846" s="49"/>
      <c r="R2846" s="49"/>
      <c r="S2846" s="49" t="n">
        <v>0</v>
      </c>
      <c r="T2846" s="49" t="n">
        <v>0</v>
      </c>
      <c r="U2846" s="49" t="s">
        <v>5935</v>
      </c>
    </row>
    <row r="2847" customFormat="false" ht="15" hidden="false" customHeight="false" outlineLevel="0" collapsed="false">
      <c r="B2847" s="48" t="n">
        <v>45938.4567361111</v>
      </c>
      <c r="C2847" s="4" t="n">
        <f aca="false">YEAR(B2847)</f>
        <v>2025</v>
      </c>
      <c r="D2847" s="49" t="s">
        <v>278</v>
      </c>
      <c r="E2847" s="49" t="s">
        <v>5936</v>
      </c>
      <c r="F2847" s="50" t="n">
        <v>32</v>
      </c>
      <c r="G2847" s="49" t="s">
        <v>290</v>
      </c>
      <c r="H2847" s="51" t="n">
        <v>0.1179</v>
      </c>
      <c r="I2847" s="51" t="n">
        <v>0.5807</v>
      </c>
      <c r="J2847" s="51" t="n">
        <v>0.3014</v>
      </c>
      <c r="K2847" s="49" t="s">
        <v>281</v>
      </c>
      <c r="L2847" s="49"/>
      <c r="M2847" s="49"/>
      <c r="N2847" s="49"/>
      <c r="O2847" s="49"/>
      <c r="P2847" s="49"/>
      <c r="Q2847" s="49"/>
      <c r="R2847" s="49"/>
      <c r="S2847" s="49" t="n">
        <v>0</v>
      </c>
      <c r="T2847" s="49" t="n">
        <v>0</v>
      </c>
      <c r="U2847" s="49" t="s">
        <v>5937</v>
      </c>
    </row>
    <row r="2848" customFormat="false" ht="15" hidden="false" customHeight="false" outlineLevel="0" collapsed="false">
      <c r="B2848" s="48" t="n">
        <v>45938.7273842593</v>
      </c>
      <c r="C2848" s="4" t="n">
        <f aca="false">YEAR(B2848)</f>
        <v>2025</v>
      </c>
      <c r="D2848" s="49" t="s">
        <v>283</v>
      </c>
      <c r="E2848" s="49" t="s">
        <v>5938</v>
      </c>
      <c r="F2848" s="50" t="n">
        <v>3</v>
      </c>
      <c r="G2848" s="49" t="s">
        <v>290</v>
      </c>
      <c r="H2848" s="51" t="n">
        <v>0.3359</v>
      </c>
      <c r="I2848" s="51" t="n">
        <v>0.6382</v>
      </c>
      <c r="J2848" s="51" t="n">
        <v>0.0259</v>
      </c>
      <c r="K2848" s="49"/>
      <c r="L2848" s="49"/>
      <c r="M2848" s="49"/>
      <c r="N2848" s="49"/>
      <c r="O2848" s="49"/>
      <c r="P2848" s="49"/>
      <c r="Q2848" s="49"/>
      <c r="R2848" s="49"/>
      <c r="S2848" s="49" t="n">
        <v>0</v>
      </c>
      <c r="T2848" s="49" t="n">
        <v>0</v>
      </c>
      <c r="U2848" s="49" t="s">
        <v>5939</v>
      </c>
    </row>
    <row r="2849" customFormat="false" ht="15" hidden="false" customHeight="false" outlineLevel="0" collapsed="false">
      <c r="B2849" s="48" t="n">
        <v>45938.8831134259</v>
      </c>
      <c r="C2849" s="4" t="n">
        <f aca="false">YEAR(B2849)</f>
        <v>2025</v>
      </c>
      <c r="D2849" s="49" t="s">
        <v>283</v>
      </c>
      <c r="E2849" s="49" t="s">
        <v>5940</v>
      </c>
      <c r="F2849" s="50" t="n">
        <v>1</v>
      </c>
      <c r="G2849" s="49" t="s">
        <v>290</v>
      </c>
      <c r="H2849" s="51" t="n">
        <v>0.0048</v>
      </c>
      <c r="I2849" s="51" t="n">
        <v>0.9158</v>
      </c>
      <c r="J2849" s="51" t="n">
        <v>0.0793</v>
      </c>
      <c r="K2849" s="49"/>
      <c r="L2849" s="49"/>
      <c r="M2849" s="49"/>
      <c r="N2849" s="49"/>
      <c r="O2849" s="49"/>
      <c r="P2849" s="49"/>
      <c r="Q2849" s="49"/>
      <c r="R2849" s="49"/>
      <c r="S2849" s="49" t="n">
        <v>0</v>
      </c>
      <c r="T2849" s="49" t="n">
        <v>0</v>
      </c>
      <c r="U2849" s="49" t="s">
        <v>5941</v>
      </c>
    </row>
    <row r="2850" customFormat="false" ht="15" hidden="false" customHeight="false" outlineLevel="0" collapsed="false">
      <c r="B2850" s="48" t="n">
        <v>45938.9153240741</v>
      </c>
      <c r="C2850" s="4" t="n">
        <f aca="false">YEAR(B2850)</f>
        <v>2025</v>
      </c>
      <c r="D2850" s="49" t="s">
        <v>283</v>
      </c>
      <c r="E2850" s="49" t="s">
        <v>5942</v>
      </c>
      <c r="F2850" s="50" t="n">
        <v>1</v>
      </c>
      <c r="G2850" s="49" t="s">
        <v>290</v>
      </c>
      <c r="H2850" s="51" t="n">
        <v>0.0041</v>
      </c>
      <c r="I2850" s="51" t="n">
        <v>0.6571</v>
      </c>
      <c r="J2850" s="51" t="n">
        <v>0.3388</v>
      </c>
      <c r="K2850" s="49"/>
      <c r="L2850" s="49"/>
      <c r="M2850" s="49"/>
      <c r="N2850" s="49"/>
      <c r="O2850" s="49"/>
      <c r="P2850" s="49"/>
      <c r="Q2850" s="49"/>
      <c r="R2850" s="49"/>
      <c r="S2850" s="49" t="n">
        <v>0</v>
      </c>
      <c r="T2850" s="49" t="n">
        <v>0</v>
      </c>
      <c r="U2850" s="49" t="s">
        <v>5943</v>
      </c>
    </row>
    <row r="2851" customFormat="false" ht="15" hidden="false" customHeight="false" outlineLevel="0" collapsed="false">
      <c r="B2851" s="48" t="n">
        <v>45939.0141435185</v>
      </c>
      <c r="C2851" s="4" t="n">
        <f aca="false">YEAR(B2851)</f>
        <v>2025</v>
      </c>
      <c r="D2851" s="49" t="s">
        <v>283</v>
      </c>
      <c r="E2851" s="49" t="s">
        <v>5944</v>
      </c>
      <c r="F2851" s="50" t="n">
        <v>1</v>
      </c>
      <c r="G2851" s="49" t="s">
        <v>287</v>
      </c>
      <c r="H2851" s="51" t="n">
        <v>0.0027</v>
      </c>
      <c r="I2851" s="51" t="n">
        <v>0.0135</v>
      </c>
      <c r="J2851" s="51" t="n">
        <v>0.9838</v>
      </c>
      <c r="K2851" s="49"/>
      <c r="L2851" s="49"/>
      <c r="M2851" s="49"/>
      <c r="N2851" s="49"/>
      <c r="O2851" s="49"/>
      <c r="P2851" s="49"/>
      <c r="Q2851" s="49"/>
      <c r="R2851" s="49"/>
      <c r="S2851" s="49" t="n">
        <v>0</v>
      </c>
      <c r="T2851" s="49" t="n">
        <v>0</v>
      </c>
      <c r="U2851" s="49" t="s">
        <v>5945</v>
      </c>
    </row>
    <row r="2852" customFormat="false" ht="15" hidden="false" customHeight="false" outlineLevel="0" collapsed="false">
      <c r="B2852" s="48" t="n">
        <v>45939.7219328704</v>
      </c>
      <c r="C2852" s="4" t="n">
        <f aca="false">YEAR(B2852)</f>
        <v>2025</v>
      </c>
      <c r="D2852" s="49" t="s">
        <v>278</v>
      </c>
      <c r="E2852" s="49" t="s">
        <v>5946</v>
      </c>
      <c r="F2852" s="50" t="n">
        <v>1</v>
      </c>
      <c r="G2852" s="49" t="s">
        <v>287</v>
      </c>
      <c r="H2852" s="51" t="n">
        <v>0.0813</v>
      </c>
      <c r="I2852" s="51" t="n">
        <v>0.1857</v>
      </c>
      <c r="J2852" s="51" t="n">
        <v>0.733</v>
      </c>
      <c r="K2852" s="49"/>
      <c r="L2852" s="49"/>
      <c r="M2852" s="49" t="s">
        <v>281</v>
      </c>
      <c r="N2852" s="49"/>
      <c r="O2852" s="49"/>
      <c r="P2852" s="49"/>
      <c r="Q2852" s="49"/>
      <c r="R2852" s="49"/>
      <c r="S2852" s="49" t="n">
        <v>0</v>
      </c>
      <c r="T2852" s="49" t="n">
        <v>0</v>
      </c>
      <c r="U2852" s="49" t="s">
        <v>5947</v>
      </c>
    </row>
    <row r="2853" customFormat="false" ht="15" hidden="false" customHeight="false" outlineLevel="0" collapsed="false">
      <c r="B2853" s="48" t="n">
        <v>45940.5663425926</v>
      </c>
      <c r="C2853" s="4" t="n">
        <f aca="false">YEAR(B2853)</f>
        <v>2025</v>
      </c>
      <c r="D2853" s="49" t="s">
        <v>278</v>
      </c>
      <c r="E2853" s="49" t="s">
        <v>5948</v>
      </c>
      <c r="F2853" s="50" t="n">
        <v>2</v>
      </c>
      <c r="G2853" s="49" t="s">
        <v>290</v>
      </c>
      <c r="H2853" s="51" t="n">
        <v>0.1395</v>
      </c>
      <c r="I2853" s="51" t="n">
        <v>0.8127</v>
      </c>
      <c r="J2853" s="51" t="n">
        <v>0.0478</v>
      </c>
      <c r="K2853" s="49"/>
      <c r="L2853" s="49"/>
      <c r="M2853" s="49"/>
      <c r="N2853" s="49"/>
      <c r="O2853" s="49"/>
      <c r="P2853" s="49"/>
      <c r="Q2853" s="49"/>
      <c r="R2853" s="49"/>
      <c r="S2853" s="49" t="n">
        <v>0</v>
      </c>
      <c r="T2853" s="49" t="n">
        <v>0</v>
      </c>
      <c r="U2853" s="49" t="s">
        <v>5949</v>
      </c>
    </row>
    <row r="2854" customFormat="false" ht="15" hidden="false" customHeight="false" outlineLevel="0" collapsed="false">
      <c r="B2854" s="48" t="n">
        <v>45941.1189583333</v>
      </c>
      <c r="C2854" s="4" t="n">
        <f aca="false">YEAR(B2854)</f>
        <v>2025</v>
      </c>
      <c r="D2854" s="49" t="s">
        <v>278</v>
      </c>
      <c r="E2854" s="49" t="s">
        <v>5950</v>
      </c>
      <c r="F2854" s="50" t="n">
        <v>1</v>
      </c>
      <c r="G2854" s="49" t="s">
        <v>290</v>
      </c>
      <c r="H2854" s="51" t="n">
        <v>0.0216</v>
      </c>
      <c r="I2854" s="51" t="n">
        <v>0.81</v>
      </c>
      <c r="J2854" s="51" t="n">
        <v>0.1683</v>
      </c>
      <c r="K2854" s="49"/>
      <c r="L2854" s="49"/>
      <c r="M2854" s="49"/>
      <c r="N2854" s="49"/>
      <c r="O2854" s="49"/>
      <c r="P2854" s="49"/>
      <c r="Q2854" s="49"/>
      <c r="R2854" s="49"/>
      <c r="S2854" s="49" t="n">
        <v>0</v>
      </c>
      <c r="T2854" s="49" t="n">
        <v>0</v>
      </c>
      <c r="U2854" s="49" t="s">
        <v>5951</v>
      </c>
    </row>
    <row r="2855" customFormat="false" ht="15" hidden="false" customHeight="false" outlineLevel="0" collapsed="false">
      <c r="B2855" s="48" t="n">
        <v>45942.4634259259</v>
      </c>
      <c r="C2855" s="4" t="n">
        <f aca="false">YEAR(B2855)</f>
        <v>2025</v>
      </c>
      <c r="D2855" s="49" t="s">
        <v>283</v>
      </c>
      <c r="E2855" s="49" t="s">
        <v>5952</v>
      </c>
      <c r="F2855" s="50" t="n">
        <v>1</v>
      </c>
      <c r="G2855" s="49" t="s">
        <v>287</v>
      </c>
      <c r="H2855" s="51" t="n">
        <v>0.1325</v>
      </c>
      <c r="I2855" s="51" t="n">
        <v>0.4275</v>
      </c>
      <c r="J2855" s="51" t="n">
        <v>0.44</v>
      </c>
      <c r="K2855" s="49"/>
      <c r="L2855" s="49"/>
      <c r="M2855" s="49"/>
      <c r="N2855" s="49"/>
      <c r="O2855" s="49"/>
      <c r="P2855" s="49"/>
      <c r="Q2855" s="49"/>
      <c r="R2855" s="49"/>
      <c r="S2855" s="49" t="n">
        <v>0</v>
      </c>
      <c r="T2855" s="49" t="n">
        <v>0</v>
      </c>
      <c r="U2855" s="49" t="s">
        <v>5953</v>
      </c>
    </row>
    <row r="2856" customFormat="false" ht="15" hidden="false" customHeight="false" outlineLevel="0" collapsed="false">
      <c r="B2856" s="48" t="n">
        <v>45942.7809490741</v>
      </c>
      <c r="C2856" s="4" t="n">
        <f aca="false">YEAR(B2856)</f>
        <v>2025</v>
      </c>
      <c r="D2856" s="49" t="s">
        <v>278</v>
      </c>
      <c r="E2856" s="49" t="s">
        <v>5954</v>
      </c>
      <c r="F2856" s="50" t="n">
        <v>1</v>
      </c>
      <c r="G2856" s="49" t="s">
        <v>290</v>
      </c>
      <c r="H2856" s="51" t="n">
        <v>0.0134</v>
      </c>
      <c r="I2856" s="51" t="n">
        <v>0.5478</v>
      </c>
      <c r="J2856" s="51" t="n">
        <v>0.4387</v>
      </c>
      <c r="K2856" s="49"/>
      <c r="L2856" s="49"/>
      <c r="M2856" s="49"/>
      <c r="N2856" s="49"/>
      <c r="O2856" s="49"/>
      <c r="P2856" s="49"/>
      <c r="Q2856" s="49"/>
      <c r="R2856" s="49"/>
      <c r="S2856" s="49" t="n">
        <v>0</v>
      </c>
      <c r="T2856" s="49" t="n">
        <v>0</v>
      </c>
      <c r="U2856" s="49" t="s">
        <v>5955</v>
      </c>
    </row>
    <row r="2857" customFormat="false" ht="15" hidden="false" customHeight="false" outlineLevel="0" collapsed="false">
      <c r="B2857" s="48" t="n">
        <v>45942.8905208333</v>
      </c>
      <c r="C2857" s="4" t="n">
        <f aca="false">YEAR(B2857)</f>
        <v>2025</v>
      </c>
      <c r="D2857" s="49" t="s">
        <v>283</v>
      </c>
      <c r="E2857" s="49" t="s">
        <v>5952</v>
      </c>
      <c r="F2857" s="50" t="n">
        <v>1</v>
      </c>
      <c r="G2857" s="49" t="s">
        <v>287</v>
      </c>
      <c r="H2857" s="51" t="n">
        <v>0.1205</v>
      </c>
      <c r="I2857" s="51" t="n">
        <v>0.4164</v>
      </c>
      <c r="J2857" s="51" t="n">
        <v>0.463</v>
      </c>
      <c r="K2857" s="49"/>
      <c r="L2857" s="49"/>
      <c r="M2857" s="49"/>
      <c r="N2857" s="49"/>
      <c r="O2857" s="49"/>
      <c r="P2857" s="49"/>
      <c r="Q2857" s="49"/>
      <c r="R2857" s="49"/>
      <c r="S2857" s="49" t="n">
        <v>0</v>
      </c>
      <c r="T2857" s="49" t="n">
        <v>0</v>
      </c>
      <c r="U2857" s="49" t="s">
        <v>5956</v>
      </c>
    </row>
    <row r="2858" customFormat="false" ht="15" hidden="false" customHeight="false" outlineLevel="0" collapsed="false">
      <c r="B2858" s="48" t="n">
        <v>45942.9131481482</v>
      </c>
      <c r="C2858" s="4" t="n">
        <f aca="false">YEAR(B2858)</f>
        <v>2025</v>
      </c>
      <c r="D2858" s="49" t="s">
        <v>283</v>
      </c>
      <c r="E2858" s="49" t="s">
        <v>5957</v>
      </c>
      <c r="F2858" s="50" t="n">
        <v>10</v>
      </c>
      <c r="G2858" s="49" t="s">
        <v>287</v>
      </c>
      <c r="H2858" s="51" t="n">
        <v>0.119</v>
      </c>
      <c r="I2858" s="51" t="n">
        <v>0.4055</v>
      </c>
      <c r="J2858" s="51" t="n">
        <v>0.4755</v>
      </c>
      <c r="K2858" s="49"/>
      <c r="L2858" s="49"/>
      <c r="M2858" s="49"/>
      <c r="N2858" s="49"/>
      <c r="O2858" s="49"/>
      <c r="P2858" s="49"/>
      <c r="Q2858" s="49"/>
      <c r="R2858" s="49"/>
      <c r="S2858" s="49" t="n">
        <v>0</v>
      </c>
      <c r="T2858" s="49" t="n">
        <v>0</v>
      </c>
      <c r="U2858" s="49" t="s">
        <v>5958</v>
      </c>
    </row>
    <row r="2859" customFormat="false" ht="15" hidden="false" customHeight="false" outlineLevel="0" collapsed="false">
      <c r="B2859" s="48" t="n">
        <v>45943.2981365741</v>
      </c>
      <c r="C2859" s="4" t="n">
        <f aca="false">YEAR(B2859)</f>
        <v>2025</v>
      </c>
      <c r="D2859" s="49" t="s">
        <v>278</v>
      </c>
      <c r="E2859" s="49" t="s">
        <v>5959</v>
      </c>
      <c r="F2859" s="50" t="n">
        <v>10</v>
      </c>
      <c r="G2859" s="49" t="s">
        <v>280</v>
      </c>
      <c r="H2859" s="51" t="n">
        <v>0.8442</v>
      </c>
      <c r="I2859" s="51" t="n">
        <v>0.1488</v>
      </c>
      <c r="J2859" s="51" t="n">
        <v>0.007</v>
      </c>
      <c r="K2859" s="49"/>
      <c r="L2859" s="49"/>
      <c r="M2859" s="49" t="s">
        <v>281</v>
      </c>
      <c r="N2859" s="49"/>
      <c r="O2859" s="49"/>
      <c r="P2859" s="49"/>
      <c r="Q2859" s="49" t="s">
        <v>281</v>
      </c>
      <c r="R2859" s="49"/>
      <c r="S2859" s="49" t="n">
        <v>0</v>
      </c>
      <c r="T2859" s="49" t="n">
        <v>0</v>
      </c>
      <c r="U2859" s="49" t="s">
        <v>5960</v>
      </c>
    </row>
    <row r="2860" customFormat="false" ht="15" hidden="false" customHeight="false" outlineLevel="0" collapsed="false">
      <c r="B2860" s="48" t="n">
        <v>45944.1638888889</v>
      </c>
      <c r="C2860" s="4" t="n">
        <f aca="false">YEAR(B2860)</f>
        <v>2025</v>
      </c>
      <c r="D2860" s="49" t="s">
        <v>283</v>
      </c>
      <c r="E2860" s="49" t="s">
        <v>5961</v>
      </c>
      <c r="F2860" s="50" t="n">
        <v>1</v>
      </c>
      <c r="G2860" s="49" t="s">
        <v>290</v>
      </c>
      <c r="H2860" s="51" t="n">
        <v>0.0066</v>
      </c>
      <c r="I2860" s="51" t="n">
        <v>0.6966</v>
      </c>
      <c r="J2860" s="51" t="n">
        <v>0.2967</v>
      </c>
      <c r="K2860" s="49"/>
      <c r="L2860" s="49"/>
      <c r="M2860" s="49"/>
      <c r="N2860" s="49"/>
      <c r="O2860" s="49"/>
      <c r="P2860" s="49"/>
      <c r="Q2860" s="49"/>
      <c r="R2860" s="49"/>
      <c r="S2860" s="49" t="n">
        <v>0</v>
      </c>
      <c r="T2860" s="49" t="n">
        <v>0</v>
      </c>
      <c r="U2860" s="49" t="s">
        <v>5962</v>
      </c>
    </row>
    <row r="2861" customFormat="false" ht="15" hidden="false" customHeight="false" outlineLevel="0" collapsed="false">
      <c r="B2861" s="48" t="n">
        <v>45944.6016550926</v>
      </c>
      <c r="C2861" s="4" t="n">
        <f aca="false">YEAR(B2861)</f>
        <v>2025</v>
      </c>
      <c r="D2861" s="49" t="s">
        <v>283</v>
      </c>
      <c r="E2861" s="49" t="s">
        <v>5963</v>
      </c>
      <c r="F2861" s="50" t="n">
        <v>2</v>
      </c>
      <c r="G2861" s="49" t="s">
        <v>287</v>
      </c>
      <c r="H2861" s="51" t="n">
        <v>0.0108</v>
      </c>
      <c r="I2861" s="51" t="n">
        <v>0.2136</v>
      </c>
      <c r="J2861" s="51" t="n">
        <v>0.7756</v>
      </c>
      <c r="K2861" s="49"/>
      <c r="L2861" s="49"/>
      <c r="M2861" s="49"/>
      <c r="N2861" s="49"/>
      <c r="O2861" s="49"/>
      <c r="P2861" s="49"/>
      <c r="Q2861" s="49"/>
      <c r="R2861" s="49"/>
      <c r="S2861" s="49" t="n">
        <v>0</v>
      </c>
      <c r="T2861" s="49" t="n">
        <v>0</v>
      </c>
      <c r="U2861" s="49" t="s">
        <v>5964</v>
      </c>
    </row>
    <row r="2862" customFormat="false" ht="15" hidden="false" customHeight="false" outlineLevel="0" collapsed="false">
      <c r="B2862" s="48" t="n">
        <v>45944.6731134259</v>
      </c>
      <c r="C2862" s="4" t="n">
        <f aca="false">YEAR(B2862)</f>
        <v>2025</v>
      </c>
      <c r="D2862" s="49" t="s">
        <v>278</v>
      </c>
      <c r="E2862" s="49" t="s">
        <v>5965</v>
      </c>
      <c r="F2862" s="50" t="n">
        <v>103</v>
      </c>
      <c r="G2862" s="49" t="s">
        <v>290</v>
      </c>
      <c r="H2862" s="51" t="n">
        <v>0.3368</v>
      </c>
      <c r="I2862" s="51" t="n">
        <v>0.6143</v>
      </c>
      <c r="J2862" s="51" t="n">
        <v>0.0489</v>
      </c>
      <c r="K2862" s="49"/>
      <c r="L2862" s="49"/>
      <c r="M2862" s="49"/>
      <c r="N2862" s="49"/>
      <c r="O2862" s="49"/>
      <c r="P2862" s="49"/>
      <c r="Q2862" s="49"/>
      <c r="R2862" s="49"/>
      <c r="S2862" s="49" t="n">
        <v>0</v>
      </c>
      <c r="T2862" s="49" t="n">
        <v>0</v>
      </c>
      <c r="U2862" s="49" t="s">
        <v>5966</v>
      </c>
    </row>
    <row r="2863" customFormat="false" ht="15" hidden="false" customHeight="false" outlineLevel="0" collapsed="false">
      <c r="B2863" s="48" t="n">
        <v>45945.5199074074</v>
      </c>
      <c r="C2863" s="4" t="n">
        <f aca="false">YEAR(B2863)</f>
        <v>2025</v>
      </c>
      <c r="D2863" s="49" t="s">
        <v>278</v>
      </c>
      <c r="E2863" s="49" t="s">
        <v>5967</v>
      </c>
      <c r="F2863" s="50" t="n">
        <v>0</v>
      </c>
      <c r="G2863" s="49" t="s">
        <v>280</v>
      </c>
      <c r="H2863" s="51" t="n">
        <v>0.7887</v>
      </c>
      <c r="I2863" s="51" t="n">
        <v>0.1904</v>
      </c>
      <c r="J2863" s="51" t="n">
        <v>0.0209</v>
      </c>
      <c r="K2863" s="49"/>
      <c r="L2863" s="49"/>
      <c r="M2863" s="49"/>
      <c r="N2863" s="49"/>
      <c r="O2863" s="49"/>
      <c r="P2863" s="49"/>
      <c r="Q2863" s="49"/>
      <c r="R2863" s="49"/>
      <c r="S2863" s="49" t="n">
        <v>0</v>
      </c>
      <c r="T2863" s="49" t="n">
        <v>0</v>
      </c>
      <c r="U2863" s="49" t="s">
        <v>5968</v>
      </c>
    </row>
    <row r="2864" customFormat="false" ht="15" hidden="false" customHeight="false" outlineLevel="0" collapsed="false">
      <c r="B2864" s="48" t="n">
        <v>45945.5462037037</v>
      </c>
      <c r="C2864" s="4" t="n">
        <f aca="false">YEAR(B2864)</f>
        <v>2025</v>
      </c>
      <c r="D2864" s="49" t="s">
        <v>278</v>
      </c>
      <c r="E2864" s="49" t="s">
        <v>5969</v>
      </c>
      <c r="F2864" s="50" t="n">
        <v>1</v>
      </c>
      <c r="G2864" s="49" t="s">
        <v>280</v>
      </c>
      <c r="H2864" s="51" t="n">
        <v>0.5777</v>
      </c>
      <c r="I2864" s="51" t="n">
        <v>0.3964</v>
      </c>
      <c r="J2864" s="51" t="n">
        <v>0.0259</v>
      </c>
      <c r="K2864" s="49" t="s">
        <v>281</v>
      </c>
      <c r="L2864" s="49"/>
      <c r="M2864" s="49"/>
      <c r="N2864" s="49"/>
      <c r="O2864" s="49"/>
      <c r="P2864" s="49"/>
      <c r="Q2864" s="49"/>
      <c r="R2864" s="49"/>
      <c r="S2864" s="49" t="n">
        <v>0</v>
      </c>
      <c r="T2864" s="49" t="n">
        <v>0</v>
      </c>
      <c r="U2864" s="49" t="s">
        <v>5970</v>
      </c>
    </row>
    <row r="2865" customFormat="false" ht="15" hidden="false" customHeight="false" outlineLevel="0" collapsed="false">
      <c r="B2865" s="48" t="n">
        <v>45945.6440625</v>
      </c>
      <c r="C2865" s="4" t="n">
        <f aca="false">YEAR(B2865)</f>
        <v>2025</v>
      </c>
      <c r="D2865" s="49" t="s">
        <v>278</v>
      </c>
      <c r="E2865" s="49" t="s">
        <v>5971</v>
      </c>
      <c r="F2865" s="50" t="n">
        <v>7</v>
      </c>
      <c r="G2865" s="49" t="s">
        <v>280</v>
      </c>
      <c r="H2865" s="51" t="n">
        <v>0.7731</v>
      </c>
      <c r="I2865" s="51" t="n">
        <v>0.2156</v>
      </c>
      <c r="J2865" s="51" t="n">
        <v>0.0114</v>
      </c>
      <c r="K2865" s="49" t="s">
        <v>281</v>
      </c>
      <c r="L2865" s="49"/>
      <c r="M2865" s="49"/>
      <c r="N2865" s="49"/>
      <c r="O2865" s="49"/>
      <c r="P2865" s="49"/>
      <c r="Q2865" s="49"/>
      <c r="R2865" s="49"/>
      <c r="S2865" s="49" t="n">
        <v>0</v>
      </c>
      <c r="T2865" s="49" t="n">
        <v>0</v>
      </c>
      <c r="U2865" s="49" t="s">
        <v>5972</v>
      </c>
    </row>
    <row r="2866" customFormat="false" ht="15" hidden="false" customHeight="false" outlineLevel="0" collapsed="false">
      <c r="B2866" s="48" t="n">
        <v>45945.6723726852</v>
      </c>
      <c r="C2866" s="4" t="n">
        <f aca="false">YEAR(B2866)</f>
        <v>2025</v>
      </c>
      <c r="D2866" s="49" t="s">
        <v>283</v>
      </c>
      <c r="E2866" s="49" t="s">
        <v>5973</v>
      </c>
      <c r="F2866" s="50" t="n">
        <v>2</v>
      </c>
      <c r="G2866" s="49" t="s">
        <v>290</v>
      </c>
      <c r="H2866" s="51" t="n">
        <v>0.1018</v>
      </c>
      <c r="I2866" s="51" t="n">
        <v>0.6424</v>
      </c>
      <c r="J2866" s="51" t="n">
        <v>0.2558</v>
      </c>
      <c r="K2866" s="49"/>
      <c r="L2866" s="49"/>
      <c r="M2866" s="49"/>
      <c r="N2866" s="49"/>
      <c r="O2866" s="49"/>
      <c r="P2866" s="49"/>
      <c r="Q2866" s="49"/>
      <c r="R2866" s="49"/>
      <c r="S2866" s="49" t="n">
        <v>0</v>
      </c>
      <c r="T2866" s="49" t="n">
        <v>0</v>
      </c>
      <c r="U2866" s="49" t="s">
        <v>5974</v>
      </c>
    </row>
    <row r="2867" customFormat="false" ht="15" hidden="false" customHeight="false" outlineLevel="0" collapsed="false">
      <c r="B2867" s="48" t="n">
        <v>45945.7005324074</v>
      </c>
      <c r="C2867" s="4" t="n">
        <f aca="false">YEAR(B2867)</f>
        <v>2025</v>
      </c>
      <c r="D2867" s="49" t="s">
        <v>283</v>
      </c>
      <c r="E2867" s="49" t="s">
        <v>5975</v>
      </c>
      <c r="F2867" s="50" t="n">
        <v>6</v>
      </c>
      <c r="G2867" s="49" t="s">
        <v>287</v>
      </c>
      <c r="H2867" s="51" t="n">
        <v>0.0156</v>
      </c>
      <c r="I2867" s="51" t="n">
        <v>0.2532</v>
      </c>
      <c r="J2867" s="51" t="n">
        <v>0.7312</v>
      </c>
      <c r="K2867" s="49"/>
      <c r="L2867" s="49"/>
      <c r="M2867" s="49"/>
      <c r="N2867" s="49"/>
      <c r="O2867" s="49"/>
      <c r="P2867" s="49"/>
      <c r="Q2867" s="49"/>
      <c r="R2867" s="49"/>
      <c r="S2867" s="49" t="n">
        <v>0</v>
      </c>
      <c r="T2867" s="49" t="n">
        <v>0</v>
      </c>
      <c r="U2867" s="49" t="s">
        <v>5976</v>
      </c>
    </row>
    <row r="2868" customFormat="false" ht="15" hidden="false" customHeight="false" outlineLevel="0" collapsed="false">
      <c r="B2868" s="48" t="n">
        <v>45945.8907407407</v>
      </c>
      <c r="C2868" s="4" t="n">
        <f aca="false">YEAR(B2868)</f>
        <v>2025</v>
      </c>
      <c r="D2868" s="49" t="s">
        <v>278</v>
      </c>
      <c r="E2868" s="49" t="s">
        <v>5977</v>
      </c>
      <c r="F2868" s="50" t="n">
        <v>1</v>
      </c>
      <c r="G2868" s="49" t="s">
        <v>287</v>
      </c>
      <c r="H2868" s="51" t="n">
        <v>0.0644</v>
      </c>
      <c r="I2868" s="51" t="n">
        <v>0.4617</v>
      </c>
      <c r="J2868" s="51" t="n">
        <v>0.474</v>
      </c>
      <c r="K2868" s="49"/>
      <c r="L2868" s="49"/>
      <c r="M2868" s="49"/>
      <c r="N2868" s="49"/>
      <c r="O2868" s="49"/>
      <c r="P2868" s="49"/>
      <c r="Q2868" s="49"/>
      <c r="R2868" s="49"/>
      <c r="S2868" s="49" t="n">
        <v>0</v>
      </c>
      <c r="T2868" s="49" t="n">
        <v>0</v>
      </c>
      <c r="U2868" s="49" t="s">
        <v>5978</v>
      </c>
    </row>
    <row r="2869" customFormat="false" ht="15" hidden="false" customHeight="false" outlineLevel="0" collapsed="false">
      <c r="B2869" s="48" t="n">
        <v>45946.0804513889</v>
      </c>
      <c r="C2869" s="4" t="n">
        <f aca="false">YEAR(B2869)</f>
        <v>2025</v>
      </c>
      <c r="D2869" s="49" t="s">
        <v>278</v>
      </c>
      <c r="E2869" s="49" t="s">
        <v>5979</v>
      </c>
      <c r="F2869" s="50" t="n">
        <v>0</v>
      </c>
      <c r="G2869" s="49" t="s">
        <v>280</v>
      </c>
      <c r="H2869" s="51" t="n">
        <v>0.8431</v>
      </c>
      <c r="I2869" s="51" t="n">
        <v>0.1467</v>
      </c>
      <c r="J2869" s="51" t="n">
        <v>0.0102</v>
      </c>
      <c r="K2869" s="49" t="s">
        <v>281</v>
      </c>
      <c r="L2869" s="49"/>
      <c r="M2869" s="49"/>
      <c r="N2869" s="49"/>
      <c r="O2869" s="49"/>
      <c r="P2869" s="49"/>
      <c r="Q2869" s="49"/>
      <c r="R2869" s="49"/>
      <c r="S2869" s="49" t="n">
        <v>0</v>
      </c>
      <c r="T2869" s="49" t="n">
        <v>0</v>
      </c>
      <c r="U2869" s="49" t="s">
        <v>5980</v>
      </c>
    </row>
    <row r="2870" customFormat="false" ht="15" hidden="false" customHeight="false" outlineLevel="0" collapsed="false">
      <c r="B2870" s="48" t="n">
        <v>45946.2670601852</v>
      </c>
      <c r="C2870" s="4" t="n">
        <f aca="false">YEAR(B2870)</f>
        <v>2025</v>
      </c>
      <c r="D2870" s="49" t="s">
        <v>283</v>
      </c>
      <c r="E2870" s="49" t="s">
        <v>5981</v>
      </c>
      <c r="F2870" s="50" t="n">
        <v>1</v>
      </c>
      <c r="G2870" s="49" t="s">
        <v>290</v>
      </c>
      <c r="H2870" s="51" t="n">
        <v>0.0409</v>
      </c>
      <c r="I2870" s="51" t="n">
        <v>0.8695</v>
      </c>
      <c r="J2870" s="51" t="n">
        <v>0.0895</v>
      </c>
      <c r="K2870" s="49"/>
      <c r="L2870" s="49"/>
      <c r="M2870" s="49"/>
      <c r="N2870" s="49"/>
      <c r="O2870" s="49"/>
      <c r="P2870" s="49"/>
      <c r="Q2870" s="49"/>
      <c r="R2870" s="49"/>
      <c r="S2870" s="49" t="n">
        <v>0</v>
      </c>
      <c r="T2870" s="49" t="n">
        <v>0</v>
      </c>
      <c r="U2870" s="49" t="s">
        <v>5982</v>
      </c>
    </row>
    <row r="2871" customFormat="false" ht="15" hidden="false" customHeight="false" outlineLevel="0" collapsed="false">
      <c r="B2871" s="48" t="n">
        <v>45947.4524652778</v>
      </c>
      <c r="C2871" s="4" t="n">
        <f aca="false">YEAR(B2871)</f>
        <v>2025</v>
      </c>
      <c r="D2871" s="49" t="s">
        <v>283</v>
      </c>
      <c r="E2871" s="49" t="s">
        <v>5983</v>
      </c>
      <c r="F2871" s="50" t="n">
        <v>3</v>
      </c>
      <c r="G2871" s="49" t="s">
        <v>280</v>
      </c>
      <c r="H2871" s="51" t="n">
        <v>0.7294</v>
      </c>
      <c r="I2871" s="51" t="n">
        <v>0.2452</v>
      </c>
      <c r="J2871" s="51" t="n">
        <v>0.0255</v>
      </c>
      <c r="K2871" s="49" t="s">
        <v>281</v>
      </c>
      <c r="L2871" s="49"/>
      <c r="M2871" s="49"/>
      <c r="N2871" s="49"/>
      <c r="O2871" s="49"/>
      <c r="P2871" s="49"/>
      <c r="Q2871" s="49"/>
      <c r="R2871" s="49"/>
      <c r="S2871" s="49" t="n">
        <v>0</v>
      </c>
      <c r="T2871" s="49" t="n">
        <v>0</v>
      </c>
      <c r="U2871" s="49" t="s">
        <v>5984</v>
      </c>
    </row>
    <row r="2872" customFormat="false" ht="15" hidden="false" customHeight="false" outlineLevel="0" collapsed="false">
      <c r="B2872" s="48" t="n">
        <v>45947.7838657407</v>
      </c>
      <c r="C2872" s="4" t="n">
        <f aca="false">YEAR(B2872)</f>
        <v>2025</v>
      </c>
      <c r="D2872" s="49" t="s">
        <v>278</v>
      </c>
      <c r="E2872" s="49" t="s">
        <v>5985</v>
      </c>
      <c r="F2872" s="50" t="n">
        <v>3</v>
      </c>
      <c r="G2872" s="49" t="s">
        <v>280</v>
      </c>
      <c r="H2872" s="51" t="n">
        <v>0.9438</v>
      </c>
      <c r="I2872" s="51" t="n">
        <v>0.0505</v>
      </c>
      <c r="J2872" s="51" t="n">
        <v>0.0057</v>
      </c>
      <c r="K2872" s="49"/>
      <c r="L2872" s="49"/>
      <c r="M2872" s="49"/>
      <c r="N2872" s="49"/>
      <c r="O2872" s="49"/>
      <c r="P2872" s="49"/>
      <c r="Q2872" s="49"/>
      <c r="R2872" s="49"/>
      <c r="S2872" s="49" t="n">
        <v>0</v>
      </c>
      <c r="T2872" s="49" t="n">
        <v>0</v>
      </c>
      <c r="U2872" s="49" t="s">
        <v>5986</v>
      </c>
    </row>
    <row r="2873" customFormat="false" ht="15" hidden="false" customHeight="false" outlineLevel="0" collapsed="false">
      <c r="B2873" s="48" t="n">
        <v>45948.3593287037</v>
      </c>
      <c r="C2873" s="4" t="n">
        <f aca="false">YEAR(B2873)</f>
        <v>2025</v>
      </c>
      <c r="D2873" s="49" t="s">
        <v>278</v>
      </c>
      <c r="E2873" s="49" t="s">
        <v>5987</v>
      </c>
      <c r="F2873" s="50" t="n">
        <v>3</v>
      </c>
      <c r="G2873" s="49" t="s">
        <v>290</v>
      </c>
      <c r="H2873" s="51" t="n">
        <v>0.2723</v>
      </c>
      <c r="I2873" s="51" t="n">
        <v>0.693</v>
      </c>
      <c r="J2873" s="51" t="n">
        <v>0.0347</v>
      </c>
      <c r="K2873" s="49"/>
      <c r="L2873" s="49"/>
      <c r="M2873" s="49"/>
      <c r="N2873" s="49"/>
      <c r="O2873" s="49"/>
      <c r="P2873" s="49"/>
      <c r="Q2873" s="49"/>
      <c r="R2873" s="49"/>
      <c r="S2873" s="49" t="n">
        <v>0</v>
      </c>
      <c r="T2873" s="49" t="n">
        <v>0</v>
      </c>
      <c r="U2873" s="49" t="s">
        <v>5988</v>
      </c>
    </row>
    <row r="2874" customFormat="false" ht="15" hidden="false" customHeight="false" outlineLevel="0" collapsed="false">
      <c r="B2874" s="48" t="n">
        <v>45948.7002199074</v>
      </c>
      <c r="C2874" s="4" t="n">
        <f aca="false">YEAR(B2874)</f>
        <v>2025</v>
      </c>
      <c r="D2874" s="49" t="s">
        <v>283</v>
      </c>
      <c r="E2874" s="49" t="s">
        <v>5989</v>
      </c>
      <c r="F2874" s="50" t="n">
        <v>1</v>
      </c>
      <c r="G2874" s="49" t="s">
        <v>290</v>
      </c>
      <c r="H2874" s="51" t="n">
        <v>0.0097</v>
      </c>
      <c r="I2874" s="51" t="n">
        <v>0.5322</v>
      </c>
      <c r="J2874" s="51" t="n">
        <v>0.4581</v>
      </c>
      <c r="K2874" s="49"/>
      <c r="L2874" s="49"/>
      <c r="M2874" s="49"/>
      <c r="N2874" s="49"/>
      <c r="O2874" s="49"/>
      <c r="P2874" s="49"/>
      <c r="Q2874" s="49"/>
      <c r="R2874" s="49"/>
      <c r="S2874" s="49" t="n">
        <v>0</v>
      </c>
      <c r="T2874" s="49" t="n">
        <v>0</v>
      </c>
      <c r="U2874" s="49" t="s">
        <v>5990</v>
      </c>
    </row>
    <row r="2875" customFormat="false" ht="15" hidden="false" customHeight="false" outlineLevel="0" collapsed="false">
      <c r="B2875" s="48" t="n">
        <v>45949.0857638889</v>
      </c>
      <c r="C2875" s="4" t="n">
        <f aca="false">YEAR(B2875)</f>
        <v>2025</v>
      </c>
      <c r="D2875" s="49" t="s">
        <v>278</v>
      </c>
      <c r="E2875" s="49" t="s">
        <v>5991</v>
      </c>
      <c r="F2875" s="50" t="n">
        <v>1</v>
      </c>
      <c r="G2875" s="49" t="s">
        <v>280</v>
      </c>
      <c r="H2875" s="51" t="n">
        <v>0.861</v>
      </c>
      <c r="I2875" s="51" t="n">
        <v>0.1295</v>
      </c>
      <c r="J2875" s="51" t="n">
        <v>0.0095</v>
      </c>
      <c r="K2875" s="49"/>
      <c r="L2875" s="49"/>
      <c r="M2875" s="49"/>
      <c r="N2875" s="49"/>
      <c r="O2875" s="49"/>
      <c r="P2875" s="49"/>
      <c r="Q2875" s="49"/>
      <c r="R2875" s="49"/>
      <c r="S2875" s="49" t="n">
        <v>0</v>
      </c>
      <c r="T2875" s="49" t="n">
        <v>0</v>
      </c>
      <c r="U2875" s="49" t="s">
        <v>5992</v>
      </c>
    </row>
    <row r="2876" customFormat="false" ht="15" hidden="false" customHeight="false" outlineLevel="0" collapsed="false">
      <c r="B2876" s="48" t="n">
        <v>45949.7600578704</v>
      </c>
      <c r="C2876" s="4" t="n">
        <f aca="false">YEAR(B2876)</f>
        <v>2025</v>
      </c>
      <c r="D2876" s="49" t="s">
        <v>278</v>
      </c>
      <c r="E2876" s="49" t="s">
        <v>5993</v>
      </c>
      <c r="F2876" s="50" t="n">
        <v>2</v>
      </c>
      <c r="G2876" s="49" t="s">
        <v>280</v>
      </c>
      <c r="H2876" s="51" t="n">
        <v>0.8785</v>
      </c>
      <c r="I2876" s="51" t="n">
        <v>0.1126</v>
      </c>
      <c r="J2876" s="51" t="n">
        <v>0.0089</v>
      </c>
      <c r="K2876" s="49"/>
      <c r="L2876" s="49"/>
      <c r="M2876" s="49" t="s">
        <v>281</v>
      </c>
      <c r="N2876" s="49"/>
      <c r="O2876" s="49"/>
      <c r="P2876" s="49"/>
      <c r="Q2876" s="49"/>
      <c r="R2876" s="49"/>
      <c r="S2876" s="49" t="n">
        <v>0</v>
      </c>
      <c r="T2876" s="49" t="n">
        <v>0</v>
      </c>
      <c r="U2876" s="49" t="s">
        <v>5994</v>
      </c>
    </row>
    <row r="2877" customFormat="false" ht="15" hidden="false" customHeight="false" outlineLevel="0" collapsed="false">
      <c r="B2877" s="48" t="n">
        <v>45950.5428935185</v>
      </c>
      <c r="C2877" s="4" t="n">
        <f aca="false">YEAR(B2877)</f>
        <v>2025</v>
      </c>
      <c r="D2877" s="49" t="s">
        <v>283</v>
      </c>
      <c r="E2877" s="49" t="s">
        <v>5995</v>
      </c>
      <c r="F2877" s="50" t="n">
        <v>3</v>
      </c>
      <c r="G2877" s="49" t="s">
        <v>287</v>
      </c>
      <c r="H2877" s="51" t="n">
        <v>0.0135</v>
      </c>
      <c r="I2877" s="51" t="n">
        <v>0.3091</v>
      </c>
      <c r="J2877" s="51" t="n">
        <v>0.6774</v>
      </c>
      <c r="K2877" s="49"/>
      <c r="L2877" s="49"/>
      <c r="M2877" s="49"/>
      <c r="N2877" s="49"/>
      <c r="O2877" s="49"/>
      <c r="P2877" s="49"/>
      <c r="Q2877" s="49"/>
      <c r="R2877" s="49"/>
      <c r="S2877" s="49" t="n">
        <v>0</v>
      </c>
      <c r="T2877" s="49" t="n">
        <v>0</v>
      </c>
      <c r="U2877" s="49" t="s">
        <v>5996</v>
      </c>
    </row>
    <row r="2878" customFormat="false" ht="15" hidden="false" customHeight="false" outlineLevel="0" collapsed="false">
      <c r="B2878" s="48" t="n">
        <v>45950.7848958333</v>
      </c>
      <c r="C2878" s="4" t="n">
        <f aca="false">YEAR(B2878)</f>
        <v>2025</v>
      </c>
      <c r="D2878" s="49" t="s">
        <v>283</v>
      </c>
      <c r="E2878" s="49" t="s">
        <v>5997</v>
      </c>
      <c r="F2878" s="50" t="n">
        <v>16</v>
      </c>
      <c r="G2878" s="49" t="s">
        <v>290</v>
      </c>
      <c r="H2878" s="51" t="n">
        <v>0.085</v>
      </c>
      <c r="I2878" s="51" t="n">
        <v>0.7219</v>
      </c>
      <c r="J2878" s="51" t="n">
        <v>0.1932</v>
      </c>
      <c r="K2878" s="49"/>
      <c r="L2878" s="49"/>
      <c r="M2878" s="49"/>
      <c r="N2878" s="49"/>
      <c r="O2878" s="49"/>
      <c r="P2878" s="49"/>
      <c r="Q2878" s="49"/>
      <c r="R2878" s="49"/>
      <c r="S2878" s="49" t="n">
        <v>0</v>
      </c>
      <c r="T2878" s="49" t="n">
        <v>0</v>
      </c>
      <c r="U2878" s="49" t="s">
        <v>5998</v>
      </c>
    </row>
    <row r="2879" customFormat="false" ht="15" hidden="false" customHeight="false" outlineLevel="0" collapsed="false">
      <c r="B2879" s="48" t="n">
        <v>45950.9612847222</v>
      </c>
      <c r="C2879" s="4" t="n">
        <f aca="false">YEAR(B2879)</f>
        <v>2025</v>
      </c>
      <c r="D2879" s="49" t="s">
        <v>283</v>
      </c>
      <c r="E2879" s="49" t="s">
        <v>5999</v>
      </c>
      <c r="F2879" s="50" t="n">
        <v>1</v>
      </c>
      <c r="G2879" s="49" t="s">
        <v>290</v>
      </c>
      <c r="H2879" s="51" t="n">
        <v>0.4669</v>
      </c>
      <c r="I2879" s="51" t="n">
        <v>0.5066</v>
      </c>
      <c r="J2879" s="51" t="n">
        <v>0.0265</v>
      </c>
      <c r="K2879" s="49"/>
      <c r="L2879" s="49"/>
      <c r="M2879" s="49"/>
      <c r="N2879" s="49"/>
      <c r="O2879" s="49"/>
      <c r="P2879" s="49"/>
      <c r="Q2879" s="49"/>
      <c r="R2879" s="49"/>
      <c r="S2879" s="49" t="n">
        <v>0</v>
      </c>
      <c r="T2879" s="49" t="n">
        <v>0</v>
      </c>
      <c r="U2879" s="49" t="s">
        <v>6000</v>
      </c>
    </row>
    <row r="2880" customFormat="false" ht="15" hidden="false" customHeight="false" outlineLevel="0" collapsed="false">
      <c r="B2880" s="48" t="n">
        <v>45951.0864930556</v>
      </c>
      <c r="C2880" s="4" t="n">
        <f aca="false">YEAR(B2880)</f>
        <v>2025</v>
      </c>
      <c r="D2880" s="49" t="s">
        <v>278</v>
      </c>
      <c r="E2880" s="49" t="s">
        <v>6001</v>
      </c>
      <c r="F2880" s="50" t="n">
        <v>2</v>
      </c>
      <c r="G2880" s="49" t="s">
        <v>280</v>
      </c>
      <c r="H2880" s="51" t="n">
        <v>0.5291</v>
      </c>
      <c r="I2880" s="51" t="n">
        <v>0.4484</v>
      </c>
      <c r="J2880" s="51" t="n">
        <v>0.0225</v>
      </c>
      <c r="K2880" s="49" t="s">
        <v>281</v>
      </c>
      <c r="L2880" s="49"/>
      <c r="M2880" s="49"/>
      <c r="N2880" s="49"/>
      <c r="O2880" s="49"/>
      <c r="P2880" s="49"/>
      <c r="Q2880" s="49"/>
      <c r="R2880" s="49"/>
      <c r="S2880" s="49" t="n">
        <v>0</v>
      </c>
      <c r="T2880" s="49" t="n">
        <v>0</v>
      </c>
      <c r="U2880" s="49" t="s">
        <v>6002</v>
      </c>
    </row>
    <row r="2881" customFormat="false" ht="15" hidden="false" customHeight="false" outlineLevel="0" collapsed="false">
      <c r="B2881" s="48" t="n">
        <v>45951.8577893519</v>
      </c>
      <c r="C2881" s="4" t="n">
        <f aca="false">YEAR(B2881)</f>
        <v>2025</v>
      </c>
      <c r="D2881" s="49" t="s">
        <v>278</v>
      </c>
      <c r="E2881" s="49" t="s">
        <v>6003</v>
      </c>
      <c r="F2881" s="50" t="n">
        <v>3</v>
      </c>
      <c r="G2881" s="49" t="s">
        <v>280</v>
      </c>
      <c r="H2881" s="51" t="n">
        <v>0.7263</v>
      </c>
      <c r="I2881" s="51" t="n">
        <v>0.261</v>
      </c>
      <c r="J2881" s="51" t="n">
        <v>0.0127</v>
      </c>
      <c r="K2881" s="49"/>
      <c r="L2881" s="49"/>
      <c r="M2881" s="49"/>
      <c r="N2881" s="49"/>
      <c r="O2881" s="49"/>
      <c r="P2881" s="49"/>
      <c r="Q2881" s="49"/>
      <c r="R2881" s="49" t="s">
        <v>281</v>
      </c>
      <c r="S2881" s="49" t="n">
        <v>0</v>
      </c>
      <c r="T2881" s="49" t="n">
        <v>0</v>
      </c>
      <c r="U2881" s="49" t="s">
        <v>6004</v>
      </c>
    </row>
    <row r="2882" customFormat="false" ht="15" hidden="false" customHeight="false" outlineLevel="0" collapsed="false">
      <c r="B2882" s="48" t="n">
        <v>45952.0490509259</v>
      </c>
      <c r="C2882" s="4" t="n">
        <f aca="false">YEAR(B2882)</f>
        <v>2025</v>
      </c>
      <c r="D2882" s="49" t="s">
        <v>278</v>
      </c>
      <c r="E2882" s="49" t="s">
        <v>6005</v>
      </c>
      <c r="F2882" s="50" t="n">
        <v>0</v>
      </c>
      <c r="G2882" s="49" t="s">
        <v>280</v>
      </c>
      <c r="H2882" s="51" t="n">
        <v>0.8884</v>
      </c>
      <c r="I2882" s="51" t="n">
        <v>0.1</v>
      </c>
      <c r="J2882" s="51" t="n">
        <v>0.0116</v>
      </c>
      <c r="K2882" s="49"/>
      <c r="L2882" s="49"/>
      <c r="M2882" s="49"/>
      <c r="N2882" s="49"/>
      <c r="O2882" s="49"/>
      <c r="P2882" s="49"/>
      <c r="Q2882" s="49"/>
      <c r="R2882" s="49"/>
      <c r="S2882" s="49" t="n">
        <v>0</v>
      </c>
      <c r="T2882" s="49" t="n">
        <v>0</v>
      </c>
      <c r="U2882" s="49" t="s">
        <v>6006</v>
      </c>
    </row>
    <row r="2883" customFormat="false" ht="15" hidden="false" customHeight="false" outlineLevel="0" collapsed="false">
      <c r="B2883" s="48" t="n">
        <v>45952.092025463</v>
      </c>
      <c r="C2883" s="4" t="n">
        <f aca="false">YEAR(B2883)</f>
        <v>2025</v>
      </c>
      <c r="D2883" s="49" t="s">
        <v>283</v>
      </c>
      <c r="E2883" s="49" t="s">
        <v>6007</v>
      </c>
      <c r="F2883" s="50" t="n">
        <v>15</v>
      </c>
      <c r="G2883" s="49" t="s">
        <v>290</v>
      </c>
      <c r="H2883" s="51" t="n">
        <v>0.4151</v>
      </c>
      <c r="I2883" s="51" t="n">
        <v>0.5186</v>
      </c>
      <c r="J2883" s="51" t="n">
        <v>0.0663</v>
      </c>
      <c r="K2883" s="49"/>
      <c r="L2883" s="49"/>
      <c r="M2883" s="49"/>
      <c r="N2883" s="49"/>
      <c r="O2883" s="49"/>
      <c r="P2883" s="49"/>
      <c r="Q2883" s="49"/>
      <c r="R2883" s="49"/>
      <c r="S2883" s="49" t="n">
        <v>0</v>
      </c>
      <c r="T2883" s="49" t="n">
        <v>0</v>
      </c>
      <c r="U2883" s="49" t="s">
        <v>6008</v>
      </c>
    </row>
    <row r="2884" customFormat="false" ht="15" hidden="false" customHeight="false" outlineLevel="0" collapsed="false">
      <c r="B2884" s="48" t="n">
        <v>45952.3446527778</v>
      </c>
      <c r="C2884" s="4" t="n">
        <f aca="false">YEAR(B2884)</f>
        <v>2025</v>
      </c>
      <c r="D2884" s="49" t="s">
        <v>278</v>
      </c>
      <c r="E2884" s="49" t="s">
        <v>6009</v>
      </c>
      <c r="F2884" s="50" t="n">
        <v>2</v>
      </c>
      <c r="G2884" s="49" t="s">
        <v>290</v>
      </c>
      <c r="H2884" s="51" t="n">
        <v>0.4407</v>
      </c>
      <c r="I2884" s="51" t="n">
        <v>0.5405</v>
      </c>
      <c r="J2884" s="51" t="n">
        <v>0.0187</v>
      </c>
      <c r="K2884" s="49"/>
      <c r="L2884" s="49"/>
      <c r="M2884" s="49"/>
      <c r="N2884" s="49"/>
      <c r="O2884" s="49"/>
      <c r="P2884" s="49"/>
      <c r="Q2884" s="49"/>
      <c r="R2884" s="49"/>
      <c r="S2884" s="49" t="n">
        <v>0</v>
      </c>
      <c r="T2884" s="49" t="n">
        <v>0</v>
      </c>
      <c r="U2884" s="49" t="s">
        <v>6010</v>
      </c>
    </row>
    <row r="2885" customFormat="false" ht="15" hidden="false" customHeight="false" outlineLevel="0" collapsed="false">
      <c r="B2885" s="48" t="n">
        <v>45952.8392013889</v>
      </c>
      <c r="C2885" s="4" t="n">
        <f aca="false">YEAR(B2885)</f>
        <v>2025</v>
      </c>
      <c r="D2885" s="49" t="s">
        <v>278</v>
      </c>
      <c r="E2885" s="49" t="s">
        <v>6011</v>
      </c>
      <c r="F2885" s="50" t="n">
        <v>1</v>
      </c>
      <c r="G2885" s="49" t="s">
        <v>290</v>
      </c>
      <c r="H2885" s="51" t="n">
        <v>0.026</v>
      </c>
      <c r="I2885" s="51" t="n">
        <v>0.684</v>
      </c>
      <c r="J2885" s="51" t="n">
        <v>0.29</v>
      </c>
      <c r="K2885" s="49"/>
      <c r="L2885" s="49"/>
      <c r="M2885" s="49" t="s">
        <v>281</v>
      </c>
      <c r="N2885" s="49"/>
      <c r="O2885" s="49"/>
      <c r="P2885" s="49"/>
      <c r="Q2885" s="49" t="s">
        <v>281</v>
      </c>
      <c r="R2885" s="49"/>
      <c r="S2885" s="49" t="n">
        <v>0</v>
      </c>
      <c r="T2885" s="49" t="n">
        <v>0</v>
      </c>
      <c r="U2885" s="49" t="s">
        <v>6012</v>
      </c>
    </row>
    <row r="2886" customFormat="false" ht="15" hidden="false" customHeight="false" outlineLevel="0" collapsed="false">
      <c r="B2886" s="48" t="n">
        <v>45952.9044791667</v>
      </c>
      <c r="C2886" s="4" t="n">
        <f aca="false">YEAR(B2886)</f>
        <v>2025</v>
      </c>
      <c r="D2886" s="49" t="s">
        <v>283</v>
      </c>
      <c r="E2886" s="49" t="s">
        <v>6013</v>
      </c>
      <c r="F2886" s="50" t="n">
        <v>1</v>
      </c>
      <c r="G2886" s="49" t="s">
        <v>290</v>
      </c>
      <c r="H2886" s="51" t="n">
        <v>0.0159</v>
      </c>
      <c r="I2886" s="51" t="n">
        <v>0.9169</v>
      </c>
      <c r="J2886" s="51" t="n">
        <v>0.0672</v>
      </c>
      <c r="K2886" s="49"/>
      <c r="L2886" s="49"/>
      <c r="M2886" s="49"/>
      <c r="N2886" s="49"/>
      <c r="O2886" s="49"/>
      <c r="P2886" s="49"/>
      <c r="Q2886" s="49"/>
      <c r="R2886" s="49"/>
      <c r="S2886" s="49" t="n">
        <v>0</v>
      </c>
      <c r="T2886" s="49" t="n">
        <v>0</v>
      </c>
      <c r="U2886" s="49" t="s">
        <v>6014</v>
      </c>
    </row>
    <row r="2887" customFormat="false" ht="15" hidden="false" customHeight="false" outlineLevel="0" collapsed="false">
      <c r="B2887" s="48" t="n">
        <v>45953.555462963</v>
      </c>
      <c r="C2887" s="4" t="n">
        <f aca="false">YEAR(B2887)</f>
        <v>2025</v>
      </c>
      <c r="D2887" s="49" t="s">
        <v>283</v>
      </c>
      <c r="E2887" s="49" t="s">
        <v>6015</v>
      </c>
      <c r="F2887" s="50" t="n">
        <v>3</v>
      </c>
      <c r="G2887" s="49" t="s">
        <v>287</v>
      </c>
      <c r="H2887" s="51" t="n">
        <v>0.0035</v>
      </c>
      <c r="I2887" s="51" t="n">
        <v>0.2878</v>
      </c>
      <c r="J2887" s="51" t="n">
        <v>0.7088</v>
      </c>
      <c r="K2887" s="49"/>
      <c r="L2887" s="49"/>
      <c r="M2887" s="49"/>
      <c r="N2887" s="49"/>
      <c r="O2887" s="49"/>
      <c r="P2887" s="49"/>
      <c r="Q2887" s="49"/>
      <c r="R2887" s="49" t="s">
        <v>281</v>
      </c>
      <c r="S2887" s="49" t="n">
        <v>0</v>
      </c>
      <c r="T2887" s="49" t="n">
        <v>0</v>
      </c>
      <c r="U2887" s="49" t="s">
        <v>6016</v>
      </c>
    </row>
    <row r="2888" customFormat="false" ht="15" hidden="false" customHeight="false" outlineLevel="0" collapsed="false">
      <c r="B2888" s="48" t="n">
        <v>45955.4691550926</v>
      </c>
      <c r="C2888" s="4" t="n">
        <f aca="false">YEAR(B2888)</f>
        <v>2025</v>
      </c>
      <c r="D2888" s="49" t="s">
        <v>283</v>
      </c>
      <c r="E2888" s="49" t="s">
        <v>6017</v>
      </c>
      <c r="F2888" s="50" t="n">
        <v>27</v>
      </c>
      <c r="G2888" s="49" t="s">
        <v>290</v>
      </c>
      <c r="H2888" s="51" t="n">
        <v>0.2324</v>
      </c>
      <c r="I2888" s="51" t="n">
        <v>0.6534</v>
      </c>
      <c r="J2888" s="51" t="n">
        <v>0.1141</v>
      </c>
      <c r="K2888" s="49"/>
      <c r="L2888" s="49"/>
      <c r="M2888" s="49"/>
      <c r="N2888" s="49"/>
      <c r="O2888" s="49"/>
      <c r="P2888" s="49"/>
      <c r="Q2888" s="49"/>
      <c r="R2888" s="49"/>
      <c r="S2888" s="49" t="n">
        <v>0</v>
      </c>
      <c r="T2888" s="49" t="n">
        <v>0</v>
      </c>
      <c r="U2888" s="49" t="s">
        <v>6018</v>
      </c>
    </row>
    <row r="2889" customFormat="false" ht="15" hidden="false" customHeight="false" outlineLevel="0" collapsed="false">
      <c r="B2889" s="48" t="n">
        <v>45956.297349537</v>
      </c>
      <c r="C2889" s="4" t="n">
        <f aca="false">YEAR(B2889)</f>
        <v>2025</v>
      </c>
      <c r="D2889" s="49" t="s">
        <v>278</v>
      </c>
      <c r="E2889" s="49" t="s">
        <v>6019</v>
      </c>
      <c r="F2889" s="50" t="n">
        <v>1</v>
      </c>
      <c r="G2889" s="49" t="s">
        <v>280</v>
      </c>
      <c r="H2889" s="51" t="n">
        <v>0.815</v>
      </c>
      <c r="I2889" s="51" t="n">
        <v>0.174</v>
      </c>
      <c r="J2889" s="51" t="n">
        <v>0.011</v>
      </c>
      <c r="K2889" s="49"/>
      <c r="L2889" s="49"/>
      <c r="M2889" s="49"/>
      <c r="N2889" s="49"/>
      <c r="O2889" s="49"/>
      <c r="P2889" s="49"/>
      <c r="Q2889" s="49"/>
      <c r="R2889" s="49" t="s">
        <v>281</v>
      </c>
      <c r="S2889" s="49" t="n">
        <v>0</v>
      </c>
      <c r="T2889" s="49" t="n">
        <v>0</v>
      </c>
      <c r="U2889" s="49" t="s">
        <v>6020</v>
      </c>
    </row>
    <row r="2890" customFormat="false" ht="15" hidden="false" customHeight="false" outlineLevel="0" collapsed="false">
      <c r="B2890" s="48" t="n">
        <v>45956.7765277778</v>
      </c>
      <c r="C2890" s="4" t="n">
        <f aca="false">YEAR(B2890)</f>
        <v>2025</v>
      </c>
      <c r="D2890" s="49" t="s">
        <v>283</v>
      </c>
      <c r="E2890" s="49" t="s">
        <v>6021</v>
      </c>
      <c r="F2890" s="50" t="n">
        <v>3</v>
      </c>
      <c r="G2890" s="49" t="s">
        <v>287</v>
      </c>
      <c r="H2890" s="51" t="n">
        <v>0.0084</v>
      </c>
      <c r="I2890" s="51" t="n">
        <v>0.3587</v>
      </c>
      <c r="J2890" s="51" t="n">
        <v>0.6329</v>
      </c>
      <c r="K2890" s="49"/>
      <c r="L2890" s="49"/>
      <c r="M2890" s="49"/>
      <c r="N2890" s="49"/>
      <c r="O2890" s="49"/>
      <c r="P2890" s="49"/>
      <c r="Q2890" s="49"/>
      <c r="R2890" s="49"/>
      <c r="S2890" s="49" t="n">
        <v>0</v>
      </c>
      <c r="T2890" s="49" t="n">
        <v>0</v>
      </c>
      <c r="U2890" s="49" t="s">
        <v>6022</v>
      </c>
    </row>
    <row r="2891" customFormat="false" ht="15" hidden="false" customHeight="false" outlineLevel="0" collapsed="false">
      <c r="B2891" s="48" t="n">
        <v>45957.8191203704</v>
      </c>
      <c r="C2891" s="4" t="n">
        <f aca="false">YEAR(B2891)</f>
        <v>2025</v>
      </c>
      <c r="D2891" s="49" t="s">
        <v>278</v>
      </c>
      <c r="E2891" s="49" t="s">
        <v>6023</v>
      </c>
      <c r="F2891" s="50" t="n">
        <v>4</v>
      </c>
      <c r="G2891" s="49" t="s">
        <v>280</v>
      </c>
      <c r="H2891" s="51" t="n">
        <v>0.7788</v>
      </c>
      <c r="I2891" s="51" t="n">
        <v>0.2111</v>
      </c>
      <c r="J2891" s="51" t="n">
        <v>0.0101</v>
      </c>
      <c r="K2891" s="49"/>
      <c r="L2891" s="49"/>
      <c r="M2891" s="49"/>
      <c r="N2891" s="49"/>
      <c r="O2891" s="49"/>
      <c r="P2891" s="49"/>
      <c r="Q2891" s="49"/>
      <c r="R2891" s="49"/>
      <c r="S2891" s="49" t="n">
        <v>0</v>
      </c>
      <c r="T2891" s="49" t="n">
        <v>0</v>
      </c>
      <c r="U2891" s="49" t="s">
        <v>6024</v>
      </c>
    </row>
    <row r="2892" customFormat="false" ht="15" hidden="false" customHeight="false" outlineLevel="0" collapsed="false">
      <c r="B2892" s="48" t="n">
        <v>45958.0149189815</v>
      </c>
      <c r="C2892" s="4" t="n">
        <f aca="false">YEAR(B2892)</f>
        <v>2025</v>
      </c>
      <c r="D2892" s="49" t="s">
        <v>283</v>
      </c>
      <c r="E2892" s="49" t="s">
        <v>6025</v>
      </c>
      <c r="F2892" s="50" t="n">
        <v>0</v>
      </c>
      <c r="G2892" s="49" t="s">
        <v>287</v>
      </c>
      <c r="H2892" s="51" t="n">
        <v>0.002</v>
      </c>
      <c r="I2892" s="51" t="n">
        <v>0.0367</v>
      </c>
      <c r="J2892" s="51" t="n">
        <v>0.9613</v>
      </c>
      <c r="K2892" s="49"/>
      <c r="L2892" s="49"/>
      <c r="M2892" s="49"/>
      <c r="N2892" s="49"/>
      <c r="O2892" s="49"/>
      <c r="P2892" s="49"/>
      <c r="Q2892" s="49"/>
      <c r="R2892" s="49"/>
      <c r="S2892" s="49" t="n">
        <v>0</v>
      </c>
      <c r="T2892" s="49" t="n">
        <v>0</v>
      </c>
      <c r="U2892" s="49" t="s">
        <v>6026</v>
      </c>
    </row>
    <row r="2893" customFormat="false" ht="15" hidden="false" customHeight="false" outlineLevel="0" collapsed="false">
      <c r="B2893" s="48" t="n">
        <v>45958.5501041667</v>
      </c>
      <c r="C2893" s="4" t="n">
        <f aca="false">YEAR(B2893)</f>
        <v>2025</v>
      </c>
      <c r="D2893" s="49" t="s">
        <v>278</v>
      </c>
      <c r="E2893" s="49" t="s">
        <v>6027</v>
      </c>
      <c r="F2893" s="50" t="n">
        <v>0</v>
      </c>
      <c r="G2893" s="49" t="s">
        <v>287</v>
      </c>
      <c r="H2893" s="51" t="n">
        <v>0.0233</v>
      </c>
      <c r="I2893" s="51" t="n">
        <v>0.0565</v>
      </c>
      <c r="J2893" s="51" t="n">
        <v>0.9202</v>
      </c>
      <c r="K2893" s="49"/>
      <c r="L2893" s="49"/>
      <c r="M2893" s="49"/>
      <c r="N2893" s="49"/>
      <c r="O2893" s="49"/>
      <c r="P2893" s="49"/>
      <c r="Q2893" s="49"/>
      <c r="R2893" s="49"/>
      <c r="S2893" s="49" t="n">
        <v>0</v>
      </c>
      <c r="T2893" s="49" t="n">
        <v>0</v>
      </c>
      <c r="U2893" s="49" t="s">
        <v>6028</v>
      </c>
    </row>
    <row r="2894" customFormat="false" ht="15" hidden="false" customHeight="false" outlineLevel="0" collapsed="false">
      <c r="B2894" s="48" t="n">
        <v>45959.3004050926</v>
      </c>
      <c r="C2894" s="4" t="n">
        <f aca="false">YEAR(B2894)</f>
        <v>2025</v>
      </c>
      <c r="D2894" s="49" t="s">
        <v>278</v>
      </c>
      <c r="E2894" s="49" t="s">
        <v>6029</v>
      </c>
      <c r="F2894" s="50" t="n">
        <v>1</v>
      </c>
      <c r="G2894" s="49" t="s">
        <v>280</v>
      </c>
      <c r="H2894" s="51" t="n">
        <v>0.8726</v>
      </c>
      <c r="I2894" s="51" t="n">
        <v>0.119</v>
      </c>
      <c r="J2894" s="51" t="n">
        <v>0.0084</v>
      </c>
      <c r="K2894" s="49"/>
      <c r="L2894" s="49"/>
      <c r="M2894" s="49"/>
      <c r="N2894" s="49"/>
      <c r="O2894" s="49"/>
      <c r="P2894" s="49"/>
      <c r="Q2894" s="49"/>
      <c r="R2894" s="49" t="s">
        <v>281</v>
      </c>
      <c r="S2894" s="49" t="n">
        <v>0</v>
      </c>
      <c r="T2894" s="49" t="n">
        <v>0</v>
      </c>
      <c r="U2894" s="49" t="s">
        <v>6030</v>
      </c>
    </row>
    <row r="2895" customFormat="false" ht="15" hidden="false" customHeight="false" outlineLevel="0" collapsed="false">
      <c r="B2895" s="48" t="n">
        <v>45959.3701967593</v>
      </c>
      <c r="C2895" s="4" t="n">
        <f aca="false">YEAR(B2895)</f>
        <v>2025</v>
      </c>
      <c r="D2895" s="49" t="s">
        <v>278</v>
      </c>
      <c r="E2895" s="49" t="s">
        <v>6031</v>
      </c>
      <c r="F2895" s="50" t="n">
        <v>20</v>
      </c>
      <c r="G2895" s="49" t="s">
        <v>280</v>
      </c>
      <c r="H2895" s="51" t="n">
        <v>0.8127</v>
      </c>
      <c r="I2895" s="51" t="n">
        <v>0.1708</v>
      </c>
      <c r="J2895" s="51" t="n">
        <v>0.0165</v>
      </c>
      <c r="K2895" s="49" t="s">
        <v>281</v>
      </c>
      <c r="L2895" s="49"/>
      <c r="M2895" s="49"/>
      <c r="N2895" s="49"/>
      <c r="O2895" s="49"/>
      <c r="P2895" s="49"/>
      <c r="Q2895" s="49"/>
      <c r="R2895" s="49"/>
      <c r="S2895" s="49" t="n">
        <v>0</v>
      </c>
      <c r="T2895" s="49" t="n">
        <v>0</v>
      </c>
      <c r="U2895" s="49" t="s">
        <v>6032</v>
      </c>
    </row>
    <row r="2896" customFormat="false" ht="15" hidden="false" customHeight="false" outlineLevel="0" collapsed="false">
      <c r="B2896" s="48" t="n">
        <v>45959.4925115741</v>
      </c>
      <c r="C2896" s="4" t="n">
        <f aca="false">YEAR(B2896)</f>
        <v>2025</v>
      </c>
      <c r="D2896" s="49" t="s">
        <v>278</v>
      </c>
      <c r="E2896" s="49" t="s">
        <v>6033</v>
      </c>
      <c r="F2896" s="50" t="n">
        <v>103</v>
      </c>
      <c r="G2896" s="49" t="s">
        <v>280</v>
      </c>
      <c r="H2896" s="51" t="n">
        <v>0.8216</v>
      </c>
      <c r="I2896" s="51" t="n">
        <v>0.156</v>
      </c>
      <c r="J2896" s="51" t="n">
        <v>0.0224</v>
      </c>
      <c r="K2896" s="49"/>
      <c r="L2896" s="49"/>
      <c r="M2896" s="49"/>
      <c r="N2896" s="49"/>
      <c r="O2896" s="49"/>
      <c r="P2896" s="49"/>
      <c r="Q2896" s="49"/>
      <c r="R2896" s="49"/>
      <c r="S2896" s="49" t="n">
        <v>0</v>
      </c>
      <c r="T2896" s="49" t="n">
        <v>0</v>
      </c>
      <c r="U2896" s="49" t="s">
        <v>6034</v>
      </c>
    </row>
    <row r="2897" customFormat="false" ht="15" hidden="false" customHeight="false" outlineLevel="0" collapsed="false">
      <c r="B2897" s="48" t="n">
        <v>45960.06625</v>
      </c>
      <c r="C2897" s="4" t="n">
        <f aca="false">YEAR(B2897)</f>
        <v>2025</v>
      </c>
      <c r="D2897" s="49" t="s">
        <v>283</v>
      </c>
      <c r="E2897" s="49" t="s">
        <v>6035</v>
      </c>
      <c r="F2897" s="50" t="n">
        <v>1</v>
      </c>
      <c r="G2897" s="49" t="s">
        <v>280</v>
      </c>
      <c r="H2897" s="51" t="n">
        <v>0.8762</v>
      </c>
      <c r="I2897" s="51" t="n">
        <v>0.1081</v>
      </c>
      <c r="J2897" s="51" t="n">
        <v>0.0157</v>
      </c>
      <c r="K2897" s="49"/>
      <c r="L2897" s="49"/>
      <c r="M2897" s="49"/>
      <c r="N2897" s="49"/>
      <c r="O2897" s="49"/>
      <c r="P2897" s="49"/>
      <c r="Q2897" s="49"/>
      <c r="R2897" s="49"/>
      <c r="S2897" s="49" t="n">
        <v>0</v>
      </c>
      <c r="T2897" s="49" t="n">
        <v>0</v>
      </c>
      <c r="U2897" s="49" t="s">
        <v>6036</v>
      </c>
    </row>
    <row r="2898" customFormat="false" ht="15" hidden="false" customHeight="false" outlineLevel="0" collapsed="false">
      <c r="B2898" s="48" t="n">
        <v>45960.8463310185</v>
      </c>
      <c r="C2898" s="4" t="n">
        <f aca="false">YEAR(B2898)</f>
        <v>2025</v>
      </c>
      <c r="D2898" s="49" t="s">
        <v>283</v>
      </c>
      <c r="E2898" s="49" t="s">
        <v>6037</v>
      </c>
      <c r="F2898" s="50" t="n">
        <v>1</v>
      </c>
      <c r="G2898" s="49" t="s">
        <v>287</v>
      </c>
      <c r="H2898" s="51" t="n">
        <v>0.0107</v>
      </c>
      <c r="I2898" s="51" t="n">
        <v>0.3051</v>
      </c>
      <c r="J2898" s="51" t="n">
        <v>0.6842</v>
      </c>
      <c r="K2898" s="49"/>
      <c r="L2898" s="49"/>
      <c r="M2898" s="49"/>
      <c r="N2898" s="49"/>
      <c r="O2898" s="49"/>
      <c r="P2898" s="49"/>
      <c r="Q2898" s="49"/>
      <c r="R2898" s="49"/>
      <c r="S2898" s="49" t="n">
        <v>0</v>
      </c>
      <c r="T2898" s="49" t="n">
        <v>0</v>
      </c>
      <c r="U2898" s="49" t="s">
        <v>6038</v>
      </c>
    </row>
    <row r="2899" customFormat="false" ht="15" hidden="false" customHeight="false" outlineLevel="0" collapsed="false">
      <c r="B2899" s="48" t="n">
        <v>45960.8694097222</v>
      </c>
      <c r="C2899" s="4" t="n">
        <f aca="false">YEAR(B2899)</f>
        <v>2025</v>
      </c>
      <c r="D2899" s="49" t="s">
        <v>283</v>
      </c>
      <c r="E2899" s="49" t="s">
        <v>6039</v>
      </c>
      <c r="F2899" s="50" t="n">
        <v>0</v>
      </c>
      <c r="G2899" s="49" t="s">
        <v>280</v>
      </c>
      <c r="H2899" s="51" t="n">
        <v>0.7423</v>
      </c>
      <c r="I2899" s="51" t="n">
        <v>0.2416</v>
      </c>
      <c r="J2899" s="51" t="n">
        <v>0.0162</v>
      </c>
      <c r="K2899" s="49" t="s">
        <v>281</v>
      </c>
      <c r="L2899" s="49" t="s">
        <v>281</v>
      </c>
      <c r="M2899" s="49"/>
      <c r="N2899" s="49"/>
      <c r="O2899" s="49"/>
      <c r="P2899" s="49"/>
      <c r="Q2899" s="49"/>
      <c r="R2899" s="49"/>
      <c r="S2899" s="49" t="n">
        <v>0</v>
      </c>
      <c r="T2899" s="49" t="n">
        <v>0</v>
      </c>
      <c r="U2899" s="49" t="s">
        <v>6040</v>
      </c>
    </row>
    <row r="2900" customFormat="false" ht="15" hidden="false" customHeight="false" outlineLevel="0" collapsed="false">
      <c r="B2900" s="48" t="n">
        <v>45961.7962731482</v>
      </c>
      <c r="C2900" s="4" t="n">
        <f aca="false">YEAR(B2900)</f>
        <v>2025</v>
      </c>
      <c r="D2900" s="49" t="s">
        <v>278</v>
      </c>
      <c r="E2900" s="49" t="s">
        <v>6041</v>
      </c>
      <c r="F2900" s="50" t="n">
        <v>1</v>
      </c>
      <c r="G2900" s="49" t="s">
        <v>290</v>
      </c>
      <c r="H2900" s="51" t="n">
        <v>0.0904</v>
      </c>
      <c r="I2900" s="51" t="n">
        <v>0.7078</v>
      </c>
      <c r="J2900" s="51" t="n">
        <v>0.2018</v>
      </c>
      <c r="K2900" s="49"/>
      <c r="L2900" s="49"/>
      <c r="M2900" s="49"/>
      <c r="N2900" s="49"/>
      <c r="O2900" s="49"/>
      <c r="P2900" s="49"/>
      <c r="Q2900" s="49"/>
      <c r="R2900" s="49"/>
      <c r="S2900" s="49" t="n">
        <v>0</v>
      </c>
      <c r="T2900" s="49" t="n">
        <v>0</v>
      </c>
      <c r="U2900" s="49" t="s">
        <v>6042</v>
      </c>
    </row>
    <row r="2901" customFormat="false" ht="15" hidden="false" customHeight="false" outlineLevel="0" collapsed="false">
      <c r="B2901" s="48" t="n">
        <v>45962.2006597222</v>
      </c>
      <c r="C2901" s="4" t="n">
        <f aca="false">YEAR(B2901)</f>
        <v>2025</v>
      </c>
      <c r="D2901" s="49" t="s">
        <v>283</v>
      </c>
      <c r="E2901" s="49" t="s">
        <v>6043</v>
      </c>
      <c r="F2901" s="50" t="n">
        <v>2</v>
      </c>
      <c r="G2901" s="49" t="s">
        <v>290</v>
      </c>
      <c r="H2901" s="51" t="n">
        <v>0.2293</v>
      </c>
      <c r="I2901" s="51" t="n">
        <v>0.4794</v>
      </c>
      <c r="J2901" s="51" t="n">
        <v>0.2913</v>
      </c>
      <c r="K2901" s="49"/>
      <c r="L2901" s="49"/>
      <c r="M2901" s="49"/>
      <c r="N2901" s="49"/>
      <c r="O2901" s="49"/>
      <c r="P2901" s="49"/>
      <c r="Q2901" s="49"/>
      <c r="R2901" s="49"/>
      <c r="S2901" s="49" t="n">
        <v>0</v>
      </c>
      <c r="T2901" s="49" t="n">
        <v>0</v>
      </c>
      <c r="U2901" s="49" t="s">
        <v>6044</v>
      </c>
    </row>
    <row r="2902" customFormat="false" ht="15" hidden="false" customHeight="false" outlineLevel="0" collapsed="false">
      <c r="B2902" s="48" t="n">
        <v>45962.6068055556</v>
      </c>
      <c r="C2902" s="4" t="n">
        <f aca="false">YEAR(B2902)</f>
        <v>2025</v>
      </c>
      <c r="D2902" s="49" t="s">
        <v>278</v>
      </c>
      <c r="E2902" s="49" t="s">
        <v>6045</v>
      </c>
      <c r="F2902" s="50" t="n">
        <v>1</v>
      </c>
      <c r="G2902" s="49" t="s">
        <v>287</v>
      </c>
      <c r="H2902" s="51" t="n">
        <v>0.0243</v>
      </c>
      <c r="I2902" s="51" t="n">
        <v>0.2267</v>
      </c>
      <c r="J2902" s="51" t="n">
        <v>0.749</v>
      </c>
      <c r="K2902" s="49"/>
      <c r="L2902" s="49"/>
      <c r="M2902" s="49"/>
      <c r="N2902" s="49"/>
      <c r="O2902" s="49"/>
      <c r="P2902" s="49" t="s">
        <v>281</v>
      </c>
      <c r="Q2902" s="49" t="s">
        <v>281</v>
      </c>
      <c r="R2902" s="49"/>
      <c r="S2902" s="49" t="n">
        <v>0</v>
      </c>
      <c r="T2902" s="49" t="n">
        <v>0</v>
      </c>
      <c r="U2902" s="49" t="s">
        <v>6046</v>
      </c>
    </row>
    <row r="2903" customFormat="false" ht="15" hidden="false" customHeight="false" outlineLevel="0" collapsed="false">
      <c r="B2903" s="48" t="n">
        <v>45963.2155324074</v>
      </c>
      <c r="C2903" s="4" t="n">
        <f aca="false">YEAR(B2903)</f>
        <v>2025</v>
      </c>
      <c r="D2903" s="49" t="s">
        <v>278</v>
      </c>
      <c r="E2903" s="49" t="s">
        <v>6047</v>
      </c>
      <c r="F2903" s="50" t="n">
        <v>3</v>
      </c>
      <c r="G2903" s="49" t="s">
        <v>290</v>
      </c>
      <c r="H2903" s="51" t="n">
        <v>0.4658</v>
      </c>
      <c r="I2903" s="51" t="n">
        <v>0.4844</v>
      </c>
      <c r="J2903" s="51" t="n">
        <v>0.0498</v>
      </c>
      <c r="K2903" s="49"/>
      <c r="L2903" s="49"/>
      <c r="M2903" s="49"/>
      <c r="N2903" s="49"/>
      <c r="O2903" s="49"/>
      <c r="P2903" s="49"/>
      <c r="Q2903" s="49" t="s">
        <v>281</v>
      </c>
      <c r="R2903" s="49"/>
      <c r="S2903" s="49" t="n">
        <v>0</v>
      </c>
      <c r="T2903" s="49" t="n">
        <v>0</v>
      </c>
      <c r="U2903" s="49" t="s">
        <v>6048</v>
      </c>
    </row>
    <row r="2904" customFormat="false" ht="15" hidden="false" customHeight="false" outlineLevel="0" collapsed="false">
      <c r="B2904" s="48" t="n">
        <v>45964.6313425926</v>
      </c>
      <c r="C2904" s="4" t="n">
        <f aca="false">YEAR(B2904)</f>
        <v>2025</v>
      </c>
      <c r="D2904" s="49" t="s">
        <v>283</v>
      </c>
      <c r="E2904" s="49" t="s">
        <v>6049</v>
      </c>
      <c r="F2904" s="50" t="n">
        <v>1</v>
      </c>
      <c r="G2904" s="49" t="s">
        <v>290</v>
      </c>
      <c r="H2904" s="51" t="n">
        <v>0.0636</v>
      </c>
      <c r="I2904" s="51" t="n">
        <v>0.5723</v>
      </c>
      <c r="J2904" s="51" t="n">
        <v>0.3641</v>
      </c>
      <c r="K2904" s="49"/>
      <c r="L2904" s="49"/>
      <c r="M2904" s="49"/>
      <c r="N2904" s="49"/>
      <c r="O2904" s="49"/>
      <c r="P2904" s="49"/>
      <c r="Q2904" s="49"/>
      <c r="R2904" s="49"/>
      <c r="S2904" s="49" t="n">
        <v>0</v>
      </c>
      <c r="T2904" s="49" t="n">
        <v>0</v>
      </c>
      <c r="U2904" s="49" t="s">
        <v>6050</v>
      </c>
    </row>
    <row r="2905" customFormat="false" ht="15" hidden="false" customHeight="false" outlineLevel="0" collapsed="false">
      <c r="B2905" s="48" t="n">
        <v>45964.6811689815</v>
      </c>
      <c r="C2905" s="4" t="n">
        <f aca="false">YEAR(B2905)</f>
        <v>2025</v>
      </c>
      <c r="D2905" s="49" t="s">
        <v>283</v>
      </c>
      <c r="E2905" s="49" t="s">
        <v>6051</v>
      </c>
      <c r="F2905" s="50" t="n">
        <v>1</v>
      </c>
      <c r="G2905" s="49" t="s">
        <v>290</v>
      </c>
      <c r="H2905" s="51" t="n">
        <v>0.0618</v>
      </c>
      <c r="I2905" s="51" t="n">
        <v>0.6258</v>
      </c>
      <c r="J2905" s="51" t="n">
        <v>0.3123</v>
      </c>
      <c r="K2905" s="49"/>
      <c r="L2905" s="49"/>
      <c r="M2905" s="49"/>
      <c r="N2905" s="49"/>
      <c r="O2905" s="49"/>
      <c r="P2905" s="49"/>
      <c r="Q2905" s="49"/>
      <c r="R2905" s="49" t="s">
        <v>281</v>
      </c>
      <c r="S2905" s="49" t="n">
        <v>0</v>
      </c>
      <c r="T2905" s="49" t="n">
        <v>0</v>
      </c>
      <c r="U2905" s="49" t="s">
        <v>6052</v>
      </c>
    </row>
    <row r="2906" customFormat="false" ht="15" hidden="false" customHeight="false" outlineLevel="0" collapsed="false">
      <c r="B2906" s="48" t="n">
        <v>45964.9166319444</v>
      </c>
      <c r="C2906" s="4" t="n">
        <f aca="false">YEAR(B2906)</f>
        <v>2025</v>
      </c>
      <c r="D2906" s="49" t="s">
        <v>278</v>
      </c>
      <c r="E2906" s="49" t="s">
        <v>6053</v>
      </c>
      <c r="F2906" s="50" t="n">
        <v>1</v>
      </c>
      <c r="G2906" s="49" t="s">
        <v>280</v>
      </c>
      <c r="H2906" s="51" t="n">
        <v>0.6352</v>
      </c>
      <c r="I2906" s="51" t="n">
        <v>0.3372</v>
      </c>
      <c r="J2906" s="51" t="n">
        <v>0.0276</v>
      </c>
      <c r="K2906" s="49"/>
      <c r="L2906" s="49"/>
      <c r="M2906" s="49"/>
      <c r="N2906" s="49"/>
      <c r="O2906" s="49"/>
      <c r="P2906" s="49"/>
      <c r="Q2906" s="49"/>
      <c r="R2906" s="49"/>
      <c r="S2906" s="49" t="n">
        <v>0</v>
      </c>
      <c r="T2906" s="49" t="n">
        <v>0</v>
      </c>
      <c r="U2906" s="49" t="s">
        <v>6054</v>
      </c>
    </row>
    <row r="2907" customFormat="false" ht="15" hidden="false" customHeight="false" outlineLevel="0" collapsed="false">
      <c r="B2907" s="48" t="n">
        <v>45965.548275463</v>
      </c>
      <c r="C2907" s="4" t="n">
        <f aca="false">YEAR(B2907)</f>
        <v>2025</v>
      </c>
      <c r="D2907" s="49" t="s">
        <v>283</v>
      </c>
      <c r="E2907" s="49" t="s">
        <v>6055</v>
      </c>
      <c r="F2907" s="50" t="n">
        <v>1</v>
      </c>
      <c r="G2907" s="49" t="s">
        <v>290</v>
      </c>
      <c r="H2907" s="51" t="n">
        <v>0.0449</v>
      </c>
      <c r="I2907" s="51" t="n">
        <v>0.5564</v>
      </c>
      <c r="J2907" s="51" t="n">
        <v>0.3987</v>
      </c>
      <c r="K2907" s="49"/>
      <c r="L2907" s="49"/>
      <c r="M2907" s="49"/>
      <c r="N2907" s="49"/>
      <c r="O2907" s="49"/>
      <c r="P2907" s="49"/>
      <c r="Q2907" s="49"/>
      <c r="R2907" s="49"/>
      <c r="S2907" s="49" t="n">
        <v>0</v>
      </c>
      <c r="T2907" s="49" t="n">
        <v>0</v>
      </c>
      <c r="U2907" s="49" t="s">
        <v>6056</v>
      </c>
    </row>
    <row r="2908" customFormat="false" ht="15" hidden="false" customHeight="false" outlineLevel="0" collapsed="false">
      <c r="B2908" s="48" t="n">
        <v>45966.3021296296</v>
      </c>
      <c r="C2908" s="4" t="n">
        <f aca="false">YEAR(B2908)</f>
        <v>2025</v>
      </c>
      <c r="D2908" s="49" t="s">
        <v>278</v>
      </c>
      <c r="E2908" s="49" t="s">
        <v>6057</v>
      </c>
      <c r="F2908" s="50" t="n">
        <v>0</v>
      </c>
      <c r="G2908" s="49" t="s">
        <v>290</v>
      </c>
      <c r="H2908" s="51" t="n">
        <v>0.0465</v>
      </c>
      <c r="I2908" s="51" t="n">
        <v>0.6724</v>
      </c>
      <c r="J2908" s="51" t="n">
        <v>0.2811</v>
      </c>
      <c r="K2908" s="49"/>
      <c r="L2908" s="49"/>
      <c r="M2908" s="49" t="s">
        <v>281</v>
      </c>
      <c r="N2908" s="49"/>
      <c r="O2908" s="49"/>
      <c r="P2908" s="49"/>
      <c r="Q2908" s="49" t="s">
        <v>281</v>
      </c>
      <c r="R2908" s="49"/>
      <c r="S2908" s="49" t="n">
        <v>0</v>
      </c>
      <c r="T2908" s="49" t="n">
        <v>0</v>
      </c>
      <c r="U2908" s="49" t="s">
        <v>6058</v>
      </c>
    </row>
    <row r="2909" customFormat="false" ht="15" hidden="false" customHeight="false" outlineLevel="0" collapsed="false">
      <c r="B2909" s="48" t="n">
        <v>45966.8686805556</v>
      </c>
      <c r="C2909" s="4" t="n">
        <f aca="false">YEAR(B2909)</f>
        <v>2025</v>
      </c>
      <c r="D2909" s="49" t="s">
        <v>278</v>
      </c>
      <c r="E2909" s="49" t="s">
        <v>6059</v>
      </c>
      <c r="F2909" s="50" t="n">
        <v>5</v>
      </c>
      <c r="G2909" s="49" t="s">
        <v>280</v>
      </c>
      <c r="H2909" s="51" t="n">
        <v>0.7922</v>
      </c>
      <c r="I2909" s="51" t="n">
        <v>0.1969</v>
      </c>
      <c r="J2909" s="51" t="n">
        <v>0.0109</v>
      </c>
      <c r="K2909" s="49" t="s">
        <v>281</v>
      </c>
      <c r="L2909" s="49"/>
      <c r="M2909" s="49"/>
      <c r="N2909" s="49"/>
      <c r="O2909" s="49"/>
      <c r="P2909" s="49"/>
      <c r="Q2909" s="49"/>
      <c r="R2909" s="49" t="s">
        <v>281</v>
      </c>
      <c r="S2909" s="49" t="n">
        <v>0</v>
      </c>
      <c r="T2909" s="49" t="n">
        <v>0</v>
      </c>
      <c r="U2909" s="49" t="s">
        <v>6060</v>
      </c>
    </row>
    <row r="2910" customFormat="false" ht="15" hidden="false" customHeight="false" outlineLevel="0" collapsed="false">
      <c r="B2910" s="48" t="n">
        <v>45966.9329513889</v>
      </c>
      <c r="C2910" s="4" t="n">
        <f aca="false">YEAR(B2910)</f>
        <v>2025</v>
      </c>
      <c r="D2910" s="49" t="s">
        <v>278</v>
      </c>
      <c r="E2910" s="49" t="s">
        <v>6061</v>
      </c>
      <c r="F2910" s="50" t="n">
        <v>164</v>
      </c>
      <c r="G2910" s="49" t="s">
        <v>280</v>
      </c>
      <c r="H2910" s="51" t="n">
        <v>0.8029</v>
      </c>
      <c r="I2910" s="51" t="n">
        <v>0.1833</v>
      </c>
      <c r="J2910" s="51" t="n">
        <v>0.0138</v>
      </c>
      <c r="K2910" s="49"/>
      <c r="L2910" s="49"/>
      <c r="M2910" s="49" t="s">
        <v>281</v>
      </c>
      <c r="N2910" s="49"/>
      <c r="O2910" s="49"/>
      <c r="P2910" s="49"/>
      <c r="Q2910" s="49"/>
      <c r="R2910" s="49"/>
      <c r="S2910" s="49" t="n">
        <v>0</v>
      </c>
      <c r="T2910" s="49" t="n">
        <v>0</v>
      </c>
      <c r="U2910" s="49" t="s">
        <v>6062</v>
      </c>
    </row>
    <row r="2911" customFormat="false" ht="15" hidden="false" customHeight="false" outlineLevel="0" collapsed="false">
      <c r="B2911" s="48" t="n">
        <v>45967.1058564815</v>
      </c>
      <c r="C2911" s="4" t="n">
        <f aca="false">YEAR(B2911)</f>
        <v>2025</v>
      </c>
      <c r="D2911" s="49" t="s">
        <v>278</v>
      </c>
      <c r="E2911" s="49" t="s">
        <v>6063</v>
      </c>
      <c r="F2911" s="50" t="n">
        <v>0</v>
      </c>
      <c r="G2911" s="49" t="s">
        <v>280</v>
      </c>
      <c r="H2911" s="51" t="n">
        <v>0.7278</v>
      </c>
      <c r="I2911" s="51" t="n">
        <v>0.2189</v>
      </c>
      <c r="J2911" s="51" t="n">
        <v>0.0533</v>
      </c>
      <c r="K2911" s="49"/>
      <c r="L2911" s="49"/>
      <c r="M2911" s="49"/>
      <c r="N2911" s="49"/>
      <c r="O2911" s="49"/>
      <c r="P2911" s="49"/>
      <c r="Q2911" s="49" t="s">
        <v>281</v>
      </c>
      <c r="R2911" s="49"/>
      <c r="S2911" s="49" t="n">
        <v>0</v>
      </c>
      <c r="T2911" s="49" t="n">
        <v>0</v>
      </c>
      <c r="U2911" s="49" t="s">
        <v>6064</v>
      </c>
    </row>
    <row r="2912" customFormat="false" ht="15" hidden="false" customHeight="false" outlineLevel="0" collapsed="false">
      <c r="B2912" s="48" t="n">
        <v>45967.1631712963</v>
      </c>
      <c r="C2912" s="4" t="n">
        <f aca="false">YEAR(B2912)</f>
        <v>2025</v>
      </c>
      <c r="D2912" s="49" t="s">
        <v>283</v>
      </c>
      <c r="E2912" s="49" t="s">
        <v>6065</v>
      </c>
      <c r="F2912" s="50" t="n">
        <v>2</v>
      </c>
      <c r="G2912" s="49" t="s">
        <v>290</v>
      </c>
      <c r="H2912" s="51" t="n">
        <v>0.3289</v>
      </c>
      <c r="I2912" s="51" t="n">
        <v>0.5965</v>
      </c>
      <c r="J2912" s="51" t="n">
        <v>0.0746</v>
      </c>
      <c r="K2912" s="49"/>
      <c r="L2912" s="49"/>
      <c r="M2912" s="49"/>
      <c r="N2912" s="49"/>
      <c r="O2912" s="49"/>
      <c r="P2912" s="49"/>
      <c r="Q2912" s="49"/>
      <c r="R2912" s="49"/>
      <c r="S2912" s="49" t="n">
        <v>0</v>
      </c>
      <c r="T2912" s="49" t="n">
        <v>0</v>
      </c>
      <c r="U2912" s="49" t="s">
        <v>6066</v>
      </c>
    </row>
    <row r="2913" customFormat="false" ht="15" hidden="false" customHeight="false" outlineLevel="0" collapsed="false">
      <c r="B2913" s="48" t="n">
        <v>45967.6002199074</v>
      </c>
      <c r="C2913" s="4" t="n">
        <f aca="false">YEAR(B2913)</f>
        <v>2025</v>
      </c>
      <c r="D2913" s="49" t="s">
        <v>278</v>
      </c>
      <c r="E2913" s="49" t="s">
        <v>6067</v>
      </c>
      <c r="F2913" s="50" t="n">
        <v>1</v>
      </c>
      <c r="G2913" s="49" t="s">
        <v>280</v>
      </c>
      <c r="H2913" s="51" t="n">
        <v>0.7279</v>
      </c>
      <c r="I2913" s="51" t="n">
        <v>0.2589</v>
      </c>
      <c r="J2913" s="51" t="n">
        <v>0.0132</v>
      </c>
      <c r="K2913" s="49"/>
      <c r="L2913" s="49"/>
      <c r="M2913" s="49"/>
      <c r="N2913" s="49"/>
      <c r="O2913" s="49"/>
      <c r="P2913" s="49"/>
      <c r="Q2913" s="49"/>
      <c r="R2913" s="49"/>
      <c r="S2913" s="49" t="n">
        <v>0</v>
      </c>
      <c r="T2913" s="49" t="n">
        <v>0</v>
      </c>
      <c r="U2913" s="49" t="s">
        <v>6068</v>
      </c>
    </row>
    <row r="2914" customFormat="false" ht="15" hidden="false" customHeight="false" outlineLevel="0" collapsed="false">
      <c r="B2914" s="48" t="n">
        <v>45967.8313310185</v>
      </c>
      <c r="C2914" s="4" t="n">
        <f aca="false">YEAR(B2914)</f>
        <v>2025</v>
      </c>
      <c r="D2914" s="49" t="s">
        <v>278</v>
      </c>
      <c r="E2914" s="49" t="s">
        <v>6069</v>
      </c>
      <c r="F2914" s="50" t="n">
        <v>0</v>
      </c>
      <c r="G2914" s="49" t="s">
        <v>280</v>
      </c>
      <c r="H2914" s="51" t="n">
        <v>0.7847</v>
      </c>
      <c r="I2914" s="51" t="n">
        <v>0.1998</v>
      </c>
      <c r="J2914" s="51" t="n">
        <v>0.0155</v>
      </c>
      <c r="K2914" s="49"/>
      <c r="L2914" s="49"/>
      <c r="M2914" s="49"/>
      <c r="N2914" s="49"/>
      <c r="O2914" s="49"/>
      <c r="P2914" s="49"/>
      <c r="Q2914" s="49"/>
      <c r="R2914" s="49"/>
      <c r="S2914" s="49" t="n">
        <v>0</v>
      </c>
      <c r="T2914" s="49" t="n">
        <v>0</v>
      </c>
      <c r="U2914" s="49" t="s">
        <v>6070</v>
      </c>
    </row>
    <row r="2915" customFormat="false" ht="15" hidden="false" customHeight="false" outlineLevel="0" collapsed="false">
      <c r="B2915" s="48" t="n">
        <v>45969.6671759259</v>
      </c>
      <c r="C2915" s="4" t="n">
        <f aca="false">YEAR(B2915)</f>
        <v>2025</v>
      </c>
      <c r="D2915" s="49" t="s">
        <v>283</v>
      </c>
      <c r="E2915" s="49" t="s">
        <v>6071</v>
      </c>
      <c r="F2915" s="50" t="n">
        <v>1</v>
      </c>
      <c r="G2915" s="49" t="s">
        <v>287</v>
      </c>
      <c r="H2915" s="51" t="n">
        <v>0.0023</v>
      </c>
      <c r="I2915" s="51" t="n">
        <v>0.0242</v>
      </c>
      <c r="J2915" s="51" t="n">
        <v>0.9735</v>
      </c>
      <c r="K2915" s="49"/>
      <c r="L2915" s="49"/>
      <c r="M2915" s="49"/>
      <c r="N2915" s="49"/>
      <c r="O2915" s="49"/>
      <c r="P2915" s="49"/>
      <c r="Q2915" s="49"/>
      <c r="R2915" s="49"/>
      <c r="S2915" s="49" t="n">
        <v>0</v>
      </c>
      <c r="T2915" s="49" t="n">
        <v>0</v>
      </c>
      <c r="U2915" s="49" t="s">
        <v>6072</v>
      </c>
    </row>
    <row r="2916" customFormat="false" ht="15" hidden="false" customHeight="false" outlineLevel="0" collapsed="false">
      <c r="B2916" s="48" t="n">
        <v>45971.1290277778</v>
      </c>
      <c r="C2916" s="4" t="n">
        <f aca="false">YEAR(B2916)</f>
        <v>2025</v>
      </c>
      <c r="D2916" s="49" t="s">
        <v>283</v>
      </c>
      <c r="E2916" s="49" t="s">
        <v>6073</v>
      </c>
      <c r="F2916" s="50" t="n">
        <v>3</v>
      </c>
      <c r="G2916" s="49" t="s">
        <v>287</v>
      </c>
      <c r="H2916" s="51" t="n">
        <v>0.003</v>
      </c>
      <c r="I2916" s="51" t="n">
        <v>0.1343</v>
      </c>
      <c r="J2916" s="51" t="n">
        <v>0.8628</v>
      </c>
      <c r="K2916" s="49"/>
      <c r="L2916" s="49"/>
      <c r="M2916" s="49"/>
      <c r="N2916" s="49"/>
      <c r="O2916" s="49"/>
      <c r="P2916" s="49"/>
      <c r="Q2916" s="49"/>
      <c r="R2916" s="49"/>
      <c r="S2916" s="49" t="n">
        <v>0</v>
      </c>
      <c r="T2916" s="49" t="n">
        <v>0</v>
      </c>
      <c r="U2916" s="49" t="s">
        <v>6074</v>
      </c>
    </row>
    <row r="2917" customFormat="false" ht="15" hidden="false" customHeight="false" outlineLevel="0" collapsed="false">
      <c r="B2917" s="48" t="n">
        <v>45971.2114930556</v>
      </c>
      <c r="C2917" s="4" t="n">
        <f aca="false">YEAR(B2917)</f>
        <v>2025</v>
      </c>
      <c r="D2917" s="49" t="s">
        <v>278</v>
      </c>
      <c r="E2917" s="49" t="s">
        <v>6075</v>
      </c>
      <c r="F2917" s="50" t="n">
        <v>0</v>
      </c>
      <c r="G2917" s="49" t="s">
        <v>290</v>
      </c>
      <c r="H2917" s="51" t="n">
        <v>0.3281</v>
      </c>
      <c r="I2917" s="51" t="n">
        <v>0.6395</v>
      </c>
      <c r="J2917" s="51" t="n">
        <v>0.0324</v>
      </c>
      <c r="K2917" s="49"/>
      <c r="L2917" s="49"/>
      <c r="M2917" s="49"/>
      <c r="N2917" s="49"/>
      <c r="O2917" s="49"/>
      <c r="P2917" s="49"/>
      <c r="Q2917" s="49"/>
      <c r="R2917" s="49"/>
      <c r="S2917" s="49" t="n">
        <v>0</v>
      </c>
      <c r="T2917" s="49" t="n">
        <v>0</v>
      </c>
      <c r="U2917" s="49" t="s">
        <v>6076</v>
      </c>
    </row>
    <row r="2918" customFormat="false" ht="15" hidden="false" customHeight="false" outlineLevel="0" collapsed="false">
      <c r="B2918" s="48" t="n">
        <v>45971.4473263889</v>
      </c>
      <c r="C2918" s="4" t="n">
        <f aca="false">YEAR(B2918)</f>
        <v>2025</v>
      </c>
      <c r="D2918" s="49" t="s">
        <v>278</v>
      </c>
      <c r="E2918" s="49" t="s">
        <v>6077</v>
      </c>
      <c r="F2918" s="50" t="n">
        <v>73</v>
      </c>
      <c r="G2918" s="49" t="s">
        <v>290</v>
      </c>
      <c r="H2918" s="51" t="n">
        <v>0.4092</v>
      </c>
      <c r="I2918" s="51" t="n">
        <v>0.4355</v>
      </c>
      <c r="J2918" s="51" t="n">
        <v>0.1553</v>
      </c>
      <c r="K2918" s="49"/>
      <c r="L2918" s="49"/>
      <c r="M2918" s="49"/>
      <c r="N2918" s="49"/>
      <c r="O2918" s="49"/>
      <c r="P2918" s="49"/>
      <c r="Q2918" s="49" t="s">
        <v>281</v>
      </c>
      <c r="R2918" s="49"/>
      <c r="S2918" s="49" t="n">
        <v>0</v>
      </c>
      <c r="T2918" s="49" t="n">
        <v>0</v>
      </c>
      <c r="U2918" s="49" t="s">
        <v>6078</v>
      </c>
    </row>
    <row r="2919" customFormat="false" ht="15" hidden="false" customHeight="false" outlineLevel="0" collapsed="false">
      <c r="B2919" s="48" t="n">
        <v>45971.7283564815</v>
      </c>
      <c r="C2919" s="4" t="n">
        <f aca="false">YEAR(B2919)</f>
        <v>2025</v>
      </c>
      <c r="D2919" s="49" t="s">
        <v>278</v>
      </c>
      <c r="E2919" s="49" t="s">
        <v>6079</v>
      </c>
      <c r="F2919" s="50" t="n">
        <v>2</v>
      </c>
      <c r="G2919" s="49" t="s">
        <v>280</v>
      </c>
      <c r="H2919" s="51" t="n">
        <v>0.5117</v>
      </c>
      <c r="I2919" s="51" t="n">
        <v>0.4287</v>
      </c>
      <c r="J2919" s="51" t="n">
        <v>0.0596</v>
      </c>
      <c r="K2919" s="49"/>
      <c r="L2919" s="49"/>
      <c r="M2919" s="49"/>
      <c r="N2919" s="49" t="s">
        <v>281</v>
      </c>
      <c r="O2919" s="49"/>
      <c r="P2919" s="49"/>
      <c r="Q2919" s="49"/>
      <c r="R2919" s="49"/>
      <c r="S2919" s="49" t="n">
        <v>0</v>
      </c>
      <c r="T2919" s="49" t="n">
        <v>0</v>
      </c>
      <c r="U2919" s="49" t="s">
        <v>6080</v>
      </c>
    </row>
    <row r="2920" customFormat="false" ht="15" hidden="false" customHeight="false" outlineLevel="0" collapsed="false">
      <c r="B2920" s="48" t="n">
        <v>45971.7724884259</v>
      </c>
      <c r="C2920" s="4" t="n">
        <f aca="false">YEAR(B2920)</f>
        <v>2025</v>
      </c>
      <c r="D2920" s="49" t="s">
        <v>278</v>
      </c>
      <c r="E2920" s="49" t="s">
        <v>6081</v>
      </c>
      <c r="F2920" s="50" t="n">
        <v>9</v>
      </c>
      <c r="G2920" s="49" t="s">
        <v>280</v>
      </c>
      <c r="H2920" s="51" t="n">
        <v>0.934</v>
      </c>
      <c r="I2920" s="51" t="n">
        <v>0.058</v>
      </c>
      <c r="J2920" s="51" t="n">
        <v>0.008</v>
      </c>
      <c r="K2920" s="49"/>
      <c r="L2920" s="49"/>
      <c r="M2920" s="49"/>
      <c r="N2920" s="49" t="s">
        <v>281</v>
      </c>
      <c r="O2920" s="49"/>
      <c r="P2920" s="49"/>
      <c r="Q2920" s="49"/>
      <c r="R2920" s="49"/>
      <c r="S2920" s="49" t="n">
        <v>0</v>
      </c>
      <c r="T2920" s="49" t="n">
        <v>0</v>
      </c>
      <c r="U2920" s="49" t="s">
        <v>6082</v>
      </c>
    </row>
    <row r="2921" customFormat="false" ht="15" hidden="false" customHeight="false" outlineLevel="0" collapsed="false">
      <c r="B2921" s="48" t="n">
        <v>45971.8942939815</v>
      </c>
      <c r="C2921" s="4" t="n">
        <f aca="false">YEAR(B2921)</f>
        <v>2025</v>
      </c>
      <c r="D2921" s="49" t="s">
        <v>278</v>
      </c>
      <c r="E2921" s="49" t="s">
        <v>6083</v>
      </c>
      <c r="F2921" s="50" t="n">
        <v>3</v>
      </c>
      <c r="G2921" s="49" t="s">
        <v>280</v>
      </c>
      <c r="H2921" s="51" t="n">
        <v>0.9022</v>
      </c>
      <c r="I2921" s="51" t="n">
        <v>0.0905</v>
      </c>
      <c r="J2921" s="51" t="n">
        <v>0.0073</v>
      </c>
      <c r="K2921" s="49"/>
      <c r="L2921" s="49"/>
      <c r="M2921" s="49"/>
      <c r="N2921" s="49"/>
      <c r="O2921" s="49"/>
      <c r="P2921" s="49"/>
      <c r="Q2921" s="49"/>
      <c r="R2921" s="49" t="s">
        <v>281</v>
      </c>
      <c r="S2921" s="49" t="n">
        <v>0</v>
      </c>
      <c r="T2921" s="49" t="n">
        <v>0</v>
      </c>
      <c r="U2921" s="49" t="s">
        <v>6084</v>
      </c>
    </row>
    <row r="2922" customFormat="false" ht="15" hidden="false" customHeight="false" outlineLevel="0" collapsed="false">
      <c r="B2922" s="48" t="n">
        <v>45972.6775231482</v>
      </c>
      <c r="C2922" s="4" t="n">
        <f aca="false">YEAR(B2922)</f>
        <v>2025</v>
      </c>
      <c r="D2922" s="49" t="s">
        <v>278</v>
      </c>
      <c r="E2922" s="49" t="s">
        <v>6085</v>
      </c>
      <c r="F2922" s="50" t="n">
        <v>2</v>
      </c>
      <c r="G2922" s="49" t="s">
        <v>280</v>
      </c>
      <c r="H2922" s="51" t="n">
        <v>0.6859</v>
      </c>
      <c r="I2922" s="51" t="n">
        <v>0.2883</v>
      </c>
      <c r="J2922" s="51" t="n">
        <v>0.0258</v>
      </c>
      <c r="K2922" s="49"/>
      <c r="L2922" s="49"/>
      <c r="M2922" s="49" t="s">
        <v>281</v>
      </c>
      <c r="N2922" s="49"/>
      <c r="O2922" s="49"/>
      <c r="P2922" s="49"/>
      <c r="Q2922" s="49"/>
      <c r="R2922" s="49" t="s">
        <v>281</v>
      </c>
      <c r="S2922" s="49" t="n">
        <v>0</v>
      </c>
      <c r="T2922" s="49" t="n">
        <v>0</v>
      </c>
      <c r="U2922" s="49" t="s">
        <v>6086</v>
      </c>
    </row>
    <row r="2923" customFormat="false" ht="15" hidden="false" customHeight="false" outlineLevel="0" collapsed="false">
      <c r="B2923" s="48" t="n">
        <v>45972.953275463</v>
      </c>
      <c r="C2923" s="4" t="n">
        <f aca="false">YEAR(B2923)</f>
        <v>2025</v>
      </c>
      <c r="D2923" s="49" t="s">
        <v>283</v>
      </c>
      <c r="E2923" s="49" t="s">
        <v>6087</v>
      </c>
      <c r="F2923" s="50" t="n">
        <v>2</v>
      </c>
      <c r="G2923" s="49" t="s">
        <v>290</v>
      </c>
      <c r="H2923" s="51" t="n">
        <v>0.3776</v>
      </c>
      <c r="I2923" s="51" t="n">
        <v>0.6002</v>
      </c>
      <c r="J2923" s="51" t="n">
        <v>0.0222</v>
      </c>
      <c r="K2923" s="49"/>
      <c r="L2923" s="49"/>
      <c r="M2923" s="49"/>
      <c r="N2923" s="49"/>
      <c r="O2923" s="49"/>
      <c r="P2923" s="49"/>
      <c r="Q2923" s="49"/>
      <c r="R2923" s="49"/>
      <c r="S2923" s="49" t="n">
        <v>0</v>
      </c>
      <c r="T2923" s="49" t="n">
        <v>0</v>
      </c>
      <c r="U2923" s="49" t="s">
        <v>6088</v>
      </c>
    </row>
    <row r="2924" customFormat="false" ht="15" hidden="false" customHeight="false" outlineLevel="0" collapsed="false">
      <c r="B2924" s="48" t="n">
        <v>45972.9665625</v>
      </c>
      <c r="C2924" s="4" t="n">
        <f aca="false">YEAR(B2924)</f>
        <v>2025</v>
      </c>
      <c r="D2924" s="49" t="s">
        <v>278</v>
      </c>
      <c r="E2924" s="49" t="s">
        <v>6089</v>
      </c>
      <c r="F2924" s="50" t="n">
        <v>10</v>
      </c>
      <c r="G2924" s="49" t="s">
        <v>290</v>
      </c>
      <c r="H2924" s="51" t="n">
        <v>0.0566</v>
      </c>
      <c r="I2924" s="51" t="n">
        <v>0.5213</v>
      </c>
      <c r="J2924" s="51" t="n">
        <v>0.4221</v>
      </c>
      <c r="K2924" s="49"/>
      <c r="L2924" s="49"/>
      <c r="M2924" s="49"/>
      <c r="N2924" s="49"/>
      <c r="O2924" s="49"/>
      <c r="P2924" s="49"/>
      <c r="Q2924" s="49"/>
      <c r="R2924" s="49" t="s">
        <v>281</v>
      </c>
      <c r="S2924" s="49" t="n">
        <v>0</v>
      </c>
      <c r="T2924" s="49" t="n">
        <v>0</v>
      </c>
      <c r="U2924" s="49" t="s">
        <v>6090</v>
      </c>
    </row>
    <row r="2925" customFormat="false" ht="15" hidden="false" customHeight="false" outlineLevel="0" collapsed="false">
      <c r="B2925" s="48" t="n">
        <v>45973.5902314815</v>
      </c>
      <c r="C2925" s="4" t="n">
        <f aca="false">YEAR(B2925)</f>
        <v>2025</v>
      </c>
      <c r="D2925" s="49" t="s">
        <v>278</v>
      </c>
      <c r="E2925" s="49" t="s">
        <v>6091</v>
      </c>
      <c r="F2925" s="50" t="n">
        <v>0</v>
      </c>
      <c r="G2925" s="49" t="s">
        <v>280</v>
      </c>
      <c r="H2925" s="51" t="n">
        <v>0.9591</v>
      </c>
      <c r="I2925" s="51" t="n">
        <v>0.0353</v>
      </c>
      <c r="J2925" s="51" t="n">
        <v>0.0056</v>
      </c>
      <c r="K2925" s="49"/>
      <c r="L2925" s="49"/>
      <c r="M2925" s="49"/>
      <c r="N2925" s="49"/>
      <c r="O2925" s="49"/>
      <c r="P2925" s="49"/>
      <c r="Q2925" s="49"/>
      <c r="R2925" s="49"/>
      <c r="S2925" s="49" t="n">
        <v>0</v>
      </c>
      <c r="T2925" s="49" t="n">
        <v>0</v>
      </c>
      <c r="U2925" s="49" t="s">
        <v>6092</v>
      </c>
    </row>
    <row r="2926" customFormat="false" ht="15" hidden="false" customHeight="false" outlineLevel="0" collapsed="false">
      <c r="B2926" s="48" t="n">
        <v>45973.963125</v>
      </c>
      <c r="C2926" s="4" t="n">
        <f aca="false">YEAR(B2926)</f>
        <v>2025</v>
      </c>
      <c r="D2926" s="49" t="s">
        <v>283</v>
      </c>
      <c r="E2926" s="49" t="s">
        <v>6093</v>
      </c>
      <c r="F2926" s="50" t="n">
        <v>0</v>
      </c>
      <c r="G2926" s="49" t="s">
        <v>287</v>
      </c>
      <c r="H2926" s="51" t="n">
        <v>0.02</v>
      </c>
      <c r="I2926" s="51" t="n">
        <v>0.3129</v>
      </c>
      <c r="J2926" s="51" t="n">
        <v>0.6672</v>
      </c>
      <c r="K2926" s="49"/>
      <c r="L2926" s="49"/>
      <c r="M2926" s="49"/>
      <c r="N2926" s="49"/>
      <c r="O2926" s="49"/>
      <c r="P2926" s="49"/>
      <c r="Q2926" s="49"/>
      <c r="R2926" s="49" t="s">
        <v>281</v>
      </c>
      <c r="S2926" s="49" t="n">
        <v>0</v>
      </c>
      <c r="T2926" s="49" t="n">
        <v>1</v>
      </c>
      <c r="U2926" s="49" t="s">
        <v>6094</v>
      </c>
    </row>
    <row r="2927" customFormat="false" ht="15" hidden="false" customHeight="false" outlineLevel="0" collapsed="false">
      <c r="B2927" s="48" t="n">
        <v>45976.558287037</v>
      </c>
      <c r="C2927" s="4" t="n">
        <f aca="false">YEAR(B2927)</f>
        <v>2025</v>
      </c>
      <c r="D2927" s="49" t="s">
        <v>278</v>
      </c>
      <c r="E2927" s="49" t="s">
        <v>6095</v>
      </c>
      <c r="F2927" s="50" t="n">
        <v>8</v>
      </c>
      <c r="G2927" s="49" t="s">
        <v>280</v>
      </c>
      <c r="H2927" s="51" t="n">
        <v>0.7543</v>
      </c>
      <c r="I2927" s="51" t="n">
        <v>0.2191</v>
      </c>
      <c r="J2927" s="51" t="n">
        <v>0.0266</v>
      </c>
      <c r="K2927" s="49"/>
      <c r="L2927" s="49"/>
      <c r="M2927" s="49"/>
      <c r="N2927" s="49"/>
      <c r="O2927" s="49"/>
      <c r="P2927" s="49"/>
      <c r="Q2927" s="49"/>
      <c r="R2927" s="49" t="s">
        <v>281</v>
      </c>
      <c r="S2927" s="49" t="n">
        <v>0</v>
      </c>
      <c r="T2927" s="49" t="n">
        <v>0</v>
      </c>
      <c r="U2927" s="49" t="s">
        <v>6096</v>
      </c>
    </row>
    <row r="2928" customFormat="false" ht="15" hidden="false" customHeight="false" outlineLevel="0" collapsed="false">
      <c r="B2928" s="48" t="n">
        <v>45976.6081828704</v>
      </c>
      <c r="C2928" s="4" t="n">
        <f aca="false">YEAR(B2928)</f>
        <v>2025</v>
      </c>
      <c r="D2928" s="49" t="s">
        <v>278</v>
      </c>
      <c r="E2928" s="49" t="s">
        <v>6097</v>
      </c>
      <c r="F2928" s="50" t="n">
        <v>0</v>
      </c>
      <c r="G2928" s="49" t="s">
        <v>280</v>
      </c>
      <c r="H2928" s="51" t="n">
        <v>0.806</v>
      </c>
      <c r="I2928" s="51" t="n">
        <v>0.1819</v>
      </c>
      <c r="J2928" s="51" t="n">
        <v>0.0121</v>
      </c>
      <c r="K2928" s="49"/>
      <c r="L2928" s="49" t="s">
        <v>281</v>
      </c>
      <c r="M2928" s="49"/>
      <c r="N2928" s="49"/>
      <c r="O2928" s="49"/>
      <c r="P2928" s="49"/>
      <c r="Q2928" s="49"/>
      <c r="R2928" s="49"/>
      <c r="S2928" s="49" t="n">
        <v>0</v>
      </c>
      <c r="T2928" s="49" t="n">
        <v>0</v>
      </c>
      <c r="U2928" s="49" t="s">
        <v>6098</v>
      </c>
    </row>
    <row r="2929" customFormat="false" ht="15" hidden="false" customHeight="false" outlineLevel="0" collapsed="false">
      <c r="B2929" s="48" t="n">
        <v>45977.4295949074</v>
      </c>
      <c r="C2929" s="4" t="n">
        <f aca="false">YEAR(B2929)</f>
        <v>2025</v>
      </c>
      <c r="D2929" s="49" t="s">
        <v>278</v>
      </c>
      <c r="E2929" s="49" t="s">
        <v>6099</v>
      </c>
      <c r="F2929" s="50" t="n">
        <v>1</v>
      </c>
      <c r="G2929" s="49" t="s">
        <v>280</v>
      </c>
      <c r="H2929" s="51" t="n">
        <v>0.5701</v>
      </c>
      <c r="I2929" s="51" t="n">
        <v>0.4102</v>
      </c>
      <c r="J2929" s="51" t="n">
        <v>0.0198</v>
      </c>
      <c r="K2929" s="49"/>
      <c r="L2929" s="49"/>
      <c r="M2929" s="49"/>
      <c r="N2929" s="49"/>
      <c r="O2929" s="49"/>
      <c r="P2929" s="49"/>
      <c r="Q2929" s="49"/>
      <c r="R2929" s="49"/>
      <c r="S2929" s="49" t="n">
        <v>0</v>
      </c>
      <c r="T2929" s="49" t="n">
        <v>0</v>
      </c>
      <c r="U2929" s="49" t="s">
        <v>6100</v>
      </c>
    </row>
    <row r="2930" customFormat="false" ht="15" hidden="false" customHeight="false" outlineLevel="0" collapsed="false">
      <c r="B2930" s="48" t="n">
        <v>45978.6125462963</v>
      </c>
      <c r="C2930" s="4" t="n">
        <f aca="false">YEAR(B2930)</f>
        <v>2025</v>
      </c>
      <c r="D2930" s="49" t="s">
        <v>283</v>
      </c>
      <c r="E2930" s="49" t="s">
        <v>6101</v>
      </c>
      <c r="F2930" s="50" t="n">
        <v>1</v>
      </c>
      <c r="G2930" s="49" t="s">
        <v>287</v>
      </c>
      <c r="H2930" s="51" t="n">
        <v>0.0081</v>
      </c>
      <c r="I2930" s="51" t="n">
        <v>0.2184</v>
      </c>
      <c r="J2930" s="51" t="n">
        <v>0.7735</v>
      </c>
      <c r="K2930" s="49"/>
      <c r="L2930" s="49"/>
      <c r="M2930" s="49"/>
      <c r="N2930" s="49"/>
      <c r="O2930" s="49"/>
      <c r="P2930" s="49"/>
      <c r="Q2930" s="49"/>
      <c r="R2930" s="49"/>
      <c r="S2930" s="49" t="n">
        <v>0</v>
      </c>
      <c r="T2930" s="49" t="n">
        <v>0</v>
      </c>
      <c r="U2930" s="49" t="s">
        <v>6102</v>
      </c>
    </row>
    <row r="2931" customFormat="false" ht="15" hidden="false" customHeight="false" outlineLevel="0" collapsed="false">
      <c r="B2931" s="48" t="n">
        <v>45978.6155092593</v>
      </c>
      <c r="C2931" s="4" t="n">
        <f aca="false">YEAR(B2931)</f>
        <v>2025</v>
      </c>
      <c r="D2931" s="49" t="s">
        <v>278</v>
      </c>
      <c r="E2931" s="49" t="s">
        <v>6103</v>
      </c>
      <c r="F2931" s="50" t="n">
        <v>2</v>
      </c>
      <c r="G2931" s="49" t="s">
        <v>280</v>
      </c>
      <c r="H2931" s="51" t="n">
        <v>0.7412</v>
      </c>
      <c r="I2931" s="51" t="n">
        <v>0.2352</v>
      </c>
      <c r="J2931" s="51" t="n">
        <v>0.0237</v>
      </c>
      <c r="K2931" s="49"/>
      <c r="L2931" s="49"/>
      <c r="M2931" s="49" t="s">
        <v>281</v>
      </c>
      <c r="N2931" s="49"/>
      <c r="O2931" s="49"/>
      <c r="P2931" s="49"/>
      <c r="Q2931" s="49"/>
      <c r="R2931" s="49"/>
      <c r="S2931" s="49" t="n">
        <v>0</v>
      </c>
      <c r="T2931" s="49" t="n">
        <v>0</v>
      </c>
      <c r="U2931" s="49" t="s">
        <v>6104</v>
      </c>
    </row>
    <row r="2932" customFormat="false" ht="15" hidden="false" customHeight="false" outlineLevel="0" collapsed="false">
      <c r="B2932" s="48" t="n">
        <v>45979.6059027778</v>
      </c>
      <c r="C2932" s="4" t="n">
        <f aca="false">YEAR(B2932)</f>
        <v>2025</v>
      </c>
      <c r="D2932" s="49" t="s">
        <v>278</v>
      </c>
      <c r="E2932" s="49" t="s">
        <v>6105</v>
      </c>
      <c r="F2932" s="50" t="n">
        <v>1</v>
      </c>
      <c r="G2932" s="49" t="s">
        <v>290</v>
      </c>
      <c r="H2932" s="51" t="n">
        <v>0.014</v>
      </c>
      <c r="I2932" s="51" t="n">
        <v>0.658</v>
      </c>
      <c r="J2932" s="51" t="n">
        <v>0.328</v>
      </c>
      <c r="K2932" s="49"/>
      <c r="L2932" s="49"/>
      <c r="M2932" s="49"/>
      <c r="N2932" s="49"/>
      <c r="O2932" s="49"/>
      <c r="P2932" s="49"/>
      <c r="Q2932" s="49"/>
      <c r="R2932" s="49"/>
      <c r="S2932" s="49" t="n">
        <v>0</v>
      </c>
      <c r="T2932" s="49" t="n">
        <v>0</v>
      </c>
      <c r="U2932" s="49" t="s">
        <v>6106</v>
      </c>
    </row>
    <row r="2933" customFormat="false" ht="15" hidden="false" customHeight="false" outlineLevel="0" collapsed="false">
      <c r="B2933" s="48" t="n">
        <v>45979.7000694444</v>
      </c>
      <c r="C2933" s="4" t="n">
        <f aca="false">YEAR(B2933)</f>
        <v>2025</v>
      </c>
      <c r="D2933" s="49" t="s">
        <v>283</v>
      </c>
      <c r="E2933" s="49" t="s">
        <v>6107</v>
      </c>
      <c r="F2933" s="50" t="n">
        <v>1</v>
      </c>
      <c r="G2933" s="49" t="s">
        <v>287</v>
      </c>
      <c r="H2933" s="51" t="n">
        <v>0.003</v>
      </c>
      <c r="I2933" s="51" t="n">
        <v>0.0497</v>
      </c>
      <c r="J2933" s="51" t="n">
        <v>0.9473</v>
      </c>
      <c r="K2933" s="49"/>
      <c r="L2933" s="49"/>
      <c r="M2933" s="49"/>
      <c r="N2933" s="49"/>
      <c r="O2933" s="49"/>
      <c r="P2933" s="49"/>
      <c r="Q2933" s="49" t="s">
        <v>281</v>
      </c>
      <c r="R2933" s="49"/>
      <c r="S2933" s="49" t="n">
        <v>1</v>
      </c>
      <c r="T2933" s="49" t="n">
        <v>0</v>
      </c>
      <c r="U2933" s="49" t="s">
        <v>6108</v>
      </c>
    </row>
    <row r="2934" customFormat="false" ht="15" hidden="false" customHeight="false" outlineLevel="0" collapsed="false">
      <c r="B2934" s="48" t="n">
        <v>45979.8608101852</v>
      </c>
      <c r="C2934" s="4" t="n">
        <f aca="false">YEAR(B2934)</f>
        <v>2025</v>
      </c>
      <c r="D2934" s="49" t="s">
        <v>283</v>
      </c>
      <c r="E2934" s="49" t="s">
        <v>6109</v>
      </c>
      <c r="F2934" s="50" t="n">
        <v>1</v>
      </c>
      <c r="G2934" s="49" t="s">
        <v>290</v>
      </c>
      <c r="H2934" s="51" t="n">
        <v>0.0289</v>
      </c>
      <c r="I2934" s="51" t="n">
        <v>0.5787</v>
      </c>
      <c r="J2934" s="51" t="n">
        <v>0.3924</v>
      </c>
      <c r="K2934" s="49"/>
      <c r="L2934" s="49"/>
      <c r="M2934" s="49"/>
      <c r="N2934" s="49"/>
      <c r="O2934" s="49"/>
      <c r="P2934" s="49"/>
      <c r="Q2934" s="49"/>
      <c r="R2934" s="49"/>
      <c r="S2934" s="49" t="n">
        <v>0</v>
      </c>
      <c r="T2934" s="49" t="n">
        <v>0</v>
      </c>
      <c r="U2934" s="49" t="s">
        <v>6110</v>
      </c>
    </row>
    <row r="2935" customFormat="false" ht="15" hidden="false" customHeight="false" outlineLevel="0" collapsed="false">
      <c r="B2935" s="48" t="n">
        <v>45979.8626157407</v>
      </c>
      <c r="C2935" s="4" t="n">
        <f aca="false">YEAR(B2935)</f>
        <v>2025</v>
      </c>
      <c r="D2935" s="49" t="s">
        <v>278</v>
      </c>
      <c r="E2935" s="49" t="s">
        <v>6111</v>
      </c>
      <c r="F2935" s="50" t="n">
        <v>1</v>
      </c>
      <c r="G2935" s="49" t="s">
        <v>280</v>
      </c>
      <c r="H2935" s="51" t="n">
        <v>0.7774</v>
      </c>
      <c r="I2935" s="51" t="n">
        <v>0.214</v>
      </c>
      <c r="J2935" s="51" t="n">
        <v>0.0086</v>
      </c>
      <c r="K2935" s="49"/>
      <c r="L2935" s="49"/>
      <c r="M2935" s="49"/>
      <c r="N2935" s="49"/>
      <c r="O2935" s="49"/>
      <c r="P2935" s="49"/>
      <c r="Q2935" s="49"/>
      <c r="R2935" s="49" t="s">
        <v>281</v>
      </c>
      <c r="S2935" s="49" t="n">
        <v>0</v>
      </c>
      <c r="T2935" s="49" t="n">
        <v>0</v>
      </c>
      <c r="U2935" s="49" t="s">
        <v>6112</v>
      </c>
    </row>
    <row r="2936" customFormat="false" ht="15" hidden="false" customHeight="false" outlineLevel="0" collapsed="false">
      <c r="B2936" s="48" t="n">
        <v>45980.9207986111</v>
      </c>
      <c r="C2936" s="4" t="n">
        <f aca="false">YEAR(B2936)</f>
        <v>2025</v>
      </c>
      <c r="D2936" s="49" t="s">
        <v>283</v>
      </c>
      <c r="E2936" s="49" t="s">
        <v>6113</v>
      </c>
      <c r="F2936" s="50" t="n">
        <v>1</v>
      </c>
      <c r="G2936" s="49" t="s">
        <v>290</v>
      </c>
      <c r="H2936" s="51" t="n">
        <v>0.0141</v>
      </c>
      <c r="I2936" s="51" t="n">
        <v>0.9444</v>
      </c>
      <c r="J2936" s="51" t="n">
        <v>0.0415</v>
      </c>
      <c r="K2936" s="49"/>
      <c r="L2936" s="49"/>
      <c r="M2936" s="49"/>
      <c r="N2936" s="49"/>
      <c r="O2936" s="49"/>
      <c r="P2936" s="49"/>
      <c r="Q2936" s="49"/>
      <c r="R2936" s="49"/>
      <c r="S2936" s="49" t="n">
        <v>1</v>
      </c>
      <c r="T2936" s="49" t="n">
        <v>0</v>
      </c>
      <c r="U2936" s="49" t="s">
        <v>6114</v>
      </c>
    </row>
    <row r="2937" customFormat="false" ht="15" hidden="false" customHeight="false" outlineLevel="0" collapsed="false">
      <c r="B2937" s="48" t="n">
        <v>45981.1524768519</v>
      </c>
      <c r="C2937" s="4" t="n">
        <f aca="false">YEAR(B2937)</f>
        <v>2025</v>
      </c>
      <c r="D2937" s="49" t="s">
        <v>283</v>
      </c>
      <c r="E2937" s="49" t="s">
        <v>6115</v>
      </c>
      <c r="F2937" s="50" t="n">
        <v>1</v>
      </c>
      <c r="G2937" s="49" t="s">
        <v>287</v>
      </c>
      <c r="H2937" s="51" t="n">
        <v>0.0039</v>
      </c>
      <c r="I2937" s="51" t="n">
        <v>0.4813</v>
      </c>
      <c r="J2937" s="51" t="n">
        <v>0.5147</v>
      </c>
      <c r="K2937" s="49"/>
      <c r="L2937" s="49"/>
      <c r="M2937" s="49"/>
      <c r="N2937" s="49"/>
      <c r="O2937" s="49"/>
      <c r="P2937" s="49"/>
      <c r="Q2937" s="49"/>
      <c r="R2937" s="49"/>
      <c r="S2937" s="49" t="n">
        <v>0</v>
      </c>
      <c r="T2937" s="49" t="n">
        <v>0</v>
      </c>
      <c r="U2937" s="49" t="s">
        <v>6116</v>
      </c>
    </row>
    <row r="2938" customFormat="false" ht="15" hidden="false" customHeight="false" outlineLevel="0" collapsed="false">
      <c r="B2938" s="48" t="n">
        <v>45982.7518055556</v>
      </c>
      <c r="C2938" s="4" t="n">
        <f aca="false">YEAR(B2938)</f>
        <v>2025</v>
      </c>
      <c r="D2938" s="49" t="s">
        <v>278</v>
      </c>
      <c r="E2938" s="49" t="s">
        <v>6117</v>
      </c>
      <c r="F2938" s="50" t="n">
        <v>162</v>
      </c>
      <c r="G2938" s="49" t="s">
        <v>290</v>
      </c>
      <c r="H2938" s="51" t="n">
        <v>0.0088</v>
      </c>
      <c r="I2938" s="51" t="n">
        <v>0.7159</v>
      </c>
      <c r="J2938" s="51" t="n">
        <v>0.2753</v>
      </c>
      <c r="K2938" s="49"/>
      <c r="L2938" s="49"/>
      <c r="M2938" s="49"/>
      <c r="N2938" s="49"/>
      <c r="O2938" s="49"/>
      <c r="P2938" s="49"/>
      <c r="Q2938" s="49"/>
      <c r="R2938" s="49" t="s">
        <v>281</v>
      </c>
      <c r="S2938" s="49" t="n">
        <v>0</v>
      </c>
      <c r="T2938" s="49" t="n">
        <v>0</v>
      </c>
      <c r="U2938" s="49" t="s">
        <v>6118</v>
      </c>
    </row>
    <row r="2939" customFormat="false" ht="15" hidden="false" customHeight="false" outlineLevel="0" collapsed="false">
      <c r="B2939" s="48" t="n">
        <v>45982.8286226852</v>
      </c>
      <c r="C2939" s="4" t="n">
        <f aca="false">YEAR(B2939)</f>
        <v>2025</v>
      </c>
      <c r="D2939" s="49" t="s">
        <v>278</v>
      </c>
      <c r="E2939" s="49" t="s">
        <v>6119</v>
      </c>
      <c r="F2939" s="50" t="n">
        <v>2</v>
      </c>
      <c r="G2939" s="49" t="s">
        <v>280</v>
      </c>
      <c r="H2939" s="51" t="n">
        <v>0.8312</v>
      </c>
      <c r="I2939" s="51" t="n">
        <v>0.1585</v>
      </c>
      <c r="J2939" s="51" t="n">
        <v>0.0103</v>
      </c>
      <c r="K2939" s="49"/>
      <c r="L2939" s="49"/>
      <c r="M2939" s="49"/>
      <c r="N2939" s="49"/>
      <c r="O2939" s="49"/>
      <c r="P2939" s="49"/>
      <c r="Q2939" s="49"/>
      <c r="R2939" s="49"/>
      <c r="S2939" s="49" t="n">
        <v>0</v>
      </c>
      <c r="T2939" s="49" t="n">
        <v>0</v>
      </c>
      <c r="U2939" s="49" t="s">
        <v>6120</v>
      </c>
    </row>
    <row r="2940" customFormat="false" ht="15" hidden="false" customHeight="false" outlineLevel="0" collapsed="false">
      <c r="B2940" s="48" t="n">
        <v>45983.2832407407</v>
      </c>
      <c r="C2940" s="4" t="n">
        <f aca="false">YEAR(B2940)</f>
        <v>2025</v>
      </c>
      <c r="D2940" s="49" t="s">
        <v>283</v>
      </c>
      <c r="E2940" s="49" t="s">
        <v>6121</v>
      </c>
      <c r="F2940" s="50" t="n">
        <v>7</v>
      </c>
      <c r="G2940" s="49" t="s">
        <v>290</v>
      </c>
      <c r="H2940" s="51" t="n">
        <v>0.0404</v>
      </c>
      <c r="I2940" s="51" t="n">
        <v>0.6576</v>
      </c>
      <c r="J2940" s="51" t="n">
        <v>0.302</v>
      </c>
      <c r="K2940" s="49"/>
      <c r="L2940" s="49"/>
      <c r="M2940" s="49"/>
      <c r="N2940" s="49"/>
      <c r="O2940" s="49"/>
      <c r="P2940" s="49"/>
      <c r="Q2940" s="49"/>
      <c r="R2940" s="49"/>
      <c r="S2940" s="49" t="n">
        <v>0</v>
      </c>
      <c r="T2940" s="49" t="n">
        <v>0</v>
      </c>
      <c r="U2940" s="49" t="s">
        <v>6122</v>
      </c>
    </row>
    <row r="2941" customFormat="false" ht="15" hidden="false" customHeight="false" outlineLevel="0" collapsed="false">
      <c r="B2941" s="48" t="n">
        <v>45983.8721759259</v>
      </c>
      <c r="C2941" s="4" t="n">
        <f aca="false">YEAR(B2941)</f>
        <v>2025</v>
      </c>
      <c r="D2941" s="49" t="s">
        <v>278</v>
      </c>
      <c r="E2941" s="49" t="s">
        <v>6123</v>
      </c>
      <c r="F2941" s="50" t="n">
        <v>0</v>
      </c>
      <c r="G2941" s="49" t="s">
        <v>287</v>
      </c>
      <c r="H2941" s="51" t="n">
        <v>0.0018</v>
      </c>
      <c r="I2941" s="51" t="n">
        <v>0.0162</v>
      </c>
      <c r="J2941" s="51" t="n">
        <v>0.9821</v>
      </c>
      <c r="K2941" s="49"/>
      <c r="L2941" s="49"/>
      <c r="M2941" s="49"/>
      <c r="N2941" s="49"/>
      <c r="O2941" s="49"/>
      <c r="P2941" s="49"/>
      <c r="Q2941" s="49"/>
      <c r="R2941" s="49"/>
      <c r="S2941" s="49" t="n">
        <v>0</v>
      </c>
      <c r="T2941" s="49" t="n">
        <v>0</v>
      </c>
      <c r="U2941" s="49" t="s">
        <v>6124</v>
      </c>
    </row>
    <row r="2942" customFormat="false" ht="15" hidden="false" customHeight="false" outlineLevel="0" collapsed="false">
      <c r="B2942" s="48" t="n">
        <v>45983.9144560185</v>
      </c>
      <c r="C2942" s="4" t="n">
        <f aca="false">YEAR(B2942)</f>
        <v>2025</v>
      </c>
      <c r="D2942" s="49" t="s">
        <v>278</v>
      </c>
      <c r="E2942" s="49" t="s">
        <v>6125</v>
      </c>
      <c r="F2942" s="50" t="n">
        <v>0</v>
      </c>
      <c r="G2942" s="49" t="s">
        <v>290</v>
      </c>
      <c r="H2942" s="51" t="n">
        <v>0.1711</v>
      </c>
      <c r="I2942" s="51" t="n">
        <v>0.5005</v>
      </c>
      <c r="J2942" s="51" t="n">
        <v>0.3284</v>
      </c>
      <c r="K2942" s="49"/>
      <c r="L2942" s="49"/>
      <c r="M2942" s="49"/>
      <c r="N2942" s="49"/>
      <c r="O2942" s="49"/>
      <c r="P2942" s="49" t="s">
        <v>281</v>
      </c>
      <c r="Q2942" s="49"/>
      <c r="R2942" s="49"/>
      <c r="S2942" s="49" t="n">
        <v>0</v>
      </c>
      <c r="T2942" s="49" t="n">
        <v>0</v>
      </c>
      <c r="U2942" s="49" t="s">
        <v>6126</v>
      </c>
    </row>
    <row r="2943" customFormat="false" ht="15" hidden="false" customHeight="false" outlineLevel="0" collapsed="false">
      <c r="B2943" s="48" t="n">
        <v>45984.4108449074</v>
      </c>
      <c r="C2943" s="4" t="n">
        <f aca="false">YEAR(B2943)</f>
        <v>2025</v>
      </c>
      <c r="D2943" s="49" t="s">
        <v>278</v>
      </c>
      <c r="E2943" s="49" t="s">
        <v>6127</v>
      </c>
      <c r="F2943" s="50" t="n">
        <v>1</v>
      </c>
      <c r="G2943" s="49" t="s">
        <v>290</v>
      </c>
      <c r="H2943" s="51" t="n">
        <v>0.0205</v>
      </c>
      <c r="I2943" s="51" t="n">
        <v>0.7578</v>
      </c>
      <c r="J2943" s="51" t="n">
        <v>0.2217</v>
      </c>
      <c r="K2943" s="49"/>
      <c r="L2943" s="49"/>
      <c r="M2943" s="49"/>
      <c r="N2943" s="49"/>
      <c r="O2943" s="49"/>
      <c r="P2943" s="49"/>
      <c r="Q2943" s="49"/>
      <c r="R2943" s="49"/>
      <c r="S2943" s="49" t="n">
        <v>0</v>
      </c>
      <c r="T2943" s="49" t="n">
        <v>0</v>
      </c>
      <c r="U2943" s="49" t="s">
        <v>6128</v>
      </c>
    </row>
    <row r="2944" customFormat="false" ht="15" hidden="false" customHeight="false" outlineLevel="0" collapsed="false">
      <c r="B2944" s="48" t="n">
        <v>45985.1254050926</v>
      </c>
      <c r="C2944" s="4" t="n">
        <f aca="false">YEAR(B2944)</f>
        <v>2025</v>
      </c>
      <c r="D2944" s="49" t="s">
        <v>283</v>
      </c>
      <c r="E2944" s="49" t="s">
        <v>6129</v>
      </c>
      <c r="F2944" s="50" t="n">
        <v>1</v>
      </c>
      <c r="G2944" s="49" t="s">
        <v>290</v>
      </c>
      <c r="H2944" s="51" t="n">
        <v>0.0058</v>
      </c>
      <c r="I2944" s="51" t="n">
        <v>0.7508</v>
      </c>
      <c r="J2944" s="51" t="n">
        <v>0.2434</v>
      </c>
      <c r="K2944" s="49"/>
      <c r="L2944" s="49"/>
      <c r="M2944" s="49"/>
      <c r="N2944" s="49"/>
      <c r="O2944" s="49"/>
      <c r="P2944" s="49"/>
      <c r="Q2944" s="49"/>
      <c r="R2944" s="49"/>
      <c r="S2944" s="49" t="n">
        <v>0</v>
      </c>
      <c r="T2944" s="49" t="n">
        <v>0</v>
      </c>
      <c r="U2944" s="49" t="s">
        <v>6130</v>
      </c>
    </row>
    <row r="2945" customFormat="false" ht="15" hidden="false" customHeight="false" outlineLevel="0" collapsed="false">
      <c r="B2945" s="48" t="n">
        <v>45987.068912037</v>
      </c>
      <c r="C2945" s="4" t="n">
        <f aca="false">YEAR(B2945)</f>
        <v>2025</v>
      </c>
      <c r="D2945" s="49" t="s">
        <v>283</v>
      </c>
      <c r="E2945" s="49" t="s">
        <v>6131</v>
      </c>
      <c r="F2945" s="50" t="n">
        <v>1</v>
      </c>
      <c r="G2945" s="49" t="s">
        <v>287</v>
      </c>
      <c r="H2945" s="51" t="n">
        <v>0.0038</v>
      </c>
      <c r="I2945" s="51" t="n">
        <v>0.2568</v>
      </c>
      <c r="J2945" s="51" t="n">
        <v>0.7393</v>
      </c>
      <c r="K2945" s="49"/>
      <c r="L2945" s="49"/>
      <c r="M2945" s="49"/>
      <c r="N2945" s="49"/>
      <c r="O2945" s="49"/>
      <c r="P2945" s="49"/>
      <c r="Q2945" s="49"/>
      <c r="R2945" s="49"/>
      <c r="S2945" s="49" t="n">
        <v>0</v>
      </c>
      <c r="T2945" s="49" t="n">
        <v>0</v>
      </c>
      <c r="U2945" s="49" t="s">
        <v>6132</v>
      </c>
    </row>
    <row r="2946" customFormat="false" ht="15" hidden="false" customHeight="false" outlineLevel="0" collapsed="false">
      <c r="B2946" s="48" t="n">
        <v>45987.3822222222</v>
      </c>
      <c r="C2946" s="4" t="n">
        <f aca="false">YEAR(B2946)</f>
        <v>2025</v>
      </c>
      <c r="D2946" s="49" t="s">
        <v>278</v>
      </c>
      <c r="E2946" s="49" t="s">
        <v>6133</v>
      </c>
      <c r="F2946" s="50" t="n">
        <v>45</v>
      </c>
      <c r="G2946" s="49" t="s">
        <v>280</v>
      </c>
      <c r="H2946" s="51" t="n">
        <v>0.9451</v>
      </c>
      <c r="I2946" s="51" t="n">
        <v>0.0495</v>
      </c>
      <c r="J2946" s="51" t="n">
        <v>0.0054</v>
      </c>
      <c r="K2946" s="49"/>
      <c r="L2946" s="49"/>
      <c r="M2946" s="49"/>
      <c r="N2946" s="49"/>
      <c r="O2946" s="49"/>
      <c r="P2946" s="49"/>
      <c r="Q2946" s="49"/>
      <c r="R2946" s="49"/>
      <c r="S2946" s="49" t="n">
        <v>0</v>
      </c>
      <c r="T2946" s="49" t="n">
        <v>0</v>
      </c>
      <c r="U2946" s="49" t="s">
        <v>6134</v>
      </c>
    </row>
    <row r="2947" customFormat="false" ht="15" hidden="false" customHeight="false" outlineLevel="0" collapsed="false">
      <c r="B2947" s="48" t="n">
        <v>45987.6178587963</v>
      </c>
      <c r="C2947" s="4" t="n">
        <f aca="false">YEAR(B2947)</f>
        <v>2025</v>
      </c>
      <c r="D2947" s="49" t="s">
        <v>278</v>
      </c>
      <c r="E2947" s="49" t="s">
        <v>6135</v>
      </c>
      <c r="F2947" s="50" t="n">
        <v>3</v>
      </c>
      <c r="G2947" s="49" t="s">
        <v>290</v>
      </c>
      <c r="H2947" s="51" t="n">
        <v>0.1957</v>
      </c>
      <c r="I2947" s="51" t="n">
        <v>0.7659</v>
      </c>
      <c r="J2947" s="51" t="n">
        <v>0.0384</v>
      </c>
      <c r="K2947" s="49"/>
      <c r="L2947" s="49"/>
      <c r="M2947" s="49"/>
      <c r="N2947" s="49"/>
      <c r="O2947" s="49"/>
      <c r="P2947" s="49"/>
      <c r="Q2947" s="49"/>
      <c r="R2947" s="49"/>
      <c r="S2947" s="49" t="n">
        <v>0</v>
      </c>
      <c r="T2947" s="49" t="n">
        <v>0</v>
      </c>
      <c r="U2947" s="49" t="s">
        <v>6136</v>
      </c>
    </row>
    <row r="2948" customFormat="false" ht="15" hidden="false" customHeight="false" outlineLevel="0" collapsed="false">
      <c r="B2948" s="48" t="n">
        <v>45987.6401273148</v>
      </c>
      <c r="C2948" s="4" t="n">
        <f aca="false">YEAR(B2948)</f>
        <v>2025</v>
      </c>
      <c r="D2948" s="49" t="s">
        <v>278</v>
      </c>
      <c r="E2948" s="49" t="s">
        <v>6137</v>
      </c>
      <c r="F2948" s="50" t="n">
        <v>0</v>
      </c>
      <c r="G2948" s="49" t="s">
        <v>280</v>
      </c>
      <c r="H2948" s="51" t="n">
        <v>0.8555</v>
      </c>
      <c r="I2948" s="51" t="n">
        <v>0.1308</v>
      </c>
      <c r="J2948" s="51" t="n">
        <v>0.0136</v>
      </c>
      <c r="K2948" s="49" t="s">
        <v>281</v>
      </c>
      <c r="L2948" s="49"/>
      <c r="M2948" s="49" t="s">
        <v>281</v>
      </c>
      <c r="N2948" s="49"/>
      <c r="O2948" s="49"/>
      <c r="P2948" s="49"/>
      <c r="Q2948" s="49"/>
      <c r="R2948" s="49"/>
      <c r="S2948" s="49" t="n">
        <v>0</v>
      </c>
      <c r="T2948" s="49" t="n">
        <v>0</v>
      </c>
      <c r="U2948" s="49" t="s">
        <v>6138</v>
      </c>
    </row>
    <row r="2949" customFormat="false" ht="15" hidden="false" customHeight="false" outlineLevel="0" collapsed="false">
      <c r="B2949" s="48" t="n">
        <v>45988.0106134259</v>
      </c>
      <c r="C2949" s="4" t="n">
        <f aca="false">YEAR(B2949)</f>
        <v>2025</v>
      </c>
      <c r="D2949" s="49" t="s">
        <v>283</v>
      </c>
      <c r="E2949" s="49" t="s">
        <v>6139</v>
      </c>
      <c r="F2949" s="50" t="n">
        <v>9</v>
      </c>
      <c r="G2949" s="49" t="s">
        <v>287</v>
      </c>
      <c r="H2949" s="51" t="n">
        <v>0.0045</v>
      </c>
      <c r="I2949" s="51" t="n">
        <v>0.2664</v>
      </c>
      <c r="J2949" s="51" t="n">
        <v>0.7291</v>
      </c>
      <c r="K2949" s="49"/>
      <c r="L2949" s="49"/>
      <c r="M2949" s="49"/>
      <c r="N2949" s="49"/>
      <c r="O2949" s="49"/>
      <c r="P2949" s="49"/>
      <c r="Q2949" s="49"/>
      <c r="R2949" s="49"/>
      <c r="S2949" s="49" t="n">
        <v>0</v>
      </c>
      <c r="T2949" s="49" t="n">
        <v>0</v>
      </c>
      <c r="U2949" s="49" t="s">
        <v>6140</v>
      </c>
    </row>
    <row r="2950" customFormat="false" ht="15" hidden="false" customHeight="false" outlineLevel="0" collapsed="false">
      <c r="B2950" s="48" t="n">
        <v>45988.9530787037</v>
      </c>
      <c r="C2950" s="4" t="n">
        <f aca="false">YEAR(B2950)</f>
        <v>2025</v>
      </c>
      <c r="D2950" s="49" t="s">
        <v>278</v>
      </c>
      <c r="E2950" s="49" t="s">
        <v>6141</v>
      </c>
      <c r="F2950" s="50" t="n">
        <v>0</v>
      </c>
      <c r="G2950" s="49" t="s">
        <v>280</v>
      </c>
      <c r="H2950" s="51" t="n">
        <v>0.6301</v>
      </c>
      <c r="I2950" s="51" t="n">
        <v>0.3541</v>
      </c>
      <c r="J2950" s="51" t="n">
        <v>0.0159</v>
      </c>
      <c r="K2950" s="49"/>
      <c r="L2950" s="49"/>
      <c r="M2950" s="49" t="s">
        <v>281</v>
      </c>
      <c r="N2950" s="49"/>
      <c r="O2950" s="49"/>
      <c r="P2950" s="49"/>
      <c r="Q2950" s="49"/>
      <c r="R2950" s="49"/>
      <c r="S2950" s="49" t="n">
        <v>0</v>
      </c>
      <c r="T2950" s="49" t="n">
        <v>0</v>
      </c>
      <c r="U2950" s="49" t="s">
        <v>6142</v>
      </c>
    </row>
    <row r="2951" customFormat="false" ht="15" hidden="false" customHeight="false" outlineLevel="0" collapsed="false">
      <c r="B2951" s="48" t="n">
        <v>45989.8571180556</v>
      </c>
      <c r="C2951" s="4" t="n">
        <f aca="false">YEAR(B2951)</f>
        <v>2025</v>
      </c>
      <c r="D2951" s="49" t="s">
        <v>278</v>
      </c>
      <c r="E2951" s="49" t="s">
        <v>6143</v>
      </c>
      <c r="F2951" s="50" t="n">
        <v>0</v>
      </c>
      <c r="G2951" s="49" t="s">
        <v>280</v>
      </c>
      <c r="H2951" s="51" t="n">
        <v>0.5018</v>
      </c>
      <c r="I2951" s="51" t="n">
        <v>0.4777</v>
      </c>
      <c r="J2951" s="51" t="n">
        <v>0.0205</v>
      </c>
      <c r="K2951" s="49"/>
      <c r="L2951" s="49"/>
      <c r="M2951" s="49"/>
      <c r="N2951" s="49"/>
      <c r="O2951" s="49"/>
      <c r="P2951" s="49"/>
      <c r="Q2951" s="49"/>
      <c r="R2951" s="49"/>
      <c r="S2951" s="49" t="n">
        <v>0</v>
      </c>
      <c r="T2951" s="49" t="n">
        <v>0</v>
      </c>
      <c r="U2951" s="49" t="s">
        <v>6144</v>
      </c>
    </row>
    <row r="2952" customFormat="false" ht="15" hidden="false" customHeight="false" outlineLevel="0" collapsed="false">
      <c r="B2952" s="48" t="n">
        <v>45990.6593287037</v>
      </c>
      <c r="C2952" s="4" t="n">
        <f aca="false">YEAR(B2952)</f>
        <v>2025</v>
      </c>
      <c r="D2952" s="49" t="s">
        <v>283</v>
      </c>
      <c r="E2952" s="49" t="s">
        <v>6145</v>
      </c>
      <c r="F2952" s="50" t="n">
        <v>1</v>
      </c>
      <c r="G2952" s="49" t="s">
        <v>287</v>
      </c>
      <c r="H2952" s="51" t="n">
        <v>0.0076</v>
      </c>
      <c r="I2952" s="51" t="n">
        <v>0.0358</v>
      </c>
      <c r="J2952" s="51" t="n">
        <v>0.9566</v>
      </c>
      <c r="K2952" s="49"/>
      <c r="L2952" s="49"/>
      <c r="M2952" s="49"/>
      <c r="N2952" s="49"/>
      <c r="O2952" s="49"/>
      <c r="P2952" s="49"/>
      <c r="Q2952" s="49"/>
      <c r="R2952" s="49"/>
      <c r="S2952" s="49" t="n">
        <v>0</v>
      </c>
      <c r="T2952" s="49" t="n">
        <v>0</v>
      </c>
      <c r="U2952" s="49" t="s">
        <v>6146</v>
      </c>
    </row>
    <row r="2953" customFormat="false" ht="15" hidden="false" customHeight="false" outlineLevel="0" collapsed="false">
      <c r="B2953" s="48" t="n">
        <v>45990.9810185185</v>
      </c>
      <c r="C2953" s="4" t="n">
        <f aca="false">YEAR(B2953)</f>
        <v>2025</v>
      </c>
      <c r="D2953" s="49" t="s">
        <v>278</v>
      </c>
      <c r="E2953" s="49" t="s">
        <v>6147</v>
      </c>
      <c r="F2953" s="50" t="n">
        <v>45</v>
      </c>
      <c r="G2953" s="49" t="s">
        <v>290</v>
      </c>
      <c r="H2953" s="51" t="n">
        <v>0.4714</v>
      </c>
      <c r="I2953" s="51" t="n">
        <v>0.5079</v>
      </c>
      <c r="J2953" s="51" t="n">
        <v>0.0207</v>
      </c>
      <c r="K2953" s="49"/>
      <c r="L2953" s="49"/>
      <c r="M2953" s="49"/>
      <c r="N2953" s="49"/>
      <c r="O2953" s="49"/>
      <c r="P2953" s="49"/>
      <c r="Q2953" s="49"/>
      <c r="R2953" s="49"/>
      <c r="S2953" s="49" t="n">
        <v>0</v>
      </c>
      <c r="T2953" s="49" t="n">
        <v>0</v>
      </c>
      <c r="U2953" s="49" t="s">
        <v>6148</v>
      </c>
    </row>
    <row r="2954" customFormat="false" ht="15" hidden="false" customHeight="false" outlineLevel="0" collapsed="false">
      <c r="B2954" s="48" t="n">
        <v>45991.8295717593</v>
      </c>
      <c r="C2954" s="4" t="n">
        <f aca="false">YEAR(B2954)</f>
        <v>2025</v>
      </c>
      <c r="D2954" s="49" t="s">
        <v>278</v>
      </c>
      <c r="E2954" s="49" t="s">
        <v>6149</v>
      </c>
      <c r="F2954" s="50" t="n">
        <v>0</v>
      </c>
      <c r="G2954" s="49" t="s">
        <v>280</v>
      </c>
      <c r="H2954" s="51" t="n">
        <v>0.8792</v>
      </c>
      <c r="I2954" s="51" t="n">
        <v>0.1115</v>
      </c>
      <c r="J2954" s="51" t="n">
        <v>0.0093</v>
      </c>
      <c r="K2954" s="49"/>
      <c r="L2954" s="49"/>
      <c r="M2954" s="49"/>
      <c r="N2954" s="49"/>
      <c r="O2954" s="49"/>
      <c r="P2954" s="49"/>
      <c r="Q2954" s="49"/>
      <c r="R2954" s="49"/>
      <c r="S2954" s="49" t="n">
        <v>0</v>
      </c>
      <c r="T2954" s="49" t="n">
        <v>1</v>
      </c>
      <c r="U2954" s="49" t="s">
        <v>6150</v>
      </c>
    </row>
    <row r="2955" customFormat="false" ht="15" hidden="false" customHeight="false" outlineLevel="0" collapsed="false">
      <c r="B2955" s="48" t="n">
        <v>45992.3937847222</v>
      </c>
      <c r="C2955" s="4" t="n">
        <f aca="false">YEAR(B2955)</f>
        <v>2025</v>
      </c>
      <c r="D2955" s="49" t="s">
        <v>278</v>
      </c>
      <c r="E2955" s="49" t="s">
        <v>6151</v>
      </c>
      <c r="F2955" s="50" t="n">
        <v>1</v>
      </c>
      <c r="G2955" s="49" t="s">
        <v>280</v>
      </c>
      <c r="H2955" s="51" t="n">
        <v>0.7952</v>
      </c>
      <c r="I2955" s="51" t="n">
        <v>0.193</v>
      </c>
      <c r="J2955" s="51" t="n">
        <v>0.0117</v>
      </c>
      <c r="K2955" s="49" t="s">
        <v>281</v>
      </c>
      <c r="L2955" s="49"/>
      <c r="M2955" s="49"/>
      <c r="N2955" s="49"/>
      <c r="O2955" s="49"/>
      <c r="P2955" s="49"/>
      <c r="Q2955" s="49"/>
      <c r="R2955" s="49" t="s">
        <v>281</v>
      </c>
      <c r="S2955" s="49" t="n">
        <v>0</v>
      </c>
      <c r="T2955" s="49" t="n">
        <v>0</v>
      </c>
      <c r="U2955" s="49" t="s">
        <v>6152</v>
      </c>
    </row>
    <row r="2956" customFormat="false" ht="15" hidden="false" customHeight="false" outlineLevel="0" collapsed="false">
      <c r="B2956" s="48" t="n">
        <v>45993.0185300926</v>
      </c>
      <c r="C2956" s="4" t="n">
        <f aca="false">YEAR(B2956)</f>
        <v>2025</v>
      </c>
      <c r="D2956" s="49" t="s">
        <v>278</v>
      </c>
      <c r="E2956" s="49" t="s">
        <v>6153</v>
      </c>
      <c r="F2956" s="50" t="n">
        <v>0</v>
      </c>
      <c r="G2956" s="49" t="s">
        <v>287</v>
      </c>
      <c r="H2956" s="51" t="n">
        <v>0.0057</v>
      </c>
      <c r="I2956" s="51" t="n">
        <v>0.1186</v>
      </c>
      <c r="J2956" s="51" t="n">
        <v>0.8757</v>
      </c>
      <c r="K2956" s="49"/>
      <c r="L2956" s="49"/>
      <c r="M2956" s="49"/>
      <c r="N2956" s="49"/>
      <c r="O2956" s="49"/>
      <c r="P2956" s="49"/>
      <c r="Q2956" s="49"/>
      <c r="R2956" s="49"/>
      <c r="S2956" s="49" t="n">
        <v>0</v>
      </c>
      <c r="T2956" s="49" t="n">
        <v>0</v>
      </c>
      <c r="U2956" s="49" t="s">
        <v>6154</v>
      </c>
    </row>
    <row r="2957" customFormat="false" ht="15" hidden="false" customHeight="false" outlineLevel="0" collapsed="false">
      <c r="B2957" s="48" t="n">
        <v>45993.4023032407</v>
      </c>
      <c r="C2957" s="4" t="n">
        <f aca="false">YEAR(B2957)</f>
        <v>2025</v>
      </c>
      <c r="D2957" s="49" t="s">
        <v>278</v>
      </c>
      <c r="E2957" s="49" t="s">
        <v>6155</v>
      </c>
      <c r="F2957" s="50" t="n">
        <v>4</v>
      </c>
      <c r="G2957" s="49" t="s">
        <v>290</v>
      </c>
      <c r="H2957" s="51" t="n">
        <v>0.0817</v>
      </c>
      <c r="I2957" s="51" t="n">
        <v>0.8719</v>
      </c>
      <c r="J2957" s="51" t="n">
        <v>0.0464</v>
      </c>
      <c r="K2957" s="49"/>
      <c r="L2957" s="49"/>
      <c r="M2957" s="49"/>
      <c r="N2957" s="49"/>
      <c r="O2957" s="49"/>
      <c r="P2957" s="49"/>
      <c r="Q2957" s="49"/>
      <c r="R2957" s="49"/>
      <c r="S2957" s="49" t="n">
        <v>0</v>
      </c>
      <c r="T2957" s="49" t="n">
        <v>0</v>
      </c>
      <c r="U2957" s="49" t="s">
        <v>6156</v>
      </c>
    </row>
    <row r="2958" customFormat="false" ht="15" hidden="false" customHeight="false" outlineLevel="0" collapsed="false">
      <c r="B2958" s="48" t="n">
        <v>45993.9925</v>
      </c>
      <c r="C2958" s="4" t="n">
        <f aca="false">YEAR(B2958)</f>
        <v>2025</v>
      </c>
      <c r="D2958" s="49" t="s">
        <v>278</v>
      </c>
      <c r="E2958" s="49" t="s">
        <v>6157</v>
      </c>
      <c r="F2958" s="50" t="n">
        <v>0</v>
      </c>
      <c r="G2958" s="49" t="s">
        <v>290</v>
      </c>
      <c r="H2958" s="51" t="n">
        <v>0.4031</v>
      </c>
      <c r="I2958" s="51" t="n">
        <v>0.512</v>
      </c>
      <c r="J2958" s="51" t="n">
        <v>0.085</v>
      </c>
      <c r="K2958" s="49"/>
      <c r="L2958" s="49"/>
      <c r="M2958" s="49"/>
      <c r="N2958" s="49"/>
      <c r="O2958" s="49"/>
      <c r="P2958" s="49"/>
      <c r="Q2958" s="49"/>
      <c r="R2958" s="49"/>
      <c r="S2958" s="49" t="n">
        <v>0</v>
      </c>
      <c r="T2958" s="49" t="n">
        <v>0</v>
      </c>
      <c r="U2958" s="49" t="s">
        <v>6158</v>
      </c>
    </row>
    <row r="2959" customFormat="false" ht="15" hidden="false" customHeight="false" outlineLevel="0" collapsed="false">
      <c r="B2959" s="48" t="n">
        <v>45995.0464236111</v>
      </c>
      <c r="C2959" s="4" t="n">
        <f aca="false">YEAR(B2959)</f>
        <v>2025</v>
      </c>
      <c r="D2959" s="49" t="s">
        <v>278</v>
      </c>
      <c r="E2959" s="49" t="s">
        <v>6159</v>
      </c>
      <c r="F2959" s="50" t="n">
        <v>1</v>
      </c>
      <c r="G2959" s="49" t="s">
        <v>280</v>
      </c>
      <c r="H2959" s="51" t="n">
        <v>0.7437</v>
      </c>
      <c r="I2959" s="51" t="n">
        <v>0.2383</v>
      </c>
      <c r="J2959" s="51" t="n">
        <v>0.018</v>
      </c>
      <c r="K2959" s="49"/>
      <c r="L2959" s="49"/>
      <c r="M2959" s="49"/>
      <c r="N2959" s="49"/>
      <c r="O2959" s="49"/>
      <c r="P2959" s="49"/>
      <c r="Q2959" s="49"/>
      <c r="R2959" s="49"/>
      <c r="S2959" s="49" t="n">
        <v>0</v>
      </c>
      <c r="T2959" s="49" t="n">
        <v>0</v>
      </c>
      <c r="U2959" s="49" t="s">
        <v>6160</v>
      </c>
    </row>
    <row r="2960" customFormat="false" ht="15" hidden="false" customHeight="false" outlineLevel="0" collapsed="false">
      <c r="B2960" s="48" t="n">
        <v>45995.0532407407</v>
      </c>
      <c r="C2960" s="4" t="n">
        <f aca="false">YEAR(B2960)</f>
        <v>2025</v>
      </c>
      <c r="D2960" s="49" t="s">
        <v>278</v>
      </c>
      <c r="E2960" s="49" t="s">
        <v>6161</v>
      </c>
      <c r="F2960" s="50" t="n">
        <v>2</v>
      </c>
      <c r="G2960" s="49" t="s">
        <v>280</v>
      </c>
      <c r="H2960" s="51" t="n">
        <v>0.6888</v>
      </c>
      <c r="I2960" s="51" t="n">
        <v>0.2981</v>
      </c>
      <c r="J2960" s="51" t="n">
        <v>0.0131</v>
      </c>
      <c r="K2960" s="49"/>
      <c r="L2960" s="49"/>
      <c r="M2960" s="49"/>
      <c r="N2960" s="49"/>
      <c r="O2960" s="49"/>
      <c r="P2960" s="49"/>
      <c r="Q2960" s="49"/>
      <c r="R2960" s="49" t="s">
        <v>281</v>
      </c>
      <c r="S2960" s="49" t="n">
        <v>0</v>
      </c>
      <c r="T2960" s="49" t="n">
        <v>0</v>
      </c>
      <c r="U2960" s="49" t="s">
        <v>6162</v>
      </c>
    </row>
    <row r="2961" customFormat="false" ht="15" hidden="false" customHeight="false" outlineLevel="0" collapsed="false">
      <c r="B2961" s="48" t="n">
        <v>45995.2571759259</v>
      </c>
      <c r="C2961" s="4" t="n">
        <f aca="false">YEAR(B2961)</f>
        <v>2025</v>
      </c>
      <c r="D2961" s="49" t="s">
        <v>278</v>
      </c>
      <c r="E2961" s="49" t="s">
        <v>6163</v>
      </c>
      <c r="F2961" s="50" t="n">
        <v>0</v>
      </c>
      <c r="G2961" s="49" t="s">
        <v>290</v>
      </c>
      <c r="H2961" s="51" t="n">
        <v>0.4061</v>
      </c>
      <c r="I2961" s="51" t="n">
        <v>0.4533</v>
      </c>
      <c r="J2961" s="51" t="n">
        <v>0.1406</v>
      </c>
      <c r="K2961" s="49" t="s">
        <v>281</v>
      </c>
      <c r="L2961" s="49"/>
      <c r="M2961" s="49" t="s">
        <v>281</v>
      </c>
      <c r="N2961" s="49"/>
      <c r="O2961" s="49" t="s">
        <v>281</v>
      </c>
      <c r="P2961" s="49"/>
      <c r="Q2961" s="49" t="s">
        <v>281</v>
      </c>
      <c r="R2961" s="49"/>
      <c r="S2961" s="49" t="n">
        <v>0</v>
      </c>
      <c r="T2961" s="49" t="n">
        <v>0</v>
      </c>
      <c r="U2961" s="49" t="s">
        <v>6164</v>
      </c>
    </row>
    <row r="2962" customFormat="false" ht="15" hidden="false" customHeight="false" outlineLevel="0" collapsed="false">
      <c r="B2962" s="48" t="n">
        <v>45996.7642824074</v>
      </c>
      <c r="C2962" s="4" t="n">
        <f aca="false">YEAR(B2962)</f>
        <v>2025</v>
      </c>
      <c r="D2962" s="49" t="s">
        <v>278</v>
      </c>
      <c r="E2962" s="49" t="s">
        <v>6165</v>
      </c>
      <c r="F2962" s="50" t="n">
        <v>3</v>
      </c>
      <c r="G2962" s="49" t="s">
        <v>280</v>
      </c>
      <c r="H2962" s="51" t="n">
        <v>0.8397</v>
      </c>
      <c r="I2962" s="51" t="n">
        <v>0.1497</v>
      </c>
      <c r="J2962" s="51" t="n">
        <v>0.0106</v>
      </c>
      <c r="K2962" s="49"/>
      <c r="L2962" s="49" t="s">
        <v>281</v>
      </c>
      <c r="M2962" s="49" t="s">
        <v>281</v>
      </c>
      <c r="N2962" s="49"/>
      <c r="O2962" s="49"/>
      <c r="P2962" s="49"/>
      <c r="Q2962" s="49"/>
      <c r="R2962" s="49"/>
      <c r="S2962" s="49" t="n">
        <v>0</v>
      </c>
      <c r="T2962" s="49" t="n">
        <v>0</v>
      </c>
      <c r="U2962" s="49" t="s">
        <v>6166</v>
      </c>
    </row>
    <row r="2963" customFormat="false" ht="15" hidden="false" customHeight="false" outlineLevel="0" collapsed="false">
      <c r="B2963" s="48" t="n">
        <v>45997.9341319444</v>
      </c>
      <c r="C2963" s="4" t="n">
        <f aca="false">YEAR(B2963)</f>
        <v>2025</v>
      </c>
      <c r="D2963" s="49" t="s">
        <v>278</v>
      </c>
      <c r="E2963" s="49" t="s">
        <v>6167</v>
      </c>
      <c r="F2963" s="50" t="n">
        <v>1</v>
      </c>
      <c r="G2963" s="49" t="s">
        <v>280</v>
      </c>
      <c r="H2963" s="51" t="n">
        <v>0.798</v>
      </c>
      <c r="I2963" s="51" t="n">
        <v>0.1821</v>
      </c>
      <c r="J2963" s="51" t="n">
        <v>0.0198</v>
      </c>
      <c r="K2963" s="49"/>
      <c r="L2963" s="49"/>
      <c r="M2963" s="49"/>
      <c r="N2963" s="49"/>
      <c r="O2963" s="49"/>
      <c r="P2963" s="49"/>
      <c r="Q2963" s="49"/>
      <c r="R2963" s="49"/>
      <c r="S2963" s="49" t="n">
        <v>0</v>
      </c>
      <c r="T2963" s="49" t="n">
        <v>0</v>
      </c>
      <c r="U2963" s="49" t="s">
        <v>6168</v>
      </c>
    </row>
    <row r="2964" customFormat="false" ht="15" hidden="false" customHeight="false" outlineLevel="0" collapsed="false">
      <c r="B2964" s="48" t="n">
        <v>45998.1385648148</v>
      </c>
      <c r="C2964" s="4" t="n">
        <f aca="false">YEAR(B2964)</f>
        <v>2025</v>
      </c>
      <c r="D2964" s="49" t="s">
        <v>283</v>
      </c>
      <c r="E2964" s="49" t="s">
        <v>6169</v>
      </c>
      <c r="F2964" s="50" t="n">
        <v>1</v>
      </c>
      <c r="G2964" s="49" t="s">
        <v>290</v>
      </c>
      <c r="H2964" s="51" t="n">
        <v>0.0039</v>
      </c>
      <c r="I2964" s="51" t="n">
        <v>0.5534</v>
      </c>
      <c r="J2964" s="51" t="n">
        <v>0.4426</v>
      </c>
      <c r="K2964" s="49"/>
      <c r="L2964" s="49"/>
      <c r="M2964" s="49"/>
      <c r="N2964" s="49"/>
      <c r="O2964" s="49"/>
      <c r="P2964" s="49"/>
      <c r="Q2964" s="49"/>
      <c r="R2964" s="49"/>
      <c r="S2964" s="49" t="n">
        <v>0</v>
      </c>
      <c r="T2964" s="49" t="n">
        <v>0</v>
      </c>
      <c r="U2964" s="49" t="s">
        <v>6170</v>
      </c>
    </row>
    <row r="2965" customFormat="false" ht="15" hidden="false" customHeight="false" outlineLevel="0" collapsed="false">
      <c r="B2965" s="48" t="n">
        <v>45998.1544675926</v>
      </c>
      <c r="C2965" s="4" t="n">
        <f aca="false">YEAR(B2965)</f>
        <v>2025</v>
      </c>
      <c r="D2965" s="49" t="s">
        <v>283</v>
      </c>
      <c r="E2965" s="49" t="s">
        <v>6171</v>
      </c>
      <c r="F2965" s="50" t="n">
        <v>1</v>
      </c>
      <c r="G2965" s="49" t="s">
        <v>290</v>
      </c>
      <c r="H2965" s="51" t="n">
        <v>0.0155</v>
      </c>
      <c r="I2965" s="51" t="n">
        <v>0.8276</v>
      </c>
      <c r="J2965" s="51" t="n">
        <v>0.157</v>
      </c>
      <c r="K2965" s="49"/>
      <c r="L2965" s="49"/>
      <c r="M2965" s="49"/>
      <c r="N2965" s="49"/>
      <c r="O2965" s="49"/>
      <c r="P2965" s="49"/>
      <c r="Q2965" s="49"/>
      <c r="R2965" s="49"/>
      <c r="S2965" s="49" t="n">
        <v>0</v>
      </c>
      <c r="T2965" s="49" t="n">
        <v>0</v>
      </c>
      <c r="U2965" s="49" t="s">
        <v>6172</v>
      </c>
    </row>
    <row r="2966" customFormat="false" ht="15" hidden="false" customHeight="false" outlineLevel="0" collapsed="false">
      <c r="B2966" s="48" t="n">
        <v>45999.1914351852</v>
      </c>
      <c r="C2966" s="4" t="n">
        <f aca="false">YEAR(B2966)</f>
        <v>2025</v>
      </c>
      <c r="D2966" s="49" t="s">
        <v>278</v>
      </c>
      <c r="E2966" s="49" t="s">
        <v>6173</v>
      </c>
      <c r="F2966" s="50" t="n">
        <v>39</v>
      </c>
      <c r="G2966" s="49" t="s">
        <v>280</v>
      </c>
      <c r="H2966" s="51" t="n">
        <v>0.9007</v>
      </c>
      <c r="I2966" s="51" t="n">
        <v>0.0917</v>
      </c>
      <c r="J2966" s="51" t="n">
        <v>0.0076</v>
      </c>
      <c r="K2966" s="49"/>
      <c r="L2966" s="49"/>
      <c r="M2966" s="49" t="s">
        <v>281</v>
      </c>
      <c r="N2966" s="49"/>
      <c r="O2966" s="49"/>
      <c r="P2966" s="49"/>
      <c r="Q2966" s="49" t="s">
        <v>281</v>
      </c>
      <c r="R2966" s="49"/>
      <c r="S2966" s="49" t="n">
        <v>0</v>
      </c>
      <c r="T2966" s="49" t="n">
        <v>0</v>
      </c>
      <c r="U2966" s="49" t="s">
        <v>6174</v>
      </c>
    </row>
    <row r="2967" customFormat="false" ht="15" hidden="false" customHeight="false" outlineLevel="0" collapsed="false">
      <c r="B2967" s="48" t="n">
        <v>45999.6847800926</v>
      </c>
      <c r="C2967" s="4" t="n">
        <f aca="false">YEAR(B2967)</f>
        <v>2025</v>
      </c>
      <c r="D2967" s="49" t="s">
        <v>278</v>
      </c>
      <c r="E2967" s="49" t="s">
        <v>6175</v>
      </c>
      <c r="F2967" s="50" t="n">
        <v>203</v>
      </c>
      <c r="G2967" s="49" t="s">
        <v>290</v>
      </c>
      <c r="H2967" s="51" t="n">
        <v>0.3415</v>
      </c>
      <c r="I2967" s="51" t="n">
        <v>0.5579</v>
      </c>
      <c r="J2967" s="51" t="n">
        <v>0.1006</v>
      </c>
      <c r="K2967" s="49"/>
      <c r="L2967" s="49"/>
      <c r="M2967" s="49"/>
      <c r="N2967" s="49"/>
      <c r="O2967" s="49"/>
      <c r="P2967" s="49"/>
      <c r="Q2967" s="49" t="s">
        <v>281</v>
      </c>
      <c r="R2967" s="49"/>
      <c r="S2967" s="49" t="n">
        <v>0</v>
      </c>
      <c r="T2967" s="49" t="n">
        <v>0</v>
      </c>
      <c r="U2967" s="49" t="s">
        <v>6176</v>
      </c>
    </row>
    <row r="2968" customFormat="false" ht="15" hidden="false" customHeight="false" outlineLevel="0" collapsed="false">
      <c r="B2968" s="48" t="n">
        <v>45999.8951157407</v>
      </c>
      <c r="C2968" s="4" t="n">
        <f aca="false">YEAR(B2968)</f>
        <v>2025</v>
      </c>
      <c r="D2968" s="49" t="s">
        <v>283</v>
      </c>
      <c r="E2968" s="49" t="s">
        <v>6177</v>
      </c>
      <c r="F2968" s="50" t="n">
        <v>1</v>
      </c>
      <c r="G2968" s="49" t="s">
        <v>287</v>
      </c>
      <c r="H2968" s="51" t="n">
        <v>0.0026</v>
      </c>
      <c r="I2968" s="51" t="n">
        <v>0.0835</v>
      </c>
      <c r="J2968" s="51" t="n">
        <v>0.914</v>
      </c>
      <c r="K2968" s="49"/>
      <c r="L2968" s="49"/>
      <c r="M2968" s="49"/>
      <c r="N2968" s="49"/>
      <c r="O2968" s="49"/>
      <c r="P2968" s="49"/>
      <c r="Q2968" s="49"/>
      <c r="R2968" s="49"/>
      <c r="S2968" s="49" t="n">
        <v>0</v>
      </c>
      <c r="T2968" s="49" t="n">
        <v>0</v>
      </c>
      <c r="U2968" s="49" t="s">
        <v>6178</v>
      </c>
    </row>
    <row r="2969" customFormat="false" ht="15" hidden="false" customHeight="false" outlineLevel="0" collapsed="false">
      <c r="B2969" s="48" t="n">
        <v>46000.8366666667</v>
      </c>
      <c r="C2969" s="4" t="n">
        <f aca="false">YEAR(B2969)</f>
        <v>2025</v>
      </c>
      <c r="D2969" s="49" t="s">
        <v>278</v>
      </c>
      <c r="E2969" s="49" t="s">
        <v>6179</v>
      </c>
      <c r="F2969" s="50" t="n">
        <v>1</v>
      </c>
      <c r="G2969" s="49" t="s">
        <v>280</v>
      </c>
      <c r="H2969" s="51" t="n">
        <v>0.5412</v>
      </c>
      <c r="I2969" s="51" t="n">
        <v>0.3819</v>
      </c>
      <c r="J2969" s="51" t="n">
        <v>0.0769</v>
      </c>
      <c r="K2969" s="49" t="s">
        <v>281</v>
      </c>
      <c r="L2969" s="49"/>
      <c r="M2969" s="49"/>
      <c r="N2969" s="49"/>
      <c r="O2969" s="49"/>
      <c r="P2969" s="49"/>
      <c r="Q2969" s="49"/>
      <c r="R2969" s="49" t="s">
        <v>281</v>
      </c>
      <c r="S2969" s="49" t="n">
        <v>0</v>
      </c>
      <c r="T2969" s="49" t="n">
        <v>0</v>
      </c>
      <c r="U2969" s="49" t="s">
        <v>6180</v>
      </c>
    </row>
    <row r="2970" customFormat="false" ht="15" hidden="false" customHeight="false" outlineLevel="0" collapsed="false">
      <c r="B2970" s="48" t="n">
        <v>46001.6530555556</v>
      </c>
      <c r="C2970" s="4" t="n">
        <f aca="false">YEAR(B2970)</f>
        <v>2025</v>
      </c>
      <c r="D2970" s="49" t="s">
        <v>278</v>
      </c>
      <c r="E2970" s="49" t="s">
        <v>6181</v>
      </c>
      <c r="F2970" s="50" t="n">
        <v>0</v>
      </c>
      <c r="G2970" s="49" t="s">
        <v>280</v>
      </c>
      <c r="H2970" s="51" t="n">
        <v>0.8762</v>
      </c>
      <c r="I2970" s="51" t="n">
        <v>0.1148</v>
      </c>
      <c r="J2970" s="51" t="n">
        <v>0.009</v>
      </c>
      <c r="K2970" s="49"/>
      <c r="L2970" s="49" t="s">
        <v>281</v>
      </c>
      <c r="M2970" s="49"/>
      <c r="N2970" s="49"/>
      <c r="O2970" s="49"/>
      <c r="P2970" s="49"/>
      <c r="Q2970" s="49"/>
      <c r="R2970" s="49"/>
      <c r="S2970" s="49" t="n">
        <v>0</v>
      </c>
      <c r="T2970" s="49" t="n">
        <v>0</v>
      </c>
      <c r="U2970" s="49" t="s">
        <v>6182</v>
      </c>
    </row>
    <row r="2971" customFormat="false" ht="15" hidden="false" customHeight="false" outlineLevel="0" collapsed="false">
      <c r="B2971" s="48" t="n">
        <v>46002.231087963</v>
      </c>
      <c r="C2971" s="4" t="n">
        <f aca="false">YEAR(B2971)</f>
        <v>2025</v>
      </c>
      <c r="D2971" s="49" t="s">
        <v>283</v>
      </c>
      <c r="E2971" s="49" t="s">
        <v>6183</v>
      </c>
      <c r="F2971" s="50" t="n">
        <v>1</v>
      </c>
      <c r="G2971" s="49" t="s">
        <v>290</v>
      </c>
      <c r="H2971" s="51" t="n">
        <v>0.0458</v>
      </c>
      <c r="I2971" s="51" t="n">
        <v>0.5101</v>
      </c>
      <c r="J2971" s="51" t="n">
        <v>0.4442</v>
      </c>
      <c r="K2971" s="49"/>
      <c r="L2971" s="49"/>
      <c r="M2971" s="49"/>
      <c r="N2971" s="49"/>
      <c r="O2971" s="49"/>
      <c r="P2971" s="49"/>
      <c r="Q2971" s="49"/>
      <c r="R2971" s="49"/>
      <c r="S2971" s="49" t="n">
        <v>0</v>
      </c>
      <c r="T2971" s="49" t="n">
        <v>0</v>
      </c>
      <c r="U2971" s="49" t="s">
        <v>6184</v>
      </c>
    </row>
    <row r="2972" customFormat="false" ht="15" hidden="false" customHeight="false" outlineLevel="0" collapsed="false">
      <c r="B2972" s="48" t="n">
        <v>46002.4809143519</v>
      </c>
      <c r="C2972" s="4" t="n">
        <f aca="false">YEAR(B2972)</f>
        <v>2025</v>
      </c>
      <c r="D2972" s="49" t="s">
        <v>283</v>
      </c>
      <c r="E2972" s="49" t="s">
        <v>6185</v>
      </c>
      <c r="F2972" s="50" t="n">
        <v>25</v>
      </c>
      <c r="G2972" s="49" t="s">
        <v>287</v>
      </c>
      <c r="H2972" s="51" t="n">
        <v>0.0038</v>
      </c>
      <c r="I2972" s="51" t="n">
        <v>0.0566</v>
      </c>
      <c r="J2972" s="51" t="n">
        <v>0.9396</v>
      </c>
      <c r="K2972" s="49"/>
      <c r="L2972" s="49"/>
      <c r="M2972" s="49"/>
      <c r="N2972" s="49"/>
      <c r="O2972" s="49"/>
      <c r="P2972" s="49" t="s">
        <v>281</v>
      </c>
      <c r="Q2972" s="49"/>
      <c r="R2972" s="49"/>
      <c r="S2972" s="49" t="n">
        <v>0</v>
      </c>
      <c r="T2972" s="49" t="n">
        <v>0</v>
      </c>
      <c r="U2972" s="49" t="s">
        <v>6186</v>
      </c>
    </row>
    <row r="2973" customFormat="false" ht="15" hidden="false" customHeight="false" outlineLevel="0" collapsed="false">
      <c r="B2973" s="48" t="n">
        <v>46003.1410416667</v>
      </c>
      <c r="C2973" s="4" t="n">
        <f aca="false">YEAR(B2973)</f>
        <v>2025</v>
      </c>
      <c r="D2973" s="49" t="s">
        <v>278</v>
      </c>
      <c r="E2973" s="49" t="s">
        <v>6187</v>
      </c>
      <c r="F2973" s="50" t="n">
        <v>5</v>
      </c>
      <c r="G2973" s="49" t="s">
        <v>280</v>
      </c>
      <c r="H2973" s="51" t="n">
        <v>0.8666</v>
      </c>
      <c r="I2973" s="51" t="n">
        <v>0.1219</v>
      </c>
      <c r="J2973" s="51" t="n">
        <v>0.0115</v>
      </c>
      <c r="K2973" s="49"/>
      <c r="L2973" s="49"/>
      <c r="M2973" s="49"/>
      <c r="N2973" s="49"/>
      <c r="O2973" s="49"/>
      <c r="P2973" s="49"/>
      <c r="Q2973" s="49" t="s">
        <v>281</v>
      </c>
      <c r="R2973" s="49"/>
      <c r="S2973" s="49" t="n">
        <v>0</v>
      </c>
      <c r="T2973" s="49" t="n">
        <v>0</v>
      </c>
      <c r="U2973" s="49" t="s">
        <v>6188</v>
      </c>
    </row>
    <row r="2974" customFormat="false" ht="15" hidden="false" customHeight="false" outlineLevel="0" collapsed="false">
      <c r="B2974" s="48" t="n">
        <v>46003.1897569444</v>
      </c>
      <c r="C2974" s="4" t="n">
        <f aca="false">YEAR(B2974)</f>
        <v>2025</v>
      </c>
      <c r="D2974" s="49" t="s">
        <v>278</v>
      </c>
      <c r="E2974" s="49" t="s">
        <v>6189</v>
      </c>
      <c r="F2974" s="50" t="n">
        <v>0</v>
      </c>
      <c r="G2974" s="49" t="s">
        <v>290</v>
      </c>
      <c r="H2974" s="51" t="n">
        <v>0.0423</v>
      </c>
      <c r="I2974" s="51" t="n">
        <v>0.8358</v>
      </c>
      <c r="J2974" s="51" t="n">
        <v>0.1219</v>
      </c>
      <c r="K2974" s="49"/>
      <c r="L2974" s="49"/>
      <c r="M2974" s="49"/>
      <c r="N2974" s="49"/>
      <c r="O2974" s="49"/>
      <c r="P2974" s="49"/>
      <c r="Q2974" s="49"/>
      <c r="R2974" s="49"/>
      <c r="S2974" s="49" t="n">
        <v>0</v>
      </c>
      <c r="T2974" s="49" t="n">
        <v>0</v>
      </c>
      <c r="U2974" s="49" t="s">
        <v>6190</v>
      </c>
    </row>
    <row r="2975" customFormat="false" ht="15" hidden="false" customHeight="false" outlineLevel="0" collapsed="false">
      <c r="B2975" s="48" t="n">
        <v>46004.0943981482</v>
      </c>
      <c r="C2975" s="4" t="n">
        <f aca="false">YEAR(B2975)</f>
        <v>2025</v>
      </c>
      <c r="D2975" s="49" t="s">
        <v>283</v>
      </c>
      <c r="E2975" s="49" t="s">
        <v>6191</v>
      </c>
      <c r="F2975" s="50" t="n">
        <v>0</v>
      </c>
      <c r="G2975" s="49" t="s">
        <v>290</v>
      </c>
      <c r="H2975" s="51" t="n">
        <v>0.0093</v>
      </c>
      <c r="I2975" s="51" t="n">
        <v>0.5056</v>
      </c>
      <c r="J2975" s="51" t="n">
        <v>0.4851</v>
      </c>
      <c r="K2975" s="49"/>
      <c r="L2975" s="49"/>
      <c r="M2975" s="49"/>
      <c r="N2975" s="49"/>
      <c r="O2975" s="49"/>
      <c r="P2975" s="49"/>
      <c r="Q2975" s="49"/>
      <c r="R2975" s="49"/>
      <c r="S2975" s="49" t="n">
        <v>0</v>
      </c>
      <c r="T2975" s="49" t="n">
        <v>0</v>
      </c>
      <c r="U2975" s="49" t="s">
        <v>6192</v>
      </c>
    </row>
    <row r="2976" customFormat="false" ht="15" hidden="false" customHeight="false" outlineLevel="0" collapsed="false">
      <c r="B2976" s="48" t="n">
        <v>46004.1966550926</v>
      </c>
      <c r="C2976" s="4" t="n">
        <f aca="false">YEAR(B2976)</f>
        <v>2025</v>
      </c>
      <c r="D2976" s="49" t="s">
        <v>278</v>
      </c>
      <c r="E2976" s="49" t="s">
        <v>6193</v>
      </c>
      <c r="F2976" s="50" t="n">
        <v>6</v>
      </c>
      <c r="G2976" s="49" t="s">
        <v>280</v>
      </c>
      <c r="H2976" s="51" t="n">
        <v>0.7511</v>
      </c>
      <c r="I2976" s="51" t="n">
        <v>0.1942</v>
      </c>
      <c r="J2976" s="51" t="n">
        <v>0.0547</v>
      </c>
      <c r="K2976" s="49"/>
      <c r="L2976" s="49"/>
      <c r="M2976" s="49"/>
      <c r="N2976" s="49"/>
      <c r="O2976" s="49"/>
      <c r="P2976" s="49"/>
      <c r="Q2976" s="49"/>
      <c r="R2976" s="49"/>
      <c r="S2976" s="49" t="n">
        <v>0</v>
      </c>
      <c r="T2976" s="49" t="n">
        <v>0</v>
      </c>
      <c r="U2976" s="49" t="s">
        <v>6194</v>
      </c>
    </row>
    <row r="2977" customFormat="false" ht="15" hidden="false" customHeight="false" outlineLevel="0" collapsed="false">
      <c r="B2977" s="48" t="n">
        <v>46004.6708680556</v>
      </c>
      <c r="C2977" s="4" t="n">
        <f aca="false">YEAR(B2977)</f>
        <v>2025</v>
      </c>
      <c r="D2977" s="49" t="s">
        <v>278</v>
      </c>
      <c r="E2977" s="49" t="s">
        <v>6195</v>
      </c>
      <c r="F2977" s="50" t="n">
        <v>0</v>
      </c>
      <c r="G2977" s="49" t="s">
        <v>280</v>
      </c>
      <c r="H2977" s="51" t="n">
        <v>0.8092</v>
      </c>
      <c r="I2977" s="51" t="n">
        <v>0.1789</v>
      </c>
      <c r="J2977" s="51" t="n">
        <v>0.0119</v>
      </c>
      <c r="K2977" s="49"/>
      <c r="L2977" s="49"/>
      <c r="M2977" s="49"/>
      <c r="N2977" s="49"/>
      <c r="O2977" s="49"/>
      <c r="P2977" s="49"/>
      <c r="Q2977" s="49"/>
      <c r="R2977" s="49"/>
      <c r="S2977" s="49" t="n">
        <v>0</v>
      </c>
      <c r="T2977" s="49" t="n">
        <v>0</v>
      </c>
      <c r="U2977" s="49" t="s">
        <v>6196</v>
      </c>
    </row>
    <row r="2978" customFormat="false" ht="15" hidden="false" customHeight="false" outlineLevel="0" collapsed="false">
      <c r="B2978" s="48" t="n">
        <v>46005.5419675926</v>
      </c>
      <c r="C2978" s="4" t="n">
        <f aca="false">YEAR(B2978)</f>
        <v>2025</v>
      </c>
      <c r="D2978" s="49" t="s">
        <v>278</v>
      </c>
      <c r="E2978" s="49" t="s">
        <v>6197</v>
      </c>
      <c r="F2978" s="50" t="n">
        <v>1</v>
      </c>
      <c r="G2978" s="49" t="s">
        <v>290</v>
      </c>
      <c r="H2978" s="51" t="n">
        <v>0.126</v>
      </c>
      <c r="I2978" s="51" t="n">
        <v>0.5812</v>
      </c>
      <c r="J2978" s="51" t="n">
        <v>0.2928</v>
      </c>
      <c r="K2978" s="49"/>
      <c r="L2978" s="49"/>
      <c r="M2978" s="49"/>
      <c r="N2978" s="49"/>
      <c r="O2978" s="49"/>
      <c r="P2978" s="49"/>
      <c r="Q2978" s="49"/>
      <c r="R2978" s="49"/>
      <c r="S2978" s="49" t="n">
        <v>0</v>
      </c>
      <c r="T2978" s="49" t="n">
        <v>0</v>
      </c>
      <c r="U2978" s="49" t="s">
        <v>6198</v>
      </c>
    </row>
    <row r="2979" customFormat="false" ht="15" hidden="false" customHeight="false" outlineLevel="0" collapsed="false">
      <c r="B2979" s="48" t="n">
        <v>46005.688287037</v>
      </c>
      <c r="C2979" s="4" t="n">
        <f aca="false">YEAR(B2979)</f>
        <v>2025</v>
      </c>
      <c r="D2979" s="49" t="s">
        <v>278</v>
      </c>
      <c r="E2979" s="49" t="s">
        <v>6199</v>
      </c>
      <c r="F2979" s="50" t="n">
        <v>1</v>
      </c>
      <c r="G2979" s="49" t="s">
        <v>290</v>
      </c>
      <c r="H2979" s="51" t="n">
        <v>0.396</v>
      </c>
      <c r="I2979" s="51" t="n">
        <v>0.5179</v>
      </c>
      <c r="J2979" s="51" t="n">
        <v>0.0862</v>
      </c>
      <c r="K2979" s="49" t="s">
        <v>281</v>
      </c>
      <c r="L2979" s="49"/>
      <c r="M2979" s="49"/>
      <c r="N2979" s="49"/>
      <c r="O2979" s="49"/>
      <c r="P2979" s="49"/>
      <c r="Q2979" s="49"/>
      <c r="R2979" s="49"/>
      <c r="S2979" s="49" t="n">
        <v>0</v>
      </c>
      <c r="T2979" s="49" t="n">
        <v>0</v>
      </c>
      <c r="U2979" s="49" t="s">
        <v>6200</v>
      </c>
    </row>
    <row r="2980" customFormat="false" ht="15" hidden="false" customHeight="false" outlineLevel="0" collapsed="false">
      <c r="B2980" s="48" t="n">
        <v>46005.7544907407</v>
      </c>
      <c r="C2980" s="4" t="n">
        <f aca="false">YEAR(B2980)</f>
        <v>2025</v>
      </c>
      <c r="D2980" s="49" t="s">
        <v>278</v>
      </c>
      <c r="E2980" s="49" t="s">
        <v>6201</v>
      </c>
      <c r="F2980" s="50" t="n">
        <v>2</v>
      </c>
      <c r="G2980" s="49" t="s">
        <v>280</v>
      </c>
      <c r="H2980" s="51" t="n">
        <v>0.9485</v>
      </c>
      <c r="I2980" s="51" t="n">
        <v>0.047</v>
      </c>
      <c r="J2980" s="51" t="n">
        <v>0.0045</v>
      </c>
      <c r="K2980" s="49"/>
      <c r="L2980" s="49"/>
      <c r="M2980" s="49"/>
      <c r="N2980" s="49"/>
      <c r="O2980" s="49"/>
      <c r="P2980" s="49"/>
      <c r="Q2980" s="49"/>
      <c r="R2980" s="49"/>
      <c r="S2980" s="49" t="n">
        <v>0</v>
      </c>
      <c r="T2980" s="49" t="n">
        <v>0</v>
      </c>
      <c r="U2980" s="49" t="s">
        <v>6202</v>
      </c>
    </row>
    <row r="2981" customFormat="false" ht="15" hidden="false" customHeight="false" outlineLevel="0" collapsed="false">
      <c r="B2981" s="48" t="n">
        <v>46006.1610185185</v>
      </c>
      <c r="C2981" s="4" t="n">
        <f aca="false">YEAR(B2981)</f>
        <v>2025</v>
      </c>
      <c r="D2981" s="49" t="s">
        <v>283</v>
      </c>
      <c r="E2981" s="49" t="s">
        <v>6203</v>
      </c>
      <c r="F2981" s="50" t="n">
        <v>33</v>
      </c>
      <c r="G2981" s="49" t="s">
        <v>287</v>
      </c>
      <c r="H2981" s="51" t="n">
        <v>0.0046</v>
      </c>
      <c r="I2981" s="51" t="n">
        <v>0.0926</v>
      </c>
      <c r="J2981" s="51" t="n">
        <v>0.9028</v>
      </c>
      <c r="K2981" s="49"/>
      <c r="L2981" s="49"/>
      <c r="M2981" s="49"/>
      <c r="N2981" s="49"/>
      <c r="O2981" s="49"/>
      <c r="P2981" s="49"/>
      <c r="Q2981" s="49"/>
      <c r="R2981" s="49"/>
      <c r="S2981" s="49" t="n">
        <v>0</v>
      </c>
      <c r="T2981" s="49" t="n">
        <v>0</v>
      </c>
      <c r="U2981" s="49" t="s">
        <v>6204</v>
      </c>
    </row>
    <row r="2982" customFormat="false" ht="15" hidden="false" customHeight="false" outlineLevel="0" collapsed="false">
      <c r="B2982" s="48" t="n">
        <v>46006.7480671296</v>
      </c>
      <c r="C2982" s="4" t="n">
        <f aca="false">YEAR(B2982)</f>
        <v>2025</v>
      </c>
      <c r="D2982" s="49" t="s">
        <v>278</v>
      </c>
      <c r="E2982" s="49" t="s">
        <v>6205</v>
      </c>
      <c r="F2982" s="50" t="n">
        <v>3</v>
      </c>
      <c r="G2982" s="49" t="s">
        <v>280</v>
      </c>
      <c r="H2982" s="51" t="n">
        <v>0.8819</v>
      </c>
      <c r="I2982" s="51" t="n">
        <v>0.1088</v>
      </c>
      <c r="J2982" s="51" t="n">
        <v>0.0093</v>
      </c>
      <c r="K2982" s="49"/>
      <c r="L2982" s="49"/>
      <c r="M2982" s="49"/>
      <c r="N2982" s="49"/>
      <c r="O2982" s="49"/>
      <c r="P2982" s="49"/>
      <c r="Q2982" s="49"/>
      <c r="R2982" s="49" t="s">
        <v>281</v>
      </c>
      <c r="S2982" s="49" t="n">
        <v>0</v>
      </c>
      <c r="T2982" s="49" t="n">
        <v>0</v>
      </c>
      <c r="U2982" s="49" t="s">
        <v>6206</v>
      </c>
    </row>
    <row r="2983" customFormat="false" ht="15" hidden="false" customHeight="false" outlineLevel="0" collapsed="false">
      <c r="B2983" s="48" t="n">
        <v>46006.852337963</v>
      </c>
      <c r="C2983" s="4" t="n">
        <f aca="false">YEAR(B2983)</f>
        <v>2025</v>
      </c>
      <c r="D2983" s="49" t="s">
        <v>283</v>
      </c>
      <c r="E2983" s="49" t="s">
        <v>6207</v>
      </c>
      <c r="F2983" s="50" t="n">
        <v>1</v>
      </c>
      <c r="G2983" s="49" t="s">
        <v>287</v>
      </c>
      <c r="H2983" s="51" t="n">
        <v>0.0031</v>
      </c>
      <c r="I2983" s="51" t="n">
        <v>0.3161</v>
      </c>
      <c r="J2983" s="51" t="n">
        <v>0.6808</v>
      </c>
      <c r="K2983" s="49"/>
      <c r="L2983" s="49"/>
      <c r="M2983" s="49"/>
      <c r="N2983" s="49"/>
      <c r="O2983" s="49"/>
      <c r="P2983" s="49"/>
      <c r="Q2983" s="49"/>
      <c r="R2983" s="49"/>
      <c r="S2983" s="49" t="n">
        <v>0</v>
      </c>
      <c r="T2983" s="49" t="n">
        <v>0</v>
      </c>
      <c r="U2983" s="49" t="s">
        <v>6208</v>
      </c>
    </row>
    <row r="2984" customFormat="false" ht="15" hidden="false" customHeight="false" outlineLevel="0" collapsed="false">
      <c r="B2984" s="48" t="n">
        <v>46007.8051967593</v>
      </c>
      <c r="C2984" s="4" t="n">
        <f aca="false">YEAR(B2984)</f>
        <v>2025</v>
      </c>
      <c r="D2984" s="49" t="s">
        <v>283</v>
      </c>
      <c r="E2984" s="49" t="s">
        <v>6209</v>
      </c>
      <c r="F2984" s="50" t="n">
        <v>1</v>
      </c>
      <c r="G2984" s="49" t="s">
        <v>290</v>
      </c>
      <c r="H2984" s="51" t="n">
        <v>0.022</v>
      </c>
      <c r="I2984" s="51" t="n">
        <v>0.8063</v>
      </c>
      <c r="J2984" s="51" t="n">
        <v>0.1717</v>
      </c>
      <c r="K2984" s="49"/>
      <c r="L2984" s="49"/>
      <c r="M2984" s="49"/>
      <c r="N2984" s="49"/>
      <c r="O2984" s="49"/>
      <c r="P2984" s="49"/>
      <c r="Q2984" s="49"/>
      <c r="R2984" s="49"/>
      <c r="S2984" s="49" t="n">
        <v>0</v>
      </c>
      <c r="T2984" s="49" t="n">
        <v>0</v>
      </c>
      <c r="U2984" s="49" t="s">
        <v>6210</v>
      </c>
    </row>
    <row r="2985" customFormat="false" ht="15" hidden="false" customHeight="false" outlineLevel="0" collapsed="false">
      <c r="B2985" s="48" t="n">
        <v>46007.8361689815</v>
      </c>
      <c r="C2985" s="4" t="n">
        <f aca="false">YEAR(B2985)</f>
        <v>2025</v>
      </c>
      <c r="D2985" s="49" t="s">
        <v>278</v>
      </c>
      <c r="E2985" s="49" t="s">
        <v>6211</v>
      </c>
      <c r="F2985" s="50" t="n">
        <v>1</v>
      </c>
      <c r="G2985" s="49" t="s">
        <v>280</v>
      </c>
      <c r="H2985" s="51" t="n">
        <v>0.5468</v>
      </c>
      <c r="I2985" s="51" t="n">
        <v>0.4283</v>
      </c>
      <c r="J2985" s="51" t="n">
        <v>0.0248</v>
      </c>
      <c r="K2985" s="49"/>
      <c r="L2985" s="49"/>
      <c r="M2985" s="49"/>
      <c r="N2985" s="49"/>
      <c r="O2985" s="49"/>
      <c r="P2985" s="49"/>
      <c r="Q2985" s="49"/>
      <c r="R2985" s="49"/>
      <c r="S2985" s="49" t="n">
        <v>0</v>
      </c>
      <c r="T2985" s="49" t="n">
        <v>0</v>
      </c>
      <c r="U2985" s="49" t="s">
        <v>6212</v>
      </c>
    </row>
    <row r="2986" customFormat="false" ht="15" hidden="false" customHeight="false" outlineLevel="0" collapsed="false">
      <c r="B2986" s="48" t="n">
        <v>46008.1637731482</v>
      </c>
      <c r="C2986" s="4" t="n">
        <f aca="false">YEAR(B2986)</f>
        <v>2025</v>
      </c>
      <c r="D2986" s="49" t="s">
        <v>278</v>
      </c>
      <c r="E2986" s="49" t="s">
        <v>6213</v>
      </c>
      <c r="F2986" s="50" t="n">
        <v>19</v>
      </c>
      <c r="G2986" s="49" t="s">
        <v>280</v>
      </c>
      <c r="H2986" s="51" t="n">
        <v>0.7662</v>
      </c>
      <c r="I2986" s="51" t="n">
        <v>0.2187</v>
      </c>
      <c r="J2986" s="51" t="n">
        <v>0.0151</v>
      </c>
      <c r="K2986" s="49" t="s">
        <v>281</v>
      </c>
      <c r="L2986" s="49"/>
      <c r="M2986" s="49"/>
      <c r="N2986" s="49"/>
      <c r="O2986" s="49"/>
      <c r="P2986" s="49"/>
      <c r="Q2986" s="49"/>
      <c r="R2986" s="49" t="s">
        <v>281</v>
      </c>
      <c r="S2986" s="49" t="n">
        <v>0</v>
      </c>
      <c r="T2986" s="49" t="n">
        <v>0</v>
      </c>
      <c r="U2986" s="49" t="s">
        <v>6214</v>
      </c>
    </row>
    <row r="2987" customFormat="false" ht="15" hidden="false" customHeight="false" outlineLevel="0" collapsed="false">
      <c r="B2987" s="48" t="n">
        <v>46010.8796064815</v>
      </c>
      <c r="C2987" s="4" t="n">
        <f aca="false">YEAR(B2987)</f>
        <v>2025</v>
      </c>
      <c r="D2987" s="49" t="s">
        <v>278</v>
      </c>
      <c r="E2987" s="49" t="s">
        <v>6215</v>
      </c>
      <c r="F2987" s="50" t="n">
        <v>1</v>
      </c>
      <c r="G2987" s="49" t="s">
        <v>290</v>
      </c>
      <c r="H2987" s="51" t="n">
        <v>0.1631</v>
      </c>
      <c r="I2987" s="51" t="n">
        <v>0.8094</v>
      </c>
      <c r="J2987" s="51" t="n">
        <v>0.0274</v>
      </c>
      <c r="K2987" s="49"/>
      <c r="L2987" s="49"/>
      <c r="M2987" s="49"/>
      <c r="N2987" s="49"/>
      <c r="O2987" s="49"/>
      <c r="P2987" s="49"/>
      <c r="Q2987" s="49"/>
      <c r="R2987" s="49"/>
      <c r="S2987" s="49" t="n">
        <v>0</v>
      </c>
      <c r="T2987" s="49" t="n">
        <v>0</v>
      </c>
      <c r="U2987" s="49" t="s">
        <v>6216</v>
      </c>
    </row>
    <row r="2988" customFormat="false" ht="15" hidden="false" customHeight="false" outlineLevel="0" collapsed="false">
      <c r="B2988" s="48" t="n">
        <v>46012.4171296296</v>
      </c>
      <c r="C2988" s="4" t="n">
        <f aca="false">YEAR(B2988)</f>
        <v>2025</v>
      </c>
      <c r="D2988" s="49" t="s">
        <v>278</v>
      </c>
      <c r="E2988" s="49" t="s">
        <v>6217</v>
      </c>
      <c r="F2988" s="50" t="n">
        <v>2</v>
      </c>
      <c r="G2988" s="49" t="s">
        <v>280</v>
      </c>
      <c r="H2988" s="51" t="n">
        <v>0.7855</v>
      </c>
      <c r="I2988" s="51" t="n">
        <v>0.2008</v>
      </c>
      <c r="J2988" s="51" t="n">
        <v>0.0137</v>
      </c>
      <c r="K2988" s="49"/>
      <c r="L2988" s="49"/>
      <c r="M2988" s="49"/>
      <c r="N2988" s="49"/>
      <c r="O2988" s="49"/>
      <c r="P2988" s="49"/>
      <c r="Q2988" s="49"/>
      <c r="R2988" s="49"/>
      <c r="S2988" s="49" t="n">
        <v>0</v>
      </c>
      <c r="T2988" s="49" t="n">
        <v>0</v>
      </c>
      <c r="U2988" s="49" t="s">
        <v>6218</v>
      </c>
    </row>
    <row r="2989" customFormat="false" ht="15" hidden="false" customHeight="false" outlineLevel="0" collapsed="false">
      <c r="B2989" s="48" t="n">
        <v>46012.6036342593</v>
      </c>
      <c r="C2989" s="4" t="n">
        <f aca="false">YEAR(B2989)</f>
        <v>2025</v>
      </c>
      <c r="D2989" s="49" t="s">
        <v>278</v>
      </c>
      <c r="E2989" s="49" t="s">
        <v>6219</v>
      </c>
      <c r="F2989" s="50" t="n">
        <v>0</v>
      </c>
      <c r="G2989" s="49" t="s">
        <v>280</v>
      </c>
      <c r="H2989" s="51" t="n">
        <v>0.6042</v>
      </c>
      <c r="I2989" s="51" t="n">
        <v>0.3828</v>
      </c>
      <c r="J2989" s="51" t="n">
        <v>0.013</v>
      </c>
      <c r="K2989" s="49"/>
      <c r="L2989" s="49"/>
      <c r="M2989" s="49"/>
      <c r="N2989" s="49"/>
      <c r="O2989" s="49"/>
      <c r="P2989" s="49"/>
      <c r="Q2989" s="49"/>
      <c r="R2989" s="49" t="s">
        <v>281</v>
      </c>
      <c r="S2989" s="49" t="n">
        <v>0</v>
      </c>
      <c r="T2989" s="49" t="n">
        <v>0</v>
      </c>
      <c r="U2989" s="49" t="s">
        <v>6220</v>
      </c>
    </row>
    <row r="2990" customFormat="false" ht="15" hidden="false" customHeight="false" outlineLevel="0" collapsed="false">
      <c r="B2990" s="48" t="n">
        <v>46013.3635648148</v>
      </c>
      <c r="C2990" s="4" t="n">
        <f aca="false">YEAR(B2990)</f>
        <v>2025</v>
      </c>
      <c r="D2990" s="49" t="s">
        <v>283</v>
      </c>
      <c r="E2990" s="49" t="s">
        <v>6221</v>
      </c>
      <c r="F2990" s="50" t="n">
        <v>0</v>
      </c>
      <c r="G2990" s="49" t="s">
        <v>287</v>
      </c>
      <c r="H2990" s="51" t="n">
        <v>0.0024</v>
      </c>
      <c r="I2990" s="51" t="n">
        <v>0.0391</v>
      </c>
      <c r="J2990" s="51" t="n">
        <v>0.9585</v>
      </c>
      <c r="K2990" s="49"/>
      <c r="L2990" s="49"/>
      <c r="M2990" s="49"/>
      <c r="N2990" s="49"/>
      <c r="O2990" s="49"/>
      <c r="P2990" s="49"/>
      <c r="Q2990" s="49"/>
      <c r="R2990" s="49"/>
      <c r="S2990" s="49" t="n">
        <v>0</v>
      </c>
      <c r="T2990" s="49" t="n">
        <v>0</v>
      </c>
      <c r="U2990" s="49" t="s">
        <v>6222</v>
      </c>
    </row>
    <row r="2991" customFormat="false" ht="15" hidden="false" customHeight="false" outlineLevel="0" collapsed="false">
      <c r="B2991" s="48" t="n">
        <v>46013.8538310185</v>
      </c>
      <c r="C2991" s="4" t="n">
        <f aca="false">YEAR(B2991)</f>
        <v>2025</v>
      </c>
      <c r="D2991" s="49" t="s">
        <v>278</v>
      </c>
      <c r="E2991" s="49" t="s">
        <v>6223</v>
      </c>
      <c r="F2991" s="50" t="n">
        <v>1</v>
      </c>
      <c r="G2991" s="49" t="s">
        <v>280</v>
      </c>
      <c r="H2991" s="51" t="n">
        <v>0.6875</v>
      </c>
      <c r="I2991" s="51" t="n">
        <v>0.2977</v>
      </c>
      <c r="J2991" s="51" t="n">
        <v>0.0148</v>
      </c>
      <c r="K2991" s="49"/>
      <c r="L2991" s="49"/>
      <c r="M2991" s="49"/>
      <c r="N2991" s="49" t="s">
        <v>281</v>
      </c>
      <c r="O2991" s="49"/>
      <c r="P2991" s="49"/>
      <c r="Q2991" s="49"/>
      <c r="R2991" s="49"/>
      <c r="S2991" s="49" t="n">
        <v>0</v>
      </c>
      <c r="T2991" s="49" t="n">
        <v>0</v>
      </c>
      <c r="U2991" s="49" t="s">
        <v>6224</v>
      </c>
    </row>
    <row r="2992" customFormat="false" ht="15" hidden="false" customHeight="false" outlineLevel="0" collapsed="false">
      <c r="B2992" s="48" t="n">
        <v>46013.8971875</v>
      </c>
      <c r="C2992" s="4" t="n">
        <f aca="false">YEAR(B2992)</f>
        <v>2025</v>
      </c>
      <c r="D2992" s="49" t="s">
        <v>283</v>
      </c>
      <c r="E2992" s="49" t="s">
        <v>6225</v>
      </c>
      <c r="F2992" s="50" t="n">
        <v>1</v>
      </c>
      <c r="G2992" s="49" t="s">
        <v>287</v>
      </c>
      <c r="H2992" s="51" t="n">
        <v>0.0039</v>
      </c>
      <c r="I2992" s="51" t="n">
        <v>0.344</v>
      </c>
      <c r="J2992" s="51" t="n">
        <v>0.6521</v>
      </c>
      <c r="K2992" s="49"/>
      <c r="L2992" s="49"/>
      <c r="M2992" s="49"/>
      <c r="N2992" s="49"/>
      <c r="O2992" s="49"/>
      <c r="P2992" s="49"/>
      <c r="Q2992" s="49"/>
      <c r="R2992" s="49"/>
      <c r="S2992" s="49" t="n">
        <v>1</v>
      </c>
      <c r="T2992" s="49" t="n">
        <v>0</v>
      </c>
      <c r="U2992" s="49" t="s">
        <v>6226</v>
      </c>
    </row>
    <row r="2993" customFormat="false" ht="15" hidden="false" customHeight="false" outlineLevel="0" collapsed="false">
      <c r="B2993" s="48" t="n">
        <v>46015.7914930556</v>
      </c>
      <c r="C2993" s="4" t="n">
        <f aca="false">YEAR(B2993)</f>
        <v>2025</v>
      </c>
      <c r="D2993" s="49" t="s">
        <v>278</v>
      </c>
      <c r="E2993" s="49" t="s">
        <v>6227</v>
      </c>
      <c r="F2993" s="50" t="n">
        <v>1</v>
      </c>
      <c r="G2993" s="49" t="s">
        <v>280</v>
      </c>
      <c r="H2993" s="51" t="n">
        <v>0.753</v>
      </c>
      <c r="I2993" s="51" t="n">
        <v>0.2347</v>
      </c>
      <c r="J2993" s="51" t="n">
        <v>0.0124</v>
      </c>
      <c r="K2993" s="49"/>
      <c r="L2993" s="49"/>
      <c r="M2993" s="49"/>
      <c r="N2993" s="49"/>
      <c r="O2993" s="49"/>
      <c r="P2993" s="49"/>
      <c r="Q2993" s="49"/>
      <c r="R2993" s="49"/>
      <c r="S2993" s="49" t="n">
        <v>0</v>
      </c>
      <c r="T2993" s="49" t="n">
        <v>0</v>
      </c>
      <c r="U2993" s="49" t="s">
        <v>6228</v>
      </c>
    </row>
    <row r="2994" customFormat="false" ht="15" hidden="false" customHeight="false" outlineLevel="0" collapsed="false">
      <c r="B2994" s="48" t="n">
        <v>46016.4779282407</v>
      </c>
      <c r="C2994" s="4" t="n">
        <f aca="false">YEAR(B2994)</f>
        <v>2025</v>
      </c>
      <c r="D2994" s="49" t="s">
        <v>278</v>
      </c>
      <c r="E2994" s="49" t="s">
        <v>6229</v>
      </c>
      <c r="F2994" s="50" t="n">
        <v>33</v>
      </c>
      <c r="G2994" s="49" t="s">
        <v>280</v>
      </c>
      <c r="H2994" s="51" t="n">
        <v>0.6232</v>
      </c>
      <c r="I2994" s="51" t="n">
        <v>0.3461</v>
      </c>
      <c r="J2994" s="51" t="n">
        <v>0.0307</v>
      </c>
      <c r="K2994" s="49"/>
      <c r="L2994" s="49"/>
      <c r="M2994" s="49"/>
      <c r="N2994" s="49"/>
      <c r="O2994" s="49"/>
      <c r="P2994" s="49"/>
      <c r="Q2994" s="49"/>
      <c r="R2994" s="49"/>
      <c r="S2994" s="49" t="n">
        <v>0</v>
      </c>
      <c r="T2994" s="49" t="n">
        <v>0</v>
      </c>
      <c r="U2994" s="49" t="s">
        <v>6230</v>
      </c>
    </row>
    <row r="2995" customFormat="false" ht="15" hidden="false" customHeight="false" outlineLevel="0" collapsed="false">
      <c r="B2995" s="48" t="n">
        <v>46017.4987962963</v>
      </c>
      <c r="C2995" s="4" t="n">
        <f aca="false">YEAR(B2995)</f>
        <v>2025</v>
      </c>
      <c r="D2995" s="49" t="s">
        <v>283</v>
      </c>
      <c r="E2995" s="49" t="s">
        <v>6231</v>
      </c>
      <c r="F2995" s="50" t="n">
        <v>0</v>
      </c>
      <c r="G2995" s="49" t="s">
        <v>290</v>
      </c>
      <c r="H2995" s="51" t="n">
        <v>0.046</v>
      </c>
      <c r="I2995" s="51" t="n">
        <v>0.8188</v>
      </c>
      <c r="J2995" s="51" t="n">
        <v>0.1353</v>
      </c>
      <c r="K2995" s="49"/>
      <c r="L2995" s="49"/>
      <c r="M2995" s="49"/>
      <c r="N2995" s="49"/>
      <c r="O2995" s="49"/>
      <c r="P2995" s="49"/>
      <c r="Q2995" s="49"/>
      <c r="R2995" s="49"/>
      <c r="S2995" s="49" t="n">
        <v>0</v>
      </c>
      <c r="T2995" s="49" t="n">
        <v>0</v>
      </c>
      <c r="U2995" s="49" t="s">
        <v>6232</v>
      </c>
    </row>
    <row r="2996" customFormat="false" ht="15" hidden="false" customHeight="false" outlineLevel="0" collapsed="false">
      <c r="B2996" s="48" t="n">
        <v>46017.7707291667</v>
      </c>
      <c r="C2996" s="4" t="n">
        <f aca="false">YEAR(B2996)</f>
        <v>2025</v>
      </c>
      <c r="D2996" s="49" t="s">
        <v>278</v>
      </c>
      <c r="E2996" s="49" t="s">
        <v>6233</v>
      </c>
      <c r="F2996" s="50" t="n">
        <v>1</v>
      </c>
      <c r="G2996" s="49" t="s">
        <v>280</v>
      </c>
      <c r="H2996" s="51" t="n">
        <v>0.8423</v>
      </c>
      <c r="I2996" s="51" t="n">
        <v>0.148</v>
      </c>
      <c r="J2996" s="51" t="n">
        <v>0.0097</v>
      </c>
      <c r="K2996" s="49"/>
      <c r="L2996" s="49"/>
      <c r="M2996" s="49"/>
      <c r="N2996" s="49"/>
      <c r="O2996" s="49"/>
      <c r="P2996" s="49"/>
      <c r="Q2996" s="49"/>
      <c r="R2996" s="49"/>
      <c r="S2996" s="49" t="n">
        <v>0</v>
      </c>
      <c r="T2996" s="49" t="n">
        <v>0</v>
      </c>
      <c r="U2996" s="49" t="s">
        <v>6234</v>
      </c>
    </row>
    <row r="2997" customFormat="false" ht="15" hidden="false" customHeight="false" outlineLevel="0" collapsed="false">
      <c r="B2997" s="48" t="n">
        <v>46017.8043402778</v>
      </c>
      <c r="C2997" s="4" t="n">
        <f aca="false">YEAR(B2997)</f>
        <v>2025</v>
      </c>
      <c r="D2997" s="49" t="s">
        <v>283</v>
      </c>
      <c r="E2997" s="49" t="s">
        <v>6235</v>
      </c>
      <c r="F2997" s="50" t="n">
        <v>1</v>
      </c>
      <c r="G2997" s="49" t="s">
        <v>290</v>
      </c>
      <c r="H2997" s="51" t="n">
        <v>0.4092</v>
      </c>
      <c r="I2997" s="51" t="n">
        <v>0.4648</v>
      </c>
      <c r="J2997" s="51" t="n">
        <v>0.126</v>
      </c>
      <c r="K2997" s="49"/>
      <c r="L2997" s="49" t="s">
        <v>281</v>
      </c>
      <c r="M2997" s="49"/>
      <c r="N2997" s="49"/>
      <c r="O2997" s="49"/>
      <c r="P2997" s="49"/>
      <c r="Q2997" s="49"/>
      <c r="R2997" s="49"/>
      <c r="S2997" s="49" t="n">
        <v>0</v>
      </c>
      <c r="T2997" s="49" t="n">
        <v>0</v>
      </c>
      <c r="U2997" s="49" t="s">
        <v>6236</v>
      </c>
    </row>
    <row r="2998" customFormat="false" ht="15" hidden="false" customHeight="false" outlineLevel="0" collapsed="false">
      <c r="B2998" s="48" t="n">
        <v>46017.8951967593</v>
      </c>
      <c r="C2998" s="4" t="n">
        <f aca="false">YEAR(B2998)</f>
        <v>2025</v>
      </c>
      <c r="D2998" s="49" t="s">
        <v>278</v>
      </c>
      <c r="E2998" s="49" t="s">
        <v>6237</v>
      </c>
      <c r="F2998" s="50" t="n">
        <v>5</v>
      </c>
      <c r="G2998" s="49" t="s">
        <v>290</v>
      </c>
      <c r="H2998" s="51" t="n">
        <v>0.082</v>
      </c>
      <c r="I2998" s="51" t="n">
        <v>0.8772</v>
      </c>
      <c r="J2998" s="51" t="n">
        <v>0.0408</v>
      </c>
      <c r="K2998" s="49"/>
      <c r="L2998" s="49"/>
      <c r="M2998" s="49"/>
      <c r="N2998" s="49"/>
      <c r="O2998" s="49"/>
      <c r="P2998" s="49"/>
      <c r="Q2998" s="49"/>
      <c r="R2998" s="49"/>
      <c r="S2998" s="49" t="n">
        <v>0</v>
      </c>
      <c r="T2998" s="49" t="n">
        <v>0</v>
      </c>
      <c r="U2998" s="49" t="s">
        <v>6238</v>
      </c>
    </row>
    <row r="2999" customFormat="false" ht="15" hidden="false" customHeight="false" outlineLevel="0" collapsed="false">
      <c r="B2999" s="48" t="n">
        <v>46018.6154050926</v>
      </c>
      <c r="C2999" s="4" t="n">
        <f aca="false">YEAR(B2999)</f>
        <v>2025</v>
      </c>
      <c r="D2999" s="49" t="s">
        <v>283</v>
      </c>
      <c r="E2999" s="49" t="s">
        <v>6239</v>
      </c>
      <c r="F2999" s="50" t="n">
        <v>2</v>
      </c>
      <c r="G2999" s="49" t="s">
        <v>290</v>
      </c>
      <c r="H2999" s="51" t="n">
        <v>0.0044</v>
      </c>
      <c r="I2999" s="51" t="n">
        <v>0.6909</v>
      </c>
      <c r="J2999" s="51" t="n">
        <v>0.3048</v>
      </c>
      <c r="K2999" s="49"/>
      <c r="L2999" s="49"/>
      <c r="M2999" s="49"/>
      <c r="N2999" s="49"/>
      <c r="O2999" s="49"/>
      <c r="P2999" s="49"/>
      <c r="Q2999" s="49"/>
      <c r="R2999" s="49"/>
      <c r="S2999" s="49" t="n">
        <v>0</v>
      </c>
      <c r="T2999" s="49" t="n">
        <v>0</v>
      </c>
      <c r="U2999" s="49" t="s">
        <v>6240</v>
      </c>
    </row>
    <row r="3000" customFormat="false" ht="15" hidden="false" customHeight="false" outlineLevel="0" collapsed="false">
      <c r="B3000" s="48" t="n">
        <v>46019.1319907407</v>
      </c>
      <c r="C3000" s="4" t="n">
        <f aca="false">YEAR(B3000)</f>
        <v>2025</v>
      </c>
      <c r="D3000" s="49" t="s">
        <v>278</v>
      </c>
      <c r="E3000" s="49" t="s">
        <v>6241</v>
      </c>
      <c r="F3000" s="50" t="n">
        <v>2</v>
      </c>
      <c r="G3000" s="49" t="s">
        <v>280</v>
      </c>
      <c r="H3000" s="51" t="n">
        <v>0.795</v>
      </c>
      <c r="I3000" s="51" t="n">
        <v>0.1947</v>
      </c>
      <c r="J3000" s="51" t="n">
        <v>0.0103</v>
      </c>
      <c r="K3000" s="49"/>
      <c r="L3000" s="49"/>
      <c r="M3000" s="49"/>
      <c r="N3000" s="49"/>
      <c r="O3000" s="49"/>
      <c r="P3000" s="49"/>
      <c r="Q3000" s="49"/>
      <c r="R3000" s="49"/>
      <c r="S3000" s="49" t="n">
        <v>0</v>
      </c>
      <c r="T3000" s="49" t="n">
        <v>0</v>
      </c>
      <c r="U3000" s="49" t="s">
        <v>6242</v>
      </c>
    </row>
    <row r="3001" customFormat="false" ht="15" hidden="false" customHeight="false" outlineLevel="0" collapsed="false">
      <c r="B3001" s="48" t="n">
        <v>46020.0247453704</v>
      </c>
      <c r="C3001" s="4" t="n">
        <f aca="false">YEAR(B3001)</f>
        <v>2025</v>
      </c>
      <c r="D3001" s="49" t="s">
        <v>278</v>
      </c>
      <c r="E3001" s="49" t="s">
        <v>6243</v>
      </c>
      <c r="F3001" s="50" t="n">
        <v>2</v>
      </c>
      <c r="G3001" s="49" t="s">
        <v>290</v>
      </c>
      <c r="H3001" s="51" t="n">
        <v>0.4203</v>
      </c>
      <c r="I3001" s="51" t="n">
        <v>0.5444</v>
      </c>
      <c r="J3001" s="51" t="n">
        <v>0.0353</v>
      </c>
      <c r="K3001" s="49"/>
      <c r="L3001" s="49"/>
      <c r="M3001" s="49"/>
      <c r="N3001" s="49"/>
      <c r="O3001" s="49"/>
      <c r="P3001" s="49"/>
      <c r="Q3001" s="49"/>
      <c r="R3001" s="49"/>
      <c r="S3001" s="49" t="n">
        <v>0</v>
      </c>
      <c r="T3001" s="49" t="n">
        <v>0</v>
      </c>
      <c r="U3001" s="49" t="s">
        <v>6244</v>
      </c>
    </row>
    <row r="3002" customFormat="false" ht="15" hidden="false" customHeight="false" outlineLevel="0" collapsed="false">
      <c r="B3002" s="48" t="n">
        <v>46021.2930787037</v>
      </c>
      <c r="C3002" s="4" t="n">
        <f aca="false">YEAR(B3002)</f>
        <v>2025</v>
      </c>
      <c r="D3002" s="49" t="s">
        <v>278</v>
      </c>
      <c r="E3002" s="49" t="s">
        <v>6245</v>
      </c>
      <c r="F3002" s="50" t="n">
        <v>0</v>
      </c>
      <c r="G3002" s="49" t="s">
        <v>290</v>
      </c>
      <c r="H3002" s="51" t="n">
        <v>0.0162</v>
      </c>
      <c r="I3002" s="51" t="n">
        <v>0.7708</v>
      </c>
      <c r="J3002" s="51" t="n">
        <v>0.213</v>
      </c>
      <c r="K3002" s="49"/>
      <c r="L3002" s="49"/>
      <c r="M3002" s="49"/>
      <c r="N3002" s="49"/>
      <c r="O3002" s="49"/>
      <c r="P3002" s="49"/>
      <c r="Q3002" s="49"/>
      <c r="R3002" s="49"/>
      <c r="S3002" s="49" t="n">
        <v>0</v>
      </c>
      <c r="T3002" s="49" t="n">
        <v>0</v>
      </c>
      <c r="U3002" s="49" t="s">
        <v>6246</v>
      </c>
    </row>
    <row r="3003" customFormat="false" ht="15" hidden="false" customHeight="false" outlineLevel="0" collapsed="false">
      <c r="B3003" s="48" t="n">
        <v>46021.5854513889</v>
      </c>
      <c r="C3003" s="4" t="n">
        <f aca="false">YEAR(B3003)</f>
        <v>2025</v>
      </c>
      <c r="D3003" s="49" t="s">
        <v>278</v>
      </c>
      <c r="E3003" s="49" t="s">
        <v>6247</v>
      </c>
      <c r="F3003" s="50" t="n">
        <v>2</v>
      </c>
      <c r="G3003" s="49" t="s">
        <v>290</v>
      </c>
      <c r="H3003" s="51" t="n">
        <v>0.0349</v>
      </c>
      <c r="I3003" s="51" t="n">
        <v>0.5257</v>
      </c>
      <c r="J3003" s="51" t="n">
        <v>0.4395</v>
      </c>
      <c r="K3003" s="49"/>
      <c r="L3003" s="49"/>
      <c r="M3003" s="49"/>
      <c r="N3003" s="49"/>
      <c r="O3003" s="49"/>
      <c r="P3003" s="49"/>
      <c r="Q3003" s="49"/>
      <c r="R3003" s="49"/>
      <c r="S3003" s="49" t="n">
        <v>0</v>
      </c>
      <c r="T3003" s="49" t="n">
        <v>0</v>
      </c>
      <c r="U3003" s="49" t="s">
        <v>6248</v>
      </c>
    </row>
    <row r="3004" customFormat="false" ht="15" hidden="false" customHeight="false" outlineLevel="0" collapsed="false">
      <c r="B3004" s="48" t="n">
        <v>46023.1323611111</v>
      </c>
      <c r="C3004" s="4" t="n">
        <f aca="false">YEAR(B3004)</f>
        <v>2026</v>
      </c>
      <c r="D3004" s="49" t="s">
        <v>283</v>
      </c>
      <c r="E3004" s="49" t="s">
        <v>6249</v>
      </c>
      <c r="F3004" s="50" t="n">
        <v>4</v>
      </c>
      <c r="G3004" s="49" t="s">
        <v>287</v>
      </c>
      <c r="H3004" s="51" t="n">
        <v>0.0535</v>
      </c>
      <c r="I3004" s="51" t="n">
        <v>0.3461</v>
      </c>
      <c r="J3004" s="51" t="n">
        <v>0.6004</v>
      </c>
      <c r="K3004" s="49"/>
      <c r="L3004" s="49"/>
      <c r="M3004" s="49"/>
      <c r="N3004" s="49"/>
      <c r="O3004" s="49"/>
      <c r="P3004" s="49"/>
      <c r="Q3004" s="49"/>
      <c r="R3004" s="49"/>
      <c r="S3004" s="49" t="n">
        <v>0</v>
      </c>
      <c r="T3004" s="49" t="n">
        <v>0</v>
      </c>
      <c r="U3004" s="49" t="s">
        <v>6250</v>
      </c>
    </row>
    <row r="3005" customFormat="false" ht="15" hidden="false" customHeight="false" outlineLevel="0" collapsed="false">
      <c r="B3005" s="48" t="n">
        <v>46023.5187152778</v>
      </c>
      <c r="C3005" s="4" t="n">
        <f aca="false">YEAR(B3005)</f>
        <v>2026</v>
      </c>
      <c r="D3005" s="49" t="s">
        <v>278</v>
      </c>
      <c r="E3005" s="49" t="s">
        <v>6251</v>
      </c>
      <c r="F3005" s="50" t="n">
        <v>1</v>
      </c>
      <c r="G3005" s="49" t="s">
        <v>280</v>
      </c>
      <c r="H3005" s="51" t="n">
        <v>0.8322</v>
      </c>
      <c r="I3005" s="51" t="n">
        <v>0.1601</v>
      </c>
      <c r="J3005" s="51" t="n">
        <v>0.0077</v>
      </c>
      <c r="K3005" s="49"/>
      <c r="L3005" s="49"/>
      <c r="M3005" s="49"/>
      <c r="N3005" s="49"/>
      <c r="O3005" s="49"/>
      <c r="P3005" s="49"/>
      <c r="Q3005" s="49"/>
      <c r="R3005" s="49"/>
      <c r="S3005" s="49" t="n">
        <v>0</v>
      </c>
      <c r="T3005" s="49" t="n">
        <v>0</v>
      </c>
      <c r="U3005" s="49" t="s">
        <v>6252</v>
      </c>
    </row>
    <row r="3006" customFormat="false" ht="15" hidden="false" customHeight="false" outlineLevel="0" collapsed="false">
      <c r="B3006" s="48" t="n">
        <v>46023.6479166667</v>
      </c>
      <c r="C3006" s="4" t="n">
        <f aca="false">YEAR(B3006)</f>
        <v>2026</v>
      </c>
      <c r="D3006" s="49" t="s">
        <v>283</v>
      </c>
      <c r="E3006" s="49" t="s">
        <v>6253</v>
      </c>
      <c r="F3006" s="50" t="n">
        <v>1</v>
      </c>
      <c r="G3006" s="49" t="s">
        <v>290</v>
      </c>
      <c r="H3006" s="51" t="n">
        <v>0.022</v>
      </c>
      <c r="I3006" s="51" t="n">
        <v>0.8532</v>
      </c>
      <c r="J3006" s="51" t="n">
        <v>0.1247</v>
      </c>
      <c r="K3006" s="49"/>
      <c r="L3006" s="49"/>
      <c r="M3006" s="49"/>
      <c r="N3006" s="49"/>
      <c r="O3006" s="49"/>
      <c r="P3006" s="49"/>
      <c r="Q3006" s="49"/>
      <c r="R3006" s="49"/>
      <c r="S3006" s="49" t="n">
        <v>0</v>
      </c>
      <c r="T3006" s="49" t="n">
        <v>0</v>
      </c>
      <c r="U3006" s="49" t="s">
        <v>6254</v>
      </c>
    </row>
    <row r="3007" customFormat="false" ht="15" hidden="false" customHeight="false" outlineLevel="0" collapsed="false">
      <c r="B3007" s="48" t="n">
        <v>46023.6612152778</v>
      </c>
      <c r="C3007" s="4" t="n">
        <f aca="false">YEAR(B3007)</f>
        <v>2026</v>
      </c>
      <c r="D3007" s="49" t="s">
        <v>283</v>
      </c>
      <c r="E3007" s="49" t="s">
        <v>6255</v>
      </c>
      <c r="F3007" s="50" t="n">
        <v>1</v>
      </c>
      <c r="G3007" s="49" t="s">
        <v>290</v>
      </c>
      <c r="H3007" s="51" t="n">
        <v>0.0068</v>
      </c>
      <c r="I3007" s="51" t="n">
        <v>0.6434</v>
      </c>
      <c r="J3007" s="51" t="n">
        <v>0.3497</v>
      </c>
      <c r="K3007" s="49"/>
      <c r="L3007" s="49"/>
      <c r="M3007" s="49"/>
      <c r="N3007" s="49"/>
      <c r="O3007" s="49"/>
      <c r="P3007" s="49"/>
      <c r="Q3007" s="49"/>
      <c r="R3007" s="49"/>
      <c r="S3007" s="49" t="n">
        <v>0</v>
      </c>
      <c r="T3007" s="49" t="n">
        <v>0</v>
      </c>
      <c r="U3007" s="49" t="s">
        <v>6256</v>
      </c>
    </row>
    <row r="3008" customFormat="false" ht="15" hidden="false" customHeight="false" outlineLevel="0" collapsed="false">
      <c r="B3008" s="48" t="n">
        <v>46023.7120138889</v>
      </c>
      <c r="C3008" s="4" t="n">
        <f aca="false">YEAR(B3008)</f>
        <v>2026</v>
      </c>
      <c r="D3008" s="49" t="s">
        <v>283</v>
      </c>
      <c r="E3008" s="49" t="s">
        <v>6257</v>
      </c>
      <c r="F3008" s="50" t="n">
        <v>1</v>
      </c>
      <c r="G3008" s="49" t="s">
        <v>290</v>
      </c>
      <c r="H3008" s="51" t="n">
        <v>0.0052</v>
      </c>
      <c r="I3008" s="51" t="n">
        <v>0.8446</v>
      </c>
      <c r="J3008" s="51" t="n">
        <v>0.1503</v>
      </c>
      <c r="K3008" s="49"/>
      <c r="L3008" s="49"/>
      <c r="M3008" s="49"/>
      <c r="N3008" s="49"/>
      <c r="O3008" s="49"/>
      <c r="P3008" s="49"/>
      <c r="Q3008" s="49"/>
      <c r="R3008" s="49"/>
      <c r="S3008" s="49" t="n">
        <v>0</v>
      </c>
      <c r="T3008" s="49" t="n">
        <v>0</v>
      </c>
      <c r="U3008" s="49" t="s">
        <v>6258</v>
      </c>
    </row>
    <row r="3009" customFormat="false" ht="15" hidden="false" customHeight="false" outlineLevel="0" collapsed="false">
      <c r="B3009" s="48" t="n">
        <v>46023.9601388889</v>
      </c>
      <c r="C3009" s="4" t="n">
        <f aca="false">YEAR(B3009)</f>
        <v>2026</v>
      </c>
      <c r="D3009" s="49" t="s">
        <v>283</v>
      </c>
      <c r="E3009" s="49" t="s">
        <v>6259</v>
      </c>
      <c r="F3009" s="50" t="n">
        <v>1</v>
      </c>
      <c r="G3009" s="49" t="s">
        <v>290</v>
      </c>
      <c r="H3009" s="51" t="n">
        <v>0.0059</v>
      </c>
      <c r="I3009" s="51" t="n">
        <v>0.9053</v>
      </c>
      <c r="J3009" s="51" t="n">
        <v>0.0888</v>
      </c>
      <c r="K3009" s="49"/>
      <c r="L3009" s="49"/>
      <c r="M3009" s="49"/>
      <c r="N3009" s="49"/>
      <c r="O3009" s="49"/>
      <c r="P3009" s="49"/>
      <c r="Q3009" s="49"/>
      <c r="R3009" s="49"/>
      <c r="S3009" s="49" t="n">
        <v>0</v>
      </c>
      <c r="T3009" s="49" t="n">
        <v>0</v>
      </c>
      <c r="U3009" s="49" t="s">
        <v>6260</v>
      </c>
    </row>
    <row r="3010" customFormat="false" ht="15" hidden="false" customHeight="false" outlineLevel="0" collapsed="false">
      <c r="B3010" s="48" t="n">
        <v>46023.9735416667</v>
      </c>
      <c r="C3010" s="4" t="n">
        <f aca="false">YEAR(B3010)</f>
        <v>2026</v>
      </c>
      <c r="D3010" s="49" t="s">
        <v>278</v>
      </c>
      <c r="E3010" s="49" t="s">
        <v>6261</v>
      </c>
      <c r="F3010" s="50" t="n">
        <v>1</v>
      </c>
      <c r="G3010" s="49" t="s">
        <v>280</v>
      </c>
      <c r="H3010" s="51" t="n">
        <v>0.6871</v>
      </c>
      <c r="I3010" s="51" t="n">
        <v>0.3037</v>
      </c>
      <c r="J3010" s="51" t="n">
        <v>0.0092</v>
      </c>
      <c r="K3010" s="49"/>
      <c r="L3010" s="49"/>
      <c r="M3010" s="49"/>
      <c r="N3010" s="49"/>
      <c r="O3010" s="49"/>
      <c r="P3010" s="49"/>
      <c r="Q3010" s="49"/>
      <c r="R3010" s="49" t="s">
        <v>281</v>
      </c>
      <c r="S3010" s="49" t="n">
        <v>1</v>
      </c>
      <c r="T3010" s="49" t="n">
        <v>0</v>
      </c>
      <c r="U3010" s="49" t="s">
        <v>6262</v>
      </c>
    </row>
    <row r="3011" customFormat="false" ht="15" hidden="false" customHeight="false" outlineLevel="0" collapsed="false">
      <c r="B3011" s="48" t="n">
        <v>46024.010162037</v>
      </c>
      <c r="C3011" s="4" t="n">
        <f aca="false">YEAR(B3011)</f>
        <v>2026</v>
      </c>
      <c r="D3011" s="49" t="s">
        <v>278</v>
      </c>
      <c r="E3011" s="49" t="s">
        <v>6263</v>
      </c>
      <c r="F3011" s="50" t="n">
        <v>1</v>
      </c>
      <c r="G3011" s="49" t="s">
        <v>280</v>
      </c>
      <c r="H3011" s="51" t="n">
        <v>0.6065</v>
      </c>
      <c r="I3011" s="51" t="n">
        <v>0.3811</v>
      </c>
      <c r="J3011" s="51" t="n">
        <v>0.0124</v>
      </c>
      <c r="K3011" s="49"/>
      <c r="L3011" s="49"/>
      <c r="M3011" s="49"/>
      <c r="N3011" s="49"/>
      <c r="O3011" s="49"/>
      <c r="P3011" s="49"/>
      <c r="Q3011" s="49"/>
      <c r="R3011" s="49" t="s">
        <v>281</v>
      </c>
      <c r="S3011" s="49" t="n">
        <v>0</v>
      </c>
      <c r="T3011" s="49" t="n">
        <v>0</v>
      </c>
      <c r="U3011" s="49" t="s">
        <v>6264</v>
      </c>
    </row>
    <row r="3012" customFormat="false" ht="15" hidden="false" customHeight="false" outlineLevel="0" collapsed="false">
      <c r="B3012" s="48" t="n">
        <v>46024.3019097222</v>
      </c>
      <c r="C3012" s="4" t="n">
        <f aca="false">YEAR(B3012)</f>
        <v>2026</v>
      </c>
      <c r="D3012" s="49" t="s">
        <v>283</v>
      </c>
      <c r="E3012" s="49" t="s">
        <v>6265</v>
      </c>
      <c r="F3012" s="50" t="n">
        <v>2</v>
      </c>
      <c r="G3012" s="49" t="s">
        <v>290</v>
      </c>
      <c r="H3012" s="51" t="n">
        <v>0.0336</v>
      </c>
      <c r="I3012" s="51" t="n">
        <v>0.8273</v>
      </c>
      <c r="J3012" s="51" t="n">
        <v>0.139</v>
      </c>
      <c r="K3012" s="49"/>
      <c r="L3012" s="49"/>
      <c r="M3012" s="49"/>
      <c r="N3012" s="49"/>
      <c r="O3012" s="49"/>
      <c r="P3012" s="49"/>
      <c r="Q3012" s="49"/>
      <c r="R3012" s="49"/>
      <c r="S3012" s="49" t="n">
        <v>0</v>
      </c>
      <c r="T3012" s="49" t="n">
        <v>0</v>
      </c>
      <c r="U3012" s="49" t="s">
        <v>6266</v>
      </c>
    </row>
    <row r="3013" customFormat="false" ht="15" hidden="false" customHeight="false" outlineLevel="0" collapsed="false">
      <c r="B3013" s="48" t="n">
        <v>46024.3696990741</v>
      </c>
      <c r="C3013" s="4" t="n">
        <f aca="false">YEAR(B3013)</f>
        <v>2026</v>
      </c>
      <c r="D3013" s="49" t="s">
        <v>283</v>
      </c>
      <c r="E3013" s="49" t="s">
        <v>6267</v>
      </c>
      <c r="F3013" s="50" t="n">
        <v>11</v>
      </c>
      <c r="G3013" s="49" t="s">
        <v>290</v>
      </c>
      <c r="H3013" s="51" t="n">
        <v>0.3727</v>
      </c>
      <c r="I3013" s="51" t="n">
        <v>0.5208</v>
      </c>
      <c r="J3013" s="51" t="n">
        <v>0.1066</v>
      </c>
      <c r="K3013" s="49" t="s">
        <v>281</v>
      </c>
      <c r="L3013" s="49"/>
      <c r="M3013" s="49"/>
      <c r="N3013" s="49"/>
      <c r="O3013" s="49"/>
      <c r="P3013" s="49"/>
      <c r="Q3013" s="49" t="s">
        <v>281</v>
      </c>
      <c r="R3013" s="49"/>
      <c r="S3013" s="49" t="n">
        <v>0</v>
      </c>
      <c r="T3013" s="49" t="n">
        <v>0</v>
      </c>
      <c r="U3013" s="49" t="s">
        <v>6268</v>
      </c>
    </row>
    <row r="3014" customFormat="false" ht="15" hidden="false" customHeight="false" outlineLevel="0" collapsed="false">
      <c r="B3014" s="48" t="n">
        <v>46024.5855787037</v>
      </c>
      <c r="C3014" s="4" t="n">
        <f aca="false">YEAR(B3014)</f>
        <v>2026</v>
      </c>
      <c r="D3014" s="49" t="s">
        <v>278</v>
      </c>
      <c r="E3014" s="49" t="s">
        <v>6269</v>
      </c>
      <c r="F3014" s="50" t="n">
        <v>1</v>
      </c>
      <c r="G3014" s="49" t="s">
        <v>280</v>
      </c>
      <c r="H3014" s="51" t="n">
        <v>0.7095</v>
      </c>
      <c r="I3014" s="51" t="n">
        <v>0.2758</v>
      </c>
      <c r="J3014" s="51" t="n">
        <v>0.0148</v>
      </c>
      <c r="K3014" s="49"/>
      <c r="L3014" s="49"/>
      <c r="M3014" s="49"/>
      <c r="N3014" s="49"/>
      <c r="O3014" s="49"/>
      <c r="P3014" s="49"/>
      <c r="Q3014" s="49" t="s">
        <v>281</v>
      </c>
      <c r="R3014" s="49" t="s">
        <v>281</v>
      </c>
      <c r="S3014" s="49" t="n">
        <v>0</v>
      </c>
      <c r="T3014" s="49" t="n">
        <v>0</v>
      </c>
      <c r="U3014" s="49" t="s">
        <v>6270</v>
      </c>
    </row>
    <row r="3015" customFormat="false" ht="15" hidden="false" customHeight="false" outlineLevel="0" collapsed="false">
      <c r="B3015" s="48" t="n">
        <v>46024.7473726852</v>
      </c>
      <c r="C3015" s="4" t="n">
        <f aca="false">YEAR(B3015)</f>
        <v>2026</v>
      </c>
      <c r="D3015" s="49" t="s">
        <v>283</v>
      </c>
      <c r="E3015" s="49" t="s">
        <v>6271</v>
      </c>
      <c r="F3015" s="50" t="n">
        <v>0</v>
      </c>
      <c r="G3015" s="49" t="s">
        <v>290</v>
      </c>
      <c r="H3015" s="51" t="n">
        <v>0.0166</v>
      </c>
      <c r="I3015" s="51" t="n">
        <v>0.8104</v>
      </c>
      <c r="J3015" s="51" t="n">
        <v>0.173</v>
      </c>
      <c r="K3015" s="49"/>
      <c r="L3015" s="49"/>
      <c r="M3015" s="49"/>
      <c r="N3015" s="49"/>
      <c r="O3015" s="49"/>
      <c r="P3015" s="49"/>
      <c r="Q3015" s="49"/>
      <c r="R3015" s="49"/>
      <c r="S3015" s="49" t="n">
        <v>0</v>
      </c>
      <c r="T3015" s="49" t="n">
        <v>0</v>
      </c>
      <c r="U3015" s="49" t="s">
        <v>6272</v>
      </c>
    </row>
    <row r="3016" customFormat="false" ht="15" hidden="false" customHeight="false" outlineLevel="0" collapsed="false">
      <c r="B3016" s="48" t="n">
        <v>46025.0216087963</v>
      </c>
      <c r="C3016" s="4" t="n">
        <f aca="false">YEAR(B3016)</f>
        <v>2026</v>
      </c>
      <c r="D3016" s="49" t="s">
        <v>278</v>
      </c>
      <c r="E3016" s="49" t="s">
        <v>6273</v>
      </c>
      <c r="F3016" s="50" t="n">
        <v>22</v>
      </c>
      <c r="G3016" s="49" t="s">
        <v>290</v>
      </c>
      <c r="H3016" s="51" t="n">
        <v>0.1296</v>
      </c>
      <c r="I3016" s="51" t="n">
        <v>0.5746</v>
      </c>
      <c r="J3016" s="51" t="n">
        <v>0.2958</v>
      </c>
      <c r="K3016" s="49"/>
      <c r="L3016" s="49"/>
      <c r="M3016" s="49"/>
      <c r="N3016" s="49"/>
      <c r="O3016" s="49"/>
      <c r="P3016" s="49"/>
      <c r="Q3016" s="49"/>
      <c r="R3016" s="49" t="s">
        <v>281</v>
      </c>
      <c r="S3016" s="49" t="n">
        <v>0</v>
      </c>
      <c r="T3016" s="49" t="n">
        <v>0</v>
      </c>
      <c r="U3016" s="49" t="s">
        <v>6274</v>
      </c>
    </row>
    <row r="3017" customFormat="false" ht="15" hidden="false" customHeight="false" outlineLevel="0" collapsed="false">
      <c r="B3017" s="48" t="n">
        <v>46025.2747337963</v>
      </c>
      <c r="C3017" s="4" t="n">
        <f aca="false">YEAR(B3017)</f>
        <v>2026</v>
      </c>
      <c r="D3017" s="49" t="s">
        <v>278</v>
      </c>
      <c r="E3017" s="49" t="s">
        <v>6275</v>
      </c>
      <c r="F3017" s="50" t="n">
        <v>1</v>
      </c>
      <c r="G3017" s="49" t="s">
        <v>287</v>
      </c>
      <c r="H3017" s="51" t="n">
        <v>0.0056</v>
      </c>
      <c r="I3017" s="51" t="n">
        <v>0.2673</v>
      </c>
      <c r="J3017" s="51" t="n">
        <v>0.7271</v>
      </c>
      <c r="K3017" s="49"/>
      <c r="L3017" s="49"/>
      <c r="M3017" s="49"/>
      <c r="N3017" s="49"/>
      <c r="O3017" s="49"/>
      <c r="P3017" s="49"/>
      <c r="Q3017" s="49"/>
      <c r="R3017" s="49"/>
      <c r="S3017" s="49" t="n">
        <v>0</v>
      </c>
      <c r="T3017" s="49" t="n">
        <v>0</v>
      </c>
      <c r="U3017" s="49" t="s">
        <v>6276</v>
      </c>
    </row>
    <row r="3018" customFormat="false" ht="15" hidden="false" customHeight="false" outlineLevel="0" collapsed="false">
      <c r="B3018" s="48" t="n">
        <v>46025.7264583333</v>
      </c>
      <c r="C3018" s="4" t="n">
        <f aca="false">YEAR(B3018)</f>
        <v>2026</v>
      </c>
      <c r="D3018" s="49" t="s">
        <v>283</v>
      </c>
      <c r="E3018" s="49" t="s">
        <v>6277</v>
      </c>
      <c r="F3018" s="50" t="n">
        <v>1</v>
      </c>
      <c r="G3018" s="49" t="s">
        <v>280</v>
      </c>
      <c r="H3018" s="51" t="n">
        <v>0.5461</v>
      </c>
      <c r="I3018" s="51" t="n">
        <v>0.4355</v>
      </c>
      <c r="J3018" s="51" t="n">
        <v>0.0184</v>
      </c>
      <c r="K3018" s="49"/>
      <c r="L3018" s="49"/>
      <c r="M3018" s="49" t="s">
        <v>281</v>
      </c>
      <c r="N3018" s="49"/>
      <c r="O3018" s="49"/>
      <c r="P3018" s="49"/>
      <c r="Q3018" s="49" t="s">
        <v>281</v>
      </c>
      <c r="R3018" s="49"/>
      <c r="S3018" s="49" t="n">
        <v>1</v>
      </c>
      <c r="T3018" s="49" t="n">
        <v>0</v>
      </c>
      <c r="U3018" s="49" t="s">
        <v>6278</v>
      </c>
    </row>
    <row r="3019" customFormat="false" ht="15" hidden="false" customHeight="false" outlineLevel="0" collapsed="false">
      <c r="B3019" s="48" t="n">
        <v>46026.0909606482</v>
      </c>
      <c r="C3019" s="4" t="n">
        <f aca="false">YEAR(B3019)</f>
        <v>2026</v>
      </c>
      <c r="D3019" s="49" t="s">
        <v>283</v>
      </c>
      <c r="E3019" s="49" t="s">
        <v>6279</v>
      </c>
      <c r="F3019" s="50" t="n">
        <v>1</v>
      </c>
      <c r="G3019" s="49" t="s">
        <v>290</v>
      </c>
      <c r="H3019" s="51" t="n">
        <v>0.0044</v>
      </c>
      <c r="I3019" s="51" t="n">
        <v>0.5025</v>
      </c>
      <c r="J3019" s="51" t="n">
        <v>0.4931</v>
      </c>
      <c r="K3019" s="49"/>
      <c r="L3019" s="49"/>
      <c r="M3019" s="49"/>
      <c r="N3019" s="49"/>
      <c r="O3019" s="49"/>
      <c r="P3019" s="49"/>
      <c r="Q3019" s="49"/>
      <c r="R3019" s="49"/>
      <c r="S3019" s="49" t="n">
        <v>0</v>
      </c>
      <c r="T3019" s="49" t="n">
        <v>0</v>
      </c>
      <c r="U3019" s="49" t="s">
        <v>6280</v>
      </c>
    </row>
    <row r="3020" customFormat="false" ht="15" hidden="false" customHeight="false" outlineLevel="0" collapsed="false">
      <c r="B3020" s="48" t="n">
        <v>46026.2114467593</v>
      </c>
      <c r="C3020" s="4" t="n">
        <f aca="false">YEAR(B3020)</f>
        <v>2026</v>
      </c>
      <c r="D3020" s="49" t="s">
        <v>278</v>
      </c>
      <c r="E3020" s="49" t="s">
        <v>6281</v>
      </c>
      <c r="F3020" s="50" t="n">
        <v>13</v>
      </c>
      <c r="G3020" s="49" t="s">
        <v>290</v>
      </c>
      <c r="H3020" s="51" t="n">
        <v>0.36</v>
      </c>
      <c r="I3020" s="51" t="n">
        <v>0.5542</v>
      </c>
      <c r="J3020" s="51" t="n">
        <v>0.0858</v>
      </c>
      <c r="K3020" s="49" t="s">
        <v>281</v>
      </c>
      <c r="L3020" s="49"/>
      <c r="M3020" s="49"/>
      <c r="N3020" s="49"/>
      <c r="O3020" s="49"/>
      <c r="P3020" s="49"/>
      <c r="Q3020" s="49"/>
      <c r="R3020" s="49"/>
      <c r="S3020" s="49" t="n">
        <v>0</v>
      </c>
      <c r="T3020" s="49" t="n">
        <v>0</v>
      </c>
      <c r="U3020" s="49" t="s">
        <v>6282</v>
      </c>
    </row>
    <row r="3021" customFormat="false" ht="15" hidden="false" customHeight="false" outlineLevel="0" collapsed="false">
      <c r="B3021" s="48" t="n">
        <v>46026.4069097222</v>
      </c>
      <c r="C3021" s="4" t="n">
        <f aca="false">YEAR(B3021)</f>
        <v>2026</v>
      </c>
      <c r="D3021" s="49" t="s">
        <v>278</v>
      </c>
      <c r="E3021" s="49" t="s">
        <v>6283</v>
      </c>
      <c r="F3021" s="50" t="n">
        <v>1</v>
      </c>
      <c r="G3021" s="49" t="s">
        <v>280</v>
      </c>
      <c r="H3021" s="51" t="n">
        <v>0.8198</v>
      </c>
      <c r="I3021" s="51" t="n">
        <v>0.1683</v>
      </c>
      <c r="J3021" s="51" t="n">
        <v>0.0119</v>
      </c>
      <c r="K3021" s="49" t="s">
        <v>281</v>
      </c>
      <c r="L3021" s="49"/>
      <c r="M3021" s="49"/>
      <c r="N3021" s="49"/>
      <c r="O3021" s="49"/>
      <c r="P3021" s="49"/>
      <c r="Q3021" s="49"/>
      <c r="R3021" s="49" t="s">
        <v>281</v>
      </c>
      <c r="S3021" s="49" t="n">
        <v>0</v>
      </c>
      <c r="T3021" s="49" t="n">
        <v>0</v>
      </c>
      <c r="U3021" s="49" t="s">
        <v>6284</v>
      </c>
    </row>
    <row r="3022" customFormat="false" ht="15" hidden="false" customHeight="false" outlineLevel="0" collapsed="false">
      <c r="B3022" s="48" t="n">
        <v>46026.4179166667</v>
      </c>
      <c r="C3022" s="4" t="n">
        <f aca="false">YEAR(B3022)</f>
        <v>2026</v>
      </c>
      <c r="D3022" s="49" t="s">
        <v>283</v>
      </c>
      <c r="E3022" s="49" t="s">
        <v>6285</v>
      </c>
      <c r="F3022" s="50" t="n">
        <v>3</v>
      </c>
      <c r="G3022" s="49" t="s">
        <v>287</v>
      </c>
      <c r="H3022" s="51" t="n">
        <v>0.0195</v>
      </c>
      <c r="I3022" s="51" t="n">
        <v>0.3603</v>
      </c>
      <c r="J3022" s="51" t="n">
        <v>0.6202</v>
      </c>
      <c r="K3022" s="49"/>
      <c r="L3022" s="49"/>
      <c r="M3022" s="49"/>
      <c r="N3022" s="49"/>
      <c r="O3022" s="49"/>
      <c r="P3022" s="49"/>
      <c r="Q3022" s="49"/>
      <c r="R3022" s="49"/>
      <c r="S3022" s="49" t="n">
        <v>0</v>
      </c>
      <c r="T3022" s="49" t="n">
        <v>0</v>
      </c>
      <c r="U3022" s="49" t="s">
        <v>6286</v>
      </c>
    </row>
    <row r="3023" customFormat="false" ht="15" hidden="false" customHeight="false" outlineLevel="0" collapsed="false">
      <c r="B3023" s="48" t="n">
        <v>46026.6981712963</v>
      </c>
      <c r="C3023" s="4" t="n">
        <f aca="false">YEAR(B3023)</f>
        <v>2026</v>
      </c>
      <c r="D3023" s="49" t="s">
        <v>278</v>
      </c>
      <c r="E3023" s="49" t="s">
        <v>6287</v>
      </c>
      <c r="F3023" s="50" t="n">
        <v>2</v>
      </c>
      <c r="G3023" s="49" t="s">
        <v>280</v>
      </c>
      <c r="H3023" s="51" t="n">
        <v>0.8951</v>
      </c>
      <c r="I3023" s="51" t="n">
        <v>0.0968</v>
      </c>
      <c r="J3023" s="51" t="n">
        <v>0.0081</v>
      </c>
      <c r="K3023" s="49"/>
      <c r="L3023" s="49"/>
      <c r="M3023" s="49"/>
      <c r="N3023" s="49"/>
      <c r="O3023" s="49"/>
      <c r="P3023" s="49"/>
      <c r="Q3023" s="49"/>
      <c r="R3023" s="49"/>
      <c r="S3023" s="49" t="n">
        <v>0</v>
      </c>
      <c r="T3023" s="49" t="n">
        <v>0</v>
      </c>
      <c r="U3023" s="49" t="s">
        <v>6288</v>
      </c>
    </row>
    <row r="3024" customFormat="false" ht="15" hidden="false" customHeight="false" outlineLevel="0" collapsed="false">
      <c r="B3024" s="48" t="n">
        <v>46027.4127546296</v>
      </c>
      <c r="C3024" s="4" t="n">
        <f aca="false">YEAR(B3024)</f>
        <v>2026</v>
      </c>
      <c r="D3024" s="49" t="s">
        <v>278</v>
      </c>
      <c r="E3024" s="49" t="s">
        <v>6289</v>
      </c>
      <c r="F3024" s="50" t="n">
        <v>0</v>
      </c>
      <c r="G3024" s="49" t="s">
        <v>280</v>
      </c>
      <c r="H3024" s="51" t="n">
        <v>0.7998</v>
      </c>
      <c r="I3024" s="51" t="n">
        <v>0.187</v>
      </c>
      <c r="J3024" s="51" t="n">
        <v>0.0131</v>
      </c>
      <c r="K3024" s="49"/>
      <c r="L3024" s="49"/>
      <c r="M3024" s="49"/>
      <c r="N3024" s="49"/>
      <c r="O3024" s="49"/>
      <c r="P3024" s="49"/>
      <c r="Q3024" s="49"/>
      <c r="R3024" s="49"/>
      <c r="S3024" s="49" t="n">
        <v>0</v>
      </c>
      <c r="T3024" s="49" t="n">
        <v>0</v>
      </c>
      <c r="U3024" s="49" t="s">
        <v>6290</v>
      </c>
    </row>
    <row r="3025" customFormat="false" ht="15" hidden="false" customHeight="false" outlineLevel="0" collapsed="false">
      <c r="B3025" s="48" t="n">
        <v>46027.6294444444</v>
      </c>
      <c r="C3025" s="4" t="n">
        <f aca="false">YEAR(B3025)</f>
        <v>2026</v>
      </c>
      <c r="D3025" s="49" t="s">
        <v>283</v>
      </c>
      <c r="E3025" s="49" t="s">
        <v>6291</v>
      </c>
      <c r="F3025" s="50" t="n">
        <v>1</v>
      </c>
      <c r="G3025" s="49" t="s">
        <v>290</v>
      </c>
      <c r="H3025" s="51" t="n">
        <v>0.0247</v>
      </c>
      <c r="I3025" s="51" t="n">
        <v>0.8919</v>
      </c>
      <c r="J3025" s="51" t="n">
        <v>0.0835</v>
      </c>
      <c r="K3025" s="49"/>
      <c r="L3025" s="49"/>
      <c r="M3025" s="49"/>
      <c r="N3025" s="49"/>
      <c r="O3025" s="49"/>
      <c r="P3025" s="49"/>
      <c r="Q3025" s="49"/>
      <c r="R3025" s="49"/>
      <c r="S3025" s="49" t="n">
        <v>0</v>
      </c>
      <c r="T3025" s="49" t="n">
        <v>0</v>
      </c>
      <c r="U3025" s="49" t="s">
        <v>6292</v>
      </c>
    </row>
    <row r="3026" customFormat="false" ht="15" hidden="false" customHeight="false" outlineLevel="0" collapsed="false">
      <c r="B3026" s="48" t="n">
        <v>46027.9335648148</v>
      </c>
      <c r="C3026" s="4" t="n">
        <f aca="false">YEAR(B3026)</f>
        <v>2026</v>
      </c>
      <c r="D3026" s="49" t="s">
        <v>283</v>
      </c>
      <c r="E3026" s="49" t="s">
        <v>6293</v>
      </c>
      <c r="F3026" s="50" t="n">
        <v>0</v>
      </c>
      <c r="G3026" s="49" t="s">
        <v>287</v>
      </c>
      <c r="H3026" s="51" t="n">
        <v>0.0194</v>
      </c>
      <c r="I3026" s="51" t="n">
        <v>0.2746</v>
      </c>
      <c r="J3026" s="51" t="n">
        <v>0.706</v>
      </c>
      <c r="K3026" s="49"/>
      <c r="L3026" s="49"/>
      <c r="M3026" s="49"/>
      <c r="N3026" s="49"/>
      <c r="O3026" s="49"/>
      <c r="P3026" s="49"/>
      <c r="Q3026" s="49"/>
      <c r="R3026" s="49"/>
      <c r="S3026" s="49" t="n">
        <v>0</v>
      </c>
      <c r="T3026" s="49" t="n">
        <v>0</v>
      </c>
      <c r="U3026" s="49" t="s">
        <v>6294</v>
      </c>
    </row>
    <row r="3027" customFormat="false" ht="15" hidden="false" customHeight="false" outlineLevel="0" collapsed="false">
      <c r="B3027" s="48" t="n">
        <v>46028.7052199074</v>
      </c>
      <c r="C3027" s="4" t="n">
        <f aca="false">YEAR(B3027)</f>
        <v>2026</v>
      </c>
      <c r="D3027" s="49" t="s">
        <v>283</v>
      </c>
      <c r="E3027" s="49" t="s">
        <v>6295</v>
      </c>
      <c r="F3027" s="50" t="n">
        <v>2</v>
      </c>
      <c r="G3027" s="49" t="s">
        <v>290</v>
      </c>
      <c r="H3027" s="51" t="n">
        <v>0.0087</v>
      </c>
      <c r="I3027" s="51" t="n">
        <v>0.6529</v>
      </c>
      <c r="J3027" s="51" t="n">
        <v>0.3384</v>
      </c>
      <c r="K3027" s="49"/>
      <c r="L3027" s="49"/>
      <c r="M3027" s="49"/>
      <c r="N3027" s="49"/>
      <c r="O3027" s="49"/>
      <c r="P3027" s="49"/>
      <c r="Q3027" s="49"/>
      <c r="R3027" s="49"/>
      <c r="S3027" s="49" t="n">
        <v>0</v>
      </c>
      <c r="T3027" s="49" t="n">
        <v>0</v>
      </c>
      <c r="U3027" s="49" t="s">
        <v>6296</v>
      </c>
    </row>
    <row r="3028" customFormat="false" ht="15" hidden="false" customHeight="false" outlineLevel="0" collapsed="false">
      <c r="B3028" s="48" t="n">
        <v>46029.0129861111</v>
      </c>
      <c r="C3028" s="4" t="n">
        <f aca="false">YEAR(B3028)</f>
        <v>2026</v>
      </c>
      <c r="D3028" s="49" t="s">
        <v>283</v>
      </c>
      <c r="E3028" s="49" t="s">
        <v>6297</v>
      </c>
      <c r="F3028" s="50" t="n">
        <v>1</v>
      </c>
      <c r="G3028" s="49" t="s">
        <v>290</v>
      </c>
      <c r="H3028" s="51" t="n">
        <v>0.0249</v>
      </c>
      <c r="I3028" s="51" t="n">
        <v>0.8364</v>
      </c>
      <c r="J3028" s="51" t="n">
        <v>0.1388</v>
      </c>
      <c r="K3028" s="49"/>
      <c r="L3028" s="49"/>
      <c r="M3028" s="49"/>
      <c r="N3028" s="49"/>
      <c r="O3028" s="49"/>
      <c r="P3028" s="49"/>
      <c r="Q3028" s="49"/>
      <c r="R3028" s="49"/>
      <c r="S3028" s="49" t="n">
        <v>0</v>
      </c>
      <c r="T3028" s="49" t="n">
        <v>0</v>
      </c>
      <c r="U3028" s="49" t="s">
        <v>6298</v>
      </c>
    </row>
    <row r="3029" customFormat="false" ht="15" hidden="false" customHeight="false" outlineLevel="0" collapsed="false">
      <c r="B3029" s="48" t="n">
        <v>46029.3188541667</v>
      </c>
      <c r="C3029" s="4" t="n">
        <f aca="false">YEAR(B3029)</f>
        <v>2026</v>
      </c>
      <c r="D3029" s="49" t="s">
        <v>283</v>
      </c>
      <c r="E3029" s="49" t="s">
        <v>6299</v>
      </c>
      <c r="F3029" s="50" t="n">
        <v>1</v>
      </c>
      <c r="G3029" s="49" t="s">
        <v>290</v>
      </c>
      <c r="H3029" s="51" t="n">
        <v>0.0137</v>
      </c>
      <c r="I3029" s="51" t="n">
        <v>0.5704</v>
      </c>
      <c r="J3029" s="51" t="n">
        <v>0.4159</v>
      </c>
      <c r="K3029" s="49" t="s">
        <v>281</v>
      </c>
      <c r="L3029" s="49"/>
      <c r="M3029" s="49"/>
      <c r="N3029" s="49"/>
      <c r="O3029" s="49"/>
      <c r="P3029" s="49"/>
      <c r="Q3029" s="49"/>
      <c r="R3029" s="49"/>
      <c r="S3029" s="49" t="n">
        <v>0</v>
      </c>
      <c r="T3029" s="49" t="n">
        <v>0</v>
      </c>
      <c r="U3029" s="49" t="s">
        <v>6300</v>
      </c>
    </row>
    <row r="3030" customFormat="false" ht="15" hidden="false" customHeight="false" outlineLevel="0" collapsed="false">
      <c r="B3030" s="48" t="n">
        <v>46029.5600810185</v>
      </c>
      <c r="C3030" s="4" t="n">
        <f aca="false">YEAR(B3030)</f>
        <v>2026</v>
      </c>
      <c r="D3030" s="49" t="s">
        <v>283</v>
      </c>
      <c r="E3030" s="49" t="s">
        <v>6301</v>
      </c>
      <c r="F3030" s="50" t="n">
        <v>1</v>
      </c>
      <c r="G3030" s="49" t="s">
        <v>287</v>
      </c>
      <c r="H3030" s="51" t="n">
        <v>0.0026</v>
      </c>
      <c r="I3030" s="51" t="n">
        <v>0.137</v>
      </c>
      <c r="J3030" s="51" t="n">
        <v>0.8604</v>
      </c>
      <c r="K3030" s="49"/>
      <c r="L3030" s="49"/>
      <c r="M3030" s="49"/>
      <c r="N3030" s="49"/>
      <c r="O3030" s="49"/>
      <c r="P3030" s="49"/>
      <c r="Q3030" s="49"/>
      <c r="R3030" s="49"/>
      <c r="S3030" s="49" t="n">
        <v>0</v>
      </c>
      <c r="T3030" s="49" t="n">
        <v>0</v>
      </c>
      <c r="U3030" s="49" t="s">
        <v>6302</v>
      </c>
    </row>
    <row r="3031" customFormat="false" ht="15" hidden="false" customHeight="false" outlineLevel="0" collapsed="false">
      <c r="B3031" s="48" t="n">
        <v>46029.7137847222</v>
      </c>
      <c r="C3031" s="4" t="n">
        <f aca="false">YEAR(B3031)</f>
        <v>2026</v>
      </c>
      <c r="D3031" s="49" t="s">
        <v>278</v>
      </c>
      <c r="E3031" s="49" t="s">
        <v>6303</v>
      </c>
      <c r="F3031" s="50" t="n">
        <v>6</v>
      </c>
      <c r="G3031" s="49" t="s">
        <v>280</v>
      </c>
      <c r="H3031" s="51" t="n">
        <v>0.9543</v>
      </c>
      <c r="I3031" s="51" t="n">
        <v>0.0408</v>
      </c>
      <c r="J3031" s="51" t="n">
        <v>0.0048</v>
      </c>
      <c r="K3031" s="49"/>
      <c r="L3031" s="49"/>
      <c r="M3031" s="49"/>
      <c r="N3031" s="49"/>
      <c r="O3031" s="49"/>
      <c r="P3031" s="49"/>
      <c r="Q3031" s="49"/>
      <c r="R3031" s="49"/>
      <c r="S3031" s="49" t="n">
        <v>0</v>
      </c>
      <c r="T3031" s="49" t="n">
        <v>0</v>
      </c>
      <c r="U3031" s="49" t="s">
        <v>6304</v>
      </c>
    </row>
    <row r="3032" customFormat="false" ht="15" hidden="false" customHeight="false" outlineLevel="0" collapsed="false">
      <c r="B3032" s="48" t="n">
        <v>46029.8347222222</v>
      </c>
      <c r="C3032" s="4" t="n">
        <f aca="false">YEAR(B3032)</f>
        <v>2026</v>
      </c>
      <c r="D3032" s="49" t="s">
        <v>283</v>
      </c>
      <c r="E3032" s="49" t="s">
        <v>6305</v>
      </c>
      <c r="F3032" s="50" t="n">
        <v>0</v>
      </c>
      <c r="G3032" s="49" t="s">
        <v>290</v>
      </c>
      <c r="H3032" s="51" t="n">
        <v>0.0109</v>
      </c>
      <c r="I3032" s="51" t="n">
        <v>0.6339</v>
      </c>
      <c r="J3032" s="51" t="n">
        <v>0.3552</v>
      </c>
      <c r="K3032" s="49"/>
      <c r="L3032" s="49"/>
      <c r="M3032" s="49"/>
      <c r="N3032" s="49"/>
      <c r="O3032" s="49"/>
      <c r="P3032" s="49"/>
      <c r="Q3032" s="49"/>
      <c r="R3032" s="49"/>
      <c r="S3032" s="49" t="n">
        <v>0</v>
      </c>
      <c r="T3032" s="49" t="n">
        <v>0</v>
      </c>
      <c r="U3032" s="49" t="s">
        <v>6306</v>
      </c>
    </row>
    <row r="3033" customFormat="false" ht="15" hidden="false" customHeight="false" outlineLevel="0" collapsed="false">
      <c r="B3033" s="48" t="n">
        <v>46030.2598032407</v>
      </c>
      <c r="C3033" s="4" t="n">
        <f aca="false">YEAR(B3033)</f>
        <v>2026</v>
      </c>
      <c r="D3033" s="49" t="s">
        <v>283</v>
      </c>
      <c r="E3033" s="49" t="s">
        <v>6307</v>
      </c>
      <c r="F3033" s="50" t="n">
        <v>1</v>
      </c>
      <c r="G3033" s="49" t="s">
        <v>290</v>
      </c>
      <c r="H3033" s="51" t="n">
        <v>0.0415</v>
      </c>
      <c r="I3033" s="51" t="n">
        <v>0.905</v>
      </c>
      <c r="J3033" s="51" t="n">
        <v>0.0535</v>
      </c>
      <c r="K3033" s="49"/>
      <c r="L3033" s="49"/>
      <c r="M3033" s="49"/>
      <c r="N3033" s="49"/>
      <c r="O3033" s="49"/>
      <c r="P3033" s="49"/>
      <c r="Q3033" s="49"/>
      <c r="R3033" s="49"/>
      <c r="S3033" s="49" t="n">
        <v>0</v>
      </c>
      <c r="T3033" s="49" t="n">
        <v>0</v>
      </c>
      <c r="U3033" s="49" t="s">
        <v>6308</v>
      </c>
    </row>
    <row r="3034" customFormat="false" ht="15" hidden="false" customHeight="false" outlineLevel="0" collapsed="false">
      <c r="B3034" s="48" t="n">
        <v>46030.4350231482</v>
      </c>
      <c r="C3034" s="4" t="n">
        <f aca="false">YEAR(B3034)</f>
        <v>2026</v>
      </c>
      <c r="D3034" s="49" t="s">
        <v>283</v>
      </c>
      <c r="E3034" s="49" t="s">
        <v>6309</v>
      </c>
      <c r="F3034" s="50" t="n">
        <v>1</v>
      </c>
      <c r="G3034" s="49" t="s">
        <v>287</v>
      </c>
      <c r="H3034" s="51" t="n">
        <v>0.0054</v>
      </c>
      <c r="I3034" s="51" t="n">
        <v>0.0625</v>
      </c>
      <c r="J3034" s="51" t="n">
        <v>0.9321</v>
      </c>
      <c r="K3034" s="49"/>
      <c r="L3034" s="49"/>
      <c r="M3034" s="49"/>
      <c r="N3034" s="49"/>
      <c r="O3034" s="49"/>
      <c r="P3034" s="49"/>
      <c r="Q3034" s="49"/>
      <c r="R3034" s="49"/>
      <c r="S3034" s="49" t="n">
        <v>0</v>
      </c>
      <c r="T3034" s="49" t="n">
        <v>0</v>
      </c>
      <c r="U3034" s="49" t="s">
        <v>6310</v>
      </c>
    </row>
    <row r="3035" customFormat="false" ht="15" hidden="false" customHeight="false" outlineLevel="0" collapsed="false">
      <c r="B3035" s="48" t="n">
        <v>46031.0113773148</v>
      </c>
      <c r="C3035" s="4" t="n">
        <f aca="false">YEAR(B3035)</f>
        <v>2026</v>
      </c>
      <c r="D3035" s="49" t="s">
        <v>283</v>
      </c>
      <c r="E3035" s="49" t="s">
        <v>6311</v>
      </c>
      <c r="F3035" s="50" t="n">
        <v>1</v>
      </c>
      <c r="G3035" s="49" t="s">
        <v>287</v>
      </c>
      <c r="H3035" s="51" t="n">
        <v>0.0036</v>
      </c>
      <c r="I3035" s="51" t="n">
        <v>0.3756</v>
      </c>
      <c r="J3035" s="51" t="n">
        <v>0.6208</v>
      </c>
      <c r="K3035" s="49"/>
      <c r="L3035" s="49"/>
      <c r="M3035" s="49"/>
      <c r="N3035" s="49"/>
      <c r="O3035" s="49"/>
      <c r="P3035" s="49"/>
      <c r="Q3035" s="49"/>
      <c r="R3035" s="49"/>
      <c r="S3035" s="49" t="n">
        <v>0</v>
      </c>
      <c r="T3035" s="49" t="n">
        <v>0</v>
      </c>
      <c r="U3035" s="49" t="s">
        <v>6312</v>
      </c>
    </row>
    <row r="3036" customFormat="false" ht="15" hidden="false" customHeight="false" outlineLevel="0" collapsed="false">
      <c r="B3036" s="48" t="n">
        <v>46031.3630555556</v>
      </c>
      <c r="C3036" s="4" t="n">
        <f aca="false">YEAR(B3036)</f>
        <v>2026</v>
      </c>
      <c r="D3036" s="49" t="s">
        <v>278</v>
      </c>
      <c r="E3036" s="49" t="s">
        <v>6313</v>
      </c>
      <c r="F3036" s="50" t="n">
        <v>1</v>
      </c>
      <c r="G3036" s="49" t="s">
        <v>280</v>
      </c>
      <c r="H3036" s="51" t="n">
        <v>0.8922</v>
      </c>
      <c r="I3036" s="51" t="n">
        <v>0.1014</v>
      </c>
      <c r="J3036" s="51" t="n">
        <v>0.0064</v>
      </c>
      <c r="K3036" s="49"/>
      <c r="L3036" s="49"/>
      <c r="M3036" s="49"/>
      <c r="N3036" s="49"/>
      <c r="O3036" s="49"/>
      <c r="P3036" s="49"/>
      <c r="Q3036" s="49" t="s">
        <v>281</v>
      </c>
      <c r="R3036" s="49"/>
      <c r="S3036" s="49" t="n">
        <v>0</v>
      </c>
      <c r="T3036" s="49" t="n">
        <v>0</v>
      </c>
      <c r="U3036" s="49" t="s">
        <v>6314</v>
      </c>
    </row>
    <row r="3037" customFormat="false" ht="15" hidden="false" customHeight="false" outlineLevel="0" collapsed="false">
      <c r="B3037" s="48" t="n">
        <v>46031.6690393519</v>
      </c>
      <c r="C3037" s="4" t="n">
        <f aca="false">YEAR(B3037)</f>
        <v>2026</v>
      </c>
      <c r="D3037" s="49" t="s">
        <v>283</v>
      </c>
      <c r="E3037" s="49" t="s">
        <v>6315</v>
      </c>
      <c r="F3037" s="50" t="n">
        <v>2</v>
      </c>
      <c r="G3037" s="49" t="s">
        <v>290</v>
      </c>
      <c r="H3037" s="51" t="n">
        <v>0.0115</v>
      </c>
      <c r="I3037" s="51" t="n">
        <v>0.7559</v>
      </c>
      <c r="J3037" s="51" t="n">
        <v>0.2326</v>
      </c>
      <c r="K3037" s="49"/>
      <c r="L3037" s="49"/>
      <c r="M3037" s="49"/>
      <c r="N3037" s="49"/>
      <c r="O3037" s="49"/>
      <c r="P3037" s="49"/>
      <c r="Q3037" s="49"/>
      <c r="R3037" s="49"/>
      <c r="S3037" s="49" t="n">
        <v>0</v>
      </c>
      <c r="T3037" s="49" t="n">
        <v>0</v>
      </c>
      <c r="U3037" s="49" t="s">
        <v>6316</v>
      </c>
    </row>
    <row r="3038" customFormat="false" ht="15" hidden="false" customHeight="false" outlineLevel="0" collapsed="false">
      <c r="B3038" s="48" t="n">
        <v>46031.832025463</v>
      </c>
      <c r="C3038" s="4" t="n">
        <f aca="false">YEAR(B3038)</f>
        <v>2026</v>
      </c>
      <c r="D3038" s="49" t="s">
        <v>278</v>
      </c>
      <c r="E3038" s="49" t="s">
        <v>6317</v>
      </c>
      <c r="F3038" s="50" t="n">
        <v>0</v>
      </c>
      <c r="G3038" s="49" t="s">
        <v>280</v>
      </c>
      <c r="H3038" s="51" t="n">
        <v>0.84</v>
      </c>
      <c r="I3038" s="51" t="n">
        <v>0.1357</v>
      </c>
      <c r="J3038" s="51" t="n">
        <v>0.0243</v>
      </c>
      <c r="K3038" s="49"/>
      <c r="L3038" s="49"/>
      <c r="M3038" s="49"/>
      <c r="N3038" s="49"/>
      <c r="O3038" s="49"/>
      <c r="P3038" s="49"/>
      <c r="Q3038" s="49"/>
      <c r="R3038" s="49" t="s">
        <v>281</v>
      </c>
      <c r="S3038" s="49" t="n">
        <v>0</v>
      </c>
      <c r="T3038" s="49" t="n">
        <v>0</v>
      </c>
      <c r="U3038" s="49" t="s">
        <v>6318</v>
      </c>
    </row>
    <row r="3039" customFormat="false" ht="15" hidden="false" customHeight="false" outlineLevel="0" collapsed="false">
      <c r="B3039" s="48" t="n">
        <v>46031.9073263889</v>
      </c>
      <c r="C3039" s="4" t="n">
        <f aca="false">YEAR(B3039)</f>
        <v>2026</v>
      </c>
      <c r="D3039" s="49" t="s">
        <v>278</v>
      </c>
      <c r="E3039" s="49" t="s">
        <v>6319</v>
      </c>
      <c r="F3039" s="50" t="n">
        <v>16</v>
      </c>
      <c r="G3039" s="49" t="s">
        <v>280</v>
      </c>
      <c r="H3039" s="51" t="n">
        <v>0.8281</v>
      </c>
      <c r="I3039" s="51" t="n">
        <v>0.156</v>
      </c>
      <c r="J3039" s="51" t="n">
        <v>0.0159</v>
      </c>
      <c r="K3039" s="49"/>
      <c r="L3039" s="49"/>
      <c r="M3039" s="49"/>
      <c r="N3039" s="49"/>
      <c r="O3039" s="49"/>
      <c r="P3039" s="49"/>
      <c r="Q3039" s="49"/>
      <c r="R3039" s="49"/>
      <c r="S3039" s="49" t="n">
        <v>0</v>
      </c>
      <c r="T3039" s="49" t="n">
        <v>0</v>
      </c>
      <c r="U3039" s="49" t="s">
        <v>6320</v>
      </c>
    </row>
    <row r="3040" customFormat="false" ht="15" hidden="false" customHeight="false" outlineLevel="0" collapsed="false">
      <c r="B3040" s="48" t="n">
        <v>46032.1992939815</v>
      </c>
      <c r="C3040" s="4" t="n">
        <f aca="false">YEAR(B3040)</f>
        <v>2026</v>
      </c>
      <c r="D3040" s="49" t="s">
        <v>278</v>
      </c>
      <c r="E3040" s="49" t="s">
        <v>6321</v>
      </c>
      <c r="F3040" s="50" t="n">
        <v>0</v>
      </c>
      <c r="G3040" s="49" t="s">
        <v>280</v>
      </c>
      <c r="H3040" s="51" t="n">
        <v>0.7055</v>
      </c>
      <c r="I3040" s="51" t="n">
        <v>0.2769</v>
      </c>
      <c r="J3040" s="51" t="n">
        <v>0.0177</v>
      </c>
      <c r="K3040" s="49" t="s">
        <v>281</v>
      </c>
      <c r="L3040" s="49"/>
      <c r="M3040" s="49"/>
      <c r="N3040" s="49"/>
      <c r="O3040" s="49"/>
      <c r="P3040" s="49"/>
      <c r="Q3040" s="49"/>
      <c r="R3040" s="49"/>
      <c r="S3040" s="49" t="n">
        <v>0</v>
      </c>
      <c r="T3040" s="49" t="n">
        <v>0</v>
      </c>
      <c r="U3040" s="49" t="s">
        <v>6322</v>
      </c>
    </row>
    <row r="3041" customFormat="false" ht="15" hidden="false" customHeight="false" outlineLevel="0" collapsed="false">
      <c r="B3041" s="48" t="n">
        <v>46032.9713541667</v>
      </c>
      <c r="C3041" s="4" t="n">
        <f aca="false">YEAR(B3041)</f>
        <v>2026</v>
      </c>
      <c r="D3041" s="49" t="s">
        <v>283</v>
      </c>
      <c r="E3041" s="49" t="s">
        <v>6323</v>
      </c>
      <c r="F3041" s="50" t="n">
        <v>1</v>
      </c>
      <c r="G3041" s="49" t="s">
        <v>290</v>
      </c>
      <c r="H3041" s="51" t="n">
        <v>0.2383</v>
      </c>
      <c r="I3041" s="51" t="n">
        <v>0.7151</v>
      </c>
      <c r="J3041" s="51" t="n">
        <v>0.0466</v>
      </c>
      <c r="K3041" s="49"/>
      <c r="L3041" s="49"/>
      <c r="M3041" s="49"/>
      <c r="N3041" s="49"/>
      <c r="O3041" s="49"/>
      <c r="P3041" s="49"/>
      <c r="Q3041" s="49"/>
      <c r="R3041" s="49"/>
      <c r="S3041" s="49" t="n">
        <v>0</v>
      </c>
      <c r="T3041" s="49" t="n">
        <v>0</v>
      </c>
      <c r="U3041" s="49" t="s">
        <v>6324</v>
      </c>
    </row>
    <row r="3042" customFormat="false" ht="15" hidden="false" customHeight="false" outlineLevel="0" collapsed="false">
      <c r="B3042" s="48" t="n">
        <v>46033.0416782407</v>
      </c>
      <c r="C3042" s="4" t="n">
        <f aca="false">YEAR(B3042)</f>
        <v>2026</v>
      </c>
      <c r="D3042" s="49" t="s">
        <v>283</v>
      </c>
      <c r="E3042" s="49" t="s">
        <v>6325</v>
      </c>
      <c r="F3042" s="50" t="n">
        <v>1</v>
      </c>
      <c r="G3042" s="49" t="s">
        <v>287</v>
      </c>
      <c r="H3042" s="51" t="n">
        <v>0.012</v>
      </c>
      <c r="I3042" s="51" t="n">
        <v>0.1809</v>
      </c>
      <c r="J3042" s="51" t="n">
        <v>0.8071</v>
      </c>
      <c r="K3042" s="49"/>
      <c r="L3042" s="49"/>
      <c r="M3042" s="49"/>
      <c r="N3042" s="49"/>
      <c r="O3042" s="49"/>
      <c r="P3042" s="49"/>
      <c r="Q3042" s="49"/>
      <c r="R3042" s="49"/>
      <c r="S3042" s="49" t="n">
        <v>0</v>
      </c>
      <c r="T3042" s="49" t="n">
        <v>0</v>
      </c>
      <c r="U3042" s="49" t="s">
        <v>6326</v>
      </c>
    </row>
    <row r="3043" customFormat="false" ht="15" hidden="false" customHeight="false" outlineLevel="0" collapsed="false">
      <c r="B3043" s="48" t="n">
        <v>46034.3843518519</v>
      </c>
      <c r="C3043" s="4" t="n">
        <f aca="false">YEAR(B3043)</f>
        <v>2026</v>
      </c>
      <c r="D3043" s="49" t="s">
        <v>278</v>
      </c>
      <c r="E3043" s="49" t="s">
        <v>6327</v>
      </c>
      <c r="F3043" s="50" t="n">
        <v>1</v>
      </c>
      <c r="G3043" s="49" t="s">
        <v>280</v>
      </c>
      <c r="H3043" s="51" t="n">
        <v>0.6005</v>
      </c>
      <c r="I3043" s="51" t="n">
        <v>0.3911</v>
      </c>
      <c r="J3043" s="51" t="n">
        <v>0.0084</v>
      </c>
      <c r="K3043" s="49"/>
      <c r="L3043" s="49"/>
      <c r="M3043" s="49"/>
      <c r="N3043" s="49"/>
      <c r="O3043" s="49"/>
      <c r="P3043" s="49"/>
      <c r="Q3043" s="49"/>
      <c r="R3043" s="49"/>
      <c r="S3043" s="49" t="n">
        <v>1</v>
      </c>
      <c r="T3043" s="49" t="n">
        <v>0</v>
      </c>
      <c r="U3043" s="49" t="s">
        <v>6328</v>
      </c>
    </row>
    <row r="3044" customFormat="false" ht="15" hidden="false" customHeight="false" outlineLevel="0" collapsed="false">
      <c r="B3044" s="48" t="n">
        <v>46034.6896527778</v>
      </c>
      <c r="C3044" s="4" t="n">
        <f aca="false">YEAR(B3044)</f>
        <v>2026</v>
      </c>
      <c r="D3044" s="49" t="s">
        <v>278</v>
      </c>
      <c r="E3044" s="49" t="s">
        <v>6329</v>
      </c>
      <c r="F3044" s="50" t="n">
        <v>1</v>
      </c>
      <c r="G3044" s="49" t="s">
        <v>290</v>
      </c>
      <c r="H3044" s="51" t="n">
        <v>0.1258</v>
      </c>
      <c r="I3044" s="51" t="n">
        <v>0.8237</v>
      </c>
      <c r="J3044" s="51" t="n">
        <v>0.0505</v>
      </c>
      <c r="K3044" s="49"/>
      <c r="L3044" s="49"/>
      <c r="M3044" s="49"/>
      <c r="N3044" s="49"/>
      <c r="O3044" s="49"/>
      <c r="P3044" s="49"/>
      <c r="Q3044" s="49"/>
      <c r="R3044" s="49"/>
      <c r="S3044" s="49" t="n">
        <v>0</v>
      </c>
      <c r="T3044" s="49" t="n">
        <v>0</v>
      </c>
      <c r="U3044" s="49" t="s">
        <v>6330</v>
      </c>
    </row>
    <row r="3045" customFormat="false" ht="15" hidden="false" customHeight="false" outlineLevel="0" collapsed="false">
      <c r="B3045" s="48" t="n">
        <v>46034.7248726852</v>
      </c>
      <c r="C3045" s="4" t="n">
        <f aca="false">YEAR(B3045)</f>
        <v>2026</v>
      </c>
      <c r="D3045" s="49" t="s">
        <v>283</v>
      </c>
      <c r="E3045" s="49" t="s">
        <v>6331</v>
      </c>
      <c r="F3045" s="50" t="n">
        <v>0</v>
      </c>
      <c r="G3045" s="49" t="s">
        <v>290</v>
      </c>
      <c r="H3045" s="51" t="n">
        <v>0.0922</v>
      </c>
      <c r="I3045" s="51" t="n">
        <v>0.4913</v>
      </c>
      <c r="J3045" s="51" t="n">
        <v>0.4165</v>
      </c>
      <c r="K3045" s="49"/>
      <c r="L3045" s="49"/>
      <c r="M3045" s="49"/>
      <c r="N3045" s="49"/>
      <c r="O3045" s="49"/>
      <c r="P3045" s="49"/>
      <c r="Q3045" s="49"/>
      <c r="R3045" s="49"/>
      <c r="S3045" s="49" t="n">
        <v>0</v>
      </c>
      <c r="T3045" s="49" t="n">
        <v>0</v>
      </c>
      <c r="U3045" s="49" t="s">
        <v>6332</v>
      </c>
    </row>
    <row r="3046" customFormat="false" ht="15" hidden="false" customHeight="false" outlineLevel="0" collapsed="false">
      <c r="B3046" s="48" t="n">
        <v>46034.8910185185</v>
      </c>
      <c r="C3046" s="4" t="n">
        <f aca="false">YEAR(B3046)</f>
        <v>2026</v>
      </c>
      <c r="D3046" s="49" t="s">
        <v>278</v>
      </c>
      <c r="E3046" s="49" t="s">
        <v>6333</v>
      </c>
      <c r="F3046" s="50" t="n">
        <v>0</v>
      </c>
      <c r="G3046" s="49" t="s">
        <v>280</v>
      </c>
      <c r="H3046" s="51" t="n">
        <v>0.9041</v>
      </c>
      <c r="I3046" s="51" t="n">
        <v>0.0893</v>
      </c>
      <c r="J3046" s="51" t="n">
        <v>0.0067</v>
      </c>
      <c r="K3046" s="49"/>
      <c r="L3046" s="49"/>
      <c r="M3046" s="49"/>
      <c r="N3046" s="49"/>
      <c r="O3046" s="49"/>
      <c r="P3046" s="49"/>
      <c r="Q3046" s="49" t="s">
        <v>281</v>
      </c>
      <c r="R3046" s="49"/>
      <c r="S3046" s="49" t="n">
        <v>0</v>
      </c>
      <c r="T3046" s="49" t="n">
        <v>0</v>
      </c>
      <c r="U3046" s="49" t="s">
        <v>6334</v>
      </c>
    </row>
    <row r="3047" customFormat="false" ht="15" hidden="false" customHeight="false" outlineLevel="0" collapsed="false">
      <c r="B3047" s="48" t="n">
        <v>46034.9351736111</v>
      </c>
      <c r="C3047" s="4" t="n">
        <f aca="false">YEAR(B3047)</f>
        <v>2026</v>
      </c>
      <c r="D3047" s="49" t="s">
        <v>283</v>
      </c>
      <c r="E3047" s="49" t="s">
        <v>6335</v>
      </c>
      <c r="F3047" s="50" t="n">
        <v>19</v>
      </c>
      <c r="G3047" s="49" t="s">
        <v>290</v>
      </c>
      <c r="H3047" s="51" t="n">
        <v>0.2107</v>
      </c>
      <c r="I3047" s="51" t="n">
        <v>0.5002</v>
      </c>
      <c r="J3047" s="51" t="n">
        <v>0.2891</v>
      </c>
      <c r="K3047" s="49"/>
      <c r="L3047" s="49"/>
      <c r="M3047" s="49"/>
      <c r="N3047" s="49"/>
      <c r="O3047" s="49"/>
      <c r="P3047" s="49"/>
      <c r="Q3047" s="49"/>
      <c r="R3047" s="49"/>
      <c r="S3047" s="49" t="n">
        <v>0</v>
      </c>
      <c r="T3047" s="49" t="n">
        <v>0</v>
      </c>
      <c r="U3047" s="49" t="s">
        <v>6336</v>
      </c>
    </row>
    <row r="3048" customFormat="false" ht="15" hidden="false" customHeight="false" outlineLevel="0" collapsed="false">
      <c r="B3048" s="48" t="n">
        <v>46035.1084606482</v>
      </c>
      <c r="C3048" s="4" t="n">
        <f aca="false">YEAR(B3048)</f>
        <v>2026</v>
      </c>
      <c r="D3048" s="49" t="s">
        <v>278</v>
      </c>
      <c r="E3048" s="49" t="s">
        <v>6337</v>
      </c>
      <c r="F3048" s="50" t="n">
        <v>1</v>
      </c>
      <c r="G3048" s="49" t="s">
        <v>280</v>
      </c>
      <c r="H3048" s="51" t="n">
        <v>0.5627</v>
      </c>
      <c r="I3048" s="51" t="n">
        <v>0.4207</v>
      </c>
      <c r="J3048" s="51" t="n">
        <v>0.0166</v>
      </c>
      <c r="K3048" s="49"/>
      <c r="L3048" s="49"/>
      <c r="M3048" s="49"/>
      <c r="N3048" s="49"/>
      <c r="O3048" s="49"/>
      <c r="P3048" s="49"/>
      <c r="Q3048" s="49"/>
      <c r="R3048" s="49"/>
      <c r="S3048" s="49" t="n">
        <v>0</v>
      </c>
      <c r="T3048" s="49" t="n">
        <v>0</v>
      </c>
      <c r="U3048" s="49" t="s">
        <v>6338</v>
      </c>
    </row>
    <row r="3049" customFormat="false" ht="15" hidden="false" customHeight="false" outlineLevel="0" collapsed="false">
      <c r="B3049" s="48" t="n">
        <v>46035.8720601852</v>
      </c>
      <c r="C3049" s="4" t="n">
        <f aca="false">YEAR(B3049)</f>
        <v>2026</v>
      </c>
      <c r="D3049" s="49" t="s">
        <v>278</v>
      </c>
      <c r="E3049" s="49" t="s">
        <v>6339</v>
      </c>
      <c r="F3049" s="50" t="n">
        <v>3</v>
      </c>
      <c r="G3049" s="49" t="s">
        <v>280</v>
      </c>
      <c r="H3049" s="51" t="n">
        <v>0.6358</v>
      </c>
      <c r="I3049" s="51" t="n">
        <v>0.3392</v>
      </c>
      <c r="J3049" s="51" t="n">
        <v>0.025</v>
      </c>
      <c r="K3049" s="49"/>
      <c r="L3049" s="49"/>
      <c r="M3049" s="49"/>
      <c r="N3049" s="49"/>
      <c r="O3049" s="49"/>
      <c r="P3049" s="49"/>
      <c r="Q3049" s="49"/>
      <c r="R3049" s="49"/>
      <c r="S3049" s="49" t="n">
        <v>0</v>
      </c>
      <c r="T3049" s="49" t="n">
        <v>0</v>
      </c>
      <c r="U3049" s="49" t="s">
        <v>6340</v>
      </c>
    </row>
    <row r="3050" customFormat="false" ht="15" hidden="false" customHeight="false" outlineLevel="0" collapsed="false">
      <c r="B3050" s="48" t="n">
        <v>46035.9052430556</v>
      </c>
      <c r="C3050" s="4" t="n">
        <f aca="false">YEAR(B3050)</f>
        <v>2026</v>
      </c>
      <c r="D3050" s="49" t="s">
        <v>283</v>
      </c>
      <c r="E3050" s="49" t="s">
        <v>6341</v>
      </c>
      <c r="F3050" s="50" t="n">
        <v>1</v>
      </c>
      <c r="G3050" s="49" t="s">
        <v>290</v>
      </c>
      <c r="H3050" s="51" t="n">
        <v>0.0419</v>
      </c>
      <c r="I3050" s="51" t="n">
        <v>0.7748</v>
      </c>
      <c r="J3050" s="51" t="n">
        <v>0.1832</v>
      </c>
      <c r="K3050" s="49"/>
      <c r="L3050" s="49"/>
      <c r="M3050" s="49"/>
      <c r="N3050" s="49"/>
      <c r="O3050" s="49"/>
      <c r="P3050" s="49"/>
      <c r="Q3050" s="49"/>
      <c r="R3050" s="49"/>
      <c r="S3050" s="49" t="n">
        <v>1</v>
      </c>
      <c r="T3050" s="49" t="n">
        <v>0</v>
      </c>
      <c r="U3050" s="49" t="s">
        <v>6342</v>
      </c>
    </row>
    <row r="3051" customFormat="false" ht="15" hidden="false" customHeight="false" outlineLevel="0" collapsed="false">
      <c r="B3051" s="48" t="n">
        <v>46035.9202777778</v>
      </c>
      <c r="C3051" s="4" t="n">
        <f aca="false">YEAR(B3051)</f>
        <v>2026</v>
      </c>
      <c r="D3051" s="49" t="s">
        <v>278</v>
      </c>
      <c r="E3051" s="49" t="s">
        <v>6343</v>
      </c>
      <c r="F3051" s="50" t="n">
        <v>1</v>
      </c>
      <c r="G3051" s="49" t="s">
        <v>280</v>
      </c>
      <c r="H3051" s="51" t="n">
        <v>0.5577</v>
      </c>
      <c r="I3051" s="51" t="n">
        <v>0.4158</v>
      </c>
      <c r="J3051" s="51" t="n">
        <v>0.0265</v>
      </c>
      <c r="K3051" s="49"/>
      <c r="L3051" s="49"/>
      <c r="M3051" s="49"/>
      <c r="N3051" s="49"/>
      <c r="O3051" s="49"/>
      <c r="P3051" s="49"/>
      <c r="Q3051" s="49"/>
      <c r="R3051" s="49" t="s">
        <v>281</v>
      </c>
      <c r="S3051" s="49" t="n">
        <v>0</v>
      </c>
      <c r="T3051" s="49" t="n">
        <v>0</v>
      </c>
      <c r="U3051" s="49" t="s">
        <v>6344</v>
      </c>
    </row>
    <row r="3052" customFormat="false" ht="15" hidden="false" customHeight="false" outlineLevel="0" collapsed="false">
      <c r="B3052" s="48" t="n">
        <v>46036.0152314815</v>
      </c>
      <c r="C3052" s="4" t="n">
        <f aca="false">YEAR(B3052)</f>
        <v>2026</v>
      </c>
      <c r="D3052" s="49" t="s">
        <v>278</v>
      </c>
      <c r="E3052" s="49" t="s">
        <v>6345</v>
      </c>
      <c r="F3052" s="50" t="n">
        <v>1</v>
      </c>
      <c r="G3052" s="49" t="s">
        <v>290</v>
      </c>
      <c r="H3052" s="51" t="n">
        <v>0.1371</v>
      </c>
      <c r="I3052" s="51" t="n">
        <v>0.5018</v>
      </c>
      <c r="J3052" s="51" t="n">
        <v>0.3611</v>
      </c>
      <c r="K3052" s="49"/>
      <c r="L3052" s="49"/>
      <c r="M3052" s="49"/>
      <c r="N3052" s="49"/>
      <c r="O3052" s="49"/>
      <c r="P3052" s="49"/>
      <c r="Q3052" s="49"/>
      <c r="R3052" s="49"/>
      <c r="S3052" s="49" t="n">
        <v>0</v>
      </c>
      <c r="T3052" s="49" t="n">
        <v>0</v>
      </c>
      <c r="U3052" s="49" t="s">
        <v>6346</v>
      </c>
    </row>
    <row r="3053" customFormat="false" ht="15" hidden="false" customHeight="false" outlineLevel="0" collapsed="false">
      <c r="B3053" s="48" t="n">
        <v>46036.5712152778</v>
      </c>
      <c r="C3053" s="4" t="n">
        <f aca="false">YEAR(B3053)</f>
        <v>2026</v>
      </c>
      <c r="D3053" s="49" t="s">
        <v>278</v>
      </c>
      <c r="E3053" s="49" t="s">
        <v>6347</v>
      </c>
      <c r="F3053" s="50" t="n">
        <v>228</v>
      </c>
      <c r="G3053" s="49" t="s">
        <v>280</v>
      </c>
      <c r="H3053" s="51" t="n">
        <v>0.9277</v>
      </c>
      <c r="I3053" s="51" t="n">
        <v>0.0676</v>
      </c>
      <c r="J3053" s="51" t="n">
        <v>0.0047</v>
      </c>
      <c r="K3053" s="49"/>
      <c r="L3053" s="49"/>
      <c r="M3053" s="49"/>
      <c r="N3053" s="49"/>
      <c r="O3053" s="49"/>
      <c r="P3053" s="49"/>
      <c r="Q3053" s="49"/>
      <c r="R3053" s="49"/>
      <c r="S3053" s="49" t="n">
        <v>0</v>
      </c>
      <c r="T3053" s="49" t="n">
        <v>0</v>
      </c>
      <c r="U3053" s="49" t="s">
        <v>6348</v>
      </c>
    </row>
    <row r="3054" customFormat="false" ht="15" hidden="false" customHeight="false" outlineLevel="0" collapsed="false">
      <c r="B3054" s="48" t="n">
        <v>46036.6418055556</v>
      </c>
      <c r="C3054" s="4" t="n">
        <f aca="false">YEAR(B3054)</f>
        <v>2026</v>
      </c>
      <c r="D3054" s="49" t="s">
        <v>278</v>
      </c>
      <c r="E3054" s="49" t="s">
        <v>6349</v>
      </c>
      <c r="F3054" s="50" t="n">
        <v>1</v>
      </c>
      <c r="G3054" s="49" t="s">
        <v>290</v>
      </c>
      <c r="H3054" s="51" t="n">
        <v>0.2325</v>
      </c>
      <c r="I3054" s="51" t="n">
        <v>0.5792</v>
      </c>
      <c r="J3054" s="51" t="n">
        <v>0.1883</v>
      </c>
      <c r="K3054" s="49"/>
      <c r="L3054" s="49"/>
      <c r="M3054" s="49"/>
      <c r="N3054" s="49"/>
      <c r="O3054" s="49"/>
      <c r="P3054" s="49"/>
      <c r="Q3054" s="49"/>
      <c r="R3054" s="49" t="s">
        <v>281</v>
      </c>
      <c r="S3054" s="49" t="n">
        <v>0</v>
      </c>
      <c r="T3054" s="49" t="n">
        <v>0</v>
      </c>
      <c r="U3054" s="49" t="s">
        <v>6350</v>
      </c>
    </row>
    <row r="3055" customFormat="false" ht="15" hidden="false" customHeight="false" outlineLevel="0" collapsed="false">
      <c r="B3055" s="48" t="n">
        <v>46036.7194675926</v>
      </c>
      <c r="C3055" s="4" t="n">
        <f aca="false">YEAR(B3055)</f>
        <v>2026</v>
      </c>
      <c r="D3055" s="49" t="s">
        <v>278</v>
      </c>
      <c r="E3055" s="49" t="s">
        <v>6351</v>
      </c>
      <c r="F3055" s="50" t="n">
        <v>1</v>
      </c>
      <c r="G3055" s="49" t="s">
        <v>280</v>
      </c>
      <c r="H3055" s="51" t="n">
        <v>0.7507</v>
      </c>
      <c r="I3055" s="51" t="n">
        <v>0.2274</v>
      </c>
      <c r="J3055" s="51" t="n">
        <v>0.0218</v>
      </c>
      <c r="K3055" s="49"/>
      <c r="L3055" s="49"/>
      <c r="M3055" s="49" t="s">
        <v>281</v>
      </c>
      <c r="N3055" s="49"/>
      <c r="O3055" s="49" t="s">
        <v>281</v>
      </c>
      <c r="P3055" s="49"/>
      <c r="Q3055" s="49"/>
      <c r="R3055" s="49" t="s">
        <v>281</v>
      </c>
      <c r="S3055" s="49" t="n">
        <v>0</v>
      </c>
      <c r="T3055" s="49" t="n">
        <v>0</v>
      </c>
      <c r="U3055" s="49" t="s">
        <v>6352</v>
      </c>
    </row>
    <row r="3056" customFormat="false" ht="15" hidden="false" customHeight="false" outlineLevel="0" collapsed="false">
      <c r="B3056" s="48" t="n">
        <v>46036.7234722222</v>
      </c>
      <c r="C3056" s="4" t="n">
        <f aca="false">YEAR(B3056)</f>
        <v>2026</v>
      </c>
      <c r="D3056" s="49" t="s">
        <v>278</v>
      </c>
      <c r="E3056" s="49" t="s">
        <v>6351</v>
      </c>
      <c r="F3056" s="50" t="n">
        <v>3</v>
      </c>
      <c r="G3056" s="49" t="s">
        <v>280</v>
      </c>
      <c r="H3056" s="51" t="n">
        <v>0.7507</v>
      </c>
      <c r="I3056" s="51" t="n">
        <v>0.2274</v>
      </c>
      <c r="J3056" s="51" t="n">
        <v>0.0218</v>
      </c>
      <c r="K3056" s="49"/>
      <c r="L3056" s="49"/>
      <c r="M3056" s="49" t="s">
        <v>281</v>
      </c>
      <c r="N3056" s="49"/>
      <c r="O3056" s="49" t="s">
        <v>281</v>
      </c>
      <c r="P3056" s="49"/>
      <c r="Q3056" s="49"/>
      <c r="R3056" s="49" t="s">
        <v>281</v>
      </c>
      <c r="S3056" s="49" t="n">
        <v>0</v>
      </c>
      <c r="T3056" s="49" t="n">
        <v>0</v>
      </c>
      <c r="U3056" s="49" t="s">
        <v>6353</v>
      </c>
    </row>
    <row r="3057" customFormat="false" ht="15" hidden="false" customHeight="false" outlineLevel="0" collapsed="false">
      <c r="B3057" s="48" t="n">
        <v>46037.2484490741</v>
      </c>
      <c r="C3057" s="4" t="n">
        <f aca="false">YEAR(B3057)</f>
        <v>2026</v>
      </c>
      <c r="D3057" s="49" t="s">
        <v>278</v>
      </c>
      <c r="E3057" s="49" t="s">
        <v>6354</v>
      </c>
      <c r="F3057" s="50" t="n">
        <v>2</v>
      </c>
      <c r="G3057" s="49" t="s">
        <v>290</v>
      </c>
      <c r="H3057" s="51" t="n">
        <v>0.0127</v>
      </c>
      <c r="I3057" s="51" t="n">
        <v>0.9119</v>
      </c>
      <c r="J3057" s="51" t="n">
        <v>0.0754</v>
      </c>
      <c r="K3057" s="49"/>
      <c r="L3057" s="49"/>
      <c r="M3057" s="49"/>
      <c r="N3057" s="49"/>
      <c r="O3057" s="49"/>
      <c r="P3057" s="49"/>
      <c r="Q3057" s="49" t="s">
        <v>281</v>
      </c>
      <c r="R3057" s="49"/>
      <c r="S3057" s="49" t="n">
        <v>0</v>
      </c>
      <c r="T3057" s="49" t="n">
        <v>0</v>
      </c>
      <c r="U3057" s="49" t="s">
        <v>6355</v>
      </c>
    </row>
    <row r="3058" customFormat="false" ht="15" hidden="false" customHeight="false" outlineLevel="0" collapsed="false">
      <c r="B3058" s="48" t="n">
        <v>46038.0190277778</v>
      </c>
      <c r="C3058" s="4" t="n">
        <f aca="false">YEAR(B3058)</f>
        <v>2026</v>
      </c>
      <c r="D3058" s="49" t="s">
        <v>283</v>
      </c>
      <c r="E3058" s="49" t="s">
        <v>6356</v>
      </c>
      <c r="F3058" s="50" t="n">
        <v>2</v>
      </c>
      <c r="G3058" s="49" t="s">
        <v>287</v>
      </c>
      <c r="H3058" s="51" t="n">
        <v>0.0312</v>
      </c>
      <c r="I3058" s="51" t="n">
        <v>0.4076</v>
      </c>
      <c r="J3058" s="51" t="n">
        <v>0.5612</v>
      </c>
      <c r="K3058" s="49"/>
      <c r="L3058" s="49"/>
      <c r="M3058" s="49"/>
      <c r="N3058" s="49"/>
      <c r="O3058" s="49"/>
      <c r="P3058" s="49"/>
      <c r="Q3058" s="49"/>
      <c r="R3058" s="49"/>
      <c r="S3058" s="49" t="n">
        <v>0</v>
      </c>
      <c r="T3058" s="49" t="n">
        <v>0</v>
      </c>
      <c r="U3058" s="49" t="s">
        <v>6357</v>
      </c>
    </row>
    <row r="3059" customFormat="false" ht="15" hidden="false" customHeight="false" outlineLevel="0" collapsed="false">
      <c r="B3059" s="48" t="n">
        <v>46038.0352314815</v>
      </c>
      <c r="C3059" s="4" t="n">
        <f aca="false">YEAR(B3059)</f>
        <v>2026</v>
      </c>
      <c r="D3059" s="49" t="s">
        <v>278</v>
      </c>
      <c r="E3059" s="49" t="s">
        <v>6358</v>
      </c>
      <c r="F3059" s="50" t="n">
        <v>1</v>
      </c>
      <c r="G3059" s="49" t="s">
        <v>280</v>
      </c>
      <c r="H3059" s="51" t="n">
        <v>0.5393</v>
      </c>
      <c r="I3059" s="51" t="n">
        <v>0.448</v>
      </c>
      <c r="J3059" s="51" t="n">
        <v>0.0127</v>
      </c>
      <c r="K3059" s="49"/>
      <c r="L3059" s="49"/>
      <c r="M3059" s="49"/>
      <c r="N3059" s="49"/>
      <c r="O3059" s="49"/>
      <c r="P3059" s="49"/>
      <c r="Q3059" s="49" t="s">
        <v>281</v>
      </c>
      <c r="R3059" s="49"/>
      <c r="S3059" s="49" t="n">
        <v>0</v>
      </c>
      <c r="T3059" s="49" t="n">
        <v>0</v>
      </c>
      <c r="U3059" s="49" t="s">
        <v>6359</v>
      </c>
    </row>
    <row r="3060" customFormat="false" ht="15" hidden="false" customHeight="false" outlineLevel="0" collapsed="false">
      <c r="B3060" s="48" t="n">
        <v>46038.0637731482</v>
      </c>
      <c r="C3060" s="4" t="n">
        <f aca="false">YEAR(B3060)</f>
        <v>2026</v>
      </c>
      <c r="D3060" s="49" t="s">
        <v>278</v>
      </c>
      <c r="E3060" s="49" t="s">
        <v>6360</v>
      </c>
      <c r="F3060" s="50" t="n">
        <v>1</v>
      </c>
      <c r="G3060" s="49" t="s">
        <v>280</v>
      </c>
      <c r="H3060" s="51" t="n">
        <v>0.7687</v>
      </c>
      <c r="I3060" s="51" t="n">
        <v>0.2188</v>
      </c>
      <c r="J3060" s="51" t="n">
        <v>0.0125</v>
      </c>
      <c r="K3060" s="49"/>
      <c r="L3060" s="49"/>
      <c r="M3060" s="49"/>
      <c r="N3060" s="49"/>
      <c r="O3060" s="49"/>
      <c r="P3060" s="49"/>
      <c r="Q3060" s="49"/>
      <c r="R3060" s="49"/>
      <c r="S3060" s="49" t="n">
        <v>0</v>
      </c>
      <c r="T3060" s="49" t="n">
        <v>0</v>
      </c>
      <c r="U3060" s="49" t="s">
        <v>6361</v>
      </c>
    </row>
    <row r="3061" customFormat="false" ht="15" hidden="false" customHeight="false" outlineLevel="0" collapsed="false">
      <c r="B3061" s="48" t="n">
        <v>46038.0650925926</v>
      </c>
      <c r="C3061" s="4" t="n">
        <f aca="false">YEAR(B3061)</f>
        <v>2026</v>
      </c>
      <c r="D3061" s="49" t="s">
        <v>278</v>
      </c>
      <c r="E3061" s="49" t="s">
        <v>6362</v>
      </c>
      <c r="F3061" s="50" t="n">
        <v>0</v>
      </c>
      <c r="G3061" s="49" t="s">
        <v>280</v>
      </c>
      <c r="H3061" s="51" t="n">
        <v>0.7184</v>
      </c>
      <c r="I3061" s="51" t="n">
        <v>0.2619</v>
      </c>
      <c r="J3061" s="51" t="n">
        <v>0.0197</v>
      </c>
      <c r="K3061" s="49"/>
      <c r="L3061" s="49"/>
      <c r="M3061" s="49"/>
      <c r="N3061" s="49"/>
      <c r="O3061" s="49"/>
      <c r="P3061" s="49"/>
      <c r="Q3061" s="49"/>
      <c r="R3061" s="49"/>
      <c r="S3061" s="49" t="n">
        <v>0</v>
      </c>
      <c r="T3061" s="49" t="n">
        <v>0</v>
      </c>
      <c r="U3061" s="49" t="s">
        <v>6363</v>
      </c>
    </row>
    <row r="3062" customFormat="false" ht="15" hidden="false" customHeight="false" outlineLevel="0" collapsed="false">
      <c r="B3062" s="48" t="n">
        <v>46038.343587963</v>
      </c>
      <c r="C3062" s="4" t="n">
        <f aca="false">YEAR(B3062)</f>
        <v>2026</v>
      </c>
      <c r="D3062" s="49" t="s">
        <v>278</v>
      </c>
      <c r="E3062" s="49" t="s">
        <v>6364</v>
      </c>
      <c r="F3062" s="50" t="n">
        <v>1</v>
      </c>
      <c r="G3062" s="49" t="s">
        <v>290</v>
      </c>
      <c r="H3062" s="51" t="n">
        <v>0.1343</v>
      </c>
      <c r="I3062" s="51" t="n">
        <v>0.8406</v>
      </c>
      <c r="J3062" s="51" t="n">
        <v>0.0251</v>
      </c>
      <c r="K3062" s="49"/>
      <c r="L3062" s="49"/>
      <c r="M3062" s="49"/>
      <c r="N3062" s="49"/>
      <c r="O3062" s="49"/>
      <c r="P3062" s="49"/>
      <c r="Q3062" s="49"/>
      <c r="R3062" s="49"/>
      <c r="S3062" s="49" t="n">
        <v>0</v>
      </c>
      <c r="T3062" s="49" t="n">
        <v>0</v>
      </c>
      <c r="U3062" s="49" t="s">
        <v>6365</v>
      </c>
    </row>
    <row r="3063" customFormat="false" ht="15" hidden="false" customHeight="false" outlineLevel="0" collapsed="false">
      <c r="B3063" s="48" t="n">
        <v>46038.6336111111</v>
      </c>
      <c r="C3063" s="4" t="n">
        <f aca="false">YEAR(B3063)</f>
        <v>2026</v>
      </c>
      <c r="D3063" s="49" t="s">
        <v>278</v>
      </c>
      <c r="E3063" s="49" t="s">
        <v>6366</v>
      </c>
      <c r="F3063" s="50" t="n">
        <v>3</v>
      </c>
      <c r="G3063" s="49" t="s">
        <v>290</v>
      </c>
      <c r="H3063" s="51" t="n">
        <v>0.0178</v>
      </c>
      <c r="I3063" s="51" t="n">
        <v>0.786</v>
      </c>
      <c r="J3063" s="51" t="n">
        <v>0.1963</v>
      </c>
      <c r="K3063" s="49"/>
      <c r="L3063" s="49"/>
      <c r="M3063" s="49"/>
      <c r="N3063" s="49"/>
      <c r="O3063" s="49"/>
      <c r="P3063" s="49"/>
      <c r="Q3063" s="49"/>
      <c r="R3063" s="49"/>
      <c r="S3063" s="49" t="n">
        <v>0</v>
      </c>
      <c r="T3063" s="49" t="n">
        <v>0</v>
      </c>
      <c r="U3063" s="49" t="s">
        <v>6367</v>
      </c>
    </row>
    <row r="3064" customFormat="false" ht="15" hidden="false" customHeight="false" outlineLevel="0" collapsed="false">
      <c r="B3064" s="48" t="n">
        <v>46038.836087963</v>
      </c>
      <c r="C3064" s="4" t="n">
        <f aca="false">YEAR(B3064)</f>
        <v>2026</v>
      </c>
      <c r="D3064" s="49" t="s">
        <v>278</v>
      </c>
      <c r="E3064" s="49" t="s">
        <v>6368</v>
      </c>
      <c r="F3064" s="50" t="n">
        <v>2</v>
      </c>
      <c r="G3064" s="49" t="s">
        <v>280</v>
      </c>
      <c r="H3064" s="51" t="n">
        <v>0.7471</v>
      </c>
      <c r="I3064" s="51" t="n">
        <v>0.2372</v>
      </c>
      <c r="J3064" s="51" t="n">
        <v>0.0157</v>
      </c>
      <c r="K3064" s="49"/>
      <c r="L3064" s="49"/>
      <c r="M3064" s="49"/>
      <c r="N3064" s="49"/>
      <c r="O3064" s="49"/>
      <c r="P3064" s="49"/>
      <c r="Q3064" s="49"/>
      <c r="R3064" s="49"/>
      <c r="S3064" s="49" t="n">
        <v>0</v>
      </c>
      <c r="T3064" s="49" t="n">
        <v>0</v>
      </c>
      <c r="U3064" s="49" t="s">
        <v>6369</v>
      </c>
    </row>
    <row r="3065" customFormat="false" ht="15" hidden="false" customHeight="false" outlineLevel="0" collapsed="false">
      <c r="B3065" s="48" t="n">
        <v>46038.9130324074</v>
      </c>
      <c r="C3065" s="4" t="n">
        <f aca="false">YEAR(B3065)</f>
        <v>2026</v>
      </c>
      <c r="D3065" s="49" t="s">
        <v>283</v>
      </c>
      <c r="E3065" s="49" t="s">
        <v>6370</v>
      </c>
      <c r="F3065" s="50" t="n">
        <v>1</v>
      </c>
      <c r="G3065" s="49" t="s">
        <v>280</v>
      </c>
      <c r="H3065" s="51" t="n">
        <v>0.9427</v>
      </c>
      <c r="I3065" s="51" t="n">
        <v>0.0518</v>
      </c>
      <c r="J3065" s="51" t="n">
        <v>0.0054</v>
      </c>
      <c r="K3065" s="49"/>
      <c r="L3065" s="49"/>
      <c r="M3065" s="49"/>
      <c r="N3065" s="49"/>
      <c r="O3065" s="49"/>
      <c r="P3065" s="49"/>
      <c r="Q3065" s="49"/>
      <c r="R3065" s="49"/>
      <c r="S3065" s="49" t="n">
        <v>1</v>
      </c>
      <c r="T3065" s="49" t="n">
        <v>0</v>
      </c>
      <c r="U3065" s="49" t="s">
        <v>6371</v>
      </c>
    </row>
    <row r="3066" customFormat="false" ht="15" hidden="false" customHeight="false" outlineLevel="0" collapsed="false">
      <c r="B3066" s="48" t="n">
        <v>46039.1481134259</v>
      </c>
      <c r="C3066" s="4" t="n">
        <f aca="false">YEAR(B3066)</f>
        <v>2026</v>
      </c>
      <c r="D3066" s="49" t="s">
        <v>278</v>
      </c>
      <c r="E3066" s="49" t="s">
        <v>6372</v>
      </c>
      <c r="F3066" s="50" t="n">
        <v>2</v>
      </c>
      <c r="G3066" s="49" t="s">
        <v>280</v>
      </c>
      <c r="H3066" s="51" t="n">
        <v>0.8038</v>
      </c>
      <c r="I3066" s="51" t="n">
        <v>0.1809</v>
      </c>
      <c r="J3066" s="51" t="n">
        <v>0.0154</v>
      </c>
      <c r="K3066" s="49"/>
      <c r="L3066" s="49"/>
      <c r="M3066" s="49"/>
      <c r="N3066" s="49"/>
      <c r="O3066" s="49"/>
      <c r="P3066" s="49"/>
      <c r="Q3066" s="49"/>
      <c r="R3066" s="49"/>
      <c r="S3066" s="49" t="n">
        <v>0</v>
      </c>
      <c r="T3066" s="49" t="n">
        <v>0</v>
      </c>
      <c r="U3066" s="49" t="s">
        <v>6373</v>
      </c>
    </row>
    <row r="3067" customFormat="false" ht="15" hidden="false" customHeight="false" outlineLevel="0" collapsed="false">
      <c r="B3067" s="48" t="n">
        <v>46039.5940046296</v>
      </c>
      <c r="C3067" s="4" t="n">
        <f aca="false">YEAR(B3067)</f>
        <v>2026</v>
      </c>
      <c r="D3067" s="49" t="s">
        <v>283</v>
      </c>
      <c r="E3067" s="49" t="s">
        <v>6374</v>
      </c>
      <c r="F3067" s="50" t="n">
        <v>10</v>
      </c>
      <c r="G3067" s="49" t="s">
        <v>280</v>
      </c>
      <c r="H3067" s="51" t="n">
        <v>0.6472</v>
      </c>
      <c r="I3067" s="51" t="n">
        <v>0.3151</v>
      </c>
      <c r="J3067" s="51" t="n">
        <v>0.0377</v>
      </c>
      <c r="K3067" s="49" t="s">
        <v>281</v>
      </c>
      <c r="L3067" s="49"/>
      <c r="M3067" s="49"/>
      <c r="N3067" s="49"/>
      <c r="O3067" s="49"/>
      <c r="P3067" s="49"/>
      <c r="Q3067" s="49" t="s">
        <v>281</v>
      </c>
      <c r="R3067" s="49" t="s">
        <v>281</v>
      </c>
      <c r="S3067" s="49" t="n">
        <v>0</v>
      </c>
      <c r="T3067" s="49" t="n">
        <v>0</v>
      </c>
      <c r="U3067" s="49" t="s">
        <v>6375</v>
      </c>
    </row>
    <row r="3068" customFormat="false" ht="15" hidden="false" customHeight="false" outlineLevel="0" collapsed="false">
      <c r="B3068" s="48" t="n">
        <v>46039.6437268519</v>
      </c>
      <c r="C3068" s="4" t="n">
        <f aca="false">YEAR(B3068)</f>
        <v>2026</v>
      </c>
      <c r="D3068" s="49" t="s">
        <v>278</v>
      </c>
      <c r="E3068" s="49" t="s">
        <v>6376</v>
      </c>
      <c r="F3068" s="50" t="n">
        <v>3</v>
      </c>
      <c r="G3068" s="49" t="s">
        <v>280</v>
      </c>
      <c r="H3068" s="51" t="n">
        <v>0.649</v>
      </c>
      <c r="I3068" s="51" t="n">
        <v>0.3243</v>
      </c>
      <c r="J3068" s="51" t="n">
        <v>0.0267</v>
      </c>
      <c r="K3068" s="49"/>
      <c r="L3068" s="49"/>
      <c r="M3068" s="49" t="s">
        <v>281</v>
      </c>
      <c r="N3068" s="49"/>
      <c r="O3068" s="49" t="s">
        <v>281</v>
      </c>
      <c r="P3068" s="49"/>
      <c r="Q3068" s="49"/>
      <c r="R3068" s="49"/>
      <c r="S3068" s="49" t="n">
        <v>0</v>
      </c>
      <c r="T3068" s="49" t="n">
        <v>0</v>
      </c>
      <c r="U3068" s="49" t="s">
        <v>6377</v>
      </c>
    </row>
    <row r="3069" customFormat="false" ht="15" hidden="false" customHeight="false" outlineLevel="0" collapsed="false">
      <c r="B3069" s="48" t="n">
        <v>46040.0721875</v>
      </c>
      <c r="C3069" s="4" t="n">
        <f aca="false">YEAR(B3069)</f>
        <v>2026</v>
      </c>
      <c r="D3069" s="49" t="s">
        <v>278</v>
      </c>
      <c r="E3069" s="49" t="s">
        <v>6378</v>
      </c>
      <c r="F3069" s="50" t="n">
        <v>2</v>
      </c>
      <c r="G3069" s="49" t="s">
        <v>287</v>
      </c>
      <c r="H3069" s="51" t="n">
        <v>0.0164</v>
      </c>
      <c r="I3069" s="51" t="n">
        <v>0.2823</v>
      </c>
      <c r="J3069" s="51" t="n">
        <v>0.7013</v>
      </c>
      <c r="K3069" s="49" t="s">
        <v>281</v>
      </c>
      <c r="L3069" s="49"/>
      <c r="M3069" s="49"/>
      <c r="N3069" s="49"/>
      <c r="O3069" s="49"/>
      <c r="P3069" s="49"/>
      <c r="Q3069" s="49"/>
      <c r="R3069" s="49"/>
      <c r="S3069" s="49" t="n">
        <v>0</v>
      </c>
      <c r="T3069" s="49" t="n">
        <v>0</v>
      </c>
      <c r="U3069" s="49" t="s">
        <v>6379</v>
      </c>
    </row>
    <row r="3070" customFormat="false" ht="15" hidden="false" customHeight="false" outlineLevel="0" collapsed="false">
      <c r="B3070" s="48" t="n">
        <v>46040.2313078704</v>
      </c>
      <c r="C3070" s="4" t="n">
        <f aca="false">YEAR(B3070)</f>
        <v>2026</v>
      </c>
      <c r="D3070" s="49" t="s">
        <v>283</v>
      </c>
      <c r="E3070" s="49" t="s">
        <v>6380</v>
      </c>
      <c r="F3070" s="50" t="n">
        <v>6</v>
      </c>
      <c r="G3070" s="49" t="s">
        <v>290</v>
      </c>
      <c r="H3070" s="51" t="n">
        <v>0.2067</v>
      </c>
      <c r="I3070" s="51" t="n">
        <v>0.7085</v>
      </c>
      <c r="J3070" s="51" t="n">
        <v>0.0848</v>
      </c>
      <c r="K3070" s="49"/>
      <c r="L3070" s="49"/>
      <c r="M3070" s="49"/>
      <c r="N3070" s="49"/>
      <c r="O3070" s="49"/>
      <c r="P3070" s="49"/>
      <c r="Q3070" s="49"/>
      <c r="R3070" s="49"/>
      <c r="S3070" s="49" t="n">
        <v>0</v>
      </c>
      <c r="T3070" s="49" t="n">
        <v>0</v>
      </c>
      <c r="U3070" s="49" t="s">
        <v>6381</v>
      </c>
    </row>
    <row r="3071" customFormat="false" ht="15" hidden="false" customHeight="false" outlineLevel="0" collapsed="false">
      <c r="B3071" s="48" t="n">
        <v>46040.3301967593</v>
      </c>
      <c r="C3071" s="4" t="n">
        <f aca="false">YEAR(B3071)</f>
        <v>2026</v>
      </c>
      <c r="D3071" s="49" t="s">
        <v>278</v>
      </c>
      <c r="E3071" s="49" t="s">
        <v>6382</v>
      </c>
      <c r="F3071" s="50" t="n">
        <v>1</v>
      </c>
      <c r="G3071" s="49" t="s">
        <v>287</v>
      </c>
      <c r="H3071" s="51" t="n">
        <v>0.0101</v>
      </c>
      <c r="I3071" s="51" t="n">
        <v>0.0898</v>
      </c>
      <c r="J3071" s="51" t="n">
        <v>0.9001</v>
      </c>
      <c r="K3071" s="49"/>
      <c r="L3071" s="49"/>
      <c r="M3071" s="49"/>
      <c r="N3071" s="49"/>
      <c r="O3071" s="49"/>
      <c r="P3071" s="49"/>
      <c r="Q3071" s="49"/>
      <c r="R3071" s="49"/>
      <c r="S3071" s="49" t="n">
        <v>0</v>
      </c>
      <c r="T3071" s="49" t="n">
        <v>0</v>
      </c>
      <c r="U3071" s="49" t="s">
        <v>6383</v>
      </c>
    </row>
    <row r="3072" customFormat="false" ht="15" hidden="false" customHeight="false" outlineLevel="0" collapsed="false">
      <c r="B3072" s="48" t="n">
        <v>46041.3593865741</v>
      </c>
      <c r="C3072" s="4" t="n">
        <f aca="false">YEAR(B3072)</f>
        <v>2026</v>
      </c>
      <c r="D3072" s="49" t="s">
        <v>283</v>
      </c>
      <c r="E3072" s="49" t="s">
        <v>6384</v>
      </c>
      <c r="F3072" s="50" t="n">
        <v>0</v>
      </c>
      <c r="G3072" s="49" t="s">
        <v>290</v>
      </c>
      <c r="H3072" s="51" t="n">
        <v>0.0103</v>
      </c>
      <c r="I3072" s="51" t="n">
        <v>0.903</v>
      </c>
      <c r="J3072" s="51" t="n">
        <v>0.0867</v>
      </c>
      <c r="K3072" s="49"/>
      <c r="L3072" s="49"/>
      <c r="M3072" s="49"/>
      <c r="N3072" s="49"/>
      <c r="O3072" s="49"/>
      <c r="P3072" s="49"/>
      <c r="Q3072" s="49"/>
      <c r="R3072" s="49"/>
      <c r="S3072" s="49" t="n">
        <v>0</v>
      </c>
      <c r="T3072" s="49" t="n">
        <v>0</v>
      </c>
      <c r="U3072" s="49" t="s">
        <v>6385</v>
      </c>
    </row>
    <row r="3073" customFormat="false" ht="15" hidden="false" customHeight="false" outlineLevel="0" collapsed="false">
      <c r="B3073" s="48" t="n">
        <v>46041.5509837963</v>
      </c>
      <c r="C3073" s="4" t="n">
        <f aca="false">YEAR(B3073)</f>
        <v>2026</v>
      </c>
      <c r="D3073" s="49" t="s">
        <v>278</v>
      </c>
      <c r="E3073" s="49" t="s">
        <v>6386</v>
      </c>
      <c r="F3073" s="50" t="n">
        <v>1</v>
      </c>
      <c r="G3073" s="49" t="s">
        <v>290</v>
      </c>
      <c r="H3073" s="51" t="n">
        <v>0.0112</v>
      </c>
      <c r="I3073" s="51" t="n">
        <v>0.8936</v>
      </c>
      <c r="J3073" s="51" t="n">
        <v>0.0952</v>
      </c>
      <c r="K3073" s="49"/>
      <c r="L3073" s="49"/>
      <c r="M3073" s="49"/>
      <c r="N3073" s="49"/>
      <c r="O3073" s="49"/>
      <c r="P3073" s="49"/>
      <c r="Q3073" s="49"/>
      <c r="R3073" s="49"/>
      <c r="S3073" s="49" t="n">
        <v>0</v>
      </c>
      <c r="T3073" s="49" t="n">
        <v>0</v>
      </c>
      <c r="U3073" s="49" t="s">
        <v>6387</v>
      </c>
    </row>
    <row r="3074" customFormat="false" ht="15" hidden="false" customHeight="false" outlineLevel="0" collapsed="false">
      <c r="B3074" s="48" t="n">
        <v>46041.8918634259</v>
      </c>
      <c r="C3074" s="4" t="n">
        <f aca="false">YEAR(B3074)</f>
        <v>2026</v>
      </c>
      <c r="D3074" s="49" t="s">
        <v>283</v>
      </c>
      <c r="E3074" s="49" t="s">
        <v>6388</v>
      </c>
      <c r="F3074" s="50" t="n">
        <v>1</v>
      </c>
      <c r="G3074" s="49" t="s">
        <v>290</v>
      </c>
      <c r="H3074" s="51" t="n">
        <v>0.0149</v>
      </c>
      <c r="I3074" s="51" t="n">
        <v>0.8449</v>
      </c>
      <c r="J3074" s="51" t="n">
        <v>0.1402</v>
      </c>
      <c r="K3074" s="49"/>
      <c r="L3074" s="49"/>
      <c r="M3074" s="49"/>
      <c r="N3074" s="49"/>
      <c r="O3074" s="49"/>
      <c r="P3074" s="49"/>
      <c r="Q3074" s="49"/>
      <c r="R3074" s="49"/>
      <c r="S3074" s="49" t="n">
        <v>0</v>
      </c>
      <c r="T3074" s="49" t="n">
        <v>0</v>
      </c>
      <c r="U3074" s="49" t="s">
        <v>6389</v>
      </c>
    </row>
    <row r="3075" customFormat="false" ht="15" hidden="false" customHeight="false" outlineLevel="0" collapsed="false">
      <c r="B3075" s="48" t="n">
        <v>46042.0889930556</v>
      </c>
      <c r="C3075" s="4" t="n">
        <f aca="false">YEAR(B3075)</f>
        <v>2026</v>
      </c>
      <c r="D3075" s="49" t="s">
        <v>283</v>
      </c>
      <c r="E3075" s="49" t="s">
        <v>6390</v>
      </c>
      <c r="F3075" s="50" t="n">
        <v>1</v>
      </c>
      <c r="G3075" s="49" t="s">
        <v>287</v>
      </c>
      <c r="H3075" s="51" t="n">
        <v>0.0107</v>
      </c>
      <c r="I3075" s="51" t="n">
        <v>0.2616</v>
      </c>
      <c r="J3075" s="51" t="n">
        <v>0.7277</v>
      </c>
      <c r="K3075" s="49"/>
      <c r="L3075" s="49"/>
      <c r="M3075" s="49"/>
      <c r="N3075" s="49"/>
      <c r="O3075" s="49"/>
      <c r="P3075" s="49"/>
      <c r="Q3075" s="49"/>
      <c r="R3075" s="49"/>
      <c r="S3075" s="49" t="n">
        <v>0</v>
      </c>
      <c r="T3075" s="49" t="n">
        <v>0</v>
      </c>
      <c r="U3075" s="49" t="s">
        <v>6391</v>
      </c>
    </row>
    <row r="3076" customFormat="false" ht="15" hidden="false" customHeight="false" outlineLevel="0" collapsed="false">
      <c r="B3076" s="48" t="n">
        <v>46042.6917708333</v>
      </c>
      <c r="C3076" s="4" t="n">
        <f aca="false">YEAR(B3076)</f>
        <v>2026</v>
      </c>
      <c r="D3076" s="49" t="s">
        <v>278</v>
      </c>
      <c r="E3076" s="49" t="s">
        <v>6392</v>
      </c>
      <c r="F3076" s="50" t="n">
        <v>1</v>
      </c>
      <c r="G3076" s="49" t="s">
        <v>280</v>
      </c>
      <c r="H3076" s="51" t="n">
        <v>0.903</v>
      </c>
      <c r="I3076" s="51" t="n">
        <v>0.0881</v>
      </c>
      <c r="J3076" s="51" t="n">
        <v>0.009</v>
      </c>
      <c r="K3076" s="49"/>
      <c r="L3076" s="49"/>
      <c r="M3076" s="49"/>
      <c r="N3076" s="49"/>
      <c r="O3076" s="49"/>
      <c r="P3076" s="49"/>
      <c r="Q3076" s="49"/>
      <c r="R3076" s="49"/>
      <c r="S3076" s="49" t="n">
        <v>0</v>
      </c>
      <c r="T3076" s="49" t="n">
        <v>0</v>
      </c>
      <c r="U3076" s="49" t="s">
        <v>6393</v>
      </c>
    </row>
    <row r="3077" customFormat="false" ht="15" hidden="false" customHeight="false" outlineLevel="0" collapsed="false">
      <c r="B3077" s="48" t="n">
        <v>46042.7582291667</v>
      </c>
      <c r="C3077" s="4" t="n">
        <f aca="false">YEAR(B3077)</f>
        <v>2026</v>
      </c>
      <c r="D3077" s="49" t="s">
        <v>278</v>
      </c>
      <c r="E3077" s="49" t="s">
        <v>6394</v>
      </c>
      <c r="F3077" s="50" t="n">
        <v>1</v>
      </c>
      <c r="G3077" s="49" t="s">
        <v>280</v>
      </c>
      <c r="H3077" s="51" t="n">
        <v>0.6094</v>
      </c>
      <c r="I3077" s="51" t="n">
        <v>0.3285</v>
      </c>
      <c r="J3077" s="51" t="n">
        <v>0.0621</v>
      </c>
      <c r="K3077" s="49"/>
      <c r="L3077" s="49"/>
      <c r="M3077" s="49"/>
      <c r="N3077" s="49"/>
      <c r="O3077" s="49"/>
      <c r="P3077" s="49"/>
      <c r="Q3077" s="49"/>
      <c r="R3077" s="49" t="s">
        <v>281</v>
      </c>
      <c r="S3077" s="49" t="n">
        <v>0</v>
      </c>
      <c r="T3077" s="49" t="n">
        <v>0</v>
      </c>
      <c r="U3077" s="49" t="s">
        <v>6395</v>
      </c>
    </row>
    <row r="3078" customFormat="false" ht="15" hidden="false" customHeight="false" outlineLevel="0" collapsed="false">
      <c r="B3078" s="48" t="n">
        <v>46042.8728472222</v>
      </c>
      <c r="C3078" s="4" t="n">
        <f aca="false">YEAR(B3078)</f>
        <v>2026</v>
      </c>
      <c r="D3078" s="49" t="s">
        <v>278</v>
      </c>
      <c r="E3078" s="49" t="s">
        <v>6396</v>
      </c>
      <c r="F3078" s="50" t="n">
        <v>14</v>
      </c>
      <c r="G3078" s="49" t="s">
        <v>280</v>
      </c>
      <c r="H3078" s="51" t="n">
        <v>0.7432</v>
      </c>
      <c r="I3078" s="51" t="n">
        <v>0.2195</v>
      </c>
      <c r="J3078" s="51" t="n">
        <v>0.0373</v>
      </c>
      <c r="K3078" s="49" t="s">
        <v>281</v>
      </c>
      <c r="L3078" s="49"/>
      <c r="M3078" s="49"/>
      <c r="N3078" s="49"/>
      <c r="O3078" s="49"/>
      <c r="P3078" s="49"/>
      <c r="Q3078" s="49"/>
      <c r="R3078" s="49"/>
      <c r="S3078" s="49" t="n">
        <v>0</v>
      </c>
      <c r="T3078" s="49" t="n">
        <v>0</v>
      </c>
      <c r="U3078" s="49" t="s">
        <v>6397</v>
      </c>
    </row>
    <row r="3079" customFormat="false" ht="15" hidden="false" customHeight="false" outlineLevel="0" collapsed="false">
      <c r="B3079" s="48" t="n">
        <v>46043.5028587963</v>
      </c>
      <c r="C3079" s="4" t="n">
        <f aca="false">YEAR(B3079)</f>
        <v>2026</v>
      </c>
      <c r="D3079" s="49" t="s">
        <v>278</v>
      </c>
      <c r="E3079" s="49" t="s">
        <v>6398</v>
      </c>
      <c r="F3079" s="50" t="n">
        <v>1</v>
      </c>
      <c r="G3079" s="49" t="s">
        <v>290</v>
      </c>
      <c r="H3079" s="51" t="n">
        <v>0.4029</v>
      </c>
      <c r="I3079" s="51" t="n">
        <v>0.5711</v>
      </c>
      <c r="J3079" s="51" t="n">
        <v>0.026</v>
      </c>
      <c r="K3079" s="49"/>
      <c r="L3079" s="49"/>
      <c r="M3079" s="49"/>
      <c r="N3079" s="49"/>
      <c r="O3079" s="49"/>
      <c r="P3079" s="49"/>
      <c r="Q3079" s="49"/>
      <c r="R3079" s="49"/>
      <c r="S3079" s="49" t="n">
        <v>0</v>
      </c>
      <c r="T3079" s="49" t="n">
        <v>0</v>
      </c>
      <c r="U3079" s="49" t="s">
        <v>6399</v>
      </c>
    </row>
    <row r="3080" customFormat="false" ht="15" hidden="false" customHeight="false" outlineLevel="0" collapsed="false">
      <c r="B3080" s="48" t="n">
        <v>46043.911724537</v>
      </c>
      <c r="C3080" s="4" t="n">
        <f aca="false">YEAR(B3080)</f>
        <v>2026</v>
      </c>
      <c r="D3080" s="49" t="s">
        <v>278</v>
      </c>
      <c r="E3080" s="49" t="s">
        <v>6400</v>
      </c>
      <c r="F3080" s="50" t="n">
        <v>3</v>
      </c>
      <c r="G3080" s="49" t="s">
        <v>290</v>
      </c>
      <c r="H3080" s="51" t="n">
        <v>0.0411</v>
      </c>
      <c r="I3080" s="51" t="n">
        <v>0.7231</v>
      </c>
      <c r="J3080" s="51" t="n">
        <v>0.2358</v>
      </c>
      <c r="K3080" s="49" t="s">
        <v>281</v>
      </c>
      <c r="L3080" s="49"/>
      <c r="M3080" s="49"/>
      <c r="N3080" s="49"/>
      <c r="O3080" s="49"/>
      <c r="P3080" s="49"/>
      <c r="Q3080" s="49"/>
      <c r="R3080" s="49"/>
      <c r="S3080" s="49" t="n">
        <v>0</v>
      </c>
      <c r="T3080" s="49" t="n">
        <v>0</v>
      </c>
      <c r="U3080" s="49" t="s">
        <v>6401</v>
      </c>
    </row>
    <row r="3081" customFormat="false" ht="15" hidden="false" customHeight="false" outlineLevel="0" collapsed="false">
      <c r="B3081" s="48" t="n">
        <v>46044.1601851852</v>
      </c>
      <c r="C3081" s="4" t="n">
        <f aca="false">YEAR(B3081)</f>
        <v>2026</v>
      </c>
      <c r="D3081" s="49" t="s">
        <v>283</v>
      </c>
      <c r="E3081" s="49" t="s">
        <v>6402</v>
      </c>
      <c r="F3081" s="50" t="n">
        <v>1</v>
      </c>
      <c r="G3081" s="49" t="s">
        <v>290</v>
      </c>
      <c r="H3081" s="51" t="n">
        <v>0.0577</v>
      </c>
      <c r="I3081" s="51" t="n">
        <v>0.788</v>
      </c>
      <c r="J3081" s="51" t="n">
        <v>0.1543</v>
      </c>
      <c r="K3081" s="49"/>
      <c r="L3081" s="49"/>
      <c r="M3081" s="49"/>
      <c r="N3081" s="49"/>
      <c r="O3081" s="49"/>
      <c r="P3081" s="49"/>
      <c r="Q3081" s="49"/>
      <c r="R3081" s="49"/>
      <c r="S3081" s="49" t="n">
        <v>0</v>
      </c>
      <c r="T3081" s="49" t="n">
        <v>0</v>
      </c>
      <c r="U3081" s="49" t="s">
        <v>6403</v>
      </c>
    </row>
    <row r="3082" customFormat="false" ht="15" hidden="false" customHeight="false" outlineLevel="0" collapsed="false">
      <c r="B3082" s="48" t="n">
        <v>46044.6364930556</v>
      </c>
      <c r="C3082" s="4" t="n">
        <f aca="false">YEAR(B3082)</f>
        <v>2026</v>
      </c>
      <c r="D3082" s="49" t="s">
        <v>278</v>
      </c>
      <c r="E3082" s="49" t="s">
        <v>6404</v>
      </c>
      <c r="F3082" s="50" t="n">
        <v>1</v>
      </c>
      <c r="G3082" s="49" t="s">
        <v>280</v>
      </c>
      <c r="H3082" s="51" t="n">
        <v>0.5214</v>
      </c>
      <c r="I3082" s="51" t="n">
        <v>0.4473</v>
      </c>
      <c r="J3082" s="51" t="n">
        <v>0.0313</v>
      </c>
      <c r="K3082" s="49"/>
      <c r="L3082" s="49"/>
      <c r="M3082" s="49"/>
      <c r="N3082" s="49"/>
      <c r="O3082" s="49"/>
      <c r="P3082" s="49"/>
      <c r="Q3082" s="49"/>
      <c r="R3082" s="49"/>
      <c r="S3082" s="49" t="n">
        <v>0</v>
      </c>
      <c r="T3082" s="49" t="n">
        <v>0</v>
      </c>
      <c r="U3082" s="49" t="s">
        <v>6405</v>
      </c>
    </row>
    <row r="3083" customFormat="false" ht="15" hidden="false" customHeight="false" outlineLevel="0" collapsed="false">
      <c r="B3083" s="48" t="n">
        <v>46044.735</v>
      </c>
      <c r="C3083" s="4" t="n">
        <f aca="false">YEAR(B3083)</f>
        <v>2026</v>
      </c>
      <c r="D3083" s="49" t="s">
        <v>283</v>
      </c>
      <c r="E3083" s="49" t="s">
        <v>6406</v>
      </c>
      <c r="F3083" s="50" t="n">
        <v>1</v>
      </c>
      <c r="G3083" s="49" t="s">
        <v>290</v>
      </c>
      <c r="H3083" s="51" t="n">
        <v>0.0512</v>
      </c>
      <c r="I3083" s="51" t="n">
        <v>0.8437</v>
      </c>
      <c r="J3083" s="51" t="n">
        <v>0.1051</v>
      </c>
      <c r="K3083" s="49"/>
      <c r="L3083" s="49"/>
      <c r="M3083" s="49"/>
      <c r="N3083" s="49"/>
      <c r="O3083" s="49"/>
      <c r="P3083" s="49"/>
      <c r="Q3083" s="49"/>
      <c r="R3083" s="49"/>
      <c r="S3083" s="49" t="n">
        <v>1</v>
      </c>
      <c r="T3083" s="49" t="n">
        <v>0</v>
      </c>
      <c r="U3083" s="49" t="s">
        <v>6407</v>
      </c>
    </row>
    <row r="3084" customFormat="false" ht="15" hidden="false" customHeight="false" outlineLevel="0" collapsed="false">
      <c r="B3084" s="48" t="n">
        <v>46044.7364236111</v>
      </c>
      <c r="C3084" s="4" t="n">
        <f aca="false">YEAR(B3084)</f>
        <v>2026</v>
      </c>
      <c r="D3084" s="49" t="s">
        <v>278</v>
      </c>
      <c r="E3084" s="49" t="s">
        <v>6408</v>
      </c>
      <c r="F3084" s="50" t="n">
        <v>9</v>
      </c>
      <c r="G3084" s="49" t="s">
        <v>280</v>
      </c>
      <c r="H3084" s="51" t="n">
        <v>0.7453</v>
      </c>
      <c r="I3084" s="51" t="n">
        <v>0.2273</v>
      </c>
      <c r="J3084" s="51" t="n">
        <v>0.0274</v>
      </c>
      <c r="K3084" s="49" t="s">
        <v>281</v>
      </c>
      <c r="L3084" s="49"/>
      <c r="M3084" s="49"/>
      <c r="N3084" s="49"/>
      <c r="O3084" s="49"/>
      <c r="P3084" s="49"/>
      <c r="Q3084" s="49" t="s">
        <v>281</v>
      </c>
      <c r="R3084" s="49"/>
      <c r="S3084" s="49" t="n">
        <v>0</v>
      </c>
      <c r="T3084" s="49" t="n">
        <v>0</v>
      </c>
      <c r="U3084" s="49" t="s">
        <v>6409</v>
      </c>
    </row>
    <row r="3085" customFormat="false" ht="15" hidden="false" customHeight="false" outlineLevel="0" collapsed="false">
      <c r="B3085" s="48" t="n">
        <v>46044.9079976852</v>
      </c>
      <c r="C3085" s="4" t="n">
        <f aca="false">YEAR(B3085)</f>
        <v>2026</v>
      </c>
      <c r="D3085" s="49" t="s">
        <v>283</v>
      </c>
      <c r="E3085" s="49" t="s">
        <v>6410</v>
      </c>
      <c r="F3085" s="50" t="n">
        <v>8</v>
      </c>
      <c r="G3085" s="49" t="s">
        <v>290</v>
      </c>
      <c r="H3085" s="51" t="n">
        <v>0.0097</v>
      </c>
      <c r="I3085" s="51" t="n">
        <v>0.7471</v>
      </c>
      <c r="J3085" s="51" t="n">
        <v>0.2432</v>
      </c>
      <c r="K3085" s="49"/>
      <c r="L3085" s="49"/>
      <c r="M3085" s="49"/>
      <c r="N3085" s="49"/>
      <c r="O3085" s="49"/>
      <c r="P3085" s="49"/>
      <c r="Q3085" s="49"/>
      <c r="R3085" s="49"/>
      <c r="S3085" s="49" t="n">
        <v>0</v>
      </c>
      <c r="T3085" s="49" t="n">
        <v>0</v>
      </c>
      <c r="U3085" s="49" t="s">
        <v>6411</v>
      </c>
    </row>
    <row r="3086" customFormat="false" ht="15" hidden="false" customHeight="false" outlineLevel="0" collapsed="false">
      <c r="B3086" s="48" t="n">
        <v>46044.9418518519</v>
      </c>
      <c r="C3086" s="4" t="n">
        <f aca="false">YEAR(B3086)</f>
        <v>2026</v>
      </c>
      <c r="D3086" s="49" t="s">
        <v>278</v>
      </c>
      <c r="E3086" s="49" t="s">
        <v>6412</v>
      </c>
      <c r="F3086" s="50" t="n">
        <v>0</v>
      </c>
      <c r="G3086" s="49" t="s">
        <v>290</v>
      </c>
      <c r="H3086" s="51" t="n">
        <v>0.0219</v>
      </c>
      <c r="I3086" s="51" t="n">
        <v>0.8589</v>
      </c>
      <c r="J3086" s="51" t="n">
        <v>0.1192</v>
      </c>
      <c r="K3086" s="49"/>
      <c r="L3086" s="49"/>
      <c r="M3086" s="49"/>
      <c r="N3086" s="49"/>
      <c r="O3086" s="49"/>
      <c r="P3086" s="49"/>
      <c r="Q3086" s="49"/>
      <c r="R3086" s="49"/>
      <c r="S3086" s="49" t="n">
        <v>0</v>
      </c>
      <c r="T3086" s="49" t="n">
        <v>0</v>
      </c>
      <c r="U3086" s="49" t="s">
        <v>6413</v>
      </c>
    </row>
    <row r="3087" customFormat="false" ht="15" hidden="false" customHeight="false" outlineLevel="0" collapsed="false">
      <c r="B3087" s="48" t="n">
        <v>46045.1530671296</v>
      </c>
      <c r="C3087" s="4" t="n">
        <f aca="false">YEAR(B3087)</f>
        <v>2026</v>
      </c>
      <c r="D3087" s="49" t="s">
        <v>278</v>
      </c>
      <c r="E3087" s="49" t="s">
        <v>6414</v>
      </c>
      <c r="F3087" s="50" t="n">
        <v>1</v>
      </c>
      <c r="G3087" s="49" t="s">
        <v>280</v>
      </c>
      <c r="H3087" s="51" t="n">
        <v>0.4972</v>
      </c>
      <c r="I3087" s="51" t="n">
        <v>0.4761</v>
      </c>
      <c r="J3087" s="51" t="n">
        <v>0.0267</v>
      </c>
      <c r="K3087" s="49"/>
      <c r="L3087" s="49"/>
      <c r="M3087" s="49"/>
      <c r="N3087" s="49"/>
      <c r="O3087" s="49"/>
      <c r="P3087" s="49"/>
      <c r="Q3087" s="49"/>
      <c r="R3087" s="49"/>
      <c r="S3087" s="49" t="n">
        <v>0</v>
      </c>
      <c r="T3087" s="49" t="n">
        <v>0</v>
      </c>
      <c r="U3087" s="49" t="s">
        <v>6415</v>
      </c>
    </row>
    <row r="3088" customFormat="false" ht="15" hidden="false" customHeight="false" outlineLevel="0" collapsed="false">
      <c r="B3088" s="48" t="n">
        <v>46045.1993634259</v>
      </c>
      <c r="C3088" s="4" t="n">
        <f aca="false">YEAR(B3088)</f>
        <v>2026</v>
      </c>
      <c r="D3088" s="49" t="s">
        <v>278</v>
      </c>
      <c r="E3088" s="49" t="s">
        <v>6416</v>
      </c>
      <c r="F3088" s="50" t="n">
        <v>0</v>
      </c>
      <c r="G3088" s="49" t="s">
        <v>280</v>
      </c>
      <c r="H3088" s="51" t="n">
        <v>0.7427</v>
      </c>
      <c r="I3088" s="51" t="n">
        <v>0.2322</v>
      </c>
      <c r="J3088" s="51" t="n">
        <v>0.0251</v>
      </c>
      <c r="K3088" s="49"/>
      <c r="L3088" s="49"/>
      <c r="M3088" s="49"/>
      <c r="N3088" s="49"/>
      <c r="O3088" s="49"/>
      <c r="P3088" s="49"/>
      <c r="Q3088" s="49"/>
      <c r="R3088" s="49"/>
      <c r="S3088" s="49" t="n">
        <v>0</v>
      </c>
      <c r="T3088" s="49" t="n">
        <v>0</v>
      </c>
      <c r="U3088" s="49" t="s">
        <v>6417</v>
      </c>
    </row>
    <row r="3089" customFormat="false" ht="15" hidden="false" customHeight="false" outlineLevel="0" collapsed="false">
      <c r="B3089" s="48" t="n">
        <v>46045.23875</v>
      </c>
      <c r="C3089" s="4" t="n">
        <f aca="false">YEAR(B3089)</f>
        <v>2026</v>
      </c>
      <c r="D3089" s="49" t="s">
        <v>278</v>
      </c>
      <c r="E3089" s="49" t="s">
        <v>6418</v>
      </c>
      <c r="F3089" s="50" t="n">
        <v>1</v>
      </c>
      <c r="G3089" s="49" t="s">
        <v>280</v>
      </c>
      <c r="H3089" s="51" t="n">
        <v>0.5388</v>
      </c>
      <c r="I3089" s="51" t="n">
        <v>0.4344</v>
      </c>
      <c r="J3089" s="51" t="n">
        <v>0.0268</v>
      </c>
      <c r="K3089" s="49" t="s">
        <v>281</v>
      </c>
      <c r="L3089" s="49"/>
      <c r="M3089" s="49"/>
      <c r="N3089" s="49"/>
      <c r="O3089" s="49"/>
      <c r="P3089" s="49"/>
      <c r="Q3089" s="49"/>
      <c r="R3089" s="49"/>
      <c r="S3089" s="49" t="n">
        <v>0</v>
      </c>
      <c r="T3089" s="49" t="n">
        <v>0</v>
      </c>
      <c r="U3089" s="49" t="s">
        <v>6419</v>
      </c>
    </row>
    <row r="3090" customFormat="false" ht="15" hidden="false" customHeight="false" outlineLevel="0" collapsed="false">
      <c r="B3090" s="48" t="n">
        <v>46046.2113541667</v>
      </c>
      <c r="C3090" s="4" t="n">
        <f aca="false">YEAR(B3090)</f>
        <v>2026</v>
      </c>
      <c r="D3090" s="49" t="s">
        <v>283</v>
      </c>
      <c r="E3090" s="49" t="s">
        <v>6420</v>
      </c>
      <c r="F3090" s="50" t="n">
        <v>1</v>
      </c>
      <c r="G3090" s="49" t="s">
        <v>290</v>
      </c>
      <c r="H3090" s="51" t="n">
        <v>0.0327</v>
      </c>
      <c r="I3090" s="51" t="n">
        <v>0.8269</v>
      </c>
      <c r="J3090" s="51" t="n">
        <v>0.1404</v>
      </c>
      <c r="K3090" s="49"/>
      <c r="L3090" s="49"/>
      <c r="M3090" s="49"/>
      <c r="N3090" s="49"/>
      <c r="O3090" s="49"/>
      <c r="P3090" s="49"/>
      <c r="Q3090" s="49"/>
      <c r="R3090" s="49"/>
      <c r="S3090" s="49" t="n">
        <v>0</v>
      </c>
      <c r="T3090" s="49" t="n">
        <v>0</v>
      </c>
      <c r="U3090" s="49" t="s">
        <v>6421</v>
      </c>
    </row>
    <row r="3091" customFormat="false" ht="15" hidden="false" customHeight="false" outlineLevel="0" collapsed="false">
      <c r="B3091" s="48" t="n">
        <v>46046.655162037</v>
      </c>
      <c r="C3091" s="4" t="n">
        <f aca="false">YEAR(B3091)</f>
        <v>2026</v>
      </c>
      <c r="D3091" s="49" t="s">
        <v>283</v>
      </c>
      <c r="E3091" s="49" t="s">
        <v>6422</v>
      </c>
      <c r="F3091" s="50" t="n">
        <v>2</v>
      </c>
      <c r="G3091" s="49" t="s">
        <v>290</v>
      </c>
      <c r="H3091" s="51" t="n">
        <v>0.3074</v>
      </c>
      <c r="I3091" s="51" t="n">
        <v>0.6512</v>
      </c>
      <c r="J3091" s="51" t="n">
        <v>0.0414</v>
      </c>
      <c r="K3091" s="49"/>
      <c r="L3091" s="49"/>
      <c r="M3091" s="49"/>
      <c r="N3091" s="49"/>
      <c r="O3091" s="49" t="s">
        <v>281</v>
      </c>
      <c r="P3091" s="49"/>
      <c r="Q3091" s="49"/>
      <c r="R3091" s="49"/>
      <c r="S3091" s="49" t="n">
        <v>0</v>
      </c>
      <c r="T3091" s="49" t="n">
        <v>0</v>
      </c>
      <c r="U3091" s="49" t="s">
        <v>6423</v>
      </c>
    </row>
    <row r="3092" customFormat="false" ht="15" hidden="false" customHeight="false" outlineLevel="0" collapsed="false">
      <c r="B3092" s="48" t="n">
        <v>46047.36875</v>
      </c>
      <c r="C3092" s="4" t="n">
        <f aca="false">YEAR(B3092)</f>
        <v>2026</v>
      </c>
      <c r="D3092" s="49" t="s">
        <v>278</v>
      </c>
      <c r="E3092" s="49" t="s">
        <v>6424</v>
      </c>
      <c r="F3092" s="50" t="n">
        <v>8</v>
      </c>
      <c r="G3092" s="49" t="s">
        <v>280</v>
      </c>
      <c r="H3092" s="51" t="n">
        <v>0.4959</v>
      </c>
      <c r="I3092" s="51" t="n">
        <v>0.4544</v>
      </c>
      <c r="J3092" s="51" t="n">
        <v>0.0497</v>
      </c>
      <c r="K3092" s="49"/>
      <c r="L3092" s="49"/>
      <c r="M3092" s="49"/>
      <c r="N3092" s="49"/>
      <c r="O3092" s="49"/>
      <c r="P3092" s="49"/>
      <c r="Q3092" s="49"/>
      <c r="R3092" s="49"/>
      <c r="S3092" s="49" t="n">
        <v>0</v>
      </c>
      <c r="T3092" s="49" t="n">
        <v>0</v>
      </c>
      <c r="U3092" s="49" t="s">
        <v>6425</v>
      </c>
    </row>
    <row r="3093" customFormat="false" ht="15" hidden="false" customHeight="false" outlineLevel="0" collapsed="false">
      <c r="B3093" s="48" t="n">
        <v>46047.9474305556</v>
      </c>
      <c r="C3093" s="4" t="n">
        <f aca="false">YEAR(B3093)</f>
        <v>2026</v>
      </c>
      <c r="D3093" s="49" t="s">
        <v>283</v>
      </c>
      <c r="E3093" s="49" t="s">
        <v>6426</v>
      </c>
      <c r="F3093" s="50" t="n">
        <v>1</v>
      </c>
      <c r="G3093" s="49" t="s">
        <v>287</v>
      </c>
      <c r="H3093" s="51" t="n">
        <v>0.0038</v>
      </c>
      <c r="I3093" s="51" t="n">
        <v>0.0582</v>
      </c>
      <c r="J3093" s="51" t="n">
        <v>0.9381</v>
      </c>
      <c r="K3093" s="49"/>
      <c r="L3093" s="49"/>
      <c r="M3093" s="49"/>
      <c r="N3093" s="49"/>
      <c r="O3093" s="49"/>
      <c r="P3093" s="49"/>
      <c r="Q3093" s="49"/>
      <c r="R3093" s="49"/>
      <c r="S3093" s="49" t="n">
        <v>0</v>
      </c>
      <c r="T3093" s="49" t="n">
        <v>0</v>
      </c>
      <c r="U3093" s="49" t="s">
        <v>6427</v>
      </c>
    </row>
    <row r="3094" customFormat="false" ht="15" hidden="false" customHeight="false" outlineLevel="0" collapsed="false">
      <c r="B3094" s="48" t="n">
        <v>46048.0343402778</v>
      </c>
      <c r="C3094" s="4" t="n">
        <f aca="false">YEAR(B3094)</f>
        <v>2026</v>
      </c>
      <c r="D3094" s="49" t="s">
        <v>283</v>
      </c>
      <c r="E3094" s="49" t="s">
        <v>6428</v>
      </c>
      <c r="F3094" s="50" t="n">
        <v>1</v>
      </c>
      <c r="G3094" s="49" t="s">
        <v>290</v>
      </c>
      <c r="H3094" s="51" t="n">
        <v>0.0087</v>
      </c>
      <c r="I3094" s="51" t="n">
        <v>0.8103</v>
      </c>
      <c r="J3094" s="51" t="n">
        <v>0.181</v>
      </c>
      <c r="K3094" s="49"/>
      <c r="L3094" s="49"/>
      <c r="M3094" s="49"/>
      <c r="N3094" s="49"/>
      <c r="O3094" s="49"/>
      <c r="P3094" s="49"/>
      <c r="Q3094" s="49"/>
      <c r="R3094" s="49"/>
      <c r="S3094" s="49" t="n">
        <v>1</v>
      </c>
      <c r="T3094" s="49" t="n">
        <v>0</v>
      </c>
      <c r="U3094" s="49" t="s">
        <v>6429</v>
      </c>
    </row>
    <row r="3095" customFormat="false" ht="15" hidden="false" customHeight="false" outlineLevel="0" collapsed="false">
      <c r="B3095" s="48" t="n">
        <v>46048.553287037</v>
      </c>
      <c r="C3095" s="4" t="n">
        <f aca="false">YEAR(B3095)</f>
        <v>2026</v>
      </c>
      <c r="D3095" s="49" t="s">
        <v>283</v>
      </c>
      <c r="E3095" s="49" t="s">
        <v>6430</v>
      </c>
      <c r="F3095" s="50" t="n">
        <v>4</v>
      </c>
      <c r="G3095" s="49" t="s">
        <v>287</v>
      </c>
      <c r="H3095" s="51" t="n">
        <v>0.0246</v>
      </c>
      <c r="I3095" s="51" t="n">
        <v>0.4319</v>
      </c>
      <c r="J3095" s="51" t="n">
        <v>0.5436</v>
      </c>
      <c r="K3095" s="49"/>
      <c r="L3095" s="49"/>
      <c r="M3095" s="49"/>
      <c r="N3095" s="49"/>
      <c r="O3095" s="49"/>
      <c r="P3095" s="49"/>
      <c r="Q3095" s="49"/>
      <c r="R3095" s="49"/>
      <c r="S3095" s="49" t="n">
        <v>0</v>
      </c>
      <c r="T3095" s="49" t="n">
        <v>0</v>
      </c>
      <c r="U3095" s="49" t="s">
        <v>6431</v>
      </c>
    </row>
    <row r="3096" customFormat="false" ht="15" hidden="false" customHeight="false" outlineLevel="0" collapsed="false">
      <c r="B3096" s="48" t="n">
        <v>46049.6688310185</v>
      </c>
      <c r="C3096" s="4" t="n">
        <f aca="false">YEAR(B3096)</f>
        <v>2026</v>
      </c>
      <c r="D3096" s="49" t="s">
        <v>283</v>
      </c>
      <c r="E3096" s="49" t="s">
        <v>6432</v>
      </c>
      <c r="F3096" s="50" t="n">
        <v>4</v>
      </c>
      <c r="G3096" s="49" t="s">
        <v>287</v>
      </c>
      <c r="H3096" s="51" t="n">
        <v>0.0073</v>
      </c>
      <c r="I3096" s="51" t="n">
        <v>0.4124</v>
      </c>
      <c r="J3096" s="51" t="n">
        <v>0.5802</v>
      </c>
      <c r="K3096" s="49"/>
      <c r="L3096" s="49"/>
      <c r="M3096" s="49"/>
      <c r="N3096" s="49"/>
      <c r="O3096" s="49"/>
      <c r="P3096" s="49"/>
      <c r="Q3096" s="49"/>
      <c r="R3096" s="49"/>
      <c r="S3096" s="49" t="n">
        <v>0</v>
      </c>
      <c r="T3096" s="49" t="n">
        <v>0</v>
      </c>
      <c r="U3096" s="49" t="s">
        <v>6433</v>
      </c>
    </row>
    <row r="3097" customFormat="false" ht="15" hidden="false" customHeight="false" outlineLevel="0" collapsed="false">
      <c r="B3097" s="48" t="n">
        <v>46049.7379166667</v>
      </c>
      <c r="C3097" s="4" t="n">
        <f aca="false">YEAR(B3097)</f>
        <v>2026</v>
      </c>
      <c r="D3097" s="49" t="s">
        <v>278</v>
      </c>
      <c r="E3097" s="49" t="s">
        <v>6434</v>
      </c>
      <c r="F3097" s="50" t="n">
        <v>1</v>
      </c>
      <c r="G3097" s="49" t="s">
        <v>290</v>
      </c>
      <c r="H3097" s="51" t="n">
        <v>0.2877</v>
      </c>
      <c r="I3097" s="51" t="n">
        <v>0.3667</v>
      </c>
      <c r="J3097" s="51" t="n">
        <v>0.3455</v>
      </c>
      <c r="K3097" s="49"/>
      <c r="L3097" s="49"/>
      <c r="M3097" s="49" t="s">
        <v>281</v>
      </c>
      <c r="N3097" s="49"/>
      <c r="O3097" s="49"/>
      <c r="P3097" s="49"/>
      <c r="Q3097" s="49" t="s">
        <v>281</v>
      </c>
      <c r="R3097" s="49"/>
      <c r="S3097" s="49" t="n">
        <v>0</v>
      </c>
      <c r="T3097" s="49" t="n">
        <v>0</v>
      </c>
      <c r="U3097" s="49" t="s">
        <v>6435</v>
      </c>
    </row>
    <row r="3098" customFormat="false" ht="15" hidden="false" customHeight="false" outlineLevel="0" collapsed="false">
      <c r="B3098" s="48" t="n">
        <v>46049.9139467593</v>
      </c>
      <c r="C3098" s="4" t="n">
        <f aca="false">YEAR(B3098)</f>
        <v>2026</v>
      </c>
      <c r="D3098" s="49" t="s">
        <v>283</v>
      </c>
      <c r="E3098" s="49" t="s">
        <v>6436</v>
      </c>
      <c r="F3098" s="50" t="n">
        <v>2</v>
      </c>
      <c r="G3098" s="49" t="s">
        <v>287</v>
      </c>
      <c r="H3098" s="51" t="n">
        <v>0.0069</v>
      </c>
      <c r="I3098" s="51" t="n">
        <v>0.2275</v>
      </c>
      <c r="J3098" s="51" t="n">
        <v>0.7656</v>
      </c>
      <c r="K3098" s="49"/>
      <c r="L3098" s="49"/>
      <c r="M3098" s="49"/>
      <c r="N3098" s="49"/>
      <c r="O3098" s="49"/>
      <c r="P3098" s="49"/>
      <c r="Q3098" s="49"/>
      <c r="R3098" s="49"/>
      <c r="S3098" s="49" t="n">
        <v>0</v>
      </c>
      <c r="T3098" s="49" t="n">
        <v>0</v>
      </c>
      <c r="U3098" s="49" t="s">
        <v>6437</v>
      </c>
    </row>
    <row r="3099" customFormat="false" ht="15" hidden="false" customHeight="false" outlineLevel="0" collapsed="false">
      <c r="B3099" s="48" t="n">
        <v>46049.9817708333</v>
      </c>
      <c r="C3099" s="4" t="n">
        <f aca="false">YEAR(B3099)</f>
        <v>2026</v>
      </c>
      <c r="D3099" s="49" t="s">
        <v>283</v>
      </c>
      <c r="E3099" s="49" t="s">
        <v>6438</v>
      </c>
      <c r="F3099" s="50" t="n">
        <v>0</v>
      </c>
      <c r="G3099" s="49" t="s">
        <v>290</v>
      </c>
      <c r="H3099" s="51" t="n">
        <v>0.0313</v>
      </c>
      <c r="I3099" s="51" t="n">
        <v>0.8808</v>
      </c>
      <c r="J3099" s="51" t="n">
        <v>0.0879</v>
      </c>
      <c r="K3099" s="49"/>
      <c r="L3099" s="49"/>
      <c r="M3099" s="49"/>
      <c r="N3099" s="49"/>
      <c r="O3099" s="49"/>
      <c r="P3099" s="49"/>
      <c r="Q3099" s="49"/>
      <c r="R3099" s="49"/>
      <c r="S3099" s="49" t="n">
        <v>0</v>
      </c>
      <c r="T3099" s="49" t="n">
        <v>0</v>
      </c>
      <c r="U3099" s="49" t="s">
        <v>6439</v>
      </c>
    </row>
    <row r="3100" customFormat="false" ht="15" hidden="false" customHeight="false" outlineLevel="0" collapsed="false">
      <c r="B3100" s="48" t="n">
        <v>46050.4956944444</v>
      </c>
      <c r="C3100" s="4" t="n">
        <f aca="false">YEAR(B3100)</f>
        <v>2026</v>
      </c>
      <c r="D3100" s="49" t="s">
        <v>278</v>
      </c>
      <c r="E3100" s="49" t="s">
        <v>6440</v>
      </c>
      <c r="F3100" s="50" t="n">
        <v>1</v>
      </c>
      <c r="G3100" s="49" t="s">
        <v>280</v>
      </c>
      <c r="H3100" s="51" t="n">
        <v>0.5507</v>
      </c>
      <c r="I3100" s="51" t="n">
        <v>0.4268</v>
      </c>
      <c r="J3100" s="51" t="n">
        <v>0.0226</v>
      </c>
      <c r="K3100" s="49"/>
      <c r="L3100" s="49"/>
      <c r="M3100" s="49"/>
      <c r="N3100" s="49"/>
      <c r="O3100" s="49"/>
      <c r="P3100" s="49"/>
      <c r="Q3100" s="49"/>
      <c r="R3100" s="49"/>
      <c r="S3100" s="49" t="n">
        <v>0</v>
      </c>
      <c r="T3100" s="49" t="n">
        <v>0</v>
      </c>
      <c r="U3100" s="49" t="s">
        <v>6441</v>
      </c>
    </row>
    <row r="3101" customFormat="false" ht="15" hidden="false" customHeight="false" outlineLevel="0" collapsed="false">
      <c r="B3101" s="48" t="n">
        <v>46050.8376736111</v>
      </c>
      <c r="C3101" s="4" t="n">
        <f aca="false">YEAR(B3101)</f>
        <v>2026</v>
      </c>
      <c r="D3101" s="49" t="s">
        <v>283</v>
      </c>
      <c r="E3101" s="49" t="s">
        <v>6442</v>
      </c>
      <c r="F3101" s="50" t="n">
        <v>1</v>
      </c>
      <c r="G3101" s="49" t="s">
        <v>280</v>
      </c>
      <c r="H3101" s="51" t="n">
        <v>0.6119</v>
      </c>
      <c r="I3101" s="51" t="n">
        <v>0.3766</v>
      </c>
      <c r="J3101" s="51" t="n">
        <v>0.0115</v>
      </c>
      <c r="K3101" s="49"/>
      <c r="L3101" s="49"/>
      <c r="M3101" s="49"/>
      <c r="N3101" s="49"/>
      <c r="O3101" s="49"/>
      <c r="P3101" s="49"/>
      <c r="Q3101" s="49"/>
      <c r="R3101" s="49"/>
      <c r="S3101" s="49" t="n">
        <v>0</v>
      </c>
      <c r="T3101" s="49" t="n">
        <v>0</v>
      </c>
      <c r="U3101" s="49" t="s">
        <v>6443</v>
      </c>
    </row>
    <row r="3102" customFormat="false" ht="15" hidden="false" customHeight="false" outlineLevel="0" collapsed="false">
      <c r="B3102" s="48" t="n">
        <v>46051.2094097222</v>
      </c>
      <c r="C3102" s="4" t="n">
        <f aca="false">YEAR(B3102)</f>
        <v>2026</v>
      </c>
      <c r="D3102" s="49" t="s">
        <v>283</v>
      </c>
      <c r="E3102" s="49" t="s">
        <v>6444</v>
      </c>
      <c r="F3102" s="50" t="n">
        <v>1</v>
      </c>
      <c r="G3102" s="49" t="s">
        <v>287</v>
      </c>
      <c r="H3102" s="51" t="n">
        <v>0.007</v>
      </c>
      <c r="I3102" s="51" t="n">
        <v>0.0565</v>
      </c>
      <c r="J3102" s="51" t="n">
        <v>0.9364</v>
      </c>
      <c r="K3102" s="49"/>
      <c r="L3102" s="49"/>
      <c r="M3102" s="49"/>
      <c r="N3102" s="49"/>
      <c r="O3102" s="49"/>
      <c r="P3102" s="49"/>
      <c r="Q3102" s="49"/>
      <c r="R3102" s="49"/>
      <c r="S3102" s="49" t="n">
        <v>0</v>
      </c>
      <c r="T3102" s="49" t="n">
        <v>0</v>
      </c>
      <c r="U3102" s="49" t="s">
        <v>6445</v>
      </c>
    </row>
    <row r="3103" customFormat="false" ht="15" hidden="false" customHeight="false" outlineLevel="0" collapsed="false">
      <c r="B3103" s="48" t="n">
        <v>46051.2102430556</v>
      </c>
      <c r="C3103" s="4" t="n">
        <f aca="false">YEAR(B3103)</f>
        <v>2026</v>
      </c>
      <c r="D3103" s="49" t="s">
        <v>283</v>
      </c>
      <c r="E3103" s="49" t="s">
        <v>6446</v>
      </c>
      <c r="F3103" s="50" t="n">
        <v>1</v>
      </c>
      <c r="G3103" s="49" t="s">
        <v>287</v>
      </c>
      <c r="H3103" s="51" t="n">
        <v>0.0048</v>
      </c>
      <c r="I3103" s="51" t="n">
        <v>0.0556</v>
      </c>
      <c r="J3103" s="51" t="n">
        <v>0.9396</v>
      </c>
      <c r="K3103" s="49"/>
      <c r="L3103" s="49"/>
      <c r="M3103" s="49"/>
      <c r="N3103" s="49"/>
      <c r="O3103" s="49"/>
      <c r="P3103" s="49"/>
      <c r="Q3103" s="49"/>
      <c r="R3103" s="49"/>
      <c r="S3103" s="49" t="n">
        <v>0</v>
      </c>
      <c r="T3103" s="49" t="n">
        <v>0</v>
      </c>
      <c r="U3103" s="49" t="s">
        <v>6447</v>
      </c>
    </row>
    <row r="3104" customFormat="false" ht="15" hidden="false" customHeight="false" outlineLevel="0" collapsed="false">
      <c r="B3104" s="48" t="n">
        <v>46051.723125</v>
      </c>
      <c r="C3104" s="4" t="n">
        <f aca="false">YEAR(B3104)</f>
        <v>2026</v>
      </c>
      <c r="D3104" s="49" t="s">
        <v>278</v>
      </c>
      <c r="E3104" s="49" t="s">
        <v>6448</v>
      </c>
      <c r="F3104" s="50" t="n">
        <v>3</v>
      </c>
      <c r="G3104" s="49" t="s">
        <v>290</v>
      </c>
      <c r="H3104" s="51" t="n">
        <v>0.0269</v>
      </c>
      <c r="I3104" s="51" t="n">
        <v>0.7918</v>
      </c>
      <c r="J3104" s="51" t="n">
        <v>0.1813</v>
      </c>
      <c r="K3104" s="49"/>
      <c r="L3104" s="49"/>
      <c r="M3104" s="49"/>
      <c r="N3104" s="49"/>
      <c r="O3104" s="49"/>
      <c r="P3104" s="49"/>
      <c r="Q3104" s="49"/>
      <c r="R3104" s="49"/>
      <c r="S3104" s="49" t="n">
        <v>0</v>
      </c>
      <c r="T3104" s="49" t="n">
        <v>0</v>
      </c>
      <c r="U3104" s="49" t="s">
        <v>6449</v>
      </c>
    </row>
    <row r="3105" customFormat="false" ht="15" hidden="false" customHeight="false" outlineLevel="0" collapsed="false">
      <c r="B3105" s="48" t="n">
        <v>46052.4168402778</v>
      </c>
      <c r="C3105" s="4" t="n">
        <f aca="false">YEAR(B3105)</f>
        <v>2026</v>
      </c>
      <c r="D3105" s="49" t="s">
        <v>283</v>
      </c>
      <c r="E3105" s="49" t="s">
        <v>6450</v>
      </c>
      <c r="F3105" s="50" t="n">
        <v>17</v>
      </c>
      <c r="G3105" s="49" t="s">
        <v>287</v>
      </c>
      <c r="H3105" s="51" t="n">
        <v>0.0051</v>
      </c>
      <c r="I3105" s="51" t="n">
        <v>0.2256</v>
      </c>
      <c r="J3105" s="51" t="n">
        <v>0.7693</v>
      </c>
      <c r="K3105" s="49"/>
      <c r="L3105" s="49"/>
      <c r="M3105" s="49"/>
      <c r="N3105" s="49"/>
      <c r="O3105" s="49"/>
      <c r="P3105" s="49"/>
      <c r="Q3105" s="49"/>
      <c r="R3105" s="49"/>
      <c r="S3105" s="49" t="n">
        <v>0</v>
      </c>
      <c r="T3105" s="49" t="n">
        <v>0</v>
      </c>
      <c r="U3105" s="49" t="s">
        <v>6451</v>
      </c>
    </row>
    <row r="3106" customFormat="false" ht="15" hidden="false" customHeight="false" outlineLevel="0" collapsed="false">
      <c r="B3106" s="48" t="n">
        <v>46052.6643981482</v>
      </c>
      <c r="C3106" s="4" t="n">
        <f aca="false">YEAR(B3106)</f>
        <v>2026</v>
      </c>
      <c r="D3106" s="49" t="s">
        <v>278</v>
      </c>
      <c r="E3106" s="49" t="s">
        <v>6452</v>
      </c>
      <c r="F3106" s="50" t="n">
        <v>3</v>
      </c>
      <c r="G3106" s="49" t="s">
        <v>280</v>
      </c>
      <c r="H3106" s="51" t="n">
        <v>0.5498</v>
      </c>
      <c r="I3106" s="51" t="n">
        <v>0.3285</v>
      </c>
      <c r="J3106" s="51" t="n">
        <v>0.1218</v>
      </c>
      <c r="K3106" s="49"/>
      <c r="L3106" s="49"/>
      <c r="M3106" s="49"/>
      <c r="N3106" s="49"/>
      <c r="O3106" s="49"/>
      <c r="P3106" s="49"/>
      <c r="Q3106" s="49"/>
      <c r="R3106" s="49"/>
      <c r="S3106" s="49" t="n">
        <v>0</v>
      </c>
      <c r="T3106" s="49" t="n">
        <v>0</v>
      </c>
      <c r="U3106" s="49" t="s">
        <v>6453</v>
      </c>
    </row>
    <row r="3107" customFormat="false" ht="15" hidden="false" customHeight="false" outlineLevel="0" collapsed="false">
      <c r="B3107" s="48" t="n">
        <v>46052.8450231482</v>
      </c>
      <c r="C3107" s="4" t="n">
        <f aca="false">YEAR(B3107)</f>
        <v>2026</v>
      </c>
      <c r="D3107" s="49" t="s">
        <v>278</v>
      </c>
      <c r="E3107" s="49" t="s">
        <v>6454</v>
      </c>
      <c r="F3107" s="50" t="n">
        <v>16</v>
      </c>
      <c r="G3107" s="49" t="s">
        <v>290</v>
      </c>
      <c r="H3107" s="51" t="n">
        <v>0.42</v>
      </c>
      <c r="I3107" s="51" t="n">
        <v>0.5426</v>
      </c>
      <c r="J3107" s="51" t="n">
        <v>0.0373</v>
      </c>
      <c r="K3107" s="49"/>
      <c r="L3107" s="49"/>
      <c r="M3107" s="49"/>
      <c r="N3107" s="49"/>
      <c r="O3107" s="49"/>
      <c r="P3107" s="49"/>
      <c r="Q3107" s="49" t="s">
        <v>281</v>
      </c>
      <c r="R3107" s="49"/>
      <c r="S3107" s="49" t="n">
        <v>0</v>
      </c>
      <c r="T3107" s="49" t="n">
        <v>0</v>
      </c>
      <c r="U3107" s="49" t="s">
        <v>6455</v>
      </c>
    </row>
    <row r="3108" customFormat="false" ht="15" hidden="false" customHeight="false" outlineLevel="0" collapsed="false">
      <c r="B3108" s="48" t="n">
        <v>46052.9435069444</v>
      </c>
      <c r="C3108" s="4" t="n">
        <f aca="false">YEAR(B3108)</f>
        <v>2026</v>
      </c>
      <c r="D3108" s="49" t="s">
        <v>283</v>
      </c>
      <c r="E3108" s="49" t="s">
        <v>6456</v>
      </c>
      <c r="F3108" s="50" t="n">
        <v>10</v>
      </c>
      <c r="G3108" s="49" t="s">
        <v>287</v>
      </c>
      <c r="H3108" s="51" t="n">
        <v>0.0076</v>
      </c>
      <c r="I3108" s="51" t="n">
        <v>0.4467</v>
      </c>
      <c r="J3108" s="51" t="n">
        <v>0.5457</v>
      </c>
      <c r="K3108" s="49"/>
      <c r="L3108" s="49"/>
      <c r="M3108" s="49"/>
      <c r="N3108" s="49"/>
      <c r="O3108" s="49"/>
      <c r="P3108" s="49"/>
      <c r="Q3108" s="49"/>
      <c r="R3108" s="49"/>
      <c r="S3108" s="49" t="n">
        <v>0</v>
      </c>
      <c r="T3108" s="49" t="n">
        <v>0</v>
      </c>
      <c r="U3108" s="49" t="s">
        <v>6457</v>
      </c>
    </row>
    <row r="3109" customFormat="false" ht="15" hidden="false" customHeight="false" outlineLevel="0" collapsed="false">
      <c r="B3109" s="48" t="n">
        <v>46053.6904861111</v>
      </c>
      <c r="C3109" s="4" t="n">
        <f aca="false">YEAR(B3109)</f>
        <v>2026</v>
      </c>
      <c r="D3109" s="49" t="s">
        <v>278</v>
      </c>
      <c r="E3109" s="49" t="s">
        <v>6458</v>
      </c>
      <c r="F3109" s="50" t="n">
        <v>3</v>
      </c>
      <c r="G3109" s="49" t="s">
        <v>290</v>
      </c>
      <c r="H3109" s="51" t="n">
        <v>0.2136</v>
      </c>
      <c r="I3109" s="51" t="n">
        <v>0.6567</v>
      </c>
      <c r="J3109" s="51" t="n">
        <v>0.1297</v>
      </c>
      <c r="K3109" s="49" t="s">
        <v>281</v>
      </c>
      <c r="L3109" s="49"/>
      <c r="M3109" s="49"/>
      <c r="N3109" s="49"/>
      <c r="O3109" s="49"/>
      <c r="P3109" s="49"/>
      <c r="Q3109" s="49"/>
      <c r="R3109" s="49"/>
      <c r="S3109" s="49" t="n">
        <v>0</v>
      </c>
      <c r="T3109" s="49" t="n">
        <v>0</v>
      </c>
      <c r="U3109" s="49" t="s">
        <v>6459</v>
      </c>
    </row>
    <row r="3110" customFormat="false" ht="15" hidden="false" customHeight="false" outlineLevel="0" collapsed="false">
      <c r="B3110" s="48" t="n">
        <v>46053.7855092593</v>
      </c>
      <c r="C3110" s="4" t="n">
        <f aca="false">YEAR(B3110)</f>
        <v>2026</v>
      </c>
      <c r="D3110" s="49" t="s">
        <v>278</v>
      </c>
      <c r="E3110" s="49" t="s">
        <v>6460</v>
      </c>
      <c r="F3110" s="50" t="n">
        <v>1</v>
      </c>
      <c r="G3110" s="49" t="s">
        <v>290</v>
      </c>
      <c r="H3110" s="51" t="n">
        <v>0.0129</v>
      </c>
      <c r="I3110" s="51" t="n">
        <v>0.8416</v>
      </c>
      <c r="J3110" s="51" t="n">
        <v>0.1455</v>
      </c>
      <c r="K3110" s="49"/>
      <c r="L3110" s="49"/>
      <c r="M3110" s="49"/>
      <c r="N3110" s="49"/>
      <c r="O3110" s="49"/>
      <c r="P3110" s="49"/>
      <c r="Q3110" s="49"/>
      <c r="R3110" s="49"/>
      <c r="S3110" s="49" t="n">
        <v>0</v>
      </c>
      <c r="T3110" s="49" t="n">
        <v>0</v>
      </c>
      <c r="U3110" s="49" t="s">
        <v>6461</v>
      </c>
    </row>
    <row r="3111" customFormat="false" ht="15" hidden="false" customHeight="false" outlineLevel="0" collapsed="false">
      <c r="B3111" s="48" t="n">
        <v>46054.8416087963</v>
      </c>
      <c r="C3111" s="4" t="n">
        <f aca="false">YEAR(B3111)</f>
        <v>2026</v>
      </c>
      <c r="D3111" s="49" t="s">
        <v>283</v>
      </c>
      <c r="E3111" s="49" t="s">
        <v>6462</v>
      </c>
      <c r="F3111" s="50" t="n">
        <v>1</v>
      </c>
      <c r="G3111" s="49" t="s">
        <v>287</v>
      </c>
      <c r="H3111" s="51" t="n">
        <v>0.0013</v>
      </c>
      <c r="I3111" s="51" t="n">
        <v>0.0215</v>
      </c>
      <c r="J3111" s="51" t="n">
        <v>0.9772</v>
      </c>
      <c r="K3111" s="49"/>
      <c r="L3111" s="49"/>
      <c r="M3111" s="49"/>
      <c r="N3111" s="49"/>
      <c r="O3111" s="49"/>
      <c r="P3111" s="49"/>
      <c r="Q3111" s="49"/>
      <c r="R3111" s="49"/>
      <c r="S3111" s="49" t="n">
        <v>0</v>
      </c>
      <c r="T3111" s="49" t="n">
        <v>0</v>
      </c>
      <c r="U3111" s="49" t="s">
        <v>6463</v>
      </c>
    </row>
    <row r="3112" customFormat="false" ht="15" hidden="false" customHeight="false" outlineLevel="0" collapsed="false">
      <c r="B3112" s="48" t="n">
        <v>46055.3891782407</v>
      </c>
      <c r="C3112" s="4" t="n">
        <f aca="false">YEAR(B3112)</f>
        <v>2026</v>
      </c>
      <c r="D3112" s="49" t="s">
        <v>278</v>
      </c>
      <c r="E3112" s="49" t="s">
        <v>6464</v>
      </c>
      <c r="F3112" s="50" t="n">
        <v>81</v>
      </c>
      <c r="G3112" s="49" t="s">
        <v>280</v>
      </c>
      <c r="H3112" s="51" t="n">
        <v>0.8725</v>
      </c>
      <c r="I3112" s="51" t="n">
        <v>0.0944</v>
      </c>
      <c r="J3112" s="51" t="n">
        <v>0.0331</v>
      </c>
      <c r="K3112" s="49" t="s">
        <v>281</v>
      </c>
      <c r="L3112" s="49"/>
      <c r="M3112" s="49" t="s">
        <v>281</v>
      </c>
      <c r="N3112" s="49"/>
      <c r="O3112" s="49"/>
      <c r="P3112" s="49" t="s">
        <v>281</v>
      </c>
      <c r="Q3112" s="49" t="s">
        <v>281</v>
      </c>
      <c r="R3112" s="49"/>
      <c r="S3112" s="49" t="n">
        <v>0</v>
      </c>
      <c r="T3112" s="49" t="n">
        <v>0</v>
      </c>
      <c r="U3112" s="49" t="s">
        <v>6465</v>
      </c>
    </row>
    <row r="3113" customFormat="false" ht="15" hidden="false" customHeight="false" outlineLevel="0" collapsed="false">
      <c r="B3113" s="48" t="n">
        <v>46055.6780787037</v>
      </c>
      <c r="C3113" s="4" t="n">
        <f aca="false">YEAR(B3113)</f>
        <v>2026</v>
      </c>
      <c r="D3113" s="49" t="s">
        <v>278</v>
      </c>
      <c r="E3113" s="49" t="s">
        <v>6466</v>
      </c>
      <c r="F3113" s="50" t="n">
        <v>1</v>
      </c>
      <c r="G3113" s="49" t="s">
        <v>280</v>
      </c>
      <c r="H3113" s="51" t="n">
        <v>0.5058</v>
      </c>
      <c r="I3113" s="51" t="n">
        <v>0.4723</v>
      </c>
      <c r="J3113" s="51" t="n">
        <v>0.0219</v>
      </c>
      <c r="K3113" s="49"/>
      <c r="L3113" s="49"/>
      <c r="M3113" s="49"/>
      <c r="N3113" s="49"/>
      <c r="O3113" s="49"/>
      <c r="P3113" s="49"/>
      <c r="Q3113" s="49"/>
      <c r="R3113" s="49"/>
      <c r="S3113" s="49" t="n">
        <v>0</v>
      </c>
      <c r="T3113" s="49" t="n">
        <v>0</v>
      </c>
      <c r="U3113" s="49" t="s">
        <v>6467</v>
      </c>
    </row>
    <row r="3114" customFormat="false" ht="15" hidden="false" customHeight="false" outlineLevel="0" collapsed="false">
      <c r="B3114" s="48" t="n">
        <v>46055.9198958333</v>
      </c>
      <c r="C3114" s="4" t="n">
        <f aca="false">YEAR(B3114)</f>
        <v>2026</v>
      </c>
      <c r="D3114" s="49" t="s">
        <v>283</v>
      </c>
      <c r="E3114" s="49" t="s">
        <v>6468</v>
      </c>
      <c r="F3114" s="50" t="n">
        <v>31</v>
      </c>
      <c r="G3114" s="49" t="s">
        <v>290</v>
      </c>
      <c r="H3114" s="51" t="n">
        <v>0.3003</v>
      </c>
      <c r="I3114" s="51" t="n">
        <v>0.5506</v>
      </c>
      <c r="J3114" s="51" t="n">
        <v>0.1491</v>
      </c>
      <c r="K3114" s="49"/>
      <c r="L3114" s="49"/>
      <c r="M3114" s="49"/>
      <c r="N3114" s="49"/>
      <c r="O3114" s="49"/>
      <c r="P3114" s="49"/>
      <c r="Q3114" s="49"/>
      <c r="R3114" s="49"/>
      <c r="S3114" s="49" t="n">
        <v>0</v>
      </c>
      <c r="T3114" s="49" t="n">
        <v>0</v>
      </c>
      <c r="U3114" s="49" t="s">
        <v>6469</v>
      </c>
    </row>
    <row r="3115" customFormat="false" ht="15" hidden="false" customHeight="false" outlineLevel="0" collapsed="false">
      <c r="B3115" s="48" t="n">
        <v>46055.92</v>
      </c>
      <c r="C3115" s="4" t="n">
        <f aca="false">YEAR(B3115)</f>
        <v>2026</v>
      </c>
      <c r="D3115" s="49" t="s">
        <v>283</v>
      </c>
      <c r="E3115" s="49" t="s">
        <v>6470</v>
      </c>
      <c r="F3115" s="50" t="n">
        <v>1</v>
      </c>
      <c r="G3115" s="49" t="s">
        <v>290</v>
      </c>
      <c r="H3115" s="51" t="n">
        <v>0.0337</v>
      </c>
      <c r="I3115" s="51" t="n">
        <v>0.6931</v>
      </c>
      <c r="J3115" s="51" t="n">
        <v>0.2732</v>
      </c>
      <c r="K3115" s="49"/>
      <c r="L3115" s="49"/>
      <c r="M3115" s="49"/>
      <c r="N3115" s="49"/>
      <c r="O3115" s="49"/>
      <c r="P3115" s="49"/>
      <c r="Q3115" s="49"/>
      <c r="R3115" s="49"/>
      <c r="S3115" s="49" t="n">
        <v>0</v>
      </c>
      <c r="T3115" s="49" t="n">
        <v>0</v>
      </c>
      <c r="U3115" s="49" t="s">
        <v>6471</v>
      </c>
    </row>
    <row r="3116" customFormat="false" ht="15" hidden="false" customHeight="false" outlineLevel="0" collapsed="false">
      <c r="B3116" s="48" t="n">
        <v>46056.0196875</v>
      </c>
      <c r="C3116" s="4" t="n">
        <f aca="false">YEAR(B3116)</f>
        <v>2026</v>
      </c>
      <c r="D3116" s="49" t="s">
        <v>278</v>
      </c>
      <c r="E3116" s="49" t="s">
        <v>6472</v>
      </c>
      <c r="F3116" s="50" t="n">
        <v>1</v>
      </c>
      <c r="G3116" s="49" t="s">
        <v>290</v>
      </c>
      <c r="H3116" s="51" t="n">
        <v>0.1422</v>
      </c>
      <c r="I3116" s="51" t="n">
        <v>0.7871</v>
      </c>
      <c r="J3116" s="51" t="n">
        <v>0.0707</v>
      </c>
      <c r="K3116" s="49"/>
      <c r="L3116" s="49"/>
      <c r="M3116" s="49"/>
      <c r="N3116" s="49"/>
      <c r="O3116" s="49"/>
      <c r="P3116" s="49"/>
      <c r="Q3116" s="49"/>
      <c r="R3116" s="49"/>
      <c r="S3116" s="49" t="n">
        <v>0</v>
      </c>
      <c r="T3116" s="49" t="n">
        <v>0</v>
      </c>
      <c r="U3116" s="49" t="s">
        <v>6473</v>
      </c>
    </row>
    <row r="3117" customFormat="false" ht="15" hidden="false" customHeight="false" outlineLevel="0" collapsed="false">
      <c r="B3117" s="48" t="n">
        <v>46056.5060416667</v>
      </c>
      <c r="C3117" s="4" t="n">
        <f aca="false">YEAR(B3117)</f>
        <v>2026</v>
      </c>
      <c r="D3117" s="49" t="s">
        <v>278</v>
      </c>
      <c r="E3117" s="49" t="s">
        <v>6474</v>
      </c>
      <c r="F3117" s="50" t="n">
        <v>0</v>
      </c>
      <c r="G3117" s="49" t="s">
        <v>290</v>
      </c>
      <c r="H3117" s="51" t="n">
        <v>0.3864</v>
      </c>
      <c r="I3117" s="51" t="n">
        <v>0.5758</v>
      </c>
      <c r="J3117" s="51" t="n">
        <v>0.0378</v>
      </c>
      <c r="K3117" s="49"/>
      <c r="L3117" s="49"/>
      <c r="M3117" s="49"/>
      <c r="N3117" s="49"/>
      <c r="O3117" s="49" t="s">
        <v>281</v>
      </c>
      <c r="P3117" s="49"/>
      <c r="Q3117" s="49"/>
      <c r="R3117" s="49"/>
      <c r="S3117" s="49" t="n">
        <v>0</v>
      </c>
      <c r="T3117" s="49" t="n">
        <v>0</v>
      </c>
      <c r="U3117" s="49" t="s">
        <v>6475</v>
      </c>
    </row>
    <row r="3118" customFormat="false" ht="15" hidden="false" customHeight="false" outlineLevel="0" collapsed="false">
      <c r="B3118" s="48" t="n">
        <v>46056.5880671296</v>
      </c>
      <c r="C3118" s="4" t="n">
        <f aca="false">YEAR(B3118)</f>
        <v>2026</v>
      </c>
      <c r="D3118" s="49" t="s">
        <v>278</v>
      </c>
      <c r="E3118" s="49" t="s">
        <v>6476</v>
      </c>
      <c r="F3118" s="50" t="n">
        <v>1</v>
      </c>
      <c r="G3118" s="49" t="s">
        <v>280</v>
      </c>
      <c r="H3118" s="51" t="n">
        <v>0.7874</v>
      </c>
      <c r="I3118" s="51" t="n">
        <v>0.1928</v>
      </c>
      <c r="J3118" s="51" t="n">
        <v>0.0198</v>
      </c>
      <c r="K3118" s="49"/>
      <c r="L3118" s="49"/>
      <c r="M3118" s="49"/>
      <c r="N3118" s="49"/>
      <c r="O3118" s="49"/>
      <c r="P3118" s="49"/>
      <c r="Q3118" s="49" t="s">
        <v>281</v>
      </c>
      <c r="R3118" s="49"/>
      <c r="S3118" s="49" t="n">
        <v>0</v>
      </c>
      <c r="T3118" s="49" t="n">
        <v>0</v>
      </c>
      <c r="U3118" s="49" t="s">
        <v>6477</v>
      </c>
    </row>
    <row r="3119" customFormat="false" ht="15" hidden="false" customHeight="false" outlineLevel="0" collapsed="false">
      <c r="B3119" s="48" t="n">
        <v>46057.7597916667</v>
      </c>
      <c r="C3119" s="4" t="n">
        <f aca="false">YEAR(B3119)</f>
        <v>2026</v>
      </c>
      <c r="D3119" s="49" t="s">
        <v>283</v>
      </c>
      <c r="E3119" s="49" t="s">
        <v>6478</v>
      </c>
      <c r="F3119" s="50" t="n">
        <v>8</v>
      </c>
      <c r="G3119" s="49" t="s">
        <v>290</v>
      </c>
      <c r="H3119" s="51" t="n">
        <v>0.1121</v>
      </c>
      <c r="I3119" s="51" t="n">
        <v>0.6</v>
      </c>
      <c r="J3119" s="51" t="n">
        <v>0.2879</v>
      </c>
      <c r="K3119" s="49"/>
      <c r="L3119" s="49"/>
      <c r="M3119" s="49"/>
      <c r="N3119" s="49"/>
      <c r="O3119" s="49"/>
      <c r="P3119" s="49"/>
      <c r="Q3119" s="49"/>
      <c r="R3119" s="49"/>
      <c r="S3119" s="49" t="n">
        <v>0</v>
      </c>
      <c r="T3119" s="49" t="n">
        <v>0</v>
      </c>
      <c r="U3119" s="49" t="s">
        <v>6479</v>
      </c>
    </row>
    <row r="3120" customFormat="false" ht="15" hidden="false" customHeight="false" outlineLevel="0" collapsed="false">
      <c r="B3120" s="48" t="n">
        <v>46058.0747337963</v>
      </c>
      <c r="C3120" s="4" t="n">
        <f aca="false">YEAR(B3120)</f>
        <v>2026</v>
      </c>
      <c r="D3120" s="49" t="s">
        <v>278</v>
      </c>
      <c r="E3120" s="49" t="s">
        <v>6480</v>
      </c>
      <c r="F3120" s="50" t="n">
        <v>0</v>
      </c>
      <c r="G3120" s="49" t="s">
        <v>280</v>
      </c>
      <c r="H3120" s="51" t="n">
        <v>0.889</v>
      </c>
      <c r="I3120" s="51" t="n">
        <v>0.1029</v>
      </c>
      <c r="J3120" s="51" t="n">
        <v>0.0082</v>
      </c>
      <c r="K3120" s="49"/>
      <c r="L3120" s="49"/>
      <c r="M3120" s="49"/>
      <c r="N3120" s="49"/>
      <c r="O3120" s="49"/>
      <c r="P3120" s="49"/>
      <c r="Q3120" s="49"/>
      <c r="R3120" s="49"/>
      <c r="S3120" s="49" t="n">
        <v>0</v>
      </c>
      <c r="T3120" s="49" t="n">
        <v>0</v>
      </c>
      <c r="U3120" s="49" t="s">
        <v>6481</v>
      </c>
    </row>
    <row r="3121" customFormat="false" ht="15" hidden="false" customHeight="false" outlineLevel="0" collapsed="false">
      <c r="B3121" s="48" t="n">
        <v>46058.7084490741</v>
      </c>
      <c r="C3121" s="4" t="n">
        <f aca="false">YEAR(B3121)</f>
        <v>2026</v>
      </c>
      <c r="D3121" s="49" t="s">
        <v>278</v>
      </c>
      <c r="E3121" s="49" t="s">
        <v>6482</v>
      </c>
      <c r="F3121" s="50" t="n">
        <v>3</v>
      </c>
      <c r="G3121" s="49" t="s">
        <v>287</v>
      </c>
      <c r="H3121" s="51" t="n">
        <v>0.0022</v>
      </c>
      <c r="I3121" s="51" t="n">
        <v>0.0184</v>
      </c>
      <c r="J3121" s="51" t="n">
        <v>0.9794</v>
      </c>
      <c r="K3121" s="49"/>
      <c r="L3121" s="49"/>
      <c r="M3121" s="49"/>
      <c r="N3121" s="49"/>
      <c r="O3121" s="49"/>
      <c r="P3121" s="49"/>
      <c r="Q3121" s="49"/>
      <c r="R3121" s="49"/>
      <c r="S3121" s="49" t="n">
        <v>0</v>
      </c>
      <c r="T3121" s="49" t="n">
        <v>0</v>
      </c>
      <c r="U3121" s="49" t="s">
        <v>6483</v>
      </c>
    </row>
    <row r="3122" customFormat="false" ht="15" hidden="false" customHeight="false" outlineLevel="0" collapsed="false">
      <c r="B3122" s="48" t="n">
        <v>46058.9374652778</v>
      </c>
      <c r="C3122" s="4" t="n">
        <f aca="false">YEAR(B3122)</f>
        <v>2026</v>
      </c>
      <c r="D3122" s="49" t="s">
        <v>278</v>
      </c>
      <c r="E3122" s="49" t="s">
        <v>6484</v>
      </c>
      <c r="F3122" s="50" t="n">
        <v>2</v>
      </c>
      <c r="G3122" s="49" t="s">
        <v>290</v>
      </c>
      <c r="H3122" s="51" t="n">
        <v>0.3076</v>
      </c>
      <c r="I3122" s="51" t="n">
        <v>0.6635</v>
      </c>
      <c r="J3122" s="51" t="n">
        <v>0.0289</v>
      </c>
      <c r="K3122" s="49"/>
      <c r="L3122" s="49"/>
      <c r="M3122" s="49"/>
      <c r="N3122" s="49"/>
      <c r="O3122" s="49"/>
      <c r="P3122" s="49"/>
      <c r="Q3122" s="49"/>
      <c r="R3122" s="49"/>
      <c r="S3122" s="49" t="n">
        <v>0</v>
      </c>
      <c r="T3122" s="49" t="n">
        <v>0</v>
      </c>
      <c r="U3122" s="49" t="s">
        <v>6485</v>
      </c>
    </row>
    <row r="3123" customFormat="false" ht="15" hidden="false" customHeight="false" outlineLevel="0" collapsed="false">
      <c r="B3123" s="48" t="n">
        <v>46059.3328935185</v>
      </c>
      <c r="C3123" s="4" t="n">
        <f aca="false">YEAR(B3123)</f>
        <v>2026</v>
      </c>
      <c r="D3123" s="49" t="s">
        <v>278</v>
      </c>
      <c r="E3123" s="49" t="s">
        <v>6486</v>
      </c>
      <c r="F3123" s="50" t="n">
        <v>1</v>
      </c>
      <c r="G3123" s="49" t="s">
        <v>290</v>
      </c>
      <c r="H3123" s="51" t="n">
        <v>0.3211</v>
      </c>
      <c r="I3123" s="51" t="n">
        <v>0.5328</v>
      </c>
      <c r="J3123" s="51" t="n">
        <v>0.1461</v>
      </c>
      <c r="K3123" s="49" t="s">
        <v>281</v>
      </c>
      <c r="L3123" s="49"/>
      <c r="M3123" s="49"/>
      <c r="N3123" s="49"/>
      <c r="O3123" s="49"/>
      <c r="P3123" s="49"/>
      <c r="Q3123" s="49" t="s">
        <v>281</v>
      </c>
      <c r="R3123" s="49"/>
      <c r="S3123" s="49" t="n">
        <v>0</v>
      </c>
      <c r="T3123" s="49" t="n">
        <v>0</v>
      </c>
      <c r="U3123" s="49" t="s">
        <v>6487</v>
      </c>
    </row>
    <row r="3124" customFormat="false" ht="15" hidden="false" customHeight="false" outlineLevel="0" collapsed="false">
      <c r="B3124" s="48" t="n">
        <v>46059.4425462963</v>
      </c>
      <c r="C3124" s="4" t="n">
        <f aca="false">YEAR(B3124)</f>
        <v>2026</v>
      </c>
      <c r="D3124" s="49" t="s">
        <v>278</v>
      </c>
      <c r="E3124" s="49" t="s">
        <v>6488</v>
      </c>
      <c r="F3124" s="50" t="n">
        <v>35</v>
      </c>
      <c r="G3124" s="49" t="s">
        <v>280</v>
      </c>
      <c r="H3124" s="51" t="n">
        <v>0.8182</v>
      </c>
      <c r="I3124" s="51" t="n">
        <v>0.1611</v>
      </c>
      <c r="J3124" s="51" t="n">
        <v>0.0206</v>
      </c>
      <c r="K3124" s="49"/>
      <c r="L3124" s="49"/>
      <c r="M3124" s="49"/>
      <c r="N3124" s="49"/>
      <c r="O3124" s="49"/>
      <c r="P3124" s="49"/>
      <c r="Q3124" s="49"/>
      <c r="R3124" s="49"/>
      <c r="S3124" s="49" t="n">
        <v>0</v>
      </c>
      <c r="T3124" s="49" t="n">
        <v>0</v>
      </c>
      <c r="U3124" s="49" t="s">
        <v>6489</v>
      </c>
    </row>
    <row r="3125" customFormat="false" ht="15" hidden="false" customHeight="false" outlineLevel="0" collapsed="false">
      <c r="B3125" s="48" t="n">
        <v>46059.5352662037</v>
      </c>
      <c r="C3125" s="4" t="n">
        <f aca="false">YEAR(B3125)</f>
        <v>2026</v>
      </c>
      <c r="D3125" s="49" t="s">
        <v>278</v>
      </c>
      <c r="E3125" s="49" t="s">
        <v>6490</v>
      </c>
      <c r="F3125" s="50" t="n">
        <v>7</v>
      </c>
      <c r="G3125" s="49" t="s">
        <v>290</v>
      </c>
      <c r="H3125" s="51" t="n">
        <v>0.3133</v>
      </c>
      <c r="I3125" s="51" t="n">
        <v>0.5849</v>
      </c>
      <c r="J3125" s="51" t="n">
        <v>0.1018</v>
      </c>
      <c r="K3125" s="49" t="s">
        <v>281</v>
      </c>
      <c r="L3125" s="49"/>
      <c r="M3125" s="49"/>
      <c r="N3125" s="49"/>
      <c r="O3125" s="49"/>
      <c r="P3125" s="49"/>
      <c r="Q3125" s="49"/>
      <c r="R3125" s="49" t="s">
        <v>281</v>
      </c>
      <c r="S3125" s="49" t="n">
        <v>0</v>
      </c>
      <c r="T3125" s="49" t="n">
        <v>0</v>
      </c>
      <c r="U3125" s="49" t="s">
        <v>6491</v>
      </c>
    </row>
    <row r="3126" customFormat="false" ht="15" hidden="false" customHeight="false" outlineLevel="0" collapsed="false">
      <c r="B3126" s="48" t="n">
        <v>46059.6634722222</v>
      </c>
      <c r="C3126" s="4" t="n">
        <f aca="false">YEAR(B3126)</f>
        <v>2026</v>
      </c>
      <c r="D3126" s="49" t="s">
        <v>283</v>
      </c>
      <c r="E3126" s="49" t="s">
        <v>6492</v>
      </c>
      <c r="F3126" s="50" t="n">
        <v>1</v>
      </c>
      <c r="G3126" s="49" t="s">
        <v>290</v>
      </c>
      <c r="H3126" s="51" t="n">
        <v>0.0106</v>
      </c>
      <c r="I3126" s="51" t="n">
        <v>0.9254</v>
      </c>
      <c r="J3126" s="51" t="n">
        <v>0.064</v>
      </c>
      <c r="K3126" s="49"/>
      <c r="L3126" s="49"/>
      <c r="M3126" s="49"/>
      <c r="N3126" s="49"/>
      <c r="O3126" s="49"/>
      <c r="P3126" s="49"/>
      <c r="Q3126" s="49"/>
      <c r="R3126" s="49"/>
      <c r="S3126" s="49" t="n">
        <v>1</v>
      </c>
      <c r="T3126" s="49" t="n">
        <v>0</v>
      </c>
      <c r="U3126" s="49" t="s">
        <v>6493</v>
      </c>
    </row>
    <row r="3127" customFormat="false" ht="15" hidden="false" customHeight="false" outlineLevel="0" collapsed="false">
      <c r="B3127" s="48" t="n">
        <v>46060.668587963</v>
      </c>
      <c r="C3127" s="4" t="n">
        <f aca="false">YEAR(B3127)</f>
        <v>2026</v>
      </c>
      <c r="D3127" s="49" t="s">
        <v>278</v>
      </c>
      <c r="E3127" s="49" t="s">
        <v>6494</v>
      </c>
      <c r="F3127" s="50" t="n">
        <v>1</v>
      </c>
      <c r="G3127" s="49" t="s">
        <v>280</v>
      </c>
      <c r="H3127" s="51" t="n">
        <v>0.822</v>
      </c>
      <c r="I3127" s="51" t="n">
        <v>0.1675</v>
      </c>
      <c r="J3127" s="51" t="n">
        <v>0.0105</v>
      </c>
      <c r="K3127" s="49"/>
      <c r="L3127" s="49"/>
      <c r="M3127" s="49"/>
      <c r="N3127" s="49"/>
      <c r="O3127" s="49"/>
      <c r="P3127" s="49"/>
      <c r="Q3127" s="49" t="s">
        <v>281</v>
      </c>
      <c r="R3127" s="49"/>
      <c r="S3127" s="49" t="n">
        <v>0</v>
      </c>
      <c r="T3127" s="49" t="n">
        <v>0</v>
      </c>
      <c r="U3127" s="49" t="s">
        <v>6495</v>
      </c>
    </row>
    <row r="3128" customFormat="false" ht="15" hidden="false" customHeight="false" outlineLevel="0" collapsed="false">
      <c r="B3128" s="48" t="n">
        <v>46060.8667592593</v>
      </c>
      <c r="C3128" s="4" t="n">
        <f aca="false">YEAR(B3128)</f>
        <v>2026</v>
      </c>
      <c r="D3128" s="49" t="s">
        <v>278</v>
      </c>
      <c r="E3128" s="49" t="s">
        <v>6496</v>
      </c>
      <c r="F3128" s="50" t="n">
        <v>1</v>
      </c>
      <c r="G3128" s="49" t="s">
        <v>280</v>
      </c>
      <c r="H3128" s="51" t="n">
        <v>0.8626</v>
      </c>
      <c r="I3128" s="51" t="n">
        <v>0.13</v>
      </c>
      <c r="J3128" s="51" t="n">
        <v>0.0073</v>
      </c>
      <c r="K3128" s="49"/>
      <c r="L3128" s="49"/>
      <c r="M3128" s="49"/>
      <c r="N3128" s="49"/>
      <c r="O3128" s="49"/>
      <c r="P3128" s="49"/>
      <c r="Q3128" s="49"/>
      <c r="R3128" s="49" t="s">
        <v>281</v>
      </c>
      <c r="S3128" s="49" t="n">
        <v>0</v>
      </c>
      <c r="T3128" s="49" t="n">
        <v>0</v>
      </c>
      <c r="U3128" s="49" t="s">
        <v>6497</v>
      </c>
    </row>
    <row r="3129" customFormat="false" ht="15" hidden="false" customHeight="false" outlineLevel="0" collapsed="false">
      <c r="B3129" s="48" t="n">
        <v>46061.0136574074</v>
      </c>
      <c r="C3129" s="4" t="n">
        <f aca="false">YEAR(B3129)</f>
        <v>2026</v>
      </c>
      <c r="D3129" s="49" t="s">
        <v>283</v>
      </c>
      <c r="E3129" s="49" t="s">
        <v>6498</v>
      </c>
      <c r="F3129" s="50" t="n">
        <v>1</v>
      </c>
      <c r="G3129" s="49" t="s">
        <v>287</v>
      </c>
      <c r="H3129" s="51" t="n">
        <v>0.0285</v>
      </c>
      <c r="I3129" s="51" t="n">
        <v>0.4542</v>
      </c>
      <c r="J3129" s="51" t="n">
        <v>0.5172</v>
      </c>
      <c r="K3129" s="49"/>
      <c r="L3129" s="49"/>
      <c r="M3129" s="49"/>
      <c r="N3129" s="49"/>
      <c r="O3129" s="49"/>
      <c r="P3129" s="49"/>
      <c r="Q3129" s="49"/>
      <c r="R3129" s="49"/>
      <c r="S3129" s="49" t="n">
        <v>0</v>
      </c>
      <c r="T3129" s="49" t="n">
        <v>0</v>
      </c>
      <c r="U3129" s="49" t="s">
        <v>6499</v>
      </c>
    </row>
    <row r="3130" customFormat="false" ht="15" hidden="false" customHeight="false" outlineLevel="0" collapsed="false">
      <c r="B3130" s="48" t="n">
        <v>46061.6706712963</v>
      </c>
      <c r="C3130" s="4" t="n">
        <f aca="false">YEAR(B3130)</f>
        <v>2026</v>
      </c>
      <c r="D3130" s="49" t="s">
        <v>283</v>
      </c>
      <c r="E3130" s="49" t="s">
        <v>6500</v>
      </c>
      <c r="F3130" s="50" t="n">
        <v>1</v>
      </c>
      <c r="G3130" s="49" t="s">
        <v>287</v>
      </c>
      <c r="H3130" s="51" t="n">
        <v>0.008</v>
      </c>
      <c r="I3130" s="51" t="n">
        <v>0.3762</v>
      </c>
      <c r="J3130" s="51" t="n">
        <v>0.6159</v>
      </c>
      <c r="K3130" s="49"/>
      <c r="L3130" s="49"/>
      <c r="M3130" s="49"/>
      <c r="N3130" s="49"/>
      <c r="O3130" s="49"/>
      <c r="P3130" s="49"/>
      <c r="Q3130" s="49"/>
      <c r="R3130" s="49"/>
      <c r="S3130" s="49" t="n">
        <v>0</v>
      </c>
      <c r="T3130" s="49" t="n">
        <v>0</v>
      </c>
      <c r="U3130" s="49" t="s">
        <v>6501</v>
      </c>
    </row>
    <row r="3131" customFormat="false" ht="15" hidden="false" customHeight="false" outlineLevel="0" collapsed="false">
      <c r="B3131" s="48" t="n">
        <v>46061.844849537</v>
      </c>
      <c r="C3131" s="4" t="n">
        <f aca="false">YEAR(B3131)</f>
        <v>2026</v>
      </c>
      <c r="D3131" s="49" t="s">
        <v>283</v>
      </c>
      <c r="E3131" s="49" t="s">
        <v>6502</v>
      </c>
      <c r="F3131" s="50" t="n">
        <v>2</v>
      </c>
      <c r="G3131" s="49" t="s">
        <v>287</v>
      </c>
      <c r="H3131" s="51" t="n">
        <v>0.02</v>
      </c>
      <c r="I3131" s="51" t="n">
        <v>0.1878</v>
      </c>
      <c r="J3131" s="51" t="n">
        <v>0.7921</v>
      </c>
      <c r="K3131" s="49"/>
      <c r="L3131" s="49"/>
      <c r="M3131" s="49"/>
      <c r="N3131" s="49"/>
      <c r="O3131" s="49"/>
      <c r="P3131" s="49"/>
      <c r="Q3131" s="49"/>
      <c r="R3131" s="49"/>
      <c r="S3131" s="49" t="n">
        <v>0</v>
      </c>
      <c r="T3131" s="49" t="n">
        <v>0</v>
      </c>
      <c r="U3131" s="49" t="s">
        <v>6503</v>
      </c>
    </row>
    <row r="3132" customFormat="false" ht="15" hidden="false" customHeight="false" outlineLevel="0" collapsed="false">
      <c r="B3132" s="48" t="n">
        <v>46062.1940162037</v>
      </c>
      <c r="C3132" s="4" t="n">
        <f aca="false">YEAR(B3132)</f>
        <v>2026</v>
      </c>
      <c r="D3132" s="49" t="s">
        <v>278</v>
      </c>
      <c r="E3132" s="49" t="s">
        <v>6504</v>
      </c>
      <c r="F3132" s="50" t="n">
        <v>4</v>
      </c>
      <c r="G3132" s="49" t="s">
        <v>280</v>
      </c>
      <c r="H3132" s="51" t="n">
        <v>0.7384</v>
      </c>
      <c r="I3132" s="51" t="n">
        <v>0.2483</v>
      </c>
      <c r="J3132" s="51" t="n">
        <v>0.0133</v>
      </c>
      <c r="K3132" s="49" t="s">
        <v>281</v>
      </c>
      <c r="L3132" s="49"/>
      <c r="M3132" s="49"/>
      <c r="N3132" s="49"/>
      <c r="O3132" s="49"/>
      <c r="P3132" s="49"/>
      <c r="Q3132" s="49"/>
      <c r="R3132" s="49"/>
      <c r="S3132" s="49" t="n">
        <v>0</v>
      </c>
      <c r="T3132" s="49" t="n">
        <v>0</v>
      </c>
      <c r="U3132" s="49" t="s">
        <v>6505</v>
      </c>
    </row>
    <row r="3133" customFormat="false" ht="15" hidden="false" customHeight="false" outlineLevel="0" collapsed="false">
      <c r="B3133" s="48" t="n">
        <v>46062.522349537</v>
      </c>
      <c r="C3133" s="4" t="n">
        <f aca="false">YEAR(B3133)</f>
        <v>2026</v>
      </c>
      <c r="D3133" s="49" t="s">
        <v>278</v>
      </c>
      <c r="E3133" s="49" t="s">
        <v>6506</v>
      </c>
      <c r="F3133" s="50" t="n">
        <v>9</v>
      </c>
      <c r="G3133" s="49" t="s">
        <v>280</v>
      </c>
      <c r="H3133" s="51" t="n">
        <v>0.8103</v>
      </c>
      <c r="I3133" s="51" t="n">
        <v>0.1717</v>
      </c>
      <c r="J3133" s="51" t="n">
        <v>0.018</v>
      </c>
      <c r="K3133" s="49" t="s">
        <v>281</v>
      </c>
      <c r="L3133" s="49"/>
      <c r="M3133" s="49"/>
      <c r="N3133" s="49"/>
      <c r="O3133" s="49"/>
      <c r="P3133" s="49"/>
      <c r="Q3133" s="49"/>
      <c r="R3133" s="49" t="s">
        <v>281</v>
      </c>
      <c r="S3133" s="49" t="n">
        <v>0</v>
      </c>
      <c r="T3133" s="49" t="n">
        <v>0</v>
      </c>
      <c r="U3133" s="49" t="s">
        <v>6507</v>
      </c>
    </row>
    <row r="3134" customFormat="false" ht="15" hidden="false" customHeight="false" outlineLevel="0" collapsed="false">
      <c r="B3134" s="48" t="n">
        <v>46062.5833101852</v>
      </c>
      <c r="C3134" s="4" t="n">
        <f aca="false">YEAR(B3134)</f>
        <v>2026</v>
      </c>
      <c r="D3134" s="49" t="s">
        <v>278</v>
      </c>
      <c r="E3134" s="49" t="s">
        <v>6508</v>
      </c>
      <c r="F3134" s="50" t="n">
        <v>0</v>
      </c>
      <c r="G3134" s="49" t="s">
        <v>280</v>
      </c>
      <c r="H3134" s="51" t="n">
        <v>0.8441</v>
      </c>
      <c r="I3134" s="51" t="n">
        <v>0.1396</v>
      </c>
      <c r="J3134" s="51" t="n">
        <v>0.0164</v>
      </c>
      <c r="K3134" s="49"/>
      <c r="L3134" s="49"/>
      <c r="M3134" s="49"/>
      <c r="N3134" s="49"/>
      <c r="O3134" s="49" t="s">
        <v>281</v>
      </c>
      <c r="P3134" s="49"/>
      <c r="Q3134" s="49"/>
      <c r="R3134" s="49"/>
      <c r="S3134" s="49" t="n">
        <v>0</v>
      </c>
      <c r="T3134" s="49" t="n">
        <v>0</v>
      </c>
      <c r="U3134" s="49" t="s">
        <v>6509</v>
      </c>
    </row>
    <row r="3135" customFormat="false" ht="15" hidden="false" customHeight="false" outlineLevel="0" collapsed="false">
      <c r="B3135" s="48" t="n">
        <v>46062.7206481482</v>
      </c>
      <c r="C3135" s="4" t="n">
        <f aca="false">YEAR(B3135)</f>
        <v>2026</v>
      </c>
      <c r="D3135" s="49" t="s">
        <v>278</v>
      </c>
      <c r="E3135" s="49" t="s">
        <v>6510</v>
      </c>
      <c r="F3135" s="50" t="n">
        <v>17</v>
      </c>
      <c r="G3135" s="49" t="s">
        <v>280</v>
      </c>
      <c r="H3135" s="51" t="n">
        <v>0.869</v>
      </c>
      <c r="I3135" s="51" t="n">
        <v>0.1153</v>
      </c>
      <c r="J3135" s="51" t="n">
        <v>0.0157</v>
      </c>
      <c r="K3135" s="49"/>
      <c r="L3135" s="49"/>
      <c r="M3135" s="49"/>
      <c r="N3135" s="49"/>
      <c r="O3135" s="49"/>
      <c r="P3135" s="49"/>
      <c r="Q3135" s="49"/>
      <c r="R3135" s="49"/>
      <c r="S3135" s="49" t="n">
        <v>0</v>
      </c>
      <c r="T3135" s="49" t="n">
        <v>1</v>
      </c>
      <c r="U3135" s="49" t="s">
        <v>6511</v>
      </c>
    </row>
    <row r="3136" customFormat="false" ht="15" hidden="false" customHeight="false" outlineLevel="0" collapsed="false">
      <c r="B3136" s="48" t="n">
        <v>46062.7927777778</v>
      </c>
      <c r="C3136" s="4" t="n">
        <f aca="false">YEAR(B3136)</f>
        <v>2026</v>
      </c>
      <c r="D3136" s="49" t="s">
        <v>283</v>
      </c>
      <c r="E3136" s="49" t="s">
        <v>6512</v>
      </c>
      <c r="F3136" s="50" t="n">
        <v>1</v>
      </c>
      <c r="G3136" s="49" t="s">
        <v>287</v>
      </c>
      <c r="H3136" s="51" t="n">
        <v>0.0041</v>
      </c>
      <c r="I3136" s="51" t="n">
        <v>0.1073</v>
      </c>
      <c r="J3136" s="51" t="n">
        <v>0.8887</v>
      </c>
      <c r="K3136" s="49"/>
      <c r="L3136" s="49"/>
      <c r="M3136" s="49"/>
      <c r="N3136" s="49"/>
      <c r="O3136" s="49"/>
      <c r="P3136" s="49"/>
      <c r="Q3136" s="49"/>
      <c r="R3136" s="49"/>
      <c r="S3136" s="49" t="n">
        <v>0</v>
      </c>
      <c r="T3136" s="49" t="n">
        <v>0</v>
      </c>
      <c r="U3136" s="49" t="s">
        <v>6513</v>
      </c>
    </row>
    <row r="3137" customFormat="false" ht="15" hidden="false" customHeight="false" outlineLevel="0" collapsed="false">
      <c r="B3137" s="48" t="n">
        <v>46063.2744328704</v>
      </c>
      <c r="C3137" s="4" t="n">
        <f aca="false">YEAR(B3137)</f>
        <v>2026</v>
      </c>
      <c r="D3137" s="49" t="s">
        <v>283</v>
      </c>
      <c r="E3137" s="49" t="s">
        <v>6514</v>
      </c>
      <c r="F3137" s="50" t="n">
        <v>4</v>
      </c>
      <c r="G3137" s="49" t="s">
        <v>280</v>
      </c>
      <c r="H3137" s="51" t="n">
        <v>0.955</v>
      </c>
      <c r="I3137" s="51" t="n">
        <v>0.0373</v>
      </c>
      <c r="J3137" s="51" t="n">
        <v>0.0076</v>
      </c>
      <c r="K3137" s="49"/>
      <c r="L3137" s="49"/>
      <c r="M3137" s="49"/>
      <c r="N3137" s="49"/>
      <c r="O3137" s="49"/>
      <c r="P3137" s="49" t="s">
        <v>281</v>
      </c>
      <c r="Q3137" s="49"/>
      <c r="R3137" s="49"/>
      <c r="S3137" s="49" t="n">
        <v>0</v>
      </c>
      <c r="T3137" s="49" t="n">
        <v>0</v>
      </c>
      <c r="U3137" s="49" t="s">
        <v>6515</v>
      </c>
    </row>
    <row r="3138" customFormat="false" ht="15" hidden="false" customHeight="false" outlineLevel="0" collapsed="false">
      <c r="B3138" s="48" t="n">
        <v>46063.5554282407</v>
      </c>
      <c r="C3138" s="4" t="n">
        <f aca="false">YEAR(B3138)</f>
        <v>2026</v>
      </c>
      <c r="D3138" s="49" t="s">
        <v>278</v>
      </c>
      <c r="E3138" s="49" t="s">
        <v>6516</v>
      </c>
      <c r="F3138" s="50" t="n">
        <v>0</v>
      </c>
      <c r="G3138" s="49" t="s">
        <v>280</v>
      </c>
      <c r="H3138" s="51" t="n">
        <v>0.6933</v>
      </c>
      <c r="I3138" s="51" t="n">
        <v>0.2884</v>
      </c>
      <c r="J3138" s="51" t="n">
        <v>0.0183</v>
      </c>
      <c r="K3138" s="49"/>
      <c r="L3138" s="49"/>
      <c r="M3138" s="49"/>
      <c r="N3138" s="49"/>
      <c r="O3138" s="49"/>
      <c r="P3138" s="49"/>
      <c r="Q3138" s="49"/>
      <c r="R3138" s="49"/>
      <c r="S3138" s="49" t="n">
        <v>0</v>
      </c>
      <c r="T3138" s="49" t="n">
        <v>0</v>
      </c>
      <c r="U3138" s="49" t="s">
        <v>6517</v>
      </c>
    </row>
    <row r="3139" customFormat="false" ht="15" hidden="false" customHeight="false" outlineLevel="0" collapsed="false">
      <c r="B3139" s="48" t="n">
        <v>46063.5862731482</v>
      </c>
      <c r="C3139" s="4" t="n">
        <f aca="false">YEAR(B3139)</f>
        <v>2026</v>
      </c>
      <c r="D3139" s="49" t="s">
        <v>283</v>
      </c>
      <c r="E3139" s="49" t="s">
        <v>6518</v>
      </c>
      <c r="F3139" s="50" t="n">
        <v>8</v>
      </c>
      <c r="G3139" s="49" t="s">
        <v>280</v>
      </c>
      <c r="H3139" s="51" t="n">
        <v>0.9179</v>
      </c>
      <c r="I3139" s="51" t="n">
        <v>0.076</v>
      </c>
      <c r="J3139" s="51" t="n">
        <v>0.0061</v>
      </c>
      <c r="K3139" s="49"/>
      <c r="L3139" s="49"/>
      <c r="M3139" s="49" t="s">
        <v>281</v>
      </c>
      <c r="N3139" s="49"/>
      <c r="O3139" s="49"/>
      <c r="P3139" s="49"/>
      <c r="Q3139" s="49"/>
      <c r="R3139" s="49"/>
      <c r="S3139" s="49" t="n">
        <v>0</v>
      </c>
      <c r="T3139" s="49" t="n">
        <v>0</v>
      </c>
      <c r="U3139" s="49" t="s">
        <v>6519</v>
      </c>
    </row>
    <row r="3140" customFormat="false" ht="15" hidden="false" customHeight="false" outlineLevel="0" collapsed="false">
      <c r="B3140" s="48" t="n">
        <v>46063.9949768519</v>
      </c>
      <c r="C3140" s="4" t="n">
        <f aca="false">YEAR(B3140)</f>
        <v>2026</v>
      </c>
      <c r="D3140" s="49" t="s">
        <v>278</v>
      </c>
      <c r="E3140" s="49" t="s">
        <v>6520</v>
      </c>
      <c r="F3140" s="50" t="n">
        <v>1</v>
      </c>
      <c r="G3140" s="49" t="s">
        <v>280</v>
      </c>
      <c r="H3140" s="51" t="n">
        <v>0.5785</v>
      </c>
      <c r="I3140" s="51" t="n">
        <v>0.4006</v>
      </c>
      <c r="J3140" s="51" t="n">
        <v>0.0209</v>
      </c>
      <c r="K3140" s="49"/>
      <c r="L3140" s="49"/>
      <c r="M3140" s="49"/>
      <c r="N3140" s="49"/>
      <c r="O3140" s="49"/>
      <c r="P3140" s="49"/>
      <c r="Q3140" s="49"/>
      <c r="R3140" s="49" t="s">
        <v>281</v>
      </c>
      <c r="S3140" s="49" t="n">
        <v>0</v>
      </c>
      <c r="T3140" s="49" t="n">
        <v>0</v>
      </c>
      <c r="U3140" s="49" t="s">
        <v>6521</v>
      </c>
    </row>
    <row r="3141" customFormat="false" ht="15" hidden="false" customHeight="false" outlineLevel="0" collapsed="false">
      <c r="B3141" s="48" t="n">
        <v>46064.0501851852</v>
      </c>
      <c r="C3141" s="4" t="n">
        <f aca="false">YEAR(B3141)</f>
        <v>2026</v>
      </c>
      <c r="D3141" s="49" t="s">
        <v>278</v>
      </c>
      <c r="E3141" s="49" t="s">
        <v>6522</v>
      </c>
      <c r="F3141" s="50" t="n">
        <v>0</v>
      </c>
      <c r="G3141" s="49" t="s">
        <v>280</v>
      </c>
      <c r="H3141" s="51" t="n">
        <v>0.8479</v>
      </c>
      <c r="I3141" s="51" t="n">
        <v>0.1406</v>
      </c>
      <c r="J3141" s="51" t="n">
        <v>0.0116</v>
      </c>
      <c r="K3141" s="49"/>
      <c r="L3141" s="49"/>
      <c r="M3141" s="49"/>
      <c r="N3141" s="49"/>
      <c r="O3141" s="49"/>
      <c r="P3141" s="49"/>
      <c r="Q3141" s="49"/>
      <c r="R3141" s="49"/>
      <c r="S3141" s="49" t="n">
        <v>0</v>
      </c>
      <c r="T3141" s="49" t="n">
        <v>0</v>
      </c>
      <c r="U3141" s="49" t="s">
        <v>6523</v>
      </c>
    </row>
    <row r="3142" customFormat="false" ht="15" hidden="false" customHeight="false" outlineLevel="0" collapsed="false">
      <c r="B3142" s="48" t="n">
        <v>46064.1213310185</v>
      </c>
      <c r="C3142" s="4" t="n">
        <f aca="false">YEAR(B3142)</f>
        <v>2026</v>
      </c>
      <c r="D3142" s="49" t="s">
        <v>283</v>
      </c>
      <c r="E3142" s="49" t="s">
        <v>6524</v>
      </c>
      <c r="F3142" s="50" t="n">
        <v>1</v>
      </c>
      <c r="G3142" s="49" t="s">
        <v>287</v>
      </c>
      <c r="H3142" s="51" t="n">
        <v>0.1875</v>
      </c>
      <c r="I3142" s="51" t="n">
        <v>0.2592</v>
      </c>
      <c r="J3142" s="51" t="n">
        <v>0.5533</v>
      </c>
      <c r="K3142" s="49"/>
      <c r="L3142" s="49"/>
      <c r="M3142" s="49"/>
      <c r="N3142" s="49"/>
      <c r="O3142" s="49"/>
      <c r="P3142" s="49"/>
      <c r="Q3142" s="49"/>
      <c r="R3142" s="49"/>
      <c r="S3142" s="49" t="n">
        <v>0</v>
      </c>
      <c r="T3142" s="49" t="n">
        <v>0</v>
      </c>
      <c r="U3142" s="49" t="s">
        <v>6525</v>
      </c>
    </row>
    <row r="3143" customFormat="false" ht="15" hidden="false" customHeight="false" outlineLevel="0" collapsed="false">
      <c r="B3143" s="48" t="n">
        <v>46064.2834259259</v>
      </c>
      <c r="C3143" s="4" t="n">
        <f aca="false">YEAR(B3143)</f>
        <v>2026</v>
      </c>
      <c r="D3143" s="49" t="s">
        <v>278</v>
      </c>
      <c r="E3143" s="49" t="s">
        <v>6526</v>
      </c>
      <c r="F3143" s="50" t="n">
        <v>73</v>
      </c>
      <c r="G3143" s="49" t="s">
        <v>280</v>
      </c>
      <c r="H3143" s="51" t="n">
        <v>0.644</v>
      </c>
      <c r="I3143" s="51" t="n">
        <v>0.3233</v>
      </c>
      <c r="J3143" s="51" t="n">
        <v>0.0327</v>
      </c>
      <c r="K3143" s="49"/>
      <c r="L3143" s="49"/>
      <c r="M3143" s="49"/>
      <c r="N3143" s="49"/>
      <c r="O3143" s="49"/>
      <c r="P3143" s="49"/>
      <c r="Q3143" s="49"/>
      <c r="R3143" s="49"/>
      <c r="S3143" s="49" t="n">
        <v>0</v>
      </c>
      <c r="T3143" s="49" t="n">
        <v>0</v>
      </c>
      <c r="U3143" s="49" t="s">
        <v>6527</v>
      </c>
    </row>
    <row r="3144" customFormat="false" ht="15" hidden="false" customHeight="false" outlineLevel="0" collapsed="false">
      <c r="B3144" s="48" t="n">
        <v>46064.505</v>
      </c>
      <c r="C3144" s="4" t="n">
        <f aca="false">YEAR(B3144)</f>
        <v>2026</v>
      </c>
      <c r="D3144" s="49" t="s">
        <v>283</v>
      </c>
      <c r="E3144" s="49" t="s">
        <v>6528</v>
      </c>
      <c r="F3144" s="50" t="n">
        <v>1</v>
      </c>
      <c r="G3144" s="49" t="s">
        <v>290</v>
      </c>
      <c r="H3144" s="51" t="n">
        <v>0.0508</v>
      </c>
      <c r="I3144" s="51" t="n">
        <v>0.6568</v>
      </c>
      <c r="J3144" s="51" t="n">
        <v>0.2924</v>
      </c>
      <c r="K3144" s="49"/>
      <c r="L3144" s="49"/>
      <c r="M3144" s="49"/>
      <c r="N3144" s="49"/>
      <c r="O3144" s="49"/>
      <c r="P3144" s="49"/>
      <c r="Q3144" s="49"/>
      <c r="R3144" s="49"/>
      <c r="S3144" s="49" t="n">
        <v>0</v>
      </c>
      <c r="T3144" s="49" t="n">
        <v>0</v>
      </c>
      <c r="U3144" s="49" t="s">
        <v>6529</v>
      </c>
    </row>
    <row r="3145" customFormat="false" ht="15" hidden="false" customHeight="false" outlineLevel="0" collapsed="false">
      <c r="B3145" s="48" t="n">
        <v>46064.7755671296</v>
      </c>
      <c r="C3145" s="4" t="n">
        <f aca="false">YEAR(B3145)</f>
        <v>2026</v>
      </c>
      <c r="D3145" s="49" t="s">
        <v>278</v>
      </c>
      <c r="E3145" s="49" t="s">
        <v>6530</v>
      </c>
      <c r="F3145" s="50" t="n">
        <v>5</v>
      </c>
      <c r="G3145" s="49" t="s">
        <v>280</v>
      </c>
      <c r="H3145" s="51" t="n">
        <v>0.6373</v>
      </c>
      <c r="I3145" s="51" t="n">
        <v>0.3461</v>
      </c>
      <c r="J3145" s="51" t="n">
        <v>0.0166</v>
      </c>
      <c r="K3145" s="49"/>
      <c r="L3145" s="49"/>
      <c r="M3145" s="49"/>
      <c r="N3145" s="49"/>
      <c r="O3145" s="49"/>
      <c r="P3145" s="49"/>
      <c r="Q3145" s="49"/>
      <c r="R3145" s="49"/>
      <c r="S3145" s="49" t="n">
        <v>0</v>
      </c>
      <c r="T3145" s="49" t="n">
        <v>0</v>
      </c>
      <c r="U3145" s="49" t="s">
        <v>6531</v>
      </c>
    </row>
    <row r="3146" customFormat="false" ht="15" hidden="false" customHeight="false" outlineLevel="0" collapsed="false">
      <c r="B3146" s="48" t="n">
        <v>46064.8264814815</v>
      </c>
      <c r="C3146" s="4" t="n">
        <f aca="false">YEAR(B3146)</f>
        <v>2026</v>
      </c>
      <c r="D3146" s="49" t="s">
        <v>278</v>
      </c>
      <c r="E3146" s="49" t="s">
        <v>6532</v>
      </c>
      <c r="F3146" s="50" t="n">
        <v>264</v>
      </c>
      <c r="G3146" s="49" t="s">
        <v>290</v>
      </c>
      <c r="H3146" s="51" t="n">
        <v>0.0207</v>
      </c>
      <c r="I3146" s="51" t="n">
        <v>0.7789</v>
      </c>
      <c r="J3146" s="51" t="n">
        <v>0.2003</v>
      </c>
      <c r="K3146" s="49"/>
      <c r="L3146" s="49"/>
      <c r="M3146" s="49" t="s">
        <v>281</v>
      </c>
      <c r="N3146" s="49"/>
      <c r="O3146" s="49" t="s">
        <v>281</v>
      </c>
      <c r="P3146" s="49"/>
      <c r="Q3146" s="49"/>
      <c r="R3146" s="49"/>
      <c r="S3146" s="49" t="n">
        <v>0</v>
      </c>
      <c r="T3146" s="49" t="n">
        <v>0</v>
      </c>
      <c r="U3146" s="49" t="s">
        <v>6533</v>
      </c>
    </row>
    <row r="3147" customFormat="false" ht="15" hidden="false" customHeight="false" outlineLevel="0" collapsed="false">
      <c r="B3147" s="48" t="n">
        <v>46064.8637731482</v>
      </c>
      <c r="C3147" s="4" t="n">
        <f aca="false">YEAR(B3147)</f>
        <v>2026</v>
      </c>
      <c r="D3147" s="49" t="s">
        <v>283</v>
      </c>
      <c r="E3147" s="49" t="s">
        <v>6534</v>
      </c>
      <c r="F3147" s="50" t="n">
        <v>1</v>
      </c>
      <c r="G3147" s="49" t="s">
        <v>287</v>
      </c>
      <c r="H3147" s="51" t="n">
        <v>0.0023</v>
      </c>
      <c r="I3147" s="51" t="n">
        <v>0.1389</v>
      </c>
      <c r="J3147" s="51" t="n">
        <v>0.8587</v>
      </c>
      <c r="K3147" s="49"/>
      <c r="L3147" s="49"/>
      <c r="M3147" s="49"/>
      <c r="N3147" s="49"/>
      <c r="O3147" s="49"/>
      <c r="P3147" s="49"/>
      <c r="Q3147" s="49"/>
      <c r="R3147" s="49"/>
      <c r="S3147" s="49" t="n">
        <v>0</v>
      </c>
      <c r="T3147" s="49" t="n">
        <v>0</v>
      </c>
      <c r="U3147" s="49" t="s">
        <v>6535</v>
      </c>
    </row>
    <row r="3148" customFormat="false" ht="15" hidden="false" customHeight="false" outlineLevel="0" collapsed="false">
      <c r="B3148" s="48" t="n">
        <v>46065.1466319444</v>
      </c>
      <c r="C3148" s="4" t="n">
        <f aca="false">YEAR(B3148)</f>
        <v>2026</v>
      </c>
      <c r="D3148" s="49" t="s">
        <v>278</v>
      </c>
      <c r="E3148" s="49" t="s">
        <v>6536</v>
      </c>
      <c r="F3148" s="50" t="n">
        <v>2</v>
      </c>
      <c r="G3148" s="49" t="s">
        <v>290</v>
      </c>
      <c r="H3148" s="51" t="n">
        <v>0.4435</v>
      </c>
      <c r="I3148" s="51" t="n">
        <v>0.5063</v>
      </c>
      <c r="J3148" s="51" t="n">
        <v>0.0502</v>
      </c>
      <c r="K3148" s="49"/>
      <c r="L3148" s="49"/>
      <c r="M3148" s="49"/>
      <c r="N3148" s="49"/>
      <c r="O3148" s="49"/>
      <c r="P3148" s="49"/>
      <c r="Q3148" s="49"/>
      <c r="R3148" s="49"/>
      <c r="S3148" s="49" t="n">
        <v>0</v>
      </c>
      <c r="T3148" s="49" t="n">
        <v>0</v>
      </c>
      <c r="U3148" s="49" t="s">
        <v>6537</v>
      </c>
    </row>
    <row r="3149" customFormat="false" ht="15" hidden="false" customHeight="false" outlineLevel="0" collapsed="false">
      <c r="B3149" s="48" t="n">
        <v>46065.2391898148</v>
      </c>
      <c r="C3149" s="4" t="n">
        <f aca="false">YEAR(B3149)</f>
        <v>2026</v>
      </c>
      <c r="D3149" s="49" t="s">
        <v>278</v>
      </c>
      <c r="E3149" s="49" t="s">
        <v>6538</v>
      </c>
      <c r="F3149" s="50" t="n">
        <v>0</v>
      </c>
      <c r="G3149" s="49" t="s">
        <v>280</v>
      </c>
      <c r="H3149" s="51" t="n">
        <v>0.7784</v>
      </c>
      <c r="I3149" s="51" t="n">
        <v>0.2073</v>
      </c>
      <c r="J3149" s="51" t="n">
        <v>0.0142</v>
      </c>
      <c r="K3149" s="49"/>
      <c r="L3149" s="49"/>
      <c r="M3149" s="49"/>
      <c r="N3149" s="49"/>
      <c r="O3149" s="49" t="s">
        <v>281</v>
      </c>
      <c r="P3149" s="49"/>
      <c r="Q3149" s="49"/>
      <c r="R3149" s="49"/>
      <c r="S3149" s="49" t="n">
        <v>0</v>
      </c>
      <c r="T3149" s="49" t="n">
        <v>1</v>
      </c>
      <c r="U3149" s="49" t="s">
        <v>6539</v>
      </c>
    </row>
    <row r="3150" customFormat="false" ht="15" hidden="false" customHeight="false" outlineLevel="0" collapsed="false">
      <c r="B3150" s="48" t="n">
        <v>46065.6481828704</v>
      </c>
      <c r="C3150" s="4" t="n">
        <f aca="false">YEAR(B3150)</f>
        <v>2026</v>
      </c>
      <c r="D3150" s="49" t="s">
        <v>283</v>
      </c>
      <c r="E3150" s="49" t="s">
        <v>6540</v>
      </c>
      <c r="F3150" s="50" t="n">
        <v>1</v>
      </c>
      <c r="G3150" s="49" t="s">
        <v>290</v>
      </c>
      <c r="H3150" s="51" t="n">
        <v>0.0145</v>
      </c>
      <c r="I3150" s="51" t="n">
        <v>0.6927</v>
      </c>
      <c r="J3150" s="51" t="n">
        <v>0.2927</v>
      </c>
      <c r="K3150" s="49"/>
      <c r="L3150" s="49"/>
      <c r="M3150" s="49"/>
      <c r="N3150" s="49"/>
      <c r="O3150" s="49"/>
      <c r="P3150" s="49"/>
      <c r="Q3150" s="49"/>
      <c r="R3150" s="49"/>
      <c r="S3150" s="49" t="n">
        <v>0</v>
      </c>
      <c r="T3150" s="49" t="n">
        <v>0</v>
      </c>
      <c r="U3150" s="49" t="s">
        <v>6541</v>
      </c>
    </row>
    <row r="3151" customFormat="false" ht="15" hidden="false" customHeight="false" outlineLevel="0" collapsed="false">
      <c r="B3151" s="48" t="n">
        <v>46065.8825347222</v>
      </c>
      <c r="C3151" s="4" t="n">
        <f aca="false">YEAR(B3151)</f>
        <v>2026</v>
      </c>
      <c r="D3151" s="49" t="s">
        <v>278</v>
      </c>
      <c r="E3151" s="49" t="s">
        <v>6542</v>
      </c>
      <c r="F3151" s="50" t="n">
        <v>1</v>
      </c>
      <c r="G3151" s="49" t="s">
        <v>280</v>
      </c>
      <c r="H3151" s="51" t="n">
        <v>0.66</v>
      </c>
      <c r="I3151" s="51" t="n">
        <v>0.3269</v>
      </c>
      <c r="J3151" s="51" t="n">
        <v>0.013</v>
      </c>
      <c r="K3151" s="49"/>
      <c r="L3151" s="49"/>
      <c r="M3151" s="49"/>
      <c r="N3151" s="49"/>
      <c r="O3151" s="49"/>
      <c r="P3151" s="49"/>
      <c r="Q3151" s="49"/>
      <c r="R3151" s="49"/>
      <c r="S3151" s="49" t="n">
        <v>0</v>
      </c>
      <c r="T3151" s="49" t="n">
        <v>0</v>
      </c>
      <c r="U3151" s="49" t="s">
        <v>6543</v>
      </c>
    </row>
    <row r="3152" customFormat="false" ht="15" hidden="false" customHeight="false" outlineLevel="0" collapsed="false">
      <c r="B3152" s="48" t="n">
        <v>46066.3459722222</v>
      </c>
      <c r="C3152" s="4" t="n">
        <f aca="false">YEAR(B3152)</f>
        <v>2026</v>
      </c>
      <c r="D3152" s="49" t="s">
        <v>278</v>
      </c>
      <c r="E3152" s="49" t="s">
        <v>6544</v>
      </c>
      <c r="F3152" s="50" t="n">
        <v>0</v>
      </c>
      <c r="G3152" s="49" t="s">
        <v>280</v>
      </c>
      <c r="H3152" s="51" t="n">
        <v>0.7489</v>
      </c>
      <c r="I3152" s="51" t="n">
        <v>0.2354</v>
      </c>
      <c r="J3152" s="51" t="n">
        <v>0.0157</v>
      </c>
      <c r="K3152" s="49"/>
      <c r="L3152" s="49"/>
      <c r="M3152" s="49"/>
      <c r="N3152" s="49"/>
      <c r="O3152" s="49"/>
      <c r="P3152" s="49"/>
      <c r="Q3152" s="49"/>
      <c r="R3152" s="49" t="s">
        <v>281</v>
      </c>
      <c r="S3152" s="49" t="n">
        <v>0</v>
      </c>
      <c r="T3152" s="49" t="n">
        <v>0</v>
      </c>
      <c r="U3152" s="49" t="s">
        <v>6545</v>
      </c>
    </row>
    <row r="3153" customFormat="false" ht="15" hidden="false" customHeight="false" outlineLevel="0" collapsed="false">
      <c r="B3153" s="48" t="n">
        <v>46066.5680671296</v>
      </c>
      <c r="C3153" s="4" t="n">
        <f aca="false">YEAR(B3153)</f>
        <v>2026</v>
      </c>
      <c r="D3153" s="49" t="s">
        <v>283</v>
      </c>
      <c r="E3153" s="49" t="s">
        <v>6546</v>
      </c>
      <c r="F3153" s="50" t="n">
        <v>1</v>
      </c>
      <c r="G3153" s="49" t="s">
        <v>290</v>
      </c>
      <c r="H3153" s="51" t="n">
        <v>0.1196</v>
      </c>
      <c r="I3153" s="51" t="n">
        <v>0.8451</v>
      </c>
      <c r="J3153" s="51" t="n">
        <v>0.0353</v>
      </c>
      <c r="K3153" s="49"/>
      <c r="L3153" s="49"/>
      <c r="M3153" s="49"/>
      <c r="N3153" s="49"/>
      <c r="O3153" s="49"/>
      <c r="P3153" s="49"/>
      <c r="Q3153" s="49" t="s">
        <v>281</v>
      </c>
      <c r="R3153" s="49"/>
      <c r="S3153" s="49" t="n">
        <v>1</v>
      </c>
      <c r="T3153" s="49" t="n">
        <v>0</v>
      </c>
      <c r="U3153" s="49" t="s">
        <v>6547</v>
      </c>
    </row>
    <row r="3154" customFormat="false" ht="15" hidden="false" customHeight="false" outlineLevel="0" collapsed="false">
      <c r="B3154" s="48" t="n">
        <v>46066.5908564815</v>
      </c>
      <c r="C3154" s="4" t="n">
        <f aca="false">YEAR(B3154)</f>
        <v>2026</v>
      </c>
      <c r="D3154" s="49" t="s">
        <v>278</v>
      </c>
      <c r="E3154" s="49" t="s">
        <v>6548</v>
      </c>
      <c r="F3154" s="50" t="n">
        <v>0</v>
      </c>
      <c r="G3154" s="49" t="s">
        <v>280</v>
      </c>
      <c r="H3154" s="51" t="n">
        <v>0.4218</v>
      </c>
      <c r="I3154" s="51" t="n">
        <v>0.385</v>
      </c>
      <c r="J3154" s="51" t="n">
        <v>0.1931</v>
      </c>
      <c r="K3154" s="49"/>
      <c r="L3154" s="49"/>
      <c r="M3154" s="49"/>
      <c r="N3154" s="49"/>
      <c r="O3154" s="49"/>
      <c r="P3154" s="49" t="s">
        <v>281</v>
      </c>
      <c r="Q3154" s="49"/>
      <c r="R3154" s="49" t="s">
        <v>281</v>
      </c>
      <c r="S3154" s="49" t="n">
        <v>0</v>
      </c>
      <c r="T3154" s="49" t="n">
        <v>0</v>
      </c>
      <c r="U3154" s="49" t="s">
        <v>6549</v>
      </c>
    </row>
    <row r="3155" customFormat="false" ht="15" hidden="false" customHeight="false" outlineLevel="0" collapsed="false">
      <c r="B3155" s="48" t="n">
        <v>46066.6878587963</v>
      </c>
      <c r="C3155" s="4" t="n">
        <f aca="false">YEAR(B3155)</f>
        <v>2026</v>
      </c>
      <c r="D3155" s="49" t="s">
        <v>283</v>
      </c>
      <c r="E3155" s="49" t="s">
        <v>6550</v>
      </c>
      <c r="F3155" s="50" t="n">
        <v>4</v>
      </c>
      <c r="G3155" s="49" t="s">
        <v>287</v>
      </c>
      <c r="H3155" s="51" t="n">
        <v>0.0109</v>
      </c>
      <c r="I3155" s="51" t="n">
        <v>0.1141</v>
      </c>
      <c r="J3155" s="51" t="n">
        <v>0.8749</v>
      </c>
      <c r="K3155" s="49"/>
      <c r="L3155" s="49"/>
      <c r="M3155" s="49"/>
      <c r="N3155" s="49"/>
      <c r="O3155" s="49"/>
      <c r="P3155" s="49"/>
      <c r="Q3155" s="49"/>
      <c r="R3155" s="49"/>
      <c r="S3155" s="49" t="n">
        <v>0</v>
      </c>
      <c r="T3155" s="49" t="n">
        <v>0</v>
      </c>
      <c r="U3155" s="49" t="s">
        <v>6551</v>
      </c>
    </row>
    <row r="3156" customFormat="false" ht="15" hidden="false" customHeight="false" outlineLevel="0" collapsed="false">
      <c r="B3156" s="48" t="n">
        <v>46066.7908333333</v>
      </c>
      <c r="C3156" s="4" t="n">
        <f aca="false">YEAR(B3156)</f>
        <v>2026</v>
      </c>
      <c r="D3156" s="49" t="s">
        <v>278</v>
      </c>
      <c r="E3156" s="49" t="s">
        <v>6552</v>
      </c>
      <c r="F3156" s="50" t="n">
        <v>2</v>
      </c>
      <c r="G3156" s="49" t="s">
        <v>290</v>
      </c>
      <c r="H3156" s="51" t="n">
        <v>0.1356</v>
      </c>
      <c r="I3156" s="51" t="n">
        <v>0.8417</v>
      </c>
      <c r="J3156" s="51" t="n">
        <v>0.0227</v>
      </c>
      <c r="K3156" s="49"/>
      <c r="L3156" s="49"/>
      <c r="M3156" s="49"/>
      <c r="N3156" s="49"/>
      <c r="O3156" s="49"/>
      <c r="P3156" s="49"/>
      <c r="Q3156" s="49"/>
      <c r="R3156" s="49" t="s">
        <v>281</v>
      </c>
      <c r="S3156" s="49" t="n">
        <v>0</v>
      </c>
      <c r="T3156" s="49" t="n">
        <v>0</v>
      </c>
      <c r="U3156" s="49" t="s">
        <v>6553</v>
      </c>
    </row>
    <row r="3157" customFormat="false" ht="15" hidden="false" customHeight="false" outlineLevel="0" collapsed="false">
      <c r="B3157" s="48" t="n">
        <v>46067.7112384259</v>
      </c>
      <c r="C3157" s="4" t="n">
        <f aca="false">YEAR(B3157)</f>
        <v>2026</v>
      </c>
      <c r="D3157" s="49" t="s">
        <v>278</v>
      </c>
      <c r="E3157" s="49" t="s">
        <v>6554</v>
      </c>
      <c r="F3157" s="50" t="n">
        <v>10</v>
      </c>
      <c r="G3157" s="49" t="s">
        <v>287</v>
      </c>
      <c r="H3157" s="51" t="n">
        <v>0.0524</v>
      </c>
      <c r="I3157" s="51" t="n">
        <v>0.2698</v>
      </c>
      <c r="J3157" s="51" t="n">
        <v>0.6778</v>
      </c>
      <c r="K3157" s="49"/>
      <c r="L3157" s="49"/>
      <c r="M3157" s="49"/>
      <c r="N3157" s="49"/>
      <c r="O3157" s="49"/>
      <c r="P3157" s="49"/>
      <c r="Q3157" s="49"/>
      <c r="R3157" s="49"/>
      <c r="S3157" s="49" t="n">
        <v>0</v>
      </c>
      <c r="T3157" s="49" t="n">
        <v>0</v>
      </c>
      <c r="U3157" s="49" t="s">
        <v>6555</v>
      </c>
    </row>
    <row r="3158" customFormat="false" ht="15" hidden="false" customHeight="false" outlineLevel="0" collapsed="false">
      <c r="B3158" s="48" t="n">
        <v>46067.9097222222</v>
      </c>
      <c r="C3158" s="4" t="n">
        <f aca="false">YEAR(B3158)</f>
        <v>2026</v>
      </c>
      <c r="D3158" s="49" t="s">
        <v>278</v>
      </c>
      <c r="E3158" s="49" t="s">
        <v>6556</v>
      </c>
      <c r="F3158" s="50" t="n">
        <v>0</v>
      </c>
      <c r="G3158" s="49" t="s">
        <v>280</v>
      </c>
      <c r="H3158" s="51" t="n">
        <v>0.8593</v>
      </c>
      <c r="I3158" s="51" t="n">
        <v>0.1308</v>
      </c>
      <c r="J3158" s="51" t="n">
        <v>0.0098</v>
      </c>
      <c r="K3158" s="49"/>
      <c r="L3158" s="49"/>
      <c r="M3158" s="49" t="s">
        <v>281</v>
      </c>
      <c r="N3158" s="49"/>
      <c r="O3158" s="49"/>
      <c r="P3158" s="49"/>
      <c r="Q3158" s="49"/>
      <c r="R3158" s="49"/>
      <c r="S3158" s="49" t="n">
        <v>0</v>
      </c>
      <c r="T3158" s="49" t="n">
        <v>0</v>
      </c>
      <c r="U3158" s="49" t="s">
        <v>6557</v>
      </c>
    </row>
    <row r="3159" customFormat="false" ht="15" hidden="false" customHeight="false" outlineLevel="0" collapsed="false">
      <c r="B3159" s="48" t="n">
        <v>46067.9893865741</v>
      </c>
      <c r="C3159" s="4" t="n">
        <f aca="false">YEAR(B3159)</f>
        <v>2026</v>
      </c>
      <c r="D3159" s="49" t="s">
        <v>283</v>
      </c>
      <c r="E3159" s="49" t="s">
        <v>6558</v>
      </c>
      <c r="F3159" s="50" t="n">
        <v>1</v>
      </c>
      <c r="G3159" s="49" t="s">
        <v>290</v>
      </c>
      <c r="H3159" s="51" t="n">
        <v>0.0245</v>
      </c>
      <c r="I3159" s="51" t="n">
        <v>0.8692</v>
      </c>
      <c r="J3159" s="51" t="n">
        <v>0.1062</v>
      </c>
      <c r="K3159" s="49"/>
      <c r="L3159" s="49"/>
      <c r="M3159" s="49"/>
      <c r="N3159" s="49"/>
      <c r="O3159" s="49"/>
      <c r="P3159" s="49"/>
      <c r="Q3159" s="49"/>
      <c r="R3159" s="49"/>
      <c r="S3159" s="49" t="n">
        <v>0</v>
      </c>
      <c r="T3159" s="49" t="n">
        <v>0</v>
      </c>
      <c r="U3159" s="49" t="s">
        <v>6559</v>
      </c>
    </row>
    <row r="3160" customFormat="false" ht="15" hidden="false" customHeight="false" outlineLevel="0" collapsed="false">
      <c r="B3160" s="48" t="n">
        <v>46068.0147453704</v>
      </c>
      <c r="C3160" s="4" t="n">
        <f aca="false">YEAR(B3160)</f>
        <v>2026</v>
      </c>
      <c r="D3160" s="49" t="s">
        <v>278</v>
      </c>
      <c r="E3160" s="49" t="s">
        <v>6560</v>
      </c>
      <c r="F3160" s="50" t="n">
        <v>0</v>
      </c>
      <c r="G3160" s="49" t="s">
        <v>280</v>
      </c>
      <c r="H3160" s="51" t="n">
        <v>0.9184</v>
      </c>
      <c r="I3160" s="51" t="n">
        <v>0.0725</v>
      </c>
      <c r="J3160" s="51" t="n">
        <v>0.0092</v>
      </c>
      <c r="K3160" s="49"/>
      <c r="L3160" s="49"/>
      <c r="M3160" s="49"/>
      <c r="N3160" s="49"/>
      <c r="O3160" s="49"/>
      <c r="P3160" s="49"/>
      <c r="Q3160" s="49"/>
      <c r="R3160" s="49" t="s">
        <v>281</v>
      </c>
      <c r="S3160" s="49" t="n">
        <v>0</v>
      </c>
      <c r="T3160" s="49" t="n">
        <v>0</v>
      </c>
      <c r="U3160" s="49" t="s">
        <v>6561</v>
      </c>
    </row>
    <row r="3161" customFormat="false" ht="15" hidden="false" customHeight="false" outlineLevel="0" collapsed="false">
      <c r="B3161" s="48" t="n">
        <v>46068.0278935185</v>
      </c>
      <c r="C3161" s="4" t="n">
        <f aca="false">YEAR(B3161)</f>
        <v>2026</v>
      </c>
      <c r="D3161" s="49" t="s">
        <v>283</v>
      </c>
      <c r="E3161" s="49" t="s">
        <v>6562</v>
      </c>
      <c r="F3161" s="50" t="n">
        <v>0</v>
      </c>
      <c r="G3161" s="49" t="s">
        <v>290</v>
      </c>
      <c r="H3161" s="51" t="n">
        <v>0.0546</v>
      </c>
      <c r="I3161" s="51" t="n">
        <v>0.6698</v>
      </c>
      <c r="J3161" s="51" t="n">
        <v>0.2756</v>
      </c>
      <c r="K3161" s="49"/>
      <c r="L3161" s="49"/>
      <c r="M3161" s="49"/>
      <c r="N3161" s="49"/>
      <c r="O3161" s="49"/>
      <c r="P3161" s="49"/>
      <c r="Q3161" s="49"/>
      <c r="R3161" s="49"/>
      <c r="S3161" s="49" t="n">
        <v>0</v>
      </c>
      <c r="T3161" s="49" t="n">
        <v>0</v>
      </c>
      <c r="U3161" s="49" t="s">
        <v>6563</v>
      </c>
    </row>
    <row r="3162" customFormat="false" ht="15" hidden="false" customHeight="false" outlineLevel="0" collapsed="false">
      <c r="B3162" s="48" t="n">
        <v>46068.0675115741</v>
      </c>
      <c r="C3162" s="4" t="n">
        <f aca="false">YEAR(B3162)</f>
        <v>2026</v>
      </c>
      <c r="D3162" s="49" t="s">
        <v>283</v>
      </c>
      <c r="E3162" s="49" t="s">
        <v>6564</v>
      </c>
      <c r="F3162" s="50" t="n">
        <v>2</v>
      </c>
      <c r="G3162" s="49" t="s">
        <v>290</v>
      </c>
      <c r="H3162" s="51" t="n">
        <v>0.1268</v>
      </c>
      <c r="I3162" s="51" t="n">
        <v>0.7979</v>
      </c>
      <c r="J3162" s="51" t="n">
        <v>0.0753</v>
      </c>
      <c r="K3162" s="49"/>
      <c r="L3162" s="49"/>
      <c r="M3162" s="49"/>
      <c r="N3162" s="49"/>
      <c r="O3162" s="49"/>
      <c r="P3162" s="49"/>
      <c r="Q3162" s="49"/>
      <c r="R3162" s="49"/>
      <c r="S3162" s="49" t="n">
        <v>0</v>
      </c>
      <c r="T3162" s="49" t="n">
        <v>0</v>
      </c>
      <c r="U3162" s="49" t="s">
        <v>6565</v>
      </c>
    </row>
    <row r="3163" customFormat="false" ht="15" hidden="false" customHeight="false" outlineLevel="0" collapsed="false">
      <c r="B3163" s="48" t="n">
        <v>46068.2601967593</v>
      </c>
      <c r="C3163" s="4" t="n">
        <f aca="false">YEAR(B3163)</f>
        <v>2026</v>
      </c>
      <c r="D3163" s="49" t="s">
        <v>283</v>
      </c>
      <c r="E3163" s="49" t="s">
        <v>6566</v>
      </c>
      <c r="F3163" s="50" t="n">
        <v>4</v>
      </c>
      <c r="G3163" s="49" t="s">
        <v>287</v>
      </c>
      <c r="H3163" s="51" t="n">
        <v>0.0106</v>
      </c>
      <c r="I3163" s="51" t="n">
        <v>0.4531</v>
      </c>
      <c r="J3163" s="51" t="n">
        <v>0.5364</v>
      </c>
      <c r="K3163" s="49"/>
      <c r="L3163" s="49"/>
      <c r="M3163" s="49"/>
      <c r="N3163" s="49"/>
      <c r="O3163" s="49"/>
      <c r="P3163" s="49"/>
      <c r="Q3163" s="49"/>
      <c r="R3163" s="49"/>
      <c r="S3163" s="49" t="n">
        <v>0</v>
      </c>
      <c r="T3163" s="49" t="n">
        <v>0</v>
      </c>
      <c r="U3163" s="49" t="s">
        <v>6567</v>
      </c>
    </row>
    <row r="3164" customFormat="false" ht="15" hidden="false" customHeight="false" outlineLevel="0" collapsed="false">
      <c r="B3164" s="48" t="n">
        <v>46068.4794791667</v>
      </c>
      <c r="C3164" s="4" t="n">
        <f aca="false">YEAR(B3164)</f>
        <v>2026</v>
      </c>
      <c r="D3164" s="49" t="s">
        <v>283</v>
      </c>
      <c r="E3164" s="49" t="s">
        <v>6568</v>
      </c>
      <c r="F3164" s="50" t="n">
        <v>1</v>
      </c>
      <c r="G3164" s="49" t="s">
        <v>287</v>
      </c>
      <c r="H3164" s="51" t="n">
        <v>0.0374</v>
      </c>
      <c r="I3164" s="51" t="n">
        <v>0.3534</v>
      </c>
      <c r="J3164" s="51" t="n">
        <v>0.6093</v>
      </c>
      <c r="K3164" s="49"/>
      <c r="L3164" s="49"/>
      <c r="M3164" s="49"/>
      <c r="N3164" s="49"/>
      <c r="O3164" s="49"/>
      <c r="P3164" s="49"/>
      <c r="Q3164" s="49"/>
      <c r="R3164" s="49"/>
      <c r="S3164" s="49" t="n">
        <v>0</v>
      </c>
      <c r="T3164" s="49" t="n">
        <v>0</v>
      </c>
      <c r="U3164" s="49" t="s">
        <v>6569</v>
      </c>
    </row>
    <row r="3165" customFormat="false" ht="15" hidden="false" customHeight="false" outlineLevel="0" collapsed="false">
      <c r="B3165" s="48" t="n">
        <v>46068.5443402778</v>
      </c>
      <c r="C3165" s="4" t="n">
        <f aca="false">YEAR(B3165)</f>
        <v>2026</v>
      </c>
      <c r="D3165" s="49" t="s">
        <v>283</v>
      </c>
      <c r="E3165" s="49" t="s">
        <v>6570</v>
      </c>
      <c r="F3165" s="50" t="n">
        <v>2</v>
      </c>
      <c r="G3165" s="49" t="s">
        <v>280</v>
      </c>
      <c r="H3165" s="51" t="n">
        <v>0.7776</v>
      </c>
      <c r="I3165" s="51" t="n">
        <v>0.2034</v>
      </c>
      <c r="J3165" s="51" t="n">
        <v>0.019</v>
      </c>
      <c r="K3165" s="49"/>
      <c r="L3165" s="49"/>
      <c r="M3165" s="49"/>
      <c r="N3165" s="49"/>
      <c r="O3165" s="49"/>
      <c r="P3165" s="49"/>
      <c r="Q3165" s="49"/>
      <c r="R3165" s="49"/>
      <c r="S3165" s="49" t="n">
        <v>0</v>
      </c>
      <c r="T3165" s="49" t="n">
        <v>0</v>
      </c>
      <c r="U3165" s="49" t="s">
        <v>6571</v>
      </c>
    </row>
    <row r="3166" customFormat="false" ht="15" hidden="false" customHeight="false" outlineLevel="0" collapsed="false">
      <c r="B3166" s="48" t="n">
        <v>46068.6009837963</v>
      </c>
      <c r="C3166" s="4" t="n">
        <f aca="false">YEAR(B3166)</f>
        <v>2026</v>
      </c>
      <c r="D3166" s="49" t="s">
        <v>278</v>
      </c>
      <c r="E3166" s="49" t="s">
        <v>6572</v>
      </c>
      <c r="F3166" s="50" t="n">
        <v>1</v>
      </c>
      <c r="G3166" s="49" t="s">
        <v>290</v>
      </c>
      <c r="H3166" s="51" t="n">
        <v>0.4262</v>
      </c>
      <c r="I3166" s="51" t="n">
        <v>0.5524</v>
      </c>
      <c r="J3166" s="51" t="n">
        <v>0.0214</v>
      </c>
      <c r="K3166" s="49" t="s">
        <v>281</v>
      </c>
      <c r="L3166" s="49"/>
      <c r="M3166" s="49"/>
      <c r="N3166" s="49"/>
      <c r="O3166" s="49"/>
      <c r="P3166" s="49"/>
      <c r="Q3166" s="49"/>
      <c r="R3166" s="49" t="s">
        <v>281</v>
      </c>
      <c r="S3166" s="49" t="n">
        <v>0</v>
      </c>
      <c r="T3166" s="49" t="n">
        <v>0</v>
      </c>
      <c r="U3166" s="49" t="s">
        <v>6573</v>
      </c>
    </row>
    <row r="3167" customFormat="false" ht="15" hidden="false" customHeight="false" outlineLevel="0" collapsed="false">
      <c r="B3167" s="48" t="n">
        <v>46068.8956828704</v>
      </c>
      <c r="C3167" s="4" t="n">
        <f aca="false">YEAR(B3167)</f>
        <v>2026</v>
      </c>
      <c r="D3167" s="49" t="s">
        <v>283</v>
      </c>
      <c r="E3167" s="49" t="s">
        <v>6574</v>
      </c>
      <c r="F3167" s="50" t="n">
        <v>1</v>
      </c>
      <c r="G3167" s="49" t="s">
        <v>290</v>
      </c>
      <c r="H3167" s="51" t="n">
        <v>0.0517</v>
      </c>
      <c r="I3167" s="51" t="n">
        <v>0.883</v>
      </c>
      <c r="J3167" s="51" t="n">
        <v>0.0653</v>
      </c>
      <c r="K3167" s="49"/>
      <c r="L3167" s="49"/>
      <c r="M3167" s="49"/>
      <c r="N3167" s="49"/>
      <c r="O3167" s="49"/>
      <c r="P3167" s="49"/>
      <c r="Q3167" s="49"/>
      <c r="R3167" s="49"/>
      <c r="S3167" s="49" t="n">
        <v>0</v>
      </c>
      <c r="T3167" s="49" t="n">
        <v>0</v>
      </c>
      <c r="U3167" s="49" t="s">
        <v>6575</v>
      </c>
    </row>
    <row r="3168" customFormat="false" ht="15" hidden="false" customHeight="false" outlineLevel="0" collapsed="false">
      <c r="B3168" s="48" t="n">
        <v>46069.8194791667</v>
      </c>
      <c r="C3168" s="4" t="n">
        <f aca="false">YEAR(B3168)</f>
        <v>2026</v>
      </c>
      <c r="D3168" s="49" t="s">
        <v>283</v>
      </c>
      <c r="E3168" s="49" t="s">
        <v>6576</v>
      </c>
      <c r="F3168" s="50" t="n">
        <v>1</v>
      </c>
      <c r="G3168" s="49" t="s">
        <v>290</v>
      </c>
      <c r="H3168" s="51" t="n">
        <v>0.0218</v>
      </c>
      <c r="I3168" s="51" t="n">
        <v>0.594</v>
      </c>
      <c r="J3168" s="51" t="n">
        <v>0.3841</v>
      </c>
      <c r="K3168" s="49"/>
      <c r="L3168" s="49"/>
      <c r="M3168" s="49"/>
      <c r="N3168" s="49"/>
      <c r="O3168" s="49"/>
      <c r="P3168" s="49"/>
      <c r="Q3168" s="49"/>
      <c r="R3168" s="49"/>
      <c r="S3168" s="49" t="n">
        <v>0</v>
      </c>
      <c r="T3168" s="49" t="n">
        <v>0</v>
      </c>
      <c r="U3168" s="49" t="s">
        <v>6577</v>
      </c>
    </row>
    <row r="3169" customFormat="false" ht="15" hidden="false" customHeight="false" outlineLevel="0" collapsed="false">
      <c r="B3169" s="48" t="n">
        <v>46070.0331944445</v>
      </c>
      <c r="C3169" s="4" t="n">
        <f aca="false">YEAR(B3169)</f>
        <v>2026</v>
      </c>
      <c r="D3169" s="49" t="s">
        <v>278</v>
      </c>
      <c r="E3169" s="49" t="s">
        <v>6578</v>
      </c>
      <c r="F3169" s="50" t="n">
        <v>15</v>
      </c>
      <c r="G3169" s="49" t="s">
        <v>280</v>
      </c>
      <c r="H3169" s="51" t="n">
        <v>0.7105</v>
      </c>
      <c r="I3169" s="51" t="n">
        <v>0.2756</v>
      </c>
      <c r="J3169" s="51" t="n">
        <v>0.0139</v>
      </c>
      <c r="K3169" s="49"/>
      <c r="L3169" s="49"/>
      <c r="M3169" s="49"/>
      <c r="N3169" s="49"/>
      <c r="O3169" s="49" t="s">
        <v>281</v>
      </c>
      <c r="P3169" s="49"/>
      <c r="Q3169" s="49"/>
      <c r="R3169" s="49"/>
      <c r="S3169" s="49" t="n">
        <v>0</v>
      </c>
      <c r="T3169" s="49" t="n">
        <v>0</v>
      </c>
      <c r="U3169" s="49" t="s">
        <v>6579</v>
      </c>
    </row>
    <row r="3170" customFormat="false" ht="15" hidden="false" customHeight="false" outlineLevel="0" collapsed="false">
      <c r="B3170" s="48" t="n">
        <v>46070.0831134259</v>
      </c>
      <c r="C3170" s="4" t="n">
        <f aca="false">YEAR(B3170)</f>
        <v>2026</v>
      </c>
      <c r="D3170" s="49" t="s">
        <v>283</v>
      </c>
      <c r="E3170" s="49" t="s">
        <v>6580</v>
      </c>
      <c r="F3170" s="50" t="n">
        <v>1</v>
      </c>
      <c r="G3170" s="49" t="s">
        <v>287</v>
      </c>
      <c r="H3170" s="51" t="n">
        <v>0.0063</v>
      </c>
      <c r="I3170" s="51" t="n">
        <v>0.1306</v>
      </c>
      <c r="J3170" s="51" t="n">
        <v>0.8631</v>
      </c>
      <c r="K3170" s="49"/>
      <c r="L3170" s="49"/>
      <c r="M3170" s="49"/>
      <c r="N3170" s="49"/>
      <c r="O3170" s="49"/>
      <c r="P3170" s="49"/>
      <c r="Q3170" s="49"/>
      <c r="R3170" s="49"/>
      <c r="S3170" s="49" t="n">
        <v>0</v>
      </c>
      <c r="T3170" s="49" t="n">
        <v>0</v>
      </c>
      <c r="U3170" s="49" t="s">
        <v>6581</v>
      </c>
    </row>
    <row r="3171" customFormat="false" ht="15" hidden="false" customHeight="false" outlineLevel="0" collapsed="false">
      <c r="B3171" s="48" t="n">
        <v>46070.7159837963</v>
      </c>
      <c r="C3171" s="4" t="n">
        <f aca="false">YEAR(B3171)</f>
        <v>2026</v>
      </c>
      <c r="D3171" s="49" t="s">
        <v>278</v>
      </c>
      <c r="E3171" s="49" t="s">
        <v>6582</v>
      </c>
      <c r="F3171" s="50" t="n">
        <v>8</v>
      </c>
      <c r="G3171" s="49" t="s">
        <v>287</v>
      </c>
      <c r="H3171" s="51" t="n">
        <v>0.034</v>
      </c>
      <c r="I3171" s="51" t="n">
        <v>0.3727</v>
      </c>
      <c r="J3171" s="51" t="n">
        <v>0.5933</v>
      </c>
      <c r="K3171" s="49"/>
      <c r="L3171" s="49"/>
      <c r="M3171" s="49"/>
      <c r="N3171" s="49"/>
      <c r="O3171" s="49"/>
      <c r="P3171" s="49"/>
      <c r="Q3171" s="49"/>
      <c r="R3171" s="49" t="s">
        <v>281</v>
      </c>
      <c r="S3171" s="49" t="n">
        <v>0</v>
      </c>
      <c r="T3171" s="49" t="n">
        <v>0</v>
      </c>
      <c r="U3171" s="49" t="s">
        <v>6583</v>
      </c>
    </row>
    <row r="3172" customFormat="false" ht="15" hidden="false" customHeight="false" outlineLevel="0" collapsed="false">
      <c r="B3172" s="48" t="n">
        <v>46070.9601851852</v>
      </c>
      <c r="C3172" s="4" t="n">
        <f aca="false">YEAR(B3172)</f>
        <v>2026</v>
      </c>
      <c r="D3172" s="49" t="s">
        <v>283</v>
      </c>
      <c r="E3172" s="49" t="s">
        <v>6584</v>
      </c>
      <c r="F3172" s="50" t="n">
        <v>18</v>
      </c>
      <c r="G3172" s="49" t="s">
        <v>287</v>
      </c>
      <c r="H3172" s="51" t="n">
        <v>0.0026</v>
      </c>
      <c r="I3172" s="51" t="n">
        <v>0.0449</v>
      </c>
      <c r="J3172" s="51" t="n">
        <v>0.9525</v>
      </c>
      <c r="K3172" s="49"/>
      <c r="L3172" s="49"/>
      <c r="M3172" s="49"/>
      <c r="N3172" s="49"/>
      <c r="O3172" s="49"/>
      <c r="P3172" s="49"/>
      <c r="Q3172" s="49"/>
      <c r="R3172" s="49"/>
      <c r="S3172" s="49" t="n">
        <v>0</v>
      </c>
      <c r="T3172" s="49" t="n">
        <v>0</v>
      </c>
      <c r="U3172" s="49" t="s">
        <v>6585</v>
      </c>
    </row>
    <row r="3173" customFormat="false" ht="15" hidden="false" customHeight="false" outlineLevel="0" collapsed="false">
      <c r="B3173" s="48" t="n">
        <v>46071.5241550926</v>
      </c>
      <c r="C3173" s="4" t="n">
        <f aca="false">YEAR(B3173)</f>
        <v>2026</v>
      </c>
      <c r="D3173" s="49" t="s">
        <v>283</v>
      </c>
      <c r="E3173" s="49" t="s">
        <v>6586</v>
      </c>
      <c r="F3173" s="50" t="n">
        <v>3</v>
      </c>
      <c r="G3173" s="49" t="s">
        <v>280</v>
      </c>
      <c r="H3173" s="51" t="n">
        <v>0.6529</v>
      </c>
      <c r="I3173" s="51" t="n">
        <v>0.3322</v>
      </c>
      <c r="J3173" s="51" t="n">
        <v>0.0149</v>
      </c>
      <c r="K3173" s="49"/>
      <c r="L3173" s="49"/>
      <c r="M3173" s="49"/>
      <c r="N3173" s="49"/>
      <c r="O3173" s="49"/>
      <c r="P3173" s="49"/>
      <c r="Q3173" s="49"/>
      <c r="R3173" s="49"/>
      <c r="S3173" s="49" t="n">
        <v>0</v>
      </c>
      <c r="T3173" s="49" t="n">
        <v>0</v>
      </c>
      <c r="U3173" s="49" t="s">
        <v>6587</v>
      </c>
    </row>
    <row r="3174" customFormat="false" ht="15" hidden="false" customHeight="false" outlineLevel="0" collapsed="false">
      <c r="B3174" s="48" t="n">
        <v>46071.5578587963</v>
      </c>
      <c r="C3174" s="4" t="n">
        <f aca="false">YEAR(B3174)</f>
        <v>2026</v>
      </c>
      <c r="D3174" s="49" t="s">
        <v>278</v>
      </c>
      <c r="E3174" s="49" t="s">
        <v>6588</v>
      </c>
      <c r="F3174" s="50" t="n">
        <v>1</v>
      </c>
      <c r="G3174" s="49" t="s">
        <v>280</v>
      </c>
      <c r="H3174" s="51" t="n">
        <v>0.7557</v>
      </c>
      <c r="I3174" s="51" t="n">
        <v>0.2314</v>
      </c>
      <c r="J3174" s="51" t="n">
        <v>0.0129</v>
      </c>
      <c r="K3174" s="49"/>
      <c r="L3174" s="49"/>
      <c r="M3174" s="49"/>
      <c r="N3174" s="49"/>
      <c r="O3174" s="49"/>
      <c r="P3174" s="49"/>
      <c r="Q3174" s="49" t="s">
        <v>281</v>
      </c>
      <c r="R3174" s="49"/>
      <c r="S3174" s="49" t="n">
        <v>0</v>
      </c>
      <c r="T3174" s="49" t="n">
        <v>0</v>
      </c>
      <c r="U3174" s="49" t="s">
        <v>6589</v>
      </c>
    </row>
    <row r="3175" customFormat="false" ht="15" hidden="false" customHeight="false" outlineLevel="0" collapsed="false">
      <c r="B3175" s="48" t="n">
        <v>46071.6215509259</v>
      </c>
      <c r="C3175" s="4" t="n">
        <f aca="false">YEAR(B3175)</f>
        <v>2026</v>
      </c>
      <c r="D3175" s="49" t="s">
        <v>278</v>
      </c>
      <c r="E3175" s="49" t="s">
        <v>6590</v>
      </c>
      <c r="F3175" s="50" t="n">
        <v>1</v>
      </c>
      <c r="G3175" s="49" t="s">
        <v>280</v>
      </c>
      <c r="H3175" s="51" t="n">
        <v>0.6274</v>
      </c>
      <c r="I3175" s="51" t="n">
        <v>0.3536</v>
      </c>
      <c r="J3175" s="51" t="n">
        <v>0.019</v>
      </c>
      <c r="K3175" s="49"/>
      <c r="L3175" s="49"/>
      <c r="M3175" s="49"/>
      <c r="N3175" s="49"/>
      <c r="O3175" s="49"/>
      <c r="P3175" s="49"/>
      <c r="Q3175" s="49"/>
      <c r="R3175" s="49"/>
      <c r="S3175" s="49" t="n">
        <v>0</v>
      </c>
      <c r="T3175" s="49" t="n">
        <v>0</v>
      </c>
      <c r="U3175" s="49" t="s">
        <v>6591</v>
      </c>
    </row>
    <row r="3176" customFormat="false" ht="15" hidden="false" customHeight="false" outlineLevel="0" collapsed="false">
      <c r="B3176" s="48" t="n">
        <v>46071.69125</v>
      </c>
      <c r="C3176" s="4" t="n">
        <f aca="false">YEAR(B3176)</f>
        <v>2026</v>
      </c>
      <c r="D3176" s="49" t="s">
        <v>278</v>
      </c>
      <c r="E3176" s="49" t="s">
        <v>6592</v>
      </c>
      <c r="F3176" s="50" t="n">
        <v>0</v>
      </c>
      <c r="G3176" s="49" t="s">
        <v>280</v>
      </c>
      <c r="H3176" s="51" t="n">
        <v>0.4589</v>
      </c>
      <c r="I3176" s="51" t="n">
        <v>0.3882</v>
      </c>
      <c r="J3176" s="51" t="n">
        <v>0.1529</v>
      </c>
      <c r="K3176" s="49"/>
      <c r="L3176" s="49"/>
      <c r="M3176" s="49"/>
      <c r="N3176" s="49"/>
      <c r="O3176" s="49"/>
      <c r="P3176" s="49"/>
      <c r="Q3176" s="49" t="s">
        <v>281</v>
      </c>
      <c r="R3176" s="49"/>
      <c r="S3176" s="49" t="n">
        <v>0</v>
      </c>
      <c r="T3176" s="49" t="n">
        <v>0</v>
      </c>
      <c r="U3176" s="49" t="s">
        <v>6593</v>
      </c>
    </row>
    <row r="3177" customFormat="false" ht="15" hidden="false" customHeight="false" outlineLevel="0" collapsed="false">
      <c r="B3177" s="48" t="n">
        <v>46071.6914351852</v>
      </c>
      <c r="C3177" s="4" t="n">
        <f aca="false">YEAR(B3177)</f>
        <v>2026</v>
      </c>
      <c r="D3177" s="49" t="s">
        <v>278</v>
      </c>
      <c r="E3177" s="49" t="s">
        <v>6594</v>
      </c>
      <c r="F3177" s="50" t="n">
        <v>0</v>
      </c>
      <c r="G3177" s="49" t="s">
        <v>280</v>
      </c>
      <c r="H3177" s="51" t="n">
        <v>0.8649</v>
      </c>
      <c r="I3177" s="51" t="n">
        <v>0.1271</v>
      </c>
      <c r="J3177" s="51" t="n">
        <v>0.008</v>
      </c>
      <c r="K3177" s="49"/>
      <c r="L3177" s="49"/>
      <c r="M3177" s="49"/>
      <c r="N3177" s="49"/>
      <c r="O3177" s="49"/>
      <c r="P3177" s="49"/>
      <c r="Q3177" s="49"/>
      <c r="R3177" s="49"/>
      <c r="S3177" s="49" t="n">
        <v>0</v>
      </c>
      <c r="T3177" s="49" t="n">
        <v>0</v>
      </c>
      <c r="U3177" s="49" t="s">
        <v>6595</v>
      </c>
    </row>
    <row r="3178" customFormat="false" ht="15" hidden="false" customHeight="false" outlineLevel="0" collapsed="false">
      <c r="B3178" s="48" t="n">
        <v>46071.8487731482</v>
      </c>
      <c r="C3178" s="4" t="n">
        <f aca="false">YEAR(B3178)</f>
        <v>2026</v>
      </c>
      <c r="D3178" s="49" t="s">
        <v>283</v>
      </c>
      <c r="E3178" s="49" t="s">
        <v>6596</v>
      </c>
      <c r="F3178" s="50" t="n">
        <v>9</v>
      </c>
      <c r="G3178" s="49" t="s">
        <v>287</v>
      </c>
      <c r="H3178" s="51" t="n">
        <v>0.0091</v>
      </c>
      <c r="I3178" s="51" t="n">
        <v>0.2863</v>
      </c>
      <c r="J3178" s="51" t="n">
        <v>0.7047</v>
      </c>
      <c r="K3178" s="49"/>
      <c r="L3178" s="49"/>
      <c r="M3178" s="49"/>
      <c r="N3178" s="49"/>
      <c r="O3178" s="49"/>
      <c r="P3178" s="49"/>
      <c r="Q3178" s="49"/>
      <c r="R3178" s="49"/>
      <c r="S3178" s="49" t="n">
        <v>0</v>
      </c>
      <c r="T3178" s="49" t="n">
        <v>0</v>
      </c>
      <c r="U3178" s="49" t="s">
        <v>6597</v>
      </c>
    </row>
    <row r="3179" customFormat="false" ht="15" hidden="false" customHeight="false" outlineLevel="0" collapsed="false">
      <c r="B3179" s="48" t="n">
        <v>46072.8363888889</v>
      </c>
      <c r="C3179" s="4" t="n">
        <f aca="false">YEAR(B3179)</f>
        <v>2026</v>
      </c>
      <c r="D3179" s="49" t="s">
        <v>278</v>
      </c>
      <c r="E3179" s="49" t="s">
        <v>6598</v>
      </c>
      <c r="F3179" s="50" t="n">
        <v>2</v>
      </c>
      <c r="G3179" s="49" t="s">
        <v>290</v>
      </c>
      <c r="H3179" s="51" t="n">
        <v>0.1398</v>
      </c>
      <c r="I3179" s="51" t="n">
        <v>0.7982</v>
      </c>
      <c r="J3179" s="51" t="n">
        <v>0.062</v>
      </c>
      <c r="K3179" s="49"/>
      <c r="L3179" s="49"/>
      <c r="M3179" s="49"/>
      <c r="N3179" s="49"/>
      <c r="O3179" s="49"/>
      <c r="P3179" s="49"/>
      <c r="Q3179" s="49"/>
      <c r="R3179" s="49"/>
      <c r="S3179" s="49" t="n">
        <v>0</v>
      </c>
      <c r="T3179" s="49" t="n">
        <v>0</v>
      </c>
      <c r="U3179" s="49" t="s">
        <v>6599</v>
      </c>
    </row>
    <row r="3180" customFormat="false" ht="15" hidden="false" customHeight="false" outlineLevel="0" collapsed="false">
      <c r="B3180" s="48" t="n">
        <v>46072.8681134259</v>
      </c>
      <c r="C3180" s="4" t="n">
        <f aca="false">YEAR(B3180)</f>
        <v>2026</v>
      </c>
      <c r="D3180" s="49" t="s">
        <v>283</v>
      </c>
      <c r="E3180" s="49" t="s">
        <v>6600</v>
      </c>
      <c r="F3180" s="50" t="n">
        <v>2</v>
      </c>
      <c r="G3180" s="49" t="s">
        <v>287</v>
      </c>
      <c r="H3180" s="51" t="n">
        <v>0.0104</v>
      </c>
      <c r="I3180" s="51" t="n">
        <v>0.4916</v>
      </c>
      <c r="J3180" s="51" t="n">
        <v>0.498</v>
      </c>
      <c r="K3180" s="49"/>
      <c r="L3180" s="49"/>
      <c r="M3180" s="49"/>
      <c r="N3180" s="49"/>
      <c r="O3180" s="49"/>
      <c r="P3180" s="49"/>
      <c r="Q3180" s="49" t="s">
        <v>281</v>
      </c>
      <c r="R3180" s="49"/>
      <c r="S3180" s="49" t="n">
        <v>0</v>
      </c>
      <c r="T3180" s="49" t="n">
        <v>0</v>
      </c>
      <c r="U3180" s="49" t="s">
        <v>6601</v>
      </c>
    </row>
    <row r="3181" customFormat="false" ht="15" hidden="false" customHeight="false" outlineLevel="0" collapsed="false">
      <c r="B3181" s="48" t="n">
        <v>46073.2686342593</v>
      </c>
      <c r="C3181" s="4" t="n">
        <f aca="false">YEAR(B3181)</f>
        <v>2026</v>
      </c>
      <c r="D3181" s="49" t="s">
        <v>283</v>
      </c>
      <c r="E3181" s="49" t="s">
        <v>6602</v>
      </c>
      <c r="F3181" s="50" t="n">
        <v>1</v>
      </c>
      <c r="G3181" s="49" t="s">
        <v>287</v>
      </c>
      <c r="H3181" s="51" t="n">
        <v>0.0036</v>
      </c>
      <c r="I3181" s="51" t="n">
        <v>0.1046</v>
      </c>
      <c r="J3181" s="51" t="n">
        <v>0.8918</v>
      </c>
      <c r="K3181" s="49"/>
      <c r="L3181" s="49"/>
      <c r="M3181" s="49"/>
      <c r="N3181" s="49"/>
      <c r="O3181" s="49"/>
      <c r="P3181" s="49"/>
      <c r="Q3181" s="49"/>
      <c r="R3181" s="49"/>
      <c r="S3181" s="49" t="n">
        <v>0</v>
      </c>
      <c r="T3181" s="49" t="n">
        <v>0</v>
      </c>
      <c r="U3181" s="49" t="s">
        <v>6603</v>
      </c>
    </row>
    <row r="3182" customFormat="false" ht="15" hidden="false" customHeight="false" outlineLevel="0" collapsed="false">
      <c r="B3182" s="48" t="n">
        <v>46073.4527199074</v>
      </c>
      <c r="C3182" s="4" t="n">
        <f aca="false">YEAR(B3182)</f>
        <v>2026</v>
      </c>
      <c r="D3182" s="49" t="s">
        <v>278</v>
      </c>
      <c r="E3182" s="49" t="s">
        <v>6604</v>
      </c>
      <c r="F3182" s="50" t="n">
        <v>6</v>
      </c>
      <c r="G3182" s="49" t="s">
        <v>280</v>
      </c>
      <c r="H3182" s="51" t="n">
        <v>0.7046</v>
      </c>
      <c r="I3182" s="51" t="n">
        <v>0.2803</v>
      </c>
      <c r="J3182" s="51" t="n">
        <v>0.0152</v>
      </c>
      <c r="K3182" s="49"/>
      <c r="L3182" s="49"/>
      <c r="M3182" s="49"/>
      <c r="N3182" s="49"/>
      <c r="O3182" s="49"/>
      <c r="P3182" s="49"/>
      <c r="Q3182" s="49" t="s">
        <v>281</v>
      </c>
      <c r="R3182" s="49"/>
      <c r="S3182" s="49" t="n">
        <v>0</v>
      </c>
      <c r="T3182" s="49" t="n">
        <v>0</v>
      </c>
      <c r="U3182" s="49" t="s">
        <v>6605</v>
      </c>
    </row>
    <row r="3183" customFormat="false" ht="15" hidden="false" customHeight="false" outlineLevel="0" collapsed="false">
      <c r="B3183" s="48" t="n">
        <v>46073.5538194445</v>
      </c>
      <c r="C3183" s="4" t="n">
        <f aca="false">YEAR(B3183)</f>
        <v>2026</v>
      </c>
      <c r="D3183" s="49" t="s">
        <v>283</v>
      </c>
      <c r="E3183" s="49" t="s">
        <v>6606</v>
      </c>
      <c r="F3183" s="50" t="n">
        <v>1</v>
      </c>
      <c r="G3183" s="49" t="s">
        <v>287</v>
      </c>
      <c r="H3183" s="51" t="n">
        <v>0.0044</v>
      </c>
      <c r="I3183" s="51" t="n">
        <v>0.0902</v>
      </c>
      <c r="J3183" s="51" t="n">
        <v>0.9053</v>
      </c>
      <c r="K3183" s="49"/>
      <c r="L3183" s="49"/>
      <c r="M3183" s="49"/>
      <c r="N3183" s="49"/>
      <c r="O3183" s="49"/>
      <c r="P3183" s="49"/>
      <c r="Q3183" s="49"/>
      <c r="R3183" s="49"/>
      <c r="S3183" s="49" t="n">
        <v>0</v>
      </c>
      <c r="T3183" s="49" t="n">
        <v>0</v>
      </c>
      <c r="U3183" s="49" t="s">
        <v>6607</v>
      </c>
    </row>
    <row r="3184" customFormat="false" ht="15" hidden="false" customHeight="false" outlineLevel="0" collapsed="false">
      <c r="B3184" s="48" t="n">
        <v>46073.5818634259</v>
      </c>
      <c r="C3184" s="4" t="n">
        <f aca="false">YEAR(B3184)</f>
        <v>2026</v>
      </c>
      <c r="D3184" s="49" t="s">
        <v>283</v>
      </c>
      <c r="E3184" s="49" t="s">
        <v>6608</v>
      </c>
      <c r="F3184" s="50" t="n">
        <v>12</v>
      </c>
      <c r="G3184" s="49" t="s">
        <v>280</v>
      </c>
      <c r="H3184" s="51" t="n">
        <v>0.8874</v>
      </c>
      <c r="I3184" s="51" t="n">
        <v>0.1052</v>
      </c>
      <c r="J3184" s="51" t="n">
        <v>0.0074</v>
      </c>
      <c r="K3184" s="49"/>
      <c r="L3184" s="49"/>
      <c r="M3184" s="49"/>
      <c r="N3184" s="49"/>
      <c r="O3184" s="49"/>
      <c r="P3184" s="49"/>
      <c r="Q3184" s="49"/>
      <c r="R3184" s="49"/>
      <c r="S3184" s="49" t="n">
        <v>0</v>
      </c>
      <c r="T3184" s="49" t="n">
        <v>0</v>
      </c>
      <c r="U3184" s="49" t="s">
        <v>6609</v>
      </c>
    </row>
    <row r="3185" customFormat="false" ht="15" hidden="false" customHeight="false" outlineLevel="0" collapsed="false">
      <c r="B3185" s="48" t="n">
        <v>46073.696712963</v>
      </c>
      <c r="C3185" s="4" t="n">
        <f aca="false">YEAR(B3185)</f>
        <v>2026</v>
      </c>
      <c r="D3185" s="49" t="s">
        <v>278</v>
      </c>
      <c r="E3185" s="49" t="s">
        <v>6610</v>
      </c>
      <c r="F3185" s="50" t="n">
        <v>5</v>
      </c>
      <c r="G3185" s="49" t="s">
        <v>280</v>
      </c>
      <c r="H3185" s="51" t="n">
        <v>0.8172</v>
      </c>
      <c r="I3185" s="51" t="n">
        <v>0.1681</v>
      </c>
      <c r="J3185" s="51" t="n">
        <v>0.0147</v>
      </c>
      <c r="K3185" s="49"/>
      <c r="L3185" s="49"/>
      <c r="M3185" s="49"/>
      <c r="N3185" s="49"/>
      <c r="O3185" s="49"/>
      <c r="P3185" s="49"/>
      <c r="Q3185" s="49"/>
      <c r="R3185" s="49" t="s">
        <v>281</v>
      </c>
      <c r="S3185" s="49" t="n">
        <v>0</v>
      </c>
      <c r="T3185" s="49" t="n">
        <v>0</v>
      </c>
      <c r="U3185" s="49" t="s">
        <v>6611</v>
      </c>
    </row>
    <row r="3186" customFormat="false" ht="15" hidden="false" customHeight="false" outlineLevel="0" collapsed="false">
      <c r="B3186" s="48" t="n">
        <v>46073.8543981482</v>
      </c>
      <c r="C3186" s="4" t="n">
        <f aca="false">YEAR(B3186)</f>
        <v>2026</v>
      </c>
      <c r="D3186" s="49" t="s">
        <v>278</v>
      </c>
      <c r="E3186" s="49" t="s">
        <v>6612</v>
      </c>
      <c r="F3186" s="50" t="n">
        <v>86</v>
      </c>
      <c r="G3186" s="49" t="s">
        <v>287</v>
      </c>
      <c r="H3186" s="51" t="n">
        <v>0.2415</v>
      </c>
      <c r="I3186" s="51" t="n">
        <v>0.3129</v>
      </c>
      <c r="J3186" s="51" t="n">
        <v>0.4455</v>
      </c>
      <c r="K3186" s="49" t="s">
        <v>281</v>
      </c>
      <c r="L3186" s="49"/>
      <c r="M3186" s="49"/>
      <c r="N3186" s="49"/>
      <c r="O3186" s="49"/>
      <c r="P3186" s="49"/>
      <c r="Q3186" s="49" t="s">
        <v>281</v>
      </c>
      <c r="R3186" s="49"/>
      <c r="S3186" s="49" t="n">
        <v>0</v>
      </c>
      <c r="T3186" s="49" t="n">
        <v>1</v>
      </c>
      <c r="U3186" s="49" t="s">
        <v>6613</v>
      </c>
    </row>
    <row r="3187" customFormat="false" ht="15" hidden="false" customHeight="false" outlineLevel="0" collapsed="false">
      <c r="B3187" s="48" t="n">
        <v>46074.1149537037</v>
      </c>
      <c r="C3187" s="4" t="n">
        <f aca="false">YEAR(B3187)</f>
        <v>2026</v>
      </c>
      <c r="D3187" s="49" t="s">
        <v>278</v>
      </c>
      <c r="E3187" s="49" t="s">
        <v>6614</v>
      </c>
      <c r="F3187" s="50" t="n">
        <v>3</v>
      </c>
      <c r="G3187" s="49" t="s">
        <v>280</v>
      </c>
      <c r="H3187" s="51" t="n">
        <v>0.5237</v>
      </c>
      <c r="I3187" s="51" t="n">
        <v>0.4451</v>
      </c>
      <c r="J3187" s="51" t="n">
        <v>0.0313</v>
      </c>
      <c r="K3187" s="49"/>
      <c r="L3187" s="49"/>
      <c r="M3187" s="49"/>
      <c r="N3187" s="49"/>
      <c r="O3187" s="49"/>
      <c r="P3187" s="49"/>
      <c r="Q3187" s="49"/>
      <c r="R3187" s="49"/>
      <c r="S3187" s="49" t="n">
        <v>0</v>
      </c>
      <c r="T3187" s="49" t="n">
        <v>0</v>
      </c>
      <c r="U3187" s="49" t="s">
        <v>6615</v>
      </c>
    </row>
    <row r="3188" customFormat="false" ht="15" hidden="false" customHeight="false" outlineLevel="0" collapsed="false">
      <c r="B3188" s="48" t="n">
        <v>46074.3444560185</v>
      </c>
      <c r="C3188" s="4" t="n">
        <f aca="false">YEAR(B3188)</f>
        <v>2026</v>
      </c>
      <c r="D3188" s="49" t="s">
        <v>283</v>
      </c>
      <c r="E3188" s="49" t="s">
        <v>6616</v>
      </c>
      <c r="F3188" s="50" t="n">
        <v>1</v>
      </c>
      <c r="G3188" s="49" t="s">
        <v>290</v>
      </c>
      <c r="H3188" s="51" t="n">
        <v>0.0055</v>
      </c>
      <c r="I3188" s="51" t="n">
        <v>0.6657</v>
      </c>
      <c r="J3188" s="51" t="n">
        <v>0.3288</v>
      </c>
      <c r="K3188" s="49"/>
      <c r="L3188" s="49"/>
      <c r="M3188" s="49"/>
      <c r="N3188" s="49"/>
      <c r="O3188" s="49"/>
      <c r="P3188" s="49"/>
      <c r="Q3188" s="49"/>
      <c r="R3188" s="49"/>
      <c r="S3188" s="49" t="n">
        <v>0</v>
      </c>
      <c r="T3188" s="49" t="n">
        <v>0</v>
      </c>
      <c r="U3188" s="49" t="s">
        <v>6617</v>
      </c>
    </row>
    <row r="3189" customFormat="false" ht="15" hidden="false" customHeight="false" outlineLevel="0" collapsed="false">
      <c r="B3189" s="48" t="n">
        <v>46074.4199421296</v>
      </c>
      <c r="C3189" s="4" t="n">
        <f aca="false">YEAR(B3189)</f>
        <v>2026</v>
      </c>
      <c r="D3189" s="49" t="s">
        <v>278</v>
      </c>
      <c r="E3189" s="49" t="s">
        <v>6618</v>
      </c>
      <c r="F3189" s="50" t="n">
        <v>1</v>
      </c>
      <c r="G3189" s="49" t="s">
        <v>280</v>
      </c>
      <c r="H3189" s="51" t="n">
        <v>0.9014</v>
      </c>
      <c r="I3189" s="51" t="n">
        <v>0.0887</v>
      </c>
      <c r="J3189" s="51" t="n">
        <v>0.0099</v>
      </c>
      <c r="K3189" s="49"/>
      <c r="L3189" s="49"/>
      <c r="M3189" s="49"/>
      <c r="N3189" s="49"/>
      <c r="O3189" s="49"/>
      <c r="P3189" s="49"/>
      <c r="Q3189" s="49"/>
      <c r="R3189" s="49"/>
      <c r="S3189" s="49" t="n">
        <v>0</v>
      </c>
      <c r="T3189" s="49" t="n">
        <v>0</v>
      </c>
      <c r="U3189" s="49" t="s">
        <v>6619</v>
      </c>
    </row>
    <row r="3190" customFormat="false" ht="15" hidden="false" customHeight="false" outlineLevel="0" collapsed="false">
      <c r="B3190" s="48" t="n">
        <v>46074.4745023148</v>
      </c>
      <c r="C3190" s="4" t="n">
        <f aca="false">YEAR(B3190)</f>
        <v>2026</v>
      </c>
      <c r="D3190" s="49" t="s">
        <v>283</v>
      </c>
      <c r="E3190" s="49" t="s">
        <v>6620</v>
      </c>
      <c r="F3190" s="50" t="n">
        <v>1</v>
      </c>
      <c r="G3190" s="49" t="s">
        <v>290</v>
      </c>
      <c r="H3190" s="51" t="n">
        <v>0.013</v>
      </c>
      <c r="I3190" s="51" t="n">
        <v>0.8932</v>
      </c>
      <c r="J3190" s="51" t="n">
        <v>0.0937</v>
      </c>
      <c r="K3190" s="49"/>
      <c r="L3190" s="49"/>
      <c r="M3190" s="49"/>
      <c r="N3190" s="49"/>
      <c r="O3190" s="49"/>
      <c r="P3190" s="49"/>
      <c r="Q3190" s="49"/>
      <c r="R3190" s="49"/>
      <c r="S3190" s="49" t="n">
        <v>1</v>
      </c>
      <c r="T3190" s="49" t="n">
        <v>0</v>
      </c>
      <c r="U3190" s="49" t="s">
        <v>6621</v>
      </c>
    </row>
    <row r="3191" customFormat="false" ht="15" hidden="false" customHeight="false" outlineLevel="0" collapsed="false">
      <c r="B3191" s="48" t="n">
        <v>46074.6795833333</v>
      </c>
      <c r="C3191" s="4" t="n">
        <f aca="false">YEAR(B3191)</f>
        <v>2026</v>
      </c>
      <c r="D3191" s="49" t="s">
        <v>278</v>
      </c>
      <c r="E3191" s="49" t="s">
        <v>6622</v>
      </c>
      <c r="F3191" s="50" t="n">
        <v>0</v>
      </c>
      <c r="G3191" s="49" t="s">
        <v>290</v>
      </c>
      <c r="H3191" s="51" t="n">
        <v>0.4521</v>
      </c>
      <c r="I3191" s="51" t="n">
        <v>0.4735</v>
      </c>
      <c r="J3191" s="51" t="n">
        <v>0.0744</v>
      </c>
      <c r="K3191" s="49"/>
      <c r="L3191" s="49"/>
      <c r="M3191" s="49"/>
      <c r="N3191" s="49"/>
      <c r="O3191" s="49"/>
      <c r="P3191" s="49"/>
      <c r="Q3191" s="49"/>
      <c r="R3191" s="49"/>
      <c r="S3191" s="49" t="n">
        <v>0</v>
      </c>
      <c r="T3191" s="49" t="n">
        <v>0</v>
      </c>
      <c r="U3191" s="49" t="s">
        <v>6623</v>
      </c>
    </row>
    <row r="3192" customFormat="false" ht="15" hidden="false" customHeight="false" outlineLevel="0" collapsed="false">
      <c r="B3192" s="48" t="n">
        <v>46075.0790509259</v>
      </c>
      <c r="C3192" s="4" t="n">
        <f aca="false">YEAR(B3192)</f>
        <v>2026</v>
      </c>
      <c r="D3192" s="49" t="s">
        <v>283</v>
      </c>
      <c r="E3192" s="49" t="s">
        <v>6624</v>
      </c>
      <c r="F3192" s="50" t="n">
        <v>1</v>
      </c>
      <c r="G3192" s="49" t="s">
        <v>287</v>
      </c>
      <c r="H3192" s="51" t="n">
        <v>0.0059</v>
      </c>
      <c r="I3192" s="51" t="n">
        <v>0.4209</v>
      </c>
      <c r="J3192" s="51" t="n">
        <v>0.5732</v>
      </c>
      <c r="K3192" s="49"/>
      <c r="L3192" s="49"/>
      <c r="M3192" s="49"/>
      <c r="N3192" s="49"/>
      <c r="O3192" s="49"/>
      <c r="P3192" s="49"/>
      <c r="Q3192" s="49"/>
      <c r="R3192" s="49"/>
      <c r="S3192" s="49" t="n">
        <v>0</v>
      </c>
      <c r="T3192" s="49" t="n">
        <v>0</v>
      </c>
      <c r="U3192" s="49" t="s">
        <v>6625</v>
      </c>
    </row>
    <row r="3193" customFormat="false" ht="15" hidden="false" customHeight="false" outlineLevel="0" collapsed="false">
      <c r="B3193" s="48" t="n">
        <v>46075.5126157407</v>
      </c>
      <c r="C3193" s="4" t="n">
        <f aca="false">YEAR(B3193)</f>
        <v>2026</v>
      </c>
      <c r="D3193" s="49" t="s">
        <v>283</v>
      </c>
      <c r="E3193" s="49" t="s">
        <v>6626</v>
      </c>
      <c r="F3193" s="50" t="n">
        <v>5</v>
      </c>
      <c r="G3193" s="49" t="s">
        <v>287</v>
      </c>
      <c r="H3193" s="51" t="n">
        <v>0.0073</v>
      </c>
      <c r="I3193" s="51" t="n">
        <v>0.3752</v>
      </c>
      <c r="J3193" s="51" t="n">
        <v>0.6175</v>
      </c>
      <c r="K3193" s="49"/>
      <c r="L3193" s="49"/>
      <c r="M3193" s="49"/>
      <c r="N3193" s="49"/>
      <c r="O3193" s="49"/>
      <c r="P3193" s="49"/>
      <c r="Q3193" s="49"/>
      <c r="R3193" s="49"/>
      <c r="S3193" s="49" t="n">
        <v>0</v>
      </c>
      <c r="T3193" s="49" t="n">
        <v>0</v>
      </c>
      <c r="U3193" s="49" t="s">
        <v>6627</v>
      </c>
    </row>
    <row r="3194" customFormat="false" ht="15" hidden="false" customHeight="false" outlineLevel="0" collapsed="false">
      <c r="B3194" s="48" t="n">
        <v>46075.7550231482</v>
      </c>
      <c r="C3194" s="4" t="n">
        <f aca="false">YEAR(B3194)</f>
        <v>2026</v>
      </c>
      <c r="D3194" s="49" t="s">
        <v>278</v>
      </c>
      <c r="E3194" s="49" t="s">
        <v>6628</v>
      </c>
      <c r="F3194" s="50" t="n">
        <v>1</v>
      </c>
      <c r="G3194" s="49" t="s">
        <v>290</v>
      </c>
      <c r="H3194" s="51" t="n">
        <v>0.16</v>
      </c>
      <c r="I3194" s="51" t="n">
        <v>0.7515</v>
      </c>
      <c r="J3194" s="51" t="n">
        <v>0.0885</v>
      </c>
      <c r="K3194" s="49"/>
      <c r="L3194" s="49"/>
      <c r="M3194" s="49"/>
      <c r="N3194" s="49"/>
      <c r="O3194" s="49"/>
      <c r="P3194" s="49"/>
      <c r="Q3194" s="49"/>
      <c r="R3194" s="49"/>
      <c r="S3194" s="49" t="n">
        <v>0</v>
      </c>
      <c r="T3194" s="49" t="n">
        <v>0</v>
      </c>
      <c r="U3194" s="49" t="s">
        <v>6629</v>
      </c>
    </row>
    <row r="3195" customFormat="false" ht="15" hidden="false" customHeight="false" outlineLevel="0" collapsed="false">
      <c r="B3195" s="48" t="n">
        <v>46075.7720717593</v>
      </c>
      <c r="C3195" s="4" t="n">
        <f aca="false">YEAR(B3195)</f>
        <v>2026</v>
      </c>
      <c r="D3195" s="49" t="s">
        <v>278</v>
      </c>
      <c r="E3195" s="49" t="s">
        <v>6630</v>
      </c>
      <c r="F3195" s="50" t="n">
        <v>1</v>
      </c>
      <c r="G3195" s="49" t="s">
        <v>280</v>
      </c>
      <c r="H3195" s="51" t="n">
        <v>0.5397</v>
      </c>
      <c r="I3195" s="51" t="n">
        <v>0.4452</v>
      </c>
      <c r="J3195" s="51" t="n">
        <v>0.0152</v>
      </c>
      <c r="K3195" s="49" t="s">
        <v>281</v>
      </c>
      <c r="L3195" s="49"/>
      <c r="M3195" s="49"/>
      <c r="N3195" s="49"/>
      <c r="O3195" s="49"/>
      <c r="P3195" s="49"/>
      <c r="Q3195" s="49"/>
      <c r="R3195" s="49"/>
      <c r="S3195" s="49" t="n">
        <v>0</v>
      </c>
      <c r="T3195" s="49" t="n">
        <v>0</v>
      </c>
      <c r="U3195" s="49" t="s">
        <v>6631</v>
      </c>
    </row>
    <row r="3196" customFormat="false" ht="15" hidden="false" customHeight="false" outlineLevel="0" collapsed="false">
      <c r="B3196" s="48" t="n">
        <v>46075.7805787037</v>
      </c>
      <c r="C3196" s="4" t="n">
        <f aca="false">YEAR(B3196)</f>
        <v>2026</v>
      </c>
      <c r="D3196" s="49" t="s">
        <v>278</v>
      </c>
      <c r="E3196" s="49" t="s">
        <v>6632</v>
      </c>
      <c r="F3196" s="50" t="n">
        <v>13</v>
      </c>
      <c r="G3196" s="49" t="s">
        <v>290</v>
      </c>
      <c r="H3196" s="51" t="n">
        <v>0.1866</v>
      </c>
      <c r="I3196" s="51" t="n">
        <v>0.6092</v>
      </c>
      <c r="J3196" s="51" t="n">
        <v>0.2042</v>
      </c>
      <c r="K3196" s="49"/>
      <c r="L3196" s="49"/>
      <c r="M3196" s="49"/>
      <c r="N3196" s="49"/>
      <c r="O3196" s="49" t="s">
        <v>281</v>
      </c>
      <c r="P3196" s="49"/>
      <c r="Q3196" s="49" t="s">
        <v>281</v>
      </c>
      <c r="R3196" s="49"/>
      <c r="S3196" s="49" t="n">
        <v>0</v>
      </c>
      <c r="T3196" s="49" t="n">
        <v>0</v>
      </c>
      <c r="U3196" s="49" t="s">
        <v>6633</v>
      </c>
    </row>
    <row r="3197" customFormat="false" ht="15" hidden="false" customHeight="false" outlineLevel="0" collapsed="false">
      <c r="B3197" s="48" t="n">
        <v>46075.8120949074</v>
      </c>
      <c r="C3197" s="4" t="n">
        <f aca="false">YEAR(B3197)</f>
        <v>2026</v>
      </c>
      <c r="D3197" s="49" t="s">
        <v>278</v>
      </c>
      <c r="E3197" s="49" t="s">
        <v>6634</v>
      </c>
      <c r="F3197" s="50" t="n">
        <v>1</v>
      </c>
      <c r="G3197" s="49" t="s">
        <v>290</v>
      </c>
      <c r="H3197" s="51" t="n">
        <v>0.4399</v>
      </c>
      <c r="I3197" s="51" t="n">
        <v>0.5296</v>
      </c>
      <c r="J3197" s="51" t="n">
        <v>0.0305</v>
      </c>
      <c r="K3197" s="49"/>
      <c r="L3197" s="49"/>
      <c r="M3197" s="49"/>
      <c r="N3197" s="49"/>
      <c r="O3197" s="49"/>
      <c r="P3197" s="49"/>
      <c r="Q3197" s="49"/>
      <c r="R3197" s="49"/>
      <c r="S3197" s="49" t="n">
        <v>0</v>
      </c>
      <c r="T3197" s="49" t="n">
        <v>0</v>
      </c>
      <c r="U3197" s="49" t="s">
        <v>6635</v>
      </c>
    </row>
    <row r="3198" customFormat="false" ht="15" hidden="false" customHeight="false" outlineLevel="0" collapsed="false">
      <c r="B3198" s="48" t="n">
        <v>46076.640462963</v>
      </c>
      <c r="C3198" s="4" t="n">
        <f aca="false">YEAR(B3198)</f>
        <v>2026</v>
      </c>
      <c r="D3198" s="49" t="s">
        <v>278</v>
      </c>
      <c r="E3198" s="49" t="s">
        <v>6636</v>
      </c>
      <c r="F3198" s="50" t="n">
        <v>0</v>
      </c>
      <c r="G3198" s="49" t="s">
        <v>280</v>
      </c>
      <c r="H3198" s="51" t="n">
        <v>0.4813</v>
      </c>
      <c r="I3198" s="51" t="n">
        <v>0.3404</v>
      </c>
      <c r="J3198" s="51" t="n">
        <v>0.1783</v>
      </c>
      <c r="K3198" s="49"/>
      <c r="L3198" s="49"/>
      <c r="M3198" s="49"/>
      <c r="N3198" s="49"/>
      <c r="O3198" s="49"/>
      <c r="P3198" s="49"/>
      <c r="Q3198" s="49"/>
      <c r="R3198" s="49"/>
      <c r="S3198" s="49" t="n">
        <v>0</v>
      </c>
      <c r="T3198" s="49" t="n">
        <v>0</v>
      </c>
      <c r="U3198" s="49" t="s">
        <v>6637</v>
      </c>
    </row>
    <row r="3199" customFormat="false" ht="15" hidden="false" customHeight="false" outlineLevel="0" collapsed="false">
      <c r="B3199" s="48" t="n">
        <v>46076.6446875</v>
      </c>
      <c r="C3199" s="4" t="n">
        <f aca="false">YEAR(B3199)</f>
        <v>2026</v>
      </c>
      <c r="D3199" s="49" t="s">
        <v>278</v>
      </c>
      <c r="E3199" s="49" t="s">
        <v>6638</v>
      </c>
      <c r="F3199" s="50" t="n">
        <v>1</v>
      </c>
      <c r="G3199" s="49" t="s">
        <v>290</v>
      </c>
      <c r="H3199" s="51" t="n">
        <v>0.4798</v>
      </c>
      <c r="I3199" s="51" t="n">
        <v>0.4973</v>
      </c>
      <c r="J3199" s="51" t="n">
        <v>0.0229</v>
      </c>
      <c r="K3199" s="49"/>
      <c r="L3199" s="49"/>
      <c r="M3199" s="49"/>
      <c r="N3199" s="49"/>
      <c r="O3199" s="49"/>
      <c r="P3199" s="49"/>
      <c r="Q3199" s="49"/>
      <c r="R3199" s="49" t="s">
        <v>281</v>
      </c>
      <c r="S3199" s="49" t="n">
        <v>0</v>
      </c>
      <c r="T3199" s="49" t="n">
        <v>0</v>
      </c>
      <c r="U3199" s="49" t="s">
        <v>6639</v>
      </c>
    </row>
    <row r="3200" customFormat="false" ht="15" hidden="false" customHeight="false" outlineLevel="0" collapsed="false">
      <c r="B3200" s="48" t="n">
        <v>46076.8553703704</v>
      </c>
      <c r="C3200" s="4" t="n">
        <f aca="false">YEAR(B3200)</f>
        <v>2026</v>
      </c>
      <c r="D3200" s="49" t="s">
        <v>278</v>
      </c>
      <c r="E3200" s="49" t="s">
        <v>6640</v>
      </c>
      <c r="F3200" s="50" t="n">
        <v>0</v>
      </c>
      <c r="G3200" s="49" t="s">
        <v>287</v>
      </c>
      <c r="H3200" s="51" t="n">
        <v>0.0122</v>
      </c>
      <c r="I3200" s="51" t="n">
        <v>0.1572</v>
      </c>
      <c r="J3200" s="51" t="n">
        <v>0.8307</v>
      </c>
      <c r="K3200" s="49"/>
      <c r="L3200" s="49"/>
      <c r="M3200" s="49" t="s">
        <v>281</v>
      </c>
      <c r="N3200" s="49"/>
      <c r="O3200" s="49"/>
      <c r="P3200" s="49"/>
      <c r="Q3200" s="49"/>
      <c r="R3200" s="49"/>
      <c r="S3200" s="49" t="n">
        <v>0</v>
      </c>
      <c r="T3200" s="49" t="n">
        <v>0</v>
      </c>
      <c r="U3200" s="49" t="s">
        <v>6641</v>
      </c>
    </row>
    <row r="3201" customFormat="false" ht="15" hidden="false" customHeight="false" outlineLevel="0" collapsed="false">
      <c r="B3201" s="48" t="n">
        <v>46077.0341319444</v>
      </c>
      <c r="C3201" s="4" t="n">
        <f aca="false">YEAR(B3201)</f>
        <v>2026</v>
      </c>
      <c r="D3201" s="49" t="s">
        <v>278</v>
      </c>
      <c r="E3201" s="49" t="s">
        <v>6642</v>
      </c>
      <c r="F3201" s="50" t="n">
        <v>1</v>
      </c>
      <c r="G3201" s="49" t="s">
        <v>290</v>
      </c>
      <c r="H3201" s="51" t="n">
        <v>0.224</v>
      </c>
      <c r="I3201" s="51" t="n">
        <v>0.4797</v>
      </c>
      <c r="J3201" s="51" t="n">
        <v>0.2963</v>
      </c>
      <c r="K3201" s="49"/>
      <c r="L3201" s="49"/>
      <c r="M3201" s="49"/>
      <c r="N3201" s="49"/>
      <c r="O3201" s="49"/>
      <c r="P3201" s="49"/>
      <c r="Q3201" s="49"/>
      <c r="R3201" s="49" t="s">
        <v>281</v>
      </c>
      <c r="S3201" s="49" t="n">
        <v>0</v>
      </c>
      <c r="T3201" s="49" t="n">
        <v>0</v>
      </c>
      <c r="U3201" s="49" t="s">
        <v>6643</v>
      </c>
    </row>
    <row r="3202" customFormat="false" ht="15" hidden="false" customHeight="false" outlineLevel="0" collapsed="false">
      <c r="B3202" s="48" t="n">
        <v>46077.119537037</v>
      </c>
      <c r="C3202" s="4" t="n">
        <f aca="false">YEAR(B3202)</f>
        <v>2026</v>
      </c>
      <c r="D3202" s="49" t="s">
        <v>278</v>
      </c>
      <c r="E3202" s="49" t="s">
        <v>6644</v>
      </c>
      <c r="F3202" s="50" t="n">
        <v>1</v>
      </c>
      <c r="G3202" s="49" t="s">
        <v>280</v>
      </c>
      <c r="H3202" s="51" t="n">
        <v>0.8124</v>
      </c>
      <c r="I3202" s="51" t="n">
        <v>0.1738</v>
      </c>
      <c r="J3202" s="51" t="n">
        <v>0.0138</v>
      </c>
      <c r="K3202" s="49" t="s">
        <v>281</v>
      </c>
      <c r="L3202" s="49"/>
      <c r="M3202" s="49"/>
      <c r="N3202" s="49"/>
      <c r="O3202" s="49"/>
      <c r="P3202" s="49"/>
      <c r="Q3202" s="49"/>
      <c r="R3202" s="49"/>
      <c r="S3202" s="49" t="n">
        <v>0</v>
      </c>
      <c r="T3202" s="49" t="n">
        <v>0</v>
      </c>
      <c r="U3202" s="49" t="s">
        <v>6645</v>
      </c>
    </row>
    <row r="3203" customFormat="false" ht="15" hidden="false" customHeight="false" outlineLevel="0" collapsed="false">
      <c r="B3203" s="48" t="n">
        <v>46077.3871527778</v>
      </c>
      <c r="C3203" s="4" t="n">
        <f aca="false">YEAR(B3203)</f>
        <v>2026</v>
      </c>
      <c r="D3203" s="49" t="s">
        <v>278</v>
      </c>
      <c r="E3203" s="49" t="s">
        <v>6646</v>
      </c>
      <c r="F3203" s="50" t="n">
        <v>0</v>
      </c>
      <c r="G3203" s="49" t="s">
        <v>280</v>
      </c>
      <c r="H3203" s="51" t="n">
        <v>0.935</v>
      </c>
      <c r="I3203" s="51" t="n">
        <v>0.0576</v>
      </c>
      <c r="J3203" s="51" t="n">
        <v>0.0075</v>
      </c>
      <c r="K3203" s="49" t="s">
        <v>281</v>
      </c>
      <c r="L3203" s="49"/>
      <c r="M3203" s="49"/>
      <c r="N3203" s="49"/>
      <c r="O3203" s="49"/>
      <c r="P3203" s="49"/>
      <c r="Q3203" s="49"/>
      <c r="R3203" s="49"/>
      <c r="S3203" s="49" t="n">
        <v>0</v>
      </c>
      <c r="T3203" s="49" t="n">
        <v>0</v>
      </c>
      <c r="U3203" s="49" t="s">
        <v>6647</v>
      </c>
    </row>
    <row r="3204" customFormat="false" ht="15" hidden="false" customHeight="false" outlineLevel="0" collapsed="false">
      <c r="B3204" s="48" t="n">
        <v>46077.5081597222</v>
      </c>
      <c r="C3204" s="4" t="n">
        <f aca="false">YEAR(B3204)</f>
        <v>2026</v>
      </c>
      <c r="D3204" s="49" t="s">
        <v>278</v>
      </c>
      <c r="E3204" s="49" t="s">
        <v>6648</v>
      </c>
      <c r="F3204" s="50" t="n">
        <v>1</v>
      </c>
      <c r="G3204" s="49" t="s">
        <v>287</v>
      </c>
      <c r="H3204" s="51" t="n">
        <v>0.0574</v>
      </c>
      <c r="I3204" s="51" t="n">
        <v>0.2228</v>
      </c>
      <c r="J3204" s="51" t="n">
        <v>0.7199</v>
      </c>
      <c r="K3204" s="49"/>
      <c r="L3204" s="49"/>
      <c r="M3204" s="49"/>
      <c r="N3204" s="49"/>
      <c r="O3204" s="49"/>
      <c r="P3204" s="49"/>
      <c r="Q3204" s="49"/>
      <c r="R3204" s="49"/>
      <c r="S3204" s="49" t="n">
        <v>0</v>
      </c>
      <c r="T3204" s="49" t="n">
        <v>0</v>
      </c>
      <c r="U3204" s="49" t="s">
        <v>6649</v>
      </c>
    </row>
    <row r="3205" customFormat="false" ht="15" hidden="false" customHeight="false" outlineLevel="0" collapsed="false">
      <c r="B3205" s="48" t="n">
        <v>46077.6286458333</v>
      </c>
      <c r="C3205" s="4" t="n">
        <f aca="false">YEAR(B3205)</f>
        <v>2026</v>
      </c>
      <c r="D3205" s="49" t="s">
        <v>278</v>
      </c>
      <c r="E3205" s="49" t="s">
        <v>6650</v>
      </c>
      <c r="F3205" s="50" t="n">
        <v>0</v>
      </c>
      <c r="G3205" s="49" t="s">
        <v>280</v>
      </c>
      <c r="H3205" s="51" t="n">
        <v>0.7419</v>
      </c>
      <c r="I3205" s="51" t="n">
        <v>0.2211</v>
      </c>
      <c r="J3205" s="51" t="n">
        <v>0.037</v>
      </c>
      <c r="K3205" s="49" t="s">
        <v>281</v>
      </c>
      <c r="L3205" s="49"/>
      <c r="M3205" s="49"/>
      <c r="N3205" s="49"/>
      <c r="O3205" s="49"/>
      <c r="P3205" s="49"/>
      <c r="Q3205" s="49"/>
      <c r="R3205" s="49"/>
      <c r="S3205" s="49" t="n">
        <v>0</v>
      </c>
      <c r="T3205" s="49" t="n">
        <v>0</v>
      </c>
      <c r="U3205" s="49" t="s">
        <v>6651</v>
      </c>
    </row>
    <row r="3206" customFormat="false" ht="15" hidden="false" customHeight="false" outlineLevel="0" collapsed="false">
      <c r="B3206" s="48" t="n">
        <v>46077.6882407407</v>
      </c>
      <c r="C3206" s="4" t="n">
        <f aca="false">YEAR(B3206)</f>
        <v>2026</v>
      </c>
      <c r="D3206" s="49" t="s">
        <v>278</v>
      </c>
      <c r="E3206" s="49" t="s">
        <v>6652</v>
      </c>
      <c r="F3206" s="50" t="n">
        <v>3</v>
      </c>
      <c r="G3206" s="49" t="s">
        <v>280</v>
      </c>
      <c r="H3206" s="51" t="n">
        <v>0.4874</v>
      </c>
      <c r="I3206" s="51" t="n">
        <v>0.4608</v>
      </c>
      <c r="J3206" s="51" t="n">
        <v>0.0518</v>
      </c>
      <c r="K3206" s="49"/>
      <c r="L3206" s="49"/>
      <c r="M3206" s="49"/>
      <c r="N3206" s="49"/>
      <c r="O3206" s="49"/>
      <c r="P3206" s="49"/>
      <c r="Q3206" s="49"/>
      <c r="R3206" s="49"/>
      <c r="S3206" s="49" t="n">
        <v>0</v>
      </c>
      <c r="T3206" s="49" t="n">
        <v>0</v>
      </c>
      <c r="U3206" s="49" t="s">
        <v>6653</v>
      </c>
    </row>
    <row r="3207" customFormat="false" ht="15" hidden="false" customHeight="false" outlineLevel="0" collapsed="false">
      <c r="B3207" s="48" t="n">
        <v>46078.0086574074</v>
      </c>
      <c r="C3207" s="4" t="n">
        <f aca="false">YEAR(B3207)</f>
        <v>2026</v>
      </c>
      <c r="D3207" s="49" t="s">
        <v>283</v>
      </c>
      <c r="E3207" s="49" t="s">
        <v>6654</v>
      </c>
      <c r="F3207" s="50" t="n">
        <v>7</v>
      </c>
      <c r="G3207" s="49" t="s">
        <v>287</v>
      </c>
      <c r="H3207" s="51" t="n">
        <v>0.0132</v>
      </c>
      <c r="I3207" s="51" t="n">
        <v>0.2882</v>
      </c>
      <c r="J3207" s="51" t="n">
        <v>0.6986</v>
      </c>
      <c r="K3207" s="49"/>
      <c r="L3207" s="49"/>
      <c r="M3207" s="49"/>
      <c r="N3207" s="49"/>
      <c r="O3207" s="49" t="s">
        <v>281</v>
      </c>
      <c r="P3207" s="49"/>
      <c r="Q3207" s="49"/>
      <c r="R3207" s="49"/>
      <c r="S3207" s="49" t="n">
        <v>0</v>
      </c>
      <c r="T3207" s="49" t="n">
        <v>0</v>
      </c>
      <c r="U3207" s="49" t="s">
        <v>6655</v>
      </c>
    </row>
    <row r="3208" customFormat="false" ht="15" hidden="false" customHeight="false" outlineLevel="0" collapsed="false">
      <c r="B3208" s="48" t="n">
        <v>46078.2457060185</v>
      </c>
      <c r="C3208" s="4" t="n">
        <f aca="false">YEAR(B3208)</f>
        <v>2026</v>
      </c>
      <c r="D3208" s="49" t="s">
        <v>278</v>
      </c>
      <c r="E3208" s="49" t="s">
        <v>6656</v>
      </c>
      <c r="F3208" s="50" t="n">
        <v>2</v>
      </c>
      <c r="G3208" s="49" t="s">
        <v>287</v>
      </c>
      <c r="H3208" s="51" t="n">
        <v>0.0287</v>
      </c>
      <c r="I3208" s="51" t="n">
        <v>0.1621</v>
      </c>
      <c r="J3208" s="51" t="n">
        <v>0.8092</v>
      </c>
      <c r="K3208" s="49"/>
      <c r="L3208" s="49"/>
      <c r="M3208" s="49"/>
      <c r="N3208" s="49"/>
      <c r="O3208" s="49"/>
      <c r="P3208" s="49"/>
      <c r="Q3208" s="49"/>
      <c r="R3208" s="49"/>
      <c r="S3208" s="49" t="n">
        <v>0</v>
      </c>
      <c r="T3208" s="49" t="n">
        <v>0</v>
      </c>
      <c r="U3208" s="49" t="s">
        <v>6657</v>
      </c>
    </row>
    <row r="3209" customFormat="false" ht="15" hidden="false" customHeight="false" outlineLevel="0" collapsed="false">
      <c r="B3209" s="48" t="n">
        <v>46078.67625</v>
      </c>
      <c r="C3209" s="4" t="n">
        <f aca="false">YEAR(B3209)</f>
        <v>2026</v>
      </c>
      <c r="D3209" s="49" t="s">
        <v>278</v>
      </c>
      <c r="E3209" s="49" t="s">
        <v>6658</v>
      </c>
      <c r="F3209" s="50" t="n">
        <v>1</v>
      </c>
      <c r="G3209" s="49" t="s">
        <v>280</v>
      </c>
      <c r="H3209" s="51" t="n">
        <v>0.6135</v>
      </c>
      <c r="I3209" s="51" t="n">
        <v>0.368</v>
      </c>
      <c r="J3209" s="51" t="n">
        <v>0.0185</v>
      </c>
      <c r="K3209" s="49"/>
      <c r="L3209" s="49"/>
      <c r="M3209" s="49"/>
      <c r="N3209" s="49"/>
      <c r="O3209" s="49"/>
      <c r="P3209" s="49"/>
      <c r="Q3209" s="49" t="s">
        <v>281</v>
      </c>
      <c r="R3209" s="49"/>
      <c r="S3209" s="49" t="n">
        <v>0</v>
      </c>
      <c r="T3209" s="49" t="n">
        <v>0</v>
      </c>
      <c r="U3209" s="49" t="s">
        <v>6659</v>
      </c>
    </row>
    <row r="3210" customFormat="false" ht="15" hidden="false" customHeight="false" outlineLevel="0" collapsed="false">
      <c r="B3210" s="48" t="n">
        <v>46079.0259606482</v>
      </c>
      <c r="C3210" s="4" t="n">
        <f aca="false">YEAR(B3210)</f>
        <v>2026</v>
      </c>
      <c r="D3210" s="49" t="s">
        <v>283</v>
      </c>
      <c r="E3210" s="49" t="s">
        <v>6660</v>
      </c>
      <c r="F3210" s="50" t="n">
        <v>2</v>
      </c>
      <c r="G3210" s="49" t="s">
        <v>287</v>
      </c>
      <c r="H3210" s="51" t="n">
        <v>0.0105</v>
      </c>
      <c r="I3210" s="51" t="n">
        <v>0.1237</v>
      </c>
      <c r="J3210" s="51" t="n">
        <v>0.8658</v>
      </c>
      <c r="K3210" s="49"/>
      <c r="L3210" s="49"/>
      <c r="M3210" s="49"/>
      <c r="N3210" s="49"/>
      <c r="O3210" s="49"/>
      <c r="P3210" s="49"/>
      <c r="Q3210" s="49"/>
      <c r="R3210" s="49"/>
      <c r="S3210" s="49" t="n">
        <v>0</v>
      </c>
      <c r="T3210" s="49" t="n">
        <v>0</v>
      </c>
      <c r="U3210" s="49" t="s">
        <v>6661</v>
      </c>
    </row>
    <row r="3211" customFormat="false" ht="15" hidden="false" customHeight="false" outlineLevel="0" collapsed="false">
      <c r="B3211" s="48" t="n">
        <v>46079.0562384259</v>
      </c>
      <c r="C3211" s="4" t="n">
        <f aca="false">YEAR(B3211)</f>
        <v>2026</v>
      </c>
      <c r="D3211" s="49" t="s">
        <v>283</v>
      </c>
      <c r="E3211" s="49" t="s">
        <v>6662</v>
      </c>
      <c r="F3211" s="50" t="n">
        <v>1</v>
      </c>
      <c r="G3211" s="49" t="s">
        <v>287</v>
      </c>
      <c r="H3211" s="51" t="n">
        <v>0.0044</v>
      </c>
      <c r="I3211" s="51" t="n">
        <v>0.419</v>
      </c>
      <c r="J3211" s="51" t="n">
        <v>0.5765</v>
      </c>
      <c r="K3211" s="49"/>
      <c r="L3211" s="49"/>
      <c r="M3211" s="49"/>
      <c r="N3211" s="49"/>
      <c r="O3211" s="49"/>
      <c r="P3211" s="49"/>
      <c r="Q3211" s="49"/>
      <c r="R3211" s="49"/>
      <c r="S3211" s="49" t="n">
        <v>0</v>
      </c>
      <c r="T3211" s="49" t="n">
        <v>0</v>
      </c>
      <c r="U3211" s="49" t="s">
        <v>6663</v>
      </c>
    </row>
    <row r="3212" customFormat="false" ht="15" hidden="false" customHeight="false" outlineLevel="0" collapsed="false">
      <c r="B3212" s="48" t="n">
        <v>46079.1277662037</v>
      </c>
      <c r="C3212" s="4" t="n">
        <f aca="false">YEAR(B3212)</f>
        <v>2026</v>
      </c>
      <c r="D3212" s="49" t="s">
        <v>278</v>
      </c>
      <c r="E3212" s="49" t="s">
        <v>6664</v>
      </c>
      <c r="F3212" s="50" t="n">
        <v>0</v>
      </c>
      <c r="G3212" s="49" t="s">
        <v>287</v>
      </c>
      <c r="H3212" s="51" t="n">
        <v>0.0082</v>
      </c>
      <c r="I3212" s="51" t="n">
        <v>0.2292</v>
      </c>
      <c r="J3212" s="51" t="n">
        <v>0.7625</v>
      </c>
      <c r="K3212" s="49"/>
      <c r="L3212" s="49"/>
      <c r="M3212" s="49"/>
      <c r="N3212" s="49"/>
      <c r="O3212" s="49"/>
      <c r="P3212" s="49"/>
      <c r="Q3212" s="49"/>
      <c r="R3212" s="49"/>
      <c r="S3212" s="49" t="n">
        <v>0</v>
      </c>
      <c r="T3212" s="49" t="n">
        <v>0</v>
      </c>
      <c r="U3212" s="49" t="s">
        <v>6665</v>
      </c>
    </row>
    <row r="3213" customFormat="false" ht="15" hidden="false" customHeight="false" outlineLevel="0" collapsed="false">
      <c r="B3213" s="48" t="n">
        <v>46079.3171875</v>
      </c>
      <c r="C3213" s="4" t="n">
        <f aca="false">YEAR(B3213)</f>
        <v>2026</v>
      </c>
      <c r="D3213" s="49" t="s">
        <v>278</v>
      </c>
      <c r="E3213" s="49" t="s">
        <v>6666</v>
      </c>
      <c r="F3213" s="50" t="n">
        <v>1</v>
      </c>
      <c r="G3213" s="49" t="s">
        <v>290</v>
      </c>
      <c r="H3213" s="51" t="n">
        <v>0.3825</v>
      </c>
      <c r="I3213" s="51" t="n">
        <v>0.5302</v>
      </c>
      <c r="J3213" s="51" t="n">
        <v>0.0874</v>
      </c>
      <c r="K3213" s="49"/>
      <c r="L3213" s="49"/>
      <c r="M3213" s="49"/>
      <c r="N3213" s="49"/>
      <c r="O3213" s="49"/>
      <c r="P3213" s="49"/>
      <c r="Q3213" s="49"/>
      <c r="R3213" s="49" t="s">
        <v>281</v>
      </c>
      <c r="S3213" s="49" t="n">
        <v>0</v>
      </c>
      <c r="T3213" s="49" t="n">
        <v>0</v>
      </c>
      <c r="U3213" s="49" t="s">
        <v>6667</v>
      </c>
    </row>
    <row r="3214" customFormat="false" ht="15" hidden="false" customHeight="false" outlineLevel="0" collapsed="false">
      <c r="B3214" s="48" t="n">
        <v>46079.4129282407</v>
      </c>
      <c r="C3214" s="4" t="n">
        <f aca="false">YEAR(B3214)</f>
        <v>2026</v>
      </c>
      <c r="D3214" s="49" t="s">
        <v>278</v>
      </c>
      <c r="E3214" s="49" t="s">
        <v>6668</v>
      </c>
      <c r="F3214" s="50" t="n">
        <v>0</v>
      </c>
      <c r="G3214" s="49" t="s">
        <v>280</v>
      </c>
      <c r="H3214" s="51" t="n">
        <v>0.955</v>
      </c>
      <c r="I3214" s="51" t="n">
        <v>0.0401</v>
      </c>
      <c r="J3214" s="51" t="n">
        <v>0.0049</v>
      </c>
      <c r="K3214" s="49"/>
      <c r="L3214" s="49"/>
      <c r="M3214" s="49"/>
      <c r="N3214" s="49"/>
      <c r="O3214" s="49"/>
      <c r="P3214" s="49"/>
      <c r="Q3214" s="49"/>
      <c r="R3214" s="49" t="s">
        <v>281</v>
      </c>
      <c r="S3214" s="49" t="n">
        <v>0</v>
      </c>
      <c r="T3214" s="49" t="n">
        <v>0</v>
      </c>
      <c r="U3214" s="49" t="s">
        <v>6669</v>
      </c>
    </row>
    <row r="3215" customFormat="false" ht="15" hidden="false" customHeight="false" outlineLevel="0" collapsed="false">
      <c r="B3215" s="48" t="n">
        <v>46079.9554398148</v>
      </c>
      <c r="C3215" s="4" t="n">
        <f aca="false">YEAR(B3215)</f>
        <v>2026</v>
      </c>
      <c r="D3215" s="49" t="s">
        <v>278</v>
      </c>
      <c r="E3215" s="49" t="s">
        <v>6670</v>
      </c>
      <c r="F3215" s="50" t="n">
        <v>0</v>
      </c>
      <c r="G3215" s="49" t="s">
        <v>290</v>
      </c>
      <c r="H3215" s="51" t="n">
        <v>0.0366</v>
      </c>
      <c r="I3215" s="51" t="n">
        <v>0.8338</v>
      </c>
      <c r="J3215" s="51" t="n">
        <v>0.1296</v>
      </c>
      <c r="K3215" s="49"/>
      <c r="L3215" s="49"/>
      <c r="M3215" s="49"/>
      <c r="N3215" s="49"/>
      <c r="O3215" s="49"/>
      <c r="P3215" s="49"/>
      <c r="Q3215" s="49"/>
      <c r="R3215" s="49"/>
      <c r="S3215" s="49" t="n">
        <v>0</v>
      </c>
      <c r="T3215" s="49" t="n">
        <v>0</v>
      </c>
      <c r="U3215" s="49" t="s">
        <v>6671</v>
      </c>
    </row>
    <row r="3216" customFormat="false" ht="15" hidden="false" customHeight="false" outlineLevel="0" collapsed="false">
      <c r="B3216" s="48" t="n">
        <v>46080.1468518519</v>
      </c>
      <c r="C3216" s="4" t="n">
        <f aca="false">YEAR(B3216)</f>
        <v>2026</v>
      </c>
      <c r="D3216" s="49" t="s">
        <v>278</v>
      </c>
      <c r="E3216" s="49" t="s">
        <v>6672</v>
      </c>
      <c r="F3216" s="50" t="n">
        <v>0</v>
      </c>
      <c r="G3216" s="49" t="s">
        <v>280</v>
      </c>
      <c r="H3216" s="51" t="n">
        <v>0.5568</v>
      </c>
      <c r="I3216" s="51" t="n">
        <v>0.4137</v>
      </c>
      <c r="J3216" s="51" t="n">
        <v>0.0295</v>
      </c>
      <c r="K3216" s="49" t="s">
        <v>281</v>
      </c>
      <c r="L3216" s="49"/>
      <c r="M3216" s="49"/>
      <c r="N3216" s="49"/>
      <c r="O3216" s="49"/>
      <c r="P3216" s="49"/>
      <c r="Q3216" s="49"/>
      <c r="R3216" s="49" t="s">
        <v>281</v>
      </c>
      <c r="S3216" s="49" t="n">
        <v>0</v>
      </c>
      <c r="T3216" s="49" t="n">
        <v>0</v>
      </c>
      <c r="U3216" s="49" t="s">
        <v>6673</v>
      </c>
    </row>
    <row r="3217" customFormat="false" ht="15" hidden="false" customHeight="false" outlineLevel="0" collapsed="false">
      <c r="B3217" s="48" t="n">
        <v>46080.4299652778</v>
      </c>
      <c r="C3217" s="4" t="n">
        <f aca="false">YEAR(B3217)</f>
        <v>2026</v>
      </c>
      <c r="D3217" s="49" t="s">
        <v>278</v>
      </c>
      <c r="E3217" s="49" t="s">
        <v>6674</v>
      </c>
      <c r="F3217" s="50" t="n">
        <v>1</v>
      </c>
      <c r="G3217" s="49" t="s">
        <v>280</v>
      </c>
      <c r="H3217" s="51" t="n">
        <v>0.7256</v>
      </c>
      <c r="I3217" s="51" t="n">
        <v>0.2619</v>
      </c>
      <c r="J3217" s="51" t="n">
        <v>0.0124</v>
      </c>
      <c r="K3217" s="49"/>
      <c r="L3217" s="49"/>
      <c r="M3217" s="49"/>
      <c r="N3217" s="49"/>
      <c r="O3217" s="49"/>
      <c r="P3217" s="49"/>
      <c r="Q3217" s="49"/>
      <c r="R3217" s="49"/>
      <c r="S3217" s="49" t="n">
        <v>0</v>
      </c>
      <c r="T3217" s="49" t="n">
        <v>0</v>
      </c>
      <c r="U3217" s="49" t="s">
        <v>6675</v>
      </c>
    </row>
    <row r="3218" customFormat="false" ht="15" hidden="false" customHeight="false" outlineLevel="0" collapsed="false">
      <c r="B3218" s="48" t="n">
        <v>46080.893287037</v>
      </c>
      <c r="C3218" s="4" t="n">
        <f aca="false">YEAR(B3218)</f>
        <v>2026</v>
      </c>
      <c r="D3218" s="49" t="s">
        <v>278</v>
      </c>
      <c r="E3218" s="49" t="s">
        <v>6676</v>
      </c>
      <c r="F3218" s="50" t="n">
        <v>8</v>
      </c>
      <c r="G3218" s="49" t="s">
        <v>290</v>
      </c>
      <c r="H3218" s="51" t="n">
        <v>0.4149</v>
      </c>
      <c r="I3218" s="51" t="n">
        <v>0.4971</v>
      </c>
      <c r="J3218" s="51" t="n">
        <v>0.088</v>
      </c>
      <c r="K3218" s="49" t="s">
        <v>281</v>
      </c>
      <c r="L3218" s="49"/>
      <c r="M3218" s="49"/>
      <c r="N3218" s="49"/>
      <c r="O3218" s="49"/>
      <c r="P3218" s="49"/>
      <c r="Q3218" s="49"/>
      <c r="R3218" s="49"/>
      <c r="S3218" s="49" t="n">
        <v>0</v>
      </c>
      <c r="T3218" s="49" t="n">
        <v>0</v>
      </c>
      <c r="U3218" s="49" t="s">
        <v>6677</v>
      </c>
    </row>
    <row r="3219" customFormat="false" ht="15" hidden="false" customHeight="false" outlineLevel="0" collapsed="false">
      <c r="B3219" s="48" t="n">
        <v>46080.9688194445</v>
      </c>
      <c r="C3219" s="4" t="n">
        <f aca="false">YEAR(B3219)</f>
        <v>2026</v>
      </c>
      <c r="D3219" s="49" t="s">
        <v>278</v>
      </c>
      <c r="E3219" s="49" t="s">
        <v>6678</v>
      </c>
      <c r="F3219" s="50" t="n">
        <v>1</v>
      </c>
      <c r="G3219" s="49" t="s">
        <v>280</v>
      </c>
      <c r="H3219" s="51" t="n">
        <v>0.865</v>
      </c>
      <c r="I3219" s="51" t="n">
        <v>0.129</v>
      </c>
      <c r="J3219" s="51" t="n">
        <v>0.006</v>
      </c>
      <c r="K3219" s="49"/>
      <c r="L3219" s="49"/>
      <c r="M3219" s="49"/>
      <c r="N3219" s="49"/>
      <c r="O3219" s="49"/>
      <c r="P3219" s="49"/>
      <c r="Q3219" s="49"/>
      <c r="R3219" s="49" t="s">
        <v>281</v>
      </c>
      <c r="S3219" s="49" t="n">
        <v>0</v>
      </c>
      <c r="T3219" s="49" t="n">
        <v>0</v>
      </c>
      <c r="U3219" s="49" t="s">
        <v>6679</v>
      </c>
    </row>
    <row r="3220" customFormat="false" ht="15" hidden="false" customHeight="false" outlineLevel="0" collapsed="false">
      <c r="B3220" s="48" t="n">
        <v>46080.9920601852</v>
      </c>
      <c r="C3220" s="4" t="n">
        <f aca="false">YEAR(B3220)</f>
        <v>2026</v>
      </c>
      <c r="D3220" s="49" t="s">
        <v>278</v>
      </c>
      <c r="E3220" s="49" t="s">
        <v>6680</v>
      </c>
      <c r="F3220" s="50" t="n">
        <v>3</v>
      </c>
      <c r="G3220" s="49" t="s">
        <v>290</v>
      </c>
      <c r="H3220" s="51" t="n">
        <v>0.0395</v>
      </c>
      <c r="I3220" s="51" t="n">
        <v>0.8139</v>
      </c>
      <c r="J3220" s="51" t="n">
        <v>0.1466</v>
      </c>
      <c r="K3220" s="49"/>
      <c r="L3220" s="49"/>
      <c r="M3220" s="49"/>
      <c r="N3220" s="49"/>
      <c r="O3220" s="49"/>
      <c r="P3220" s="49"/>
      <c r="Q3220" s="49" t="s">
        <v>281</v>
      </c>
      <c r="R3220" s="49"/>
      <c r="S3220" s="49" t="n">
        <v>0</v>
      </c>
      <c r="T3220" s="49" t="n">
        <v>0</v>
      </c>
      <c r="U3220" s="49" t="s">
        <v>6681</v>
      </c>
    </row>
    <row r="3221" customFormat="false" ht="15" hidden="false" customHeight="false" outlineLevel="0" collapsed="false">
      <c r="B3221" s="48" t="n">
        <v>46081.0011921296</v>
      </c>
      <c r="C3221" s="4" t="n">
        <f aca="false">YEAR(B3221)</f>
        <v>2026</v>
      </c>
      <c r="D3221" s="49" t="s">
        <v>283</v>
      </c>
      <c r="E3221" s="49" t="s">
        <v>6682</v>
      </c>
      <c r="F3221" s="50" t="n">
        <v>1</v>
      </c>
      <c r="G3221" s="49" t="s">
        <v>290</v>
      </c>
      <c r="H3221" s="51" t="n">
        <v>0.0083</v>
      </c>
      <c r="I3221" s="51" t="n">
        <v>0.8874</v>
      </c>
      <c r="J3221" s="51" t="n">
        <v>0.1043</v>
      </c>
      <c r="K3221" s="49"/>
      <c r="L3221" s="49"/>
      <c r="M3221" s="49"/>
      <c r="N3221" s="49"/>
      <c r="O3221" s="49"/>
      <c r="P3221" s="49"/>
      <c r="Q3221" s="49"/>
      <c r="R3221" s="49"/>
      <c r="S3221" s="49" t="n">
        <v>1</v>
      </c>
      <c r="T3221" s="49" t="n">
        <v>0</v>
      </c>
      <c r="U3221" s="49" t="s">
        <v>6683</v>
      </c>
    </row>
    <row r="3222" customFormat="false" ht="15" hidden="false" customHeight="false" outlineLevel="0" collapsed="false">
      <c r="B3222" s="48" t="n">
        <v>46081.5130902778</v>
      </c>
      <c r="C3222" s="4" t="n">
        <f aca="false">YEAR(B3222)</f>
        <v>2026</v>
      </c>
      <c r="D3222" s="49" t="s">
        <v>283</v>
      </c>
      <c r="E3222" s="49" t="s">
        <v>6684</v>
      </c>
      <c r="F3222" s="50" t="n">
        <v>7</v>
      </c>
      <c r="G3222" s="49" t="s">
        <v>280</v>
      </c>
      <c r="H3222" s="51" t="n">
        <v>0.7231</v>
      </c>
      <c r="I3222" s="51" t="n">
        <v>0.2457</v>
      </c>
      <c r="J3222" s="51" t="n">
        <v>0.0312</v>
      </c>
      <c r="K3222" s="49" t="s">
        <v>281</v>
      </c>
      <c r="L3222" s="49"/>
      <c r="M3222" s="49"/>
      <c r="N3222" s="49"/>
      <c r="O3222" s="49"/>
      <c r="P3222" s="49"/>
      <c r="Q3222" s="49" t="s">
        <v>281</v>
      </c>
      <c r="R3222" s="49"/>
      <c r="S3222" s="49" t="n">
        <v>0</v>
      </c>
      <c r="T3222" s="49" t="n">
        <v>0</v>
      </c>
      <c r="U3222" s="49" t="s">
        <v>6685</v>
      </c>
    </row>
    <row r="3223" customFormat="false" ht="15" hidden="false" customHeight="false" outlineLevel="0" collapsed="false">
      <c r="B3223" s="48" t="n">
        <v>46081.7656944445</v>
      </c>
      <c r="C3223" s="4" t="n">
        <f aca="false">YEAR(B3223)</f>
        <v>2026</v>
      </c>
      <c r="D3223" s="49" t="s">
        <v>278</v>
      </c>
      <c r="E3223" s="49" t="s">
        <v>6686</v>
      </c>
      <c r="F3223" s="50" t="n">
        <v>194</v>
      </c>
      <c r="G3223" s="49" t="s">
        <v>280</v>
      </c>
      <c r="H3223" s="51" t="n">
        <v>0.7296</v>
      </c>
      <c r="I3223" s="51" t="n">
        <v>0.2409</v>
      </c>
      <c r="J3223" s="51" t="n">
        <v>0.0296</v>
      </c>
      <c r="K3223" s="49"/>
      <c r="L3223" s="49"/>
      <c r="M3223" s="49" t="s">
        <v>281</v>
      </c>
      <c r="N3223" s="49"/>
      <c r="O3223" s="49"/>
      <c r="P3223" s="49"/>
      <c r="Q3223" s="49"/>
      <c r="R3223" s="49"/>
      <c r="S3223" s="49" t="n">
        <v>0</v>
      </c>
      <c r="T3223" s="49" t="n">
        <v>1</v>
      </c>
      <c r="U3223" s="49" t="s">
        <v>6687</v>
      </c>
    </row>
    <row r="3224" customFormat="false" ht="15" hidden="false" customHeight="false" outlineLevel="0" collapsed="false">
      <c r="B3224" s="48" t="n">
        <v>46082.0075115741</v>
      </c>
      <c r="C3224" s="4" t="n">
        <f aca="false">YEAR(B3224)</f>
        <v>2026</v>
      </c>
      <c r="D3224" s="49" t="s">
        <v>278</v>
      </c>
      <c r="E3224" s="49" t="s">
        <v>6688</v>
      </c>
      <c r="F3224" s="50" t="n">
        <v>1</v>
      </c>
      <c r="G3224" s="49" t="s">
        <v>280</v>
      </c>
      <c r="H3224" s="51" t="n">
        <v>0.8042</v>
      </c>
      <c r="I3224" s="51" t="n">
        <v>0.1866</v>
      </c>
      <c r="J3224" s="51" t="n">
        <v>0.0092</v>
      </c>
      <c r="K3224" s="49"/>
      <c r="L3224" s="49"/>
      <c r="M3224" s="49"/>
      <c r="N3224" s="49"/>
      <c r="O3224" s="49"/>
      <c r="P3224" s="49"/>
      <c r="Q3224" s="49"/>
      <c r="R3224" s="49"/>
      <c r="S3224" s="49" t="n">
        <v>0</v>
      </c>
      <c r="T3224" s="49" t="n">
        <v>0</v>
      </c>
      <c r="U3224" s="49" t="s">
        <v>6689</v>
      </c>
    </row>
    <row r="3225" customFormat="false" ht="15" hidden="false" customHeight="false" outlineLevel="0" collapsed="false">
      <c r="B3225" s="48" t="n">
        <v>46082.4050694444</v>
      </c>
      <c r="C3225" s="4" t="n">
        <f aca="false">YEAR(B3225)</f>
        <v>2026</v>
      </c>
      <c r="D3225" s="49" t="s">
        <v>278</v>
      </c>
      <c r="E3225" s="49" t="s">
        <v>6690</v>
      </c>
      <c r="F3225" s="50" t="n">
        <v>1</v>
      </c>
      <c r="G3225" s="49" t="s">
        <v>280</v>
      </c>
      <c r="H3225" s="51" t="n">
        <v>0.8274</v>
      </c>
      <c r="I3225" s="51" t="n">
        <v>0.1639</v>
      </c>
      <c r="J3225" s="51" t="n">
        <v>0.0087</v>
      </c>
      <c r="K3225" s="49"/>
      <c r="L3225" s="49"/>
      <c r="M3225" s="49"/>
      <c r="N3225" s="49"/>
      <c r="O3225" s="49"/>
      <c r="P3225" s="49"/>
      <c r="Q3225" s="49"/>
      <c r="R3225" s="49"/>
      <c r="S3225" s="49" t="n">
        <v>0</v>
      </c>
      <c r="T3225" s="49" t="n">
        <v>0</v>
      </c>
      <c r="U3225" s="49" t="s">
        <v>6691</v>
      </c>
    </row>
    <row r="3226" customFormat="false" ht="15" hidden="false" customHeight="false" outlineLevel="0" collapsed="false">
      <c r="B3226" s="48" t="n">
        <v>46082.7407060185</v>
      </c>
      <c r="C3226" s="4" t="n">
        <f aca="false">YEAR(B3226)</f>
        <v>2026</v>
      </c>
      <c r="D3226" s="49" t="s">
        <v>278</v>
      </c>
      <c r="E3226" s="49" t="s">
        <v>6692</v>
      </c>
      <c r="F3226" s="50" t="n">
        <v>13</v>
      </c>
      <c r="G3226" s="49" t="s">
        <v>290</v>
      </c>
      <c r="H3226" s="51" t="n">
        <v>0.0062</v>
      </c>
      <c r="I3226" s="51" t="n">
        <v>0.5572</v>
      </c>
      <c r="J3226" s="51" t="n">
        <v>0.4366</v>
      </c>
      <c r="K3226" s="49"/>
      <c r="L3226" s="49"/>
      <c r="M3226" s="49"/>
      <c r="N3226" s="49"/>
      <c r="O3226" s="49"/>
      <c r="P3226" s="49"/>
      <c r="Q3226" s="49"/>
      <c r="R3226" s="49"/>
      <c r="S3226" s="49" t="n">
        <v>0</v>
      </c>
      <c r="T3226" s="49" t="n">
        <v>0</v>
      </c>
      <c r="U3226" s="49" t="s">
        <v>6693</v>
      </c>
    </row>
    <row r="3227" customFormat="false" ht="15" hidden="false" customHeight="false" outlineLevel="0" collapsed="false">
      <c r="B3227" s="48" t="n">
        <v>46083.3000578704</v>
      </c>
      <c r="C3227" s="4" t="n">
        <f aca="false">YEAR(B3227)</f>
        <v>2026</v>
      </c>
      <c r="D3227" s="49" t="s">
        <v>278</v>
      </c>
      <c r="E3227" s="49" t="s">
        <v>6694</v>
      </c>
      <c r="F3227" s="50" t="n">
        <v>8</v>
      </c>
      <c r="G3227" s="49" t="s">
        <v>290</v>
      </c>
      <c r="H3227" s="51" t="n">
        <v>0.0265</v>
      </c>
      <c r="I3227" s="51" t="n">
        <v>0.6121</v>
      </c>
      <c r="J3227" s="51" t="n">
        <v>0.3614</v>
      </c>
      <c r="K3227" s="49"/>
      <c r="L3227" s="49"/>
      <c r="M3227" s="49"/>
      <c r="N3227" s="49"/>
      <c r="O3227" s="49"/>
      <c r="P3227" s="49"/>
      <c r="Q3227" s="49" t="s">
        <v>281</v>
      </c>
      <c r="R3227" s="49"/>
      <c r="S3227" s="49" t="n">
        <v>0</v>
      </c>
      <c r="T3227" s="49" t="n">
        <v>0</v>
      </c>
      <c r="U3227" s="49" t="s">
        <v>6695</v>
      </c>
    </row>
    <row r="3228" customFormat="false" ht="15" hidden="false" customHeight="false" outlineLevel="0" collapsed="false">
      <c r="B3228" s="48" t="n">
        <v>46083.3005092593</v>
      </c>
      <c r="C3228" s="4" t="n">
        <f aca="false">YEAR(B3228)</f>
        <v>2026</v>
      </c>
      <c r="D3228" s="49" t="s">
        <v>278</v>
      </c>
      <c r="E3228" s="49" t="s">
        <v>6696</v>
      </c>
      <c r="F3228" s="50" t="n">
        <v>19</v>
      </c>
      <c r="G3228" s="49" t="s">
        <v>290</v>
      </c>
      <c r="H3228" s="51" t="n">
        <v>0.1684</v>
      </c>
      <c r="I3228" s="51" t="n">
        <v>0.7707</v>
      </c>
      <c r="J3228" s="51" t="n">
        <v>0.061</v>
      </c>
      <c r="K3228" s="49"/>
      <c r="L3228" s="49"/>
      <c r="M3228" s="49" t="s">
        <v>281</v>
      </c>
      <c r="N3228" s="49"/>
      <c r="O3228" s="49"/>
      <c r="P3228" s="49"/>
      <c r="Q3228" s="49"/>
      <c r="R3228" s="49"/>
      <c r="S3228" s="49" t="n">
        <v>0</v>
      </c>
      <c r="T3228" s="49" t="n">
        <v>0</v>
      </c>
      <c r="U3228" s="49" t="s">
        <v>6697</v>
      </c>
    </row>
    <row r="3229" customFormat="false" ht="15" hidden="false" customHeight="false" outlineLevel="0" collapsed="false">
      <c r="B3229" s="48" t="n">
        <v>46083.7969560185</v>
      </c>
      <c r="C3229" s="4" t="n">
        <f aca="false">YEAR(B3229)</f>
        <v>2026</v>
      </c>
      <c r="D3229" s="49" t="s">
        <v>278</v>
      </c>
      <c r="E3229" s="49" t="s">
        <v>6698</v>
      </c>
      <c r="F3229" s="50" t="n">
        <v>2</v>
      </c>
      <c r="G3229" s="49" t="s">
        <v>290</v>
      </c>
      <c r="H3229" s="51" t="n">
        <v>0.0125</v>
      </c>
      <c r="I3229" s="51" t="n">
        <v>0.9259</v>
      </c>
      <c r="J3229" s="51" t="n">
        <v>0.0616</v>
      </c>
      <c r="K3229" s="49"/>
      <c r="L3229" s="49"/>
      <c r="M3229" s="49"/>
      <c r="N3229" s="49"/>
      <c r="O3229" s="49"/>
      <c r="P3229" s="49"/>
      <c r="Q3229" s="49"/>
      <c r="R3229" s="49"/>
      <c r="S3229" s="49" t="n">
        <v>0</v>
      </c>
      <c r="T3229" s="49" t="n">
        <v>0</v>
      </c>
      <c r="U3229" s="49" t="s">
        <v>6699</v>
      </c>
    </row>
    <row r="3230" customFormat="false" ht="15" hidden="false" customHeight="false" outlineLevel="0" collapsed="false">
      <c r="B3230" s="48" t="n">
        <v>46083.8480671296</v>
      </c>
      <c r="C3230" s="4" t="n">
        <f aca="false">YEAR(B3230)</f>
        <v>2026</v>
      </c>
      <c r="D3230" s="49" t="s">
        <v>278</v>
      </c>
      <c r="E3230" s="49" t="s">
        <v>6700</v>
      </c>
      <c r="F3230" s="50" t="n">
        <v>1</v>
      </c>
      <c r="G3230" s="49" t="s">
        <v>280</v>
      </c>
      <c r="H3230" s="51" t="n">
        <v>0.6194</v>
      </c>
      <c r="I3230" s="51" t="n">
        <v>0.3616</v>
      </c>
      <c r="J3230" s="51" t="n">
        <v>0.019</v>
      </c>
      <c r="K3230" s="49"/>
      <c r="L3230" s="49"/>
      <c r="M3230" s="49"/>
      <c r="N3230" s="49"/>
      <c r="O3230" s="49"/>
      <c r="P3230" s="49"/>
      <c r="Q3230" s="49"/>
      <c r="R3230" s="49"/>
      <c r="S3230" s="49" t="n">
        <v>0</v>
      </c>
      <c r="T3230" s="49" t="n">
        <v>0</v>
      </c>
      <c r="U3230" s="49" t="s">
        <v>6701</v>
      </c>
    </row>
    <row r="3231" customFormat="false" ht="15" hidden="false" customHeight="false" outlineLevel="0" collapsed="false">
      <c r="B3231" s="48" t="n">
        <v>46084.4417013889</v>
      </c>
      <c r="C3231" s="4" t="n">
        <f aca="false">YEAR(B3231)</f>
        <v>2026</v>
      </c>
      <c r="D3231" s="49" t="s">
        <v>278</v>
      </c>
      <c r="E3231" s="49" t="s">
        <v>6702</v>
      </c>
      <c r="F3231" s="50" t="n">
        <v>1</v>
      </c>
      <c r="G3231" s="49" t="s">
        <v>290</v>
      </c>
      <c r="H3231" s="51" t="n">
        <v>0.3363</v>
      </c>
      <c r="I3231" s="51" t="n">
        <v>0.6167</v>
      </c>
      <c r="J3231" s="51" t="n">
        <v>0.047</v>
      </c>
      <c r="K3231" s="49"/>
      <c r="L3231" s="49"/>
      <c r="M3231" s="49"/>
      <c r="N3231" s="49"/>
      <c r="O3231" s="49"/>
      <c r="P3231" s="49"/>
      <c r="Q3231" s="49" t="s">
        <v>281</v>
      </c>
      <c r="R3231" s="49"/>
      <c r="S3231" s="49" t="n">
        <v>0</v>
      </c>
      <c r="T3231" s="49" t="n">
        <v>0</v>
      </c>
      <c r="U3231" s="49" t="s">
        <v>6703</v>
      </c>
    </row>
    <row r="3232" customFormat="false" ht="15" hidden="false" customHeight="false" outlineLevel="0" collapsed="false">
      <c r="B3232" s="48" t="n">
        <v>46084.5304282407</v>
      </c>
      <c r="C3232" s="4" t="n">
        <f aca="false">YEAR(B3232)</f>
        <v>2026</v>
      </c>
      <c r="D3232" s="49" t="s">
        <v>278</v>
      </c>
      <c r="E3232" s="49" t="s">
        <v>6704</v>
      </c>
      <c r="F3232" s="50" t="n">
        <v>6</v>
      </c>
      <c r="G3232" s="49" t="s">
        <v>287</v>
      </c>
      <c r="H3232" s="51" t="n">
        <v>0.0173</v>
      </c>
      <c r="I3232" s="51" t="n">
        <v>0.426</v>
      </c>
      <c r="J3232" s="51" t="n">
        <v>0.5567</v>
      </c>
      <c r="K3232" s="49"/>
      <c r="L3232" s="49"/>
      <c r="M3232" s="49"/>
      <c r="N3232" s="49"/>
      <c r="O3232" s="49"/>
      <c r="P3232" s="49"/>
      <c r="Q3232" s="49"/>
      <c r="R3232" s="49"/>
      <c r="S3232" s="49" t="n">
        <v>0</v>
      </c>
      <c r="T3232" s="49" t="n">
        <v>0</v>
      </c>
      <c r="U3232" s="49" t="s">
        <v>6705</v>
      </c>
    </row>
    <row r="3233" customFormat="false" ht="15" hidden="false" customHeight="false" outlineLevel="0" collapsed="false">
      <c r="B3233" s="48" t="n">
        <v>46084.6018055556</v>
      </c>
      <c r="C3233" s="4" t="n">
        <f aca="false">YEAR(B3233)</f>
        <v>2026</v>
      </c>
      <c r="D3233" s="49" t="s">
        <v>283</v>
      </c>
      <c r="E3233" s="49" t="s">
        <v>6706</v>
      </c>
      <c r="F3233" s="50" t="n">
        <v>2</v>
      </c>
      <c r="G3233" s="49" t="s">
        <v>290</v>
      </c>
      <c r="H3233" s="51" t="n">
        <v>0.008</v>
      </c>
      <c r="I3233" s="51" t="n">
        <v>0.6742</v>
      </c>
      <c r="J3233" s="51" t="n">
        <v>0.3178</v>
      </c>
      <c r="K3233" s="49"/>
      <c r="L3233" s="49"/>
      <c r="M3233" s="49"/>
      <c r="N3233" s="49"/>
      <c r="O3233" s="49"/>
      <c r="P3233" s="49"/>
      <c r="Q3233" s="49"/>
      <c r="R3233" s="49"/>
      <c r="S3233" s="49" t="n">
        <v>0</v>
      </c>
      <c r="T3233" s="49" t="n">
        <v>0</v>
      </c>
      <c r="U3233" s="49" t="s">
        <v>6707</v>
      </c>
    </row>
    <row r="3234" customFormat="false" ht="15" hidden="false" customHeight="false" outlineLevel="0" collapsed="false">
      <c r="B3234" s="48" t="n">
        <v>46084.6288425926</v>
      </c>
      <c r="C3234" s="4" t="n">
        <f aca="false">YEAR(B3234)</f>
        <v>2026</v>
      </c>
      <c r="D3234" s="49" t="s">
        <v>278</v>
      </c>
      <c r="E3234" s="49" t="s">
        <v>6708</v>
      </c>
      <c r="F3234" s="50" t="n">
        <v>65</v>
      </c>
      <c r="G3234" s="49" t="s">
        <v>280</v>
      </c>
      <c r="H3234" s="51" t="n">
        <v>0.4884</v>
      </c>
      <c r="I3234" s="51" t="n">
        <v>0.2521</v>
      </c>
      <c r="J3234" s="51" t="n">
        <v>0.2595</v>
      </c>
      <c r="K3234" s="49"/>
      <c r="L3234" s="49"/>
      <c r="M3234" s="49"/>
      <c r="N3234" s="49"/>
      <c r="O3234" s="49"/>
      <c r="P3234" s="49"/>
      <c r="Q3234" s="49" t="s">
        <v>281</v>
      </c>
      <c r="R3234" s="49"/>
      <c r="S3234" s="49" t="n">
        <v>0</v>
      </c>
      <c r="T3234" s="49" t="n">
        <v>0</v>
      </c>
      <c r="U3234" s="49" t="s">
        <v>6709</v>
      </c>
    </row>
    <row r="3235" customFormat="false" ht="15" hidden="false" customHeight="false" outlineLevel="0" collapsed="false">
      <c r="B3235" s="48" t="n">
        <v>46084.6371990741</v>
      </c>
      <c r="C3235" s="4" t="n">
        <f aca="false">YEAR(B3235)</f>
        <v>2026</v>
      </c>
      <c r="D3235" s="49" t="s">
        <v>278</v>
      </c>
      <c r="E3235" s="49" t="s">
        <v>6710</v>
      </c>
      <c r="F3235" s="50" t="n">
        <v>20</v>
      </c>
      <c r="G3235" s="49" t="s">
        <v>280</v>
      </c>
      <c r="H3235" s="51" t="n">
        <v>0.7826</v>
      </c>
      <c r="I3235" s="51" t="n">
        <v>0.1871</v>
      </c>
      <c r="J3235" s="51" t="n">
        <v>0.0303</v>
      </c>
      <c r="K3235" s="49" t="s">
        <v>281</v>
      </c>
      <c r="L3235" s="49"/>
      <c r="M3235" s="49"/>
      <c r="N3235" s="49"/>
      <c r="O3235" s="49"/>
      <c r="P3235" s="49"/>
      <c r="Q3235" s="49"/>
      <c r="R3235" s="49"/>
      <c r="S3235" s="49" t="n">
        <v>0</v>
      </c>
      <c r="T3235" s="49" t="n">
        <v>0</v>
      </c>
      <c r="U3235" s="49" t="s">
        <v>6711</v>
      </c>
    </row>
    <row r="3236" customFormat="false" ht="15" hidden="false" customHeight="false" outlineLevel="0" collapsed="false">
      <c r="B3236" s="48" t="n">
        <v>46084.6872106482</v>
      </c>
      <c r="C3236" s="4" t="n">
        <f aca="false">YEAR(B3236)</f>
        <v>2026</v>
      </c>
      <c r="D3236" s="49" t="s">
        <v>278</v>
      </c>
      <c r="E3236" s="49" t="s">
        <v>6712</v>
      </c>
      <c r="F3236" s="50" t="n">
        <v>1</v>
      </c>
      <c r="G3236" s="49" t="s">
        <v>280</v>
      </c>
      <c r="H3236" s="51" t="n">
        <v>0.6471</v>
      </c>
      <c r="I3236" s="51" t="n">
        <v>0.3394</v>
      </c>
      <c r="J3236" s="51" t="n">
        <v>0.0134</v>
      </c>
      <c r="K3236" s="49"/>
      <c r="L3236" s="49"/>
      <c r="M3236" s="49"/>
      <c r="N3236" s="49"/>
      <c r="O3236" s="49"/>
      <c r="P3236" s="49"/>
      <c r="Q3236" s="49"/>
      <c r="R3236" s="49"/>
      <c r="S3236" s="49" t="n">
        <v>0</v>
      </c>
      <c r="T3236" s="49" t="n">
        <v>0</v>
      </c>
      <c r="U3236" s="49" t="s">
        <v>6713</v>
      </c>
    </row>
    <row r="3237" customFormat="false" ht="15" hidden="false" customHeight="false" outlineLevel="0" collapsed="false">
      <c r="B3237" s="48" t="n">
        <v>46084.7220138889</v>
      </c>
      <c r="C3237" s="4" t="n">
        <f aca="false">YEAR(B3237)</f>
        <v>2026</v>
      </c>
      <c r="D3237" s="49" t="s">
        <v>278</v>
      </c>
      <c r="E3237" s="49" t="s">
        <v>6714</v>
      </c>
      <c r="F3237" s="50" t="n">
        <v>1</v>
      </c>
      <c r="G3237" s="49" t="s">
        <v>290</v>
      </c>
      <c r="H3237" s="51" t="n">
        <v>0.0317</v>
      </c>
      <c r="I3237" s="51" t="n">
        <v>0.8893</v>
      </c>
      <c r="J3237" s="51" t="n">
        <v>0.0791</v>
      </c>
      <c r="K3237" s="49"/>
      <c r="L3237" s="49"/>
      <c r="M3237" s="49"/>
      <c r="N3237" s="49"/>
      <c r="O3237" s="49"/>
      <c r="P3237" s="49"/>
      <c r="Q3237" s="49"/>
      <c r="R3237" s="49"/>
      <c r="S3237" s="49" t="n">
        <v>0</v>
      </c>
      <c r="T3237" s="49" t="n">
        <v>0</v>
      </c>
      <c r="U3237" s="49" t="s">
        <v>6715</v>
      </c>
    </row>
    <row r="3238" customFormat="false" ht="15" hidden="false" customHeight="false" outlineLevel="0" collapsed="false">
      <c r="B3238" s="48" t="n">
        <v>46084.9378703704</v>
      </c>
      <c r="C3238" s="4" t="n">
        <f aca="false">YEAR(B3238)</f>
        <v>2026</v>
      </c>
      <c r="D3238" s="49" t="s">
        <v>278</v>
      </c>
      <c r="E3238" s="49" t="s">
        <v>6716</v>
      </c>
      <c r="F3238" s="50" t="n">
        <v>1</v>
      </c>
      <c r="G3238" s="49" t="s">
        <v>287</v>
      </c>
      <c r="H3238" s="51" t="n">
        <v>0.0142</v>
      </c>
      <c r="I3238" s="51" t="n">
        <v>0.3982</v>
      </c>
      <c r="J3238" s="51" t="n">
        <v>0.5876</v>
      </c>
      <c r="K3238" s="49"/>
      <c r="L3238" s="49"/>
      <c r="M3238" s="49"/>
      <c r="N3238" s="49"/>
      <c r="O3238" s="49"/>
      <c r="P3238" s="49"/>
      <c r="Q3238" s="49"/>
      <c r="R3238" s="49"/>
      <c r="S3238" s="49" t="n">
        <v>0</v>
      </c>
      <c r="T3238" s="49" t="n">
        <v>0</v>
      </c>
      <c r="U3238" s="49" t="s">
        <v>6717</v>
      </c>
    </row>
    <row r="3239" customFormat="false" ht="15" hidden="false" customHeight="false" outlineLevel="0" collapsed="false">
      <c r="B3239" s="48" t="n">
        <v>46085.1003587963</v>
      </c>
      <c r="C3239" s="4" t="n">
        <f aca="false">YEAR(B3239)</f>
        <v>2026</v>
      </c>
      <c r="D3239" s="49" t="s">
        <v>278</v>
      </c>
      <c r="E3239" s="49" t="s">
        <v>6718</v>
      </c>
      <c r="F3239" s="50" t="n">
        <v>0</v>
      </c>
      <c r="G3239" s="49" t="s">
        <v>280</v>
      </c>
      <c r="H3239" s="51" t="n">
        <v>0.832</v>
      </c>
      <c r="I3239" s="51" t="n">
        <v>0.1608</v>
      </c>
      <c r="J3239" s="51" t="n">
        <v>0.0071</v>
      </c>
      <c r="K3239" s="49"/>
      <c r="L3239" s="49"/>
      <c r="M3239" s="49"/>
      <c r="N3239" s="49"/>
      <c r="O3239" s="49"/>
      <c r="P3239" s="49"/>
      <c r="Q3239" s="49"/>
      <c r="R3239" s="49"/>
      <c r="S3239" s="49" t="n">
        <v>0</v>
      </c>
      <c r="T3239" s="49" t="n">
        <v>0</v>
      </c>
      <c r="U3239" s="49" t="s">
        <v>6719</v>
      </c>
    </row>
    <row r="3240" customFormat="false" ht="15" hidden="false" customHeight="false" outlineLevel="0" collapsed="false">
      <c r="B3240" s="48" t="n">
        <v>46085.400625</v>
      </c>
      <c r="C3240" s="4" t="n">
        <f aca="false">YEAR(B3240)</f>
        <v>2026</v>
      </c>
      <c r="D3240" s="49" t="s">
        <v>283</v>
      </c>
      <c r="E3240" s="49" t="s">
        <v>6720</v>
      </c>
      <c r="F3240" s="50" t="n">
        <v>1</v>
      </c>
      <c r="G3240" s="49" t="s">
        <v>287</v>
      </c>
      <c r="H3240" s="51" t="n">
        <v>0.0065</v>
      </c>
      <c r="I3240" s="51" t="n">
        <v>0.2659</v>
      </c>
      <c r="J3240" s="51" t="n">
        <v>0.7277</v>
      </c>
      <c r="K3240" s="49"/>
      <c r="L3240" s="49"/>
      <c r="M3240" s="49"/>
      <c r="N3240" s="49"/>
      <c r="O3240" s="49"/>
      <c r="P3240" s="49"/>
      <c r="Q3240" s="49"/>
      <c r="R3240" s="49"/>
      <c r="S3240" s="49" t="n">
        <v>0</v>
      </c>
      <c r="T3240" s="49" t="n">
        <v>0</v>
      </c>
      <c r="U3240" s="49" t="s">
        <v>6721</v>
      </c>
    </row>
    <row r="3241" customFormat="false" ht="15" hidden="false" customHeight="false" outlineLevel="0" collapsed="false">
      <c r="B3241" s="48" t="n">
        <v>46085.5436342593</v>
      </c>
      <c r="C3241" s="4" t="n">
        <f aca="false">YEAR(B3241)</f>
        <v>2026</v>
      </c>
      <c r="D3241" s="49" t="s">
        <v>278</v>
      </c>
      <c r="E3241" s="49" t="s">
        <v>6722</v>
      </c>
      <c r="F3241" s="50" t="n">
        <v>1</v>
      </c>
      <c r="G3241" s="49" t="s">
        <v>280</v>
      </c>
      <c r="H3241" s="51" t="n">
        <v>0.8213</v>
      </c>
      <c r="I3241" s="51" t="n">
        <v>0.1704</v>
      </c>
      <c r="J3241" s="51" t="n">
        <v>0.0083</v>
      </c>
      <c r="K3241" s="49"/>
      <c r="L3241" s="49"/>
      <c r="M3241" s="49"/>
      <c r="N3241" s="49"/>
      <c r="O3241" s="49"/>
      <c r="P3241" s="49"/>
      <c r="Q3241" s="49"/>
      <c r="R3241" s="49"/>
      <c r="S3241" s="49" t="n">
        <v>0</v>
      </c>
      <c r="T3241" s="49" t="n">
        <v>0</v>
      </c>
      <c r="U3241" s="49" t="s">
        <v>6723</v>
      </c>
    </row>
    <row r="3242" customFormat="false" ht="15" hidden="false" customHeight="false" outlineLevel="0" collapsed="false">
      <c r="B3242" s="48" t="n">
        <v>46085.6087847222</v>
      </c>
      <c r="C3242" s="4" t="n">
        <f aca="false">YEAR(B3242)</f>
        <v>2026</v>
      </c>
      <c r="D3242" s="49" t="s">
        <v>283</v>
      </c>
      <c r="E3242" s="49" t="s">
        <v>6724</v>
      </c>
      <c r="F3242" s="50" t="n">
        <v>1</v>
      </c>
      <c r="G3242" s="49" t="s">
        <v>287</v>
      </c>
      <c r="H3242" s="51" t="n">
        <v>0.0037</v>
      </c>
      <c r="I3242" s="51" t="n">
        <v>0.4905</v>
      </c>
      <c r="J3242" s="51" t="n">
        <v>0.5059</v>
      </c>
      <c r="K3242" s="49"/>
      <c r="L3242" s="49"/>
      <c r="M3242" s="49"/>
      <c r="N3242" s="49"/>
      <c r="O3242" s="49"/>
      <c r="P3242" s="49"/>
      <c r="Q3242" s="49"/>
      <c r="R3242" s="49"/>
      <c r="S3242" s="49" t="n">
        <v>0</v>
      </c>
      <c r="T3242" s="49" t="n">
        <v>0</v>
      </c>
      <c r="U3242" s="49" t="s">
        <v>6725</v>
      </c>
    </row>
    <row r="3243" customFormat="false" ht="15" hidden="false" customHeight="false" outlineLevel="0" collapsed="false">
      <c r="B3243" s="48" t="n">
        <v>46085.686087963</v>
      </c>
      <c r="C3243" s="4" t="n">
        <f aca="false">YEAR(B3243)</f>
        <v>2026</v>
      </c>
      <c r="D3243" s="49" t="s">
        <v>283</v>
      </c>
      <c r="E3243" s="49" t="s">
        <v>6726</v>
      </c>
      <c r="F3243" s="50" t="n">
        <v>1</v>
      </c>
      <c r="G3243" s="49" t="s">
        <v>290</v>
      </c>
      <c r="H3243" s="51" t="n">
        <v>0.0061</v>
      </c>
      <c r="I3243" s="51" t="n">
        <v>0.7449</v>
      </c>
      <c r="J3243" s="51" t="n">
        <v>0.249</v>
      </c>
      <c r="K3243" s="49"/>
      <c r="L3243" s="49"/>
      <c r="M3243" s="49"/>
      <c r="N3243" s="49"/>
      <c r="O3243" s="49"/>
      <c r="P3243" s="49"/>
      <c r="Q3243" s="49"/>
      <c r="R3243" s="49"/>
      <c r="S3243" s="49" t="n">
        <v>0</v>
      </c>
      <c r="T3243" s="49" t="n">
        <v>0</v>
      </c>
      <c r="U3243" s="49" t="s">
        <v>6727</v>
      </c>
    </row>
    <row r="3244" customFormat="false" ht="15" hidden="false" customHeight="false" outlineLevel="0" collapsed="false">
      <c r="B3244" s="48" t="n">
        <v>46085.8702083333</v>
      </c>
      <c r="C3244" s="4" t="n">
        <f aca="false">YEAR(B3244)</f>
        <v>2026</v>
      </c>
      <c r="D3244" s="49" t="s">
        <v>278</v>
      </c>
      <c r="E3244" s="49" t="s">
        <v>6728</v>
      </c>
      <c r="F3244" s="50" t="n">
        <v>0</v>
      </c>
      <c r="G3244" s="49" t="s">
        <v>280</v>
      </c>
      <c r="H3244" s="51" t="n">
        <v>0.9113</v>
      </c>
      <c r="I3244" s="51" t="n">
        <v>0.0803</v>
      </c>
      <c r="J3244" s="51" t="n">
        <v>0.0083</v>
      </c>
      <c r="K3244" s="49"/>
      <c r="L3244" s="49"/>
      <c r="M3244" s="49"/>
      <c r="N3244" s="49"/>
      <c r="O3244" s="49"/>
      <c r="P3244" s="49"/>
      <c r="Q3244" s="49"/>
      <c r="R3244" s="49"/>
      <c r="S3244" s="49" t="n">
        <v>0</v>
      </c>
      <c r="T3244" s="49" t="n">
        <v>0</v>
      </c>
      <c r="U3244" s="49" t="s">
        <v>6729</v>
      </c>
    </row>
    <row r="3245" customFormat="false" ht="15" hidden="false" customHeight="false" outlineLevel="0" collapsed="false">
      <c r="B3245" s="48" t="n">
        <v>46087.0429861111</v>
      </c>
      <c r="C3245" s="4" t="n">
        <f aca="false">YEAR(B3245)</f>
        <v>2026</v>
      </c>
      <c r="D3245" s="49" t="s">
        <v>283</v>
      </c>
      <c r="E3245" s="49" t="s">
        <v>6730</v>
      </c>
      <c r="F3245" s="50" t="n">
        <v>1</v>
      </c>
      <c r="G3245" s="49" t="s">
        <v>287</v>
      </c>
      <c r="H3245" s="51" t="n">
        <v>0.0047</v>
      </c>
      <c r="I3245" s="51" t="n">
        <v>0.1532</v>
      </c>
      <c r="J3245" s="51" t="n">
        <v>0.8421</v>
      </c>
      <c r="K3245" s="49"/>
      <c r="L3245" s="49"/>
      <c r="M3245" s="49"/>
      <c r="N3245" s="49"/>
      <c r="O3245" s="49"/>
      <c r="P3245" s="49" t="s">
        <v>281</v>
      </c>
      <c r="Q3245" s="49"/>
      <c r="R3245" s="49"/>
      <c r="S3245" s="49" t="n">
        <v>0</v>
      </c>
      <c r="T3245" s="49" t="n">
        <v>0</v>
      </c>
      <c r="U3245" s="49" t="s">
        <v>6731</v>
      </c>
    </row>
    <row r="3246" customFormat="false" ht="15" hidden="false" customHeight="false" outlineLevel="0" collapsed="false">
      <c r="B3246" s="48" t="n">
        <v>46087.6286574074</v>
      </c>
      <c r="C3246" s="4" t="n">
        <f aca="false">YEAR(B3246)</f>
        <v>2026</v>
      </c>
      <c r="D3246" s="49" t="s">
        <v>278</v>
      </c>
      <c r="E3246" s="49" t="s">
        <v>6732</v>
      </c>
      <c r="F3246" s="50" t="n">
        <v>1</v>
      </c>
      <c r="G3246" s="49" t="s">
        <v>290</v>
      </c>
      <c r="H3246" s="51" t="n">
        <v>0.0281</v>
      </c>
      <c r="I3246" s="51" t="n">
        <v>0.892</v>
      </c>
      <c r="J3246" s="51" t="n">
        <v>0.0799</v>
      </c>
      <c r="K3246" s="49"/>
      <c r="L3246" s="49"/>
      <c r="M3246" s="49"/>
      <c r="N3246" s="49"/>
      <c r="O3246" s="49"/>
      <c r="P3246" s="49"/>
      <c r="Q3246" s="49"/>
      <c r="R3246" s="49"/>
      <c r="S3246" s="49" t="n">
        <v>0</v>
      </c>
      <c r="T3246" s="49" t="n">
        <v>0</v>
      </c>
      <c r="U3246" s="49" t="s">
        <v>6733</v>
      </c>
    </row>
    <row r="3247" customFormat="false" ht="15" hidden="false" customHeight="false" outlineLevel="0" collapsed="false">
      <c r="B3247" s="48" t="n">
        <v>46087.6607523148</v>
      </c>
      <c r="C3247" s="4" t="n">
        <f aca="false">YEAR(B3247)</f>
        <v>2026</v>
      </c>
      <c r="D3247" s="49" t="s">
        <v>278</v>
      </c>
      <c r="E3247" s="49" t="s">
        <v>6734</v>
      </c>
      <c r="F3247" s="50" t="n">
        <v>0</v>
      </c>
      <c r="G3247" s="49" t="s">
        <v>287</v>
      </c>
      <c r="H3247" s="51" t="n">
        <v>0.0282</v>
      </c>
      <c r="I3247" s="51" t="n">
        <v>0.1251</v>
      </c>
      <c r="J3247" s="51" t="n">
        <v>0.8467</v>
      </c>
      <c r="K3247" s="49"/>
      <c r="L3247" s="49"/>
      <c r="M3247" s="49"/>
      <c r="N3247" s="49"/>
      <c r="O3247" s="49"/>
      <c r="P3247" s="49"/>
      <c r="Q3247" s="49"/>
      <c r="R3247" s="49"/>
      <c r="S3247" s="49" t="n">
        <v>0</v>
      </c>
      <c r="T3247" s="49" t="n">
        <v>0</v>
      </c>
      <c r="U3247" s="49" t="s">
        <v>6735</v>
      </c>
    </row>
    <row r="3248" customFormat="false" ht="15" hidden="false" customHeight="false" outlineLevel="0" collapsed="false">
      <c r="B3248" s="48" t="n">
        <v>46088.1042013889</v>
      </c>
      <c r="C3248" s="4" t="n">
        <f aca="false">YEAR(B3248)</f>
        <v>2026</v>
      </c>
      <c r="D3248" s="49" t="s">
        <v>278</v>
      </c>
      <c r="E3248" s="49" t="s">
        <v>6736</v>
      </c>
      <c r="F3248" s="50" t="n">
        <v>0</v>
      </c>
      <c r="G3248" s="49" t="s">
        <v>287</v>
      </c>
      <c r="H3248" s="51" t="n">
        <v>0.012</v>
      </c>
      <c r="I3248" s="51" t="n">
        <v>0.1245</v>
      </c>
      <c r="J3248" s="51" t="n">
        <v>0.8635</v>
      </c>
      <c r="K3248" s="49"/>
      <c r="L3248" s="49"/>
      <c r="M3248" s="49"/>
      <c r="N3248" s="49"/>
      <c r="O3248" s="49"/>
      <c r="P3248" s="49"/>
      <c r="Q3248" s="49"/>
      <c r="R3248" s="49"/>
      <c r="S3248" s="49" t="n">
        <v>0</v>
      </c>
      <c r="T3248" s="49" t="n">
        <v>0</v>
      </c>
      <c r="U3248" s="49" t="s">
        <v>6737</v>
      </c>
    </row>
    <row r="3249" customFormat="false" ht="15" hidden="false" customHeight="false" outlineLevel="0" collapsed="false">
      <c r="B3249" s="48" t="n">
        <v>46088.4648726852</v>
      </c>
      <c r="C3249" s="4" t="n">
        <f aca="false">YEAR(B3249)</f>
        <v>2026</v>
      </c>
      <c r="D3249" s="49" t="s">
        <v>283</v>
      </c>
      <c r="E3249" s="49" t="s">
        <v>6738</v>
      </c>
      <c r="F3249" s="50" t="n">
        <v>8</v>
      </c>
      <c r="G3249" s="49" t="s">
        <v>290</v>
      </c>
      <c r="H3249" s="51" t="n">
        <v>0.0261</v>
      </c>
      <c r="I3249" s="51" t="n">
        <v>0.5264</v>
      </c>
      <c r="J3249" s="51" t="n">
        <v>0.4475</v>
      </c>
      <c r="K3249" s="49"/>
      <c r="L3249" s="49"/>
      <c r="M3249" s="49"/>
      <c r="N3249" s="49"/>
      <c r="O3249" s="49"/>
      <c r="P3249" s="49"/>
      <c r="Q3249" s="49"/>
      <c r="R3249" s="49"/>
      <c r="S3249" s="49" t="n">
        <v>0</v>
      </c>
      <c r="T3249" s="49" t="n">
        <v>0</v>
      </c>
      <c r="U3249" s="49" t="s">
        <v>6739</v>
      </c>
    </row>
    <row r="3250" customFormat="false" ht="15" hidden="false" customHeight="false" outlineLevel="0" collapsed="false">
      <c r="B3250" s="48" t="n">
        <v>46088.7384606482</v>
      </c>
      <c r="C3250" s="4" t="n">
        <f aca="false">YEAR(B3250)</f>
        <v>2026</v>
      </c>
      <c r="D3250" s="49" t="s">
        <v>283</v>
      </c>
      <c r="E3250" s="49" t="s">
        <v>6740</v>
      </c>
      <c r="F3250" s="50" t="n">
        <v>3</v>
      </c>
      <c r="G3250" s="49" t="s">
        <v>287</v>
      </c>
      <c r="H3250" s="51" t="n">
        <v>0.0023</v>
      </c>
      <c r="I3250" s="51" t="n">
        <v>0.0415</v>
      </c>
      <c r="J3250" s="51" t="n">
        <v>0.9562</v>
      </c>
      <c r="K3250" s="49"/>
      <c r="L3250" s="49"/>
      <c r="M3250" s="49"/>
      <c r="N3250" s="49"/>
      <c r="O3250" s="49"/>
      <c r="P3250" s="49"/>
      <c r="Q3250" s="49"/>
      <c r="R3250" s="49"/>
      <c r="S3250" s="49" t="n">
        <v>0</v>
      </c>
      <c r="T3250" s="49" t="n">
        <v>0</v>
      </c>
      <c r="U3250" s="49" t="s">
        <v>6741</v>
      </c>
    </row>
    <row r="3251" customFormat="false" ht="15" hidden="false" customHeight="false" outlineLevel="0" collapsed="false">
      <c r="B3251" s="48" t="n">
        <v>46089.7951041667</v>
      </c>
      <c r="C3251" s="4" t="n">
        <f aca="false">YEAR(B3251)</f>
        <v>2026</v>
      </c>
      <c r="D3251" s="49" t="s">
        <v>283</v>
      </c>
      <c r="E3251" s="49" t="s">
        <v>6742</v>
      </c>
      <c r="F3251" s="50" t="n">
        <v>1</v>
      </c>
      <c r="G3251" s="49" t="s">
        <v>290</v>
      </c>
      <c r="H3251" s="51" t="n">
        <v>0.0152</v>
      </c>
      <c r="I3251" s="51" t="n">
        <v>0.947</v>
      </c>
      <c r="J3251" s="51" t="n">
        <v>0.0378</v>
      </c>
      <c r="K3251" s="49"/>
      <c r="L3251" s="49"/>
      <c r="M3251" s="49"/>
      <c r="N3251" s="49"/>
      <c r="O3251" s="49"/>
      <c r="P3251" s="49"/>
      <c r="Q3251" s="49"/>
      <c r="R3251" s="49" t="s">
        <v>281</v>
      </c>
      <c r="S3251" s="49" t="n">
        <v>1</v>
      </c>
      <c r="T3251" s="49" t="n">
        <v>0</v>
      </c>
      <c r="U3251" s="49" t="s">
        <v>6743</v>
      </c>
    </row>
    <row r="3252" customFormat="false" ht="15" hidden="false" customHeight="false" outlineLevel="0" collapsed="false">
      <c r="B3252" s="48" t="n">
        <v>46090.3038310185</v>
      </c>
      <c r="C3252" s="4" t="n">
        <f aca="false">YEAR(B3252)</f>
        <v>2026</v>
      </c>
      <c r="D3252" s="49" t="s">
        <v>278</v>
      </c>
      <c r="E3252" s="49" t="s">
        <v>6744</v>
      </c>
      <c r="F3252" s="50" t="n">
        <v>1</v>
      </c>
      <c r="G3252" s="49" t="s">
        <v>280</v>
      </c>
      <c r="H3252" s="51" t="n">
        <v>0.9077</v>
      </c>
      <c r="I3252" s="51" t="n">
        <v>0.0851</v>
      </c>
      <c r="J3252" s="51" t="n">
        <v>0.0073</v>
      </c>
      <c r="K3252" s="49" t="s">
        <v>281</v>
      </c>
      <c r="L3252" s="49"/>
      <c r="M3252" s="49"/>
      <c r="N3252" s="49"/>
      <c r="O3252" s="49"/>
      <c r="P3252" s="49"/>
      <c r="Q3252" s="49" t="s">
        <v>281</v>
      </c>
      <c r="R3252" s="49"/>
      <c r="S3252" s="49" t="n">
        <v>0</v>
      </c>
      <c r="T3252" s="49" t="n">
        <v>0</v>
      </c>
      <c r="U3252" s="49" t="s">
        <v>6745</v>
      </c>
    </row>
    <row r="3253" customFormat="false" ht="15" hidden="false" customHeight="false" outlineLevel="0" collapsed="false">
      <c r="B3253" s="48" t="n">
        <v>46090.5189699074</v>
      </c>
      <c r="C3253" s="4" t="n">
        <f aca="false">YEAR(B3253)</f>
        <v>2026</v>
      </c>
      <c r="D3253" s="49" t="s">
        <v>278</v>
      </c>
      <c r="E3253" s="49" t="s">
        <v>6746</v>
      </c>
      <c r="F3253" s="50" t="n">
        <v>1</v>
      </c>
      <c r="G3253" s="49" t="s">
        <v>280</v>
      </c>
      <c r="H3253" s="51" t="n">
        <v>0.8497</v>
      </c>
      <c r="I3253" s="51" t="n">
        <v>0.1411</v>
      </c>
      <c r="J3253" s="51" t="n">
        <v>0.0092</v>
      </c>
      <c r="K3253" s="49"/>
      <c r="L3253" s="49"/>
      <c r="M3253" s="49"/>
      <c r="N3253" s="49"/>
      <c r="O3253" s="49"/>
      <c r="P3253" s="49"/>
      <c r="Q3253" s="49" t="s">
        <v>281</v>
      </c>
      <c r="R3253" s="49"/>
      <c r="S3253" s="49" t="n">
        <v>0</v>
      </c>
      <c r="T3253" s="49" t="n">
        <v>0</v>
      </c>
      <c r="U3253" s="49" t="s">
        <v>6747</v>
      </c>
    </row>
    <row r="3254" customFormat="false" ht="15" hidden="false" customHeight="false" outlineLevel="0" collapsed="false">
      <c r="B3254" s="48" t="n">
        <v>46090.5888194444</v>
      </c>
      <c r="C3254" s="4" t="n">
        <f aca="false">YEAR(B3254)</f>
        <v>2026</v>
      </c>
      <c r="D3254" s="49" t="s">
        <v>278</v>
      </c>
      <c r="E3254" s="49" t="s">
        <v>6748</v>
      </c>
      <c r="F3254" s="50" t="n">
        <v>3</v>
      </c>
      <c r="G3254" s="49" t="s">
        <v>290</v>
      </c>
      <c r="H3254" s="51" t="n">
        <v>0.3004</v>
      </c>
      <c r="I3254" s="51" t="n">
        <v>0.6706</v>
      </c>
      <c r="J3254" s="51" t="n">
        <v>0.029</v>
      </c>
      <c r="K3254" s="49"/>
      <c r="L3254" s="49"/>
      <c r="M3254" s="49"/>
      <c r="N3254" s="49"/>
      <c r="O3254" s="49"/>
      <c r="P3254" s="49"/>
      <c r="Q3254" s="49" t="s">
        <v>281</v>
      </c>
      <c r="R3254" s="49"/>
      <c r="S3254" s="49" t="n">
        <v>0</v>
      </c>
      <c r="T3254" s="49" t="n">
        <v>0</v>
      </c>
      <c r="U3254" s="49" t="s">
        <v>6749</v>
      </c>
    </row>
    <row r="3255" customFormat="false" ht="15" hidden="false" customHeight="false" outlineLevel="0" collapsed="false">
      <c r="B3255" s="48" t="n">
        <v>46090.6351851852</v>
      </c>
      <c r="C3255" s="4" t="n">
        <f aca="false">YEAR(B3255)</f>
        <v>2026</v>
      </c>
      <c r="D3255" s="49" t="s">
        <v>278</v>
      </c>
      <c r="E3255" s="49" t="s">
        <v>6750</v>
      </c>
      <c r="F3255" s="50" t="n">
        <v>124</v>
      </c>
      <c r="G3255" s="49" t="s">
        <v>280</v>
      </c>
      <c r="H3255" s="51" t="n">
        <v>0.7566</v>
      </c>
      <c r="I3255" s="51" t="n">
        <v>0.2231</v>
      </c>
      <c r="J3255" s="51" t="n">
        <v>0.0203</v>
      </c>
      <c r="K3255" s="49" t="s">
        <v>281</v>
      </c>
      <c r="L3255" s="49"/>
      <c r="M3255" s="49"/>
      <c r="N3255" s="49"/>
      <c r="O3255" s="49"/>
      <c r="P3255" s="49"/>
      <c r="Q3255" s="49"/>
      <c r="R3255" s="49"/>
      <c r="S3255" s="49" t="n">
        <v>0</v>
      </c>
      <c r="T3255" s="49" t="n">
        <v>1</v>
      </c>
      <c r="U3255" s="49" t="s">
        <v>6751</v>
      </c>
    </row>
    <row r="3256" customFormat="false" ht="15" hidden="false" customHeight="false" outlineLevel="0" collapsed="false">
      <c r="B3256" s="48" t="n">
        <v>46090.6776736111</v>
      </c>
      <c r="C3256" s="4" t="n">
        <f aca="false">YEAR(B3256)</f>
        <v>2026</v>
      </c>
      <c r="D3256" s="49" t="s">
        <v>278</v>
      </c>
      <c r="E3256" s="49" t="s">
        <v>6752</v>
      </c>
      <c r="F3256" s="50" t="n">
        <v>0</v>
      </c>
      <c r="G3256" s="49" t="s">
        <v>290</v>
      </c>
      <c r="H3256" s="51" t="n">
        <v>0.18</v>
      </c>
      <c r="I3256" s="51" t="n">
        <v>0.7658</v>
      </c>
      <c r="J3256" s="51" t="n">
        <v>0.0542</v>
      </c>
      <c r="K3256" s="49"/>
      <c r="L3256" s="49"/>
      <c r="M3256" s="49"/>
      <c r="N3256" s="49"/>
      <c r="O3256" s="49"/>
      <c r="P3256" s="49"/>
      <c r="Q3256" s="49"/>
      <c r="R3256" s="49"/>
      <c r="S3256" s="49" t="n">
        <v>0</v>
      </c>
      <c r="T3256" s="49" t="n">
        <v>0</v>
      </c>
      <c r="U3256" s="49" t="s">
        <v>6753</v>
      </c>
    </row>
    <row r="3257" customFormat="false" ht="15" hidden="false" customHeight="false" outlineLevel="0" collapsed="false">
      <c r="B3257" s="48" t="n">
        <v>46090.7101388889</v>
      </c>
      <c r="C3257" s="4" t="n">
        <f aca="false">YEAR(B3257)</f>
        <v>2026</v>
      </c>
      <c r="D3257" s="49" t="s">
        <v>278</v>
      </c>
      <c r="E3257" s="49" t="s">
        <v>6754</v>
      </c>
      <c r="F3257" s="50" t="n">
        <v>2</v>
      </c>
      <c r="G3257" s="49" t="s">
        <v>290</v>
      </c>
      <c r="H3257" s="51" t="n">
        <v>0.0962</v>
      </c>
      <c r="I3257" s="51" t="n">
        <v>0.648</v>
      </c>
      <c r="J3257" s="51" t="n">
        <v>0.2558</v>
      </c>
      <c r="K3257" s="49"/>
      <c r="L3257" s="49"/>
      <c r="M3257" s="49"/>
      <c r="N3257" s="49"/>
      <c r="O3257" s="49"/>
      <c r="P3257" s="49"/>
      <c r="Q3257" s="49"/>
      <c r="R3257" s="49"/>
      <c r="S3257" s="49" t="n">
        <v>0</v>
      </c>
      <c r="T3257" s="49" t="n">
        <v>0</v>
      </c>
      <c r="U3257" s="49" t="s">
        <v>6755</v>
      </c>
    </row>
    <row r="3258" customFormat="false" ht="15" hidden="false" customHeight="false" outlineLevel="0" collapsed="false">
      <c r="B3258" s="48" t="n">
        <v>46090.8750231482</v>
      </c>
      <c r="C3258" s="4" t="n">
        <f aca="false">YEAR(B3258)</f>
        <v>2026</v>
      </c>
      <c r="D3258" s="49" t="s">
        <v>283</v>
      </c>
      <c r="E3258" s="49" t="s">
        <v>6756</v>
      </c>
      <c r="F3258" s="50" t="n">
        <v>2</v>
      </c>
      <c r="G3258" s="49" t="s">
        <v>287</v>
      </c>
      <c r="H3258" s="51" t="n">
        <v>0.0039</v>
      </c>
      <c r="I3258" s="51" t="n">
        <v>0.1375</v>
      </c>
      <c r="J3258" s="51" t="n">
        <v>0.8586</v>
      </c>
      <c r="K3258" s="49"/>
      <c r="L3258" s="49"/>
      <c r="M3258" s="49"/>
      <c r="N3258" s="49"/>
      <c r="O3258" s="49"/>
      <c r="P3258" s="49" t="s">
        <v>281</v>
      </c>
      <c r="Q3258" s="49"/>
      <c r="R3258" s="49"/>
      <c r="S3258" s="49" t="n">
        <v>0</v>
      </c>
      <c r="T3258" s="49" t="n">
        <v>0</v>
      </c>
      <c r="U3258" s="49" t="s">
        <v>6757</v>
      </c>
    </row>
    <row r="3259" customFormat="false" ht="15" hidden="false" customHeight="false" outlineLevel="0" collapsed="false">
      <c r="B3259" s="48" t="n">
        <v>46090.9431597222</v>
      </c>
      <c r="C3259" s="4" t="n">
        <f aca="false">YEAR(B3259)</f>
        <v>2026</v>
      </c>
      <c r="D3259" s="49" t="s">
        <v>278</v>
      </c>
      <c r="E3259" s="49" t="s">
        <v>6758</v>
      </c>
      <c r="F3259" s="50" t="n">
        <v>9</v>
      </c>
      <c r="G3259" s="49" t="s">
        <v>280</v>
      </c>
      <c r="H3259" s="51" t="n">
        <v>0.9208</v>
      </c>
      <c r="I3259" s="51" t="n">
        <v>0.0722</v>
      </c>
      <c r="J3259" s="51" t="n">
        <v>0.0069</v>
      </c>
      <c r="K3259" s="49"/>
      <c r="L3259" s="49"/>
      <c r="M3259" s="49" t="s">
        <v>281</v>
      </c>
      <c r="N3259" s="49"/>
      <c r="O3259" s="49"/>
      <c r="P3259" s="49"/>
      <c r="Q3259" s="49"/>
      <c r="R3259" s="49"/>
      <c r="S3259" s="49" t="n">
        <v>0</v>
      </c>
      <c r="T3259" s="49" t="n">
        <v>0</v>
      </c>
      <c r="U3259" s="49" t="s">
        <v>6759</v>
      </c>
    </row>
    <row r="3260" customFormat="false" ht="15" hidden="false" customHeight="false" outlineLevel="0" collapsed="false">
      <c r="B3260" s="48" t="n">
        <v>46090.9523148148</v>
      </c>
      <c r="C3260" s="4" t="n">
        <f aca="false">YEAR(B3260)</f>
        <v>2026</v>
      </c>
      <c r="D3260" s="49" t="s">
        <v>278</v>
      </c>
      <c r="E3260" s="49" t="s">
        <v>6760</v>
      </c>
      <c r="F3260" s="50" t="n">
        <v>0</v>
      </c>
      <c r="G3260" s="49" t="s">
        <v>280</v>
      </c>
      <c r="H3260" s="51" t="n">
        <v>0.9197</v>
      </c>
      <c r="I3260" s="51" t="n">
        <v>0.0727</v>
      </c>
      <c r="J3260" s="51" t="n">
        <v>0.0076</v>
      </c>
      <c r="K3260" s="49"/>
      <c r="L3260" s="49"/>
      <c r="M3260" s="49"/>
      <c r="N3260" s="49"/>
      <c r="O3260" s="49"/>
      <c r="P3260" s="49"/>
      <c r="Q3260" s="49"/>
      <c r="R3260" s="49"/>
      <c r="S3260" s="49" t="n">
        <v>0</v>
      </c>
      <c r="T3260" s="49" t="n">
        <v>0</v>
      </c>
      <c r="U3260" s="49" t="s">
        <v>6761</v>
      </c>
    </row>
    <row r="3261" customFormat="false" ht="15" hidden="false" customHeight="false" outlineLevel="0" collapsed="false">
      <c r="B3261" s="48" t="n">
        <v>46090.9701041667</v>
      </c>
      <c r="C3261" s="4" t="n">
        <f aca="false">YEAR(B3261)</f>
        <v>2026</v>
      </c>
      <c r="D3261" s="49" t="s">
        <v>278</v>
      </c>
      <c r="E3261" s="49" t="s">
        <v>6762</v>
      </c>
      <c r="F3261" s="50" t="n">
        <v>1</v>
      </c>
      <c r="G3261" s="49" t="s">
        <v>280</v>
      </c>
      <c r="H3261" s="51" t="n">
        <v>0.5876</v>
      </c>
      <c r="I3261" s="51" t="n">
        <v>0.3832</v>
      </c>
      <c r="J3261" s="51" t="n">
        <v>0.0292</v>
      </c>
      <c r="K3261" s="49"/>
      <c r="L3261" s="49"/>
      <c r="M3261" s="49"/>
      <c r="N3261" s="49"/>
      <c r="O3261" s="49"/>
      <c r="P3261" s="49"/>
      <c r="Q3261" s="49"/>
      <c r="R3261" s="49" t="s">
        <v>281</v>
      </c>
      <c r="S3261" s="49" t="n">
        <v>0</v>
      </c>
      <c r="T3261" s="49" t="n">
        <v>0</v>
      </c>
      <c r="U3261" s="49" t="s">
        <v>6763</v>
      </c>
    </row>
    <row r="3262" customFormat="false" ht="15" hidden="false" customHeight="false" outlineLevel="0" collapsed="false">
      <c r="B3262" s="48" t="n">
        <v>46091.0446643519</v>
      </c>
      <c r="C3262" s="4" t="n">
        <f aca="false">YEAR(B3262)</f>
        <v>2026</v>
      </c>
      <c r="D3262" s="49" t="s">
        <v>278</v>
      </c>
      <c r="E3262" s="49" t="s">
        <v>6764</v>
      </c>
      <c r="F3262" s="50" t="n">
        <v>1</v>
      </c>
      <c r="G3262" s="49" t="s">
        <v>287</v>
      </c>
      <c r="H3262" s="51" t="n">
        <v>0.3076</v>
      </c>
      <c r="I3262" s="51" t="n">
        <v>0.304</v>
      </c>
      <c r="J3262" s="51" t="n">
        <v>0.3884</v>
      </c>
      <c r="K3262" s="49"/>
      <c r="L3262" s="49"/>
      <c r="M3262" s="49"/>
      <c r="N3262" s="49"/>
      <c r="O3262" s="49"/>
      <c r="P3262" s="49"/>
      <c r="Q3262" s="49" t="s">
        <v>281</v>
      </c>
      <c r="R3262" s="49"/>
      <c r="S3262" s="49" t="n">
        <v>0</v>
      </c>
      <c r="T3262" s="49" t="n">
        <v>0</v>
      </c>
      <c r="U3262" s="49" t="s">
        <v>6765</v>
      </c>
    </row>
    <row r="3263" customFormat="false" ht="15" hidden="false" customHeight="false" outlineLevel="0" collapsed="false">
      <c r="B3263" s="48" t="n">
        <v>46091.1274189815</v>
      </c>
      <c r="C3263" s="4" t="n">
        <f aca="false">YEAR(B3263)</f>
        <v>2026</v>
      </c>
      <c r="D3263" s="49" t="s">
        <v>278</v>
      </c>
      <c r="E3263" s="49" t="s">
        <v>6766</v>
      </c>
      <c r="F3263" s="50" t="n">
        <v>1</v>
      </c>
      <c r="G3263" s="49" t="s">
        <v>280</v>
      </c>
      <c r="H3263" s="51" t="n">
        <v>0.7763</v>
      </c>
      <c r="I3263" s="51" t="n">
        <v>0.209</v>
      </c>
      <c r="J3263" s="51" t="n">
        <v>0.0148</v>
      </c>
      <c r="K3263" s="49"/>
      <c r="L3263" s="49"/>
      <c r="M3263" s="49"/>
      <c r="N3263" s="49"/>
      <c r="O3263" s="49"/>
      <c r="P3263" s="49"/>
      <c r="Q3263" s="49"/>
      <c r="R3263" s="49"/>
      <c r="S3263" s="49" t="n">
        <v>0</v>
      </c>
      <c r="T3263" s="49" t="n">
        <v>0</v>
      </c>
      <c r="U3263" s="49" t="s">
        <v>6767</v>
      </c>
    </row>
    <row r="3264" customFormat="false" ht="15" hidden="false" customHeight="false" outlineLevel="0" collapsed="false">
      <c r="B3264" s="48" t="n">
        <v>46091.3865972222</v>
      </c>
      <c r="C3264" s="4" t="n">
        <f aca="false">YEAR(B3264)</f>
        <v>2026</v>
      </c>
      <c r="D3264" s="49" t="s">
        <v>283</v>
      </c>
      <c r="E3264" s="49" t="s">
        <v>6768</v>
      </c>
      <c r="F3264" s="50" t="n">
        <v>1</v>
      </c>
      <c r="G3264" s="49" t="s">
        <v>280</v>
      </c>
      <c r="H3264" s="51" t="n">
        <v>0.8891</v>
      </c>
      <c r="I3264" s="51" t="n">
        <v>0.1031</v>
      </c>
      <c r="J3264" s="51" t="n">
        <v>0.0079</v>
      </c>
      <c r="K3264" s="49"/>
      <c r="L3264" s="49"/>
      <c r="M3264" s="49"/>
      <c r="N3264" s="49"/>
      <c r="O3264" s="49"/>
      <c r="P3264" s="49"/>
      <c r="Q3264" s="49"/>
      <c r="R3264" s="49"/>
      <c r="S3264" s="49" t="n">
        <v>1</v>
      </c>
      <c r="T3264" s="49" t="n">
        <v>0</v>
      </c>
      <c r="U3264" s="49" t="s">
        <v>6769</v>
      </c>
    </row>
    <row r="3265" customFormat="false" ht="15" hidden="false" customHeight="false" outlineLevel="0" collapsed="false">
      <c r="B3265" s="48" t="n">
        <v>46092.1595717593</v>
      </c>
      <c r="C3265" s="4" t="n">
        <f aca="false">YEAR(B3265)</f>
        <v>2026</v>
      </c>
      <c r="D3265" s="49" t="s">
        <v>278</v>
      </c>
      <c r="E3265" s="49" t="s">
        <v>6770</v>
      </c>
      <c r="F3265" s="50" t="n">
        <v>1</v>
      </c>
      <c r="G3265" s="49" t="s">
        <v>290</v>
      </c>
      <c r="H3265" s="51" t="n">
        <v>0.2348</v>
      </c>
      <c r="I3265" s="51" t="n">
        <v>0.656</v>
      </c>
      <c r="J3265" s="51" t="n">
        <v>0.1092</v>
      </c>
      <c r="K3265" s="49"/>
      <c r="L3265" s="49"/>
      <c r="M3265" s="49"/>
      <c r="N3265" s="49"/>
      <c r="O3265" s="49"/>
      <c r="P3265" s="49"/>
      <c r="Q3265" s="49" t="s">
        <v>281</v>
      </c>
      <c r="R3265" s="49"/>
      <c r="S3265" s="49" t="n">
        <v>0</v>
      </c>
      <c r="T3265" s="49" t="n">
        <v>0</v>
      </c>
      <c r="U3265" s="49" t="s">
        <v>6771</v>
      </c>
    </row>
    <row r="3266" customFormat="false" ht="15" hidden="false" customHeight="false" outlineLevel="0" collapsed="false">
      <c r="B3266" s="48" t="n">
        <v>46092.9130555556</v>
      </c>
      <c r="C3266" s="4" t="n">
        <f aca="false">YEAR(B3266)</f>
        <v>2026</v>
      </c>
      <c r="D3266" s="49" t="s">
        <v>278</v>
      </c>
      <c r="E3266" s="49" t="s">
        <v>6772</v>
      </c>
      <c r="F3266" s="50" t="n">
        <v>0</v>
      </c>
      <c r="G3266" s="49" t="s">
        <v>280</v>
      </c>
      <c r="H3266" s="51" t="n">
        <v>0.889</v>
      </c>
      <c r="I3266" s="51" t="n">
        <v>0.1024</v>
      </c>
      <c r="J3266" s="51" t="n">
        <v>0.0086</v>
      </c>
      <c r="K3266" s="49"/>
      <c r="L3266" s="49"/>
      <c r="M3266" s="49"/>
      <c r="N3266" s="49"/>
      <c r="O3266" s="49"/>
      <c r="P3266" s="49"/>
      <c r="Q3266" s="49"/>
      <c r="R3266" s="49"/>
      <c r="S3266" s="49" t="n">
        <v>0</v>
      </c>
      <c r="T3266" s="49" t="n">
        <v>0</v>
      </c>
      <c r="U3266" s="49" t="s">
        <v>6773</v>
      </c>
    </row>
    <row r="3267" customFormat="false" ht="15" hidden="false" customHeight="false" outlineLevel="0" collapsed="false">
      <c r="B3267" s="48" t="n">
        <v>46092.9946180556</v>
      </c>
      <c r="C3267" s="4" t="n">
        <f aca="false">YEAR(B3267)</f>
        <v>2026</v>
      </c>
      <c r="D3267" s="49" t="s">
        <v>283</v>
      </c>
      <c r="E3267" s="49" t="s">
        <v>6774</v>
      </c>
      <c r="F3267" s="50" t="n">
        <v>3</v>
      </c>
      <c r="G3267" s="49" t="s">
        <v>287</v>
      </c>
      <c r="H3267" s="51" t="n">
        <v>0.0037</v>
      </c>
      <c r="I3267" s="51" t="n">
        <v>0.3935</v>
      </c>
      <c r="J3267" s="51" t="n">
        <v>0.6028</v>
      </c>
      <c r="K3267" s="49"/>
      <c r="L3267" s="49"/>
      <c r="M3267" s="49"/>
      <c r="N3267" s="49"/>
      <c r="O3267" s="49"/>
      <c r="P3267" s="49"/>
      <c r="Q3267" s="49"/>
      <c r="R3267" s="49"/>
      <c r="S3267" s="49" t="n">
        <v>0</v>
      </c>
      <c r="T3267" s="49" t="n">
        <v>0</v>
      </c>
      <c r="U3267" s="49" t="s">
        <v>6775</v>
      </c>
    </row>
    <row r="3268" customFormat="false" ht="15" hidden="false" customHeight="false" outlineLevel="0" collapsed="false">
      <c r="B3268" s="48" t="n">
        <v>46093.092349537</v>
      </c>
      <c r="C3268" s="4" t="n">
        <f aca="false">YEAR(B3268)</f>
        <v>2026</v>
      </c>
      <c r="D3268" s="49" t="s">
        <v>278</v>
      </c>
      <c r="E3268" s="49" t="s">
        <v>6776</v>
      </c>
      <c r="F3268" s="50" t="n">
        <v>1</v>
      </c>
      <c r="G3268" s="49" t="s">
        <v>280</v>
      </c>
      <c r="H3268" s="51" t="n">
        <v>0.8223</v>
      </c>
      <c r="I3268" s="51" t="n">
        <v>0.1607</v>
      </c>
      <c r="J3268" s="51" t="n">
        <v>0.017</v>
      </c>
      <c r="K3268" s="49" t="s">
        <v>281</v>
      </c>
      <c r="L3268" s="49"/>
      <c r="M3268" s="49"/>
      <c r="N3268" s="49"/>
      <c r="O3268" s="49"/>
      <c r="P3268" s="49"/>
      <c r="Q3268" s="49" t="s">
        <v>281</v>
      </c>
      <c r="R3268" s="49"/>
      <c r="S3268" s="49" t="n">
        <v>0</v>
      </c>
      <c r="T3268" s="49" t="n">
        <v>0</v>
      </c>
      <c r="U3268" s="49" t="s">
        <v>6777</v>
      </c>
    </row>
    <row r="3269" customFormat="false" ht="15" hidden="false" customHeight="false" outlineLevel="0" collapsed="false">
      <c r="B3269" s="48" t="n">
        <v>46093.2501157407</v>
      </c>
      <c r="C3269" s="4" t="n">
        <f aca="false">YEAR(B3269)</f>
        <v>2026</v>
      </c>
      <c r="D3269" s="49" t="s">
        <v>283</v>
      </c>
      <c r="E3269" s="49" t="s">
        <v>6778</v>
      </c>
      <c r="F3269" s="50" t="n">
        <v>1</v>
      </c>
      <c r="G3269" s="49" t="s">
        <v>287</v>
      </c>
      <c r="H3269" s="51" t="n">
        <v>0.0302</v>
      </c>
      <c r="I3269" s="51" t="n">
        <v>0.24</v>
      </c>
      <c r="J3269" s="51" t="n">
        <v>0.7298</v>
      </c>
      <c r="K3269" s="49"/>
      <c r="L3269" s="49"/>
      <c r="M3269" s="49"/>
      <c r="N3269" s="49"/>
      <c r="O3269" s="49"/>
      <c r="P3269" s="49"/>
      <c r="Q3269" s="49"/>
      <c r="R3269" s="49"/>
      <c r="S3269" s="49" t="n">
        <v>0</v>
      </c>
      <c r="T3269" s="49" t="n">
        <v>0</v>
      </c>
      <c r="U3269" s="49" t="s">
        <v>6779</v>
      </c>
    </row>
    <row r="3270" customFormat="false" ht="15" hidden="false" customHeight="false" outlineLevel="0" collapsed="false">
      <c r="B3270" s="48" t="n">
        <v>46093.6130902778</v>
      </c>
      <c r="C3270" s="4" t="n">
        <f aca="false">YEAR(B3270)</f>
        <v>2026</v>
      </c>
      <c r="D3270" s="49" t="s">
        <v>278</v>
      </c>
      <c r="E3270" s="49" t="s">
        <v>6780</v>
      </c>
      <c r="F3270" s="50" t="n">
        <v>0</v>
      </c>
      <c r="G3270" s="49" t="s">
        <v>280</v>
      </c>
      <c r="H3270" s="51" t="n">
        <v>0.5182</v>
      </c>
      <c r="I3270" s="51" t="n">
        <v>0.4014</v>
      </c>
      <c r="J3270" s="51" t="n">
        <v>0.0804</v>
      </c>
      <c r="K3270" s="49"/>
      <c r="L3270" s="49"/>
      <c r="M3270" s="49"/>
      <c r="N3270" s="49"/>
      <c r="O3270" s="49"/>
      <c r="P3270" s="49"/>
      <c r="Q3270" s="49" t="s">
        <v>281</v>
      </c>
      <c r="R3270" s="49"/>
      <c r="S3270" s="49" t="n">
        <v>0</v>
      </c>
      <c r="T3270" s="49" t="n">
        <v>0</v>
      </c>
      <c r="U3270" s="49" t="s">
        <v>6781</v>
      </c>
    </row>
    <row r="3271" customFormat="false" ht="15" hidden="false" customHeight="false" outlineLevel="0" collapsed="false">
      <c r="B3271" s="48" t="n">
        <v>46093.8389814815</v>
      </c>
      <c r="C3271" s="4" t="n">
        <f aca="false">YEAR(B3271)</f>
        <v>2026</v>
      </c>
      <c r="D3271" s="49" t="s">
        <v>278</v>
      </c>
      <c r="E3271" s="49" t="s">
        <v>6782</v>
      </c>
      <c r="F3271" s="50" t="n">
        <v>2</v>
      </c>
      <c r="G3271" s="49" t="s">
        <v>280</v>
      </c>
      <c r="H3271" s="51" t="n">
        <v>0.7048</v>
      </c>
      <c r="I3271" s="51" t="n">
        <v>0.2754</v>
      </c>
      <c r="J3271" s="51" t="n">
        <v>0.0198</v>
      </c>
      <c r="K3271" s="49"/>
      <c r="L3271" s="49"/>
      <c r="M3271" s="49"/>
      <c r="N3271" s="49"/>
      <c r="O3271" s="49"/>
      <c r="P3271" s="49"/>
      <c r="Q3271" s="49" t="s">
        <v>281</v>
      </c>
      <c r="R3271" s="49"/>
      <c r="S3271" s="49" t="n">
        <v>0</v>
      </c>
      <c r="T3271" s="49" t="n">
        <v>0</v>
      </c>
      <c r="U3271" s="49" t="s">
        <v>6783</v>
      </c>
    </row>
    <row r="3272" customFormat="false" ht="15" hidden="false" customHeight="false" outlineLevel="0" collapsed="false">
      <c r="B3272" s="48" t="n">
        <v>46093.9137962963</v>
      </c>
      <c r="C3272" s="4" t="n">
        <f aca="false">YEAR(B3272)</f>
        <v>2026</v>
      </c>
      <c r="D3272" s="49" t="s">
        <v>278</v>
      </c>
      <c r="E3272" s="49" t="s">
        <v>6784</v>
      </c>
      <c r="F3272" s="50" t="n">
        <v>7</v>
      </c>
      <c r="G3272" s="49" t="s">
        <v>280</v>
      </c>
      <c r="H3272" s="51" t="n">
        <v>0.7966</v>
      </c>
      <c r="I3272" s="51" t="n">
        <v>0.1859</v>
      </c>
      <c r="J3272" s="51" t="n">
        <v>0.0175</v>
      </c>
      <c r="K3272" s="49" t="s">
        <v>281</v>
      </c>
      <c r="L3272" s="49"/>
      <c r="M3272" s="49"/>
      <c r="N3272" s="49"/>
      <c r="O3272" s="49"/>
      <c r="P3272" s="49"/>
      <c r="Q3272" s="49"/>
      <c r="R3272" s="49"/>
      <c r="S3272" s="49" t="n">
        <v>0</v>
      </c>
      <c r="T3272" s="49" t="n">
        <v>1</v>
      </c>
      <c r="U3272" s="49" t="s">
        <v>6785</v>
      </c>
    </row>
    <row r="3273" customFormat="false" ht="15" hidden="false" customHeight="false" outlineLevel="0" collapsed="false">
      <c r="B3273" s="48" t="n">
        <v>46094.017962963</v>
      </c>
      <c r="C3273" s="4" t="n">
        <f aca="false">YEAR(B3273)</f>
        <v>2026</v>
      </c>
      <c r="D3273" s="49" t="s">
        <v>283</v>
      </c>
      <c r="E3273" s="49" t="s">
        <v>6786</v>
      </c>
      <c r="F3273" s="50" t="n">
        <v>2</v>
      </c>
      <c r="G3273" s="49" t="s">
        <v>290</v>
      </c>
      <c r="H3273" s="51" t="n">
        <v>0.0216</v>
      </c>
      <c r="I3273" s="51" t="n">
        <v>0.5191</v>
      </c>
      <c r="J3273" s="51" t="n">
        <v>0.4593</v>
      </c>
      <c r="K3273" s="49"/>
      <c r="L3273" s="49"/>
      <c r="M3273" s="49"/>
      <c r="N3273" s="49"/>
      <c r="O3273" s="49"/>
      <c r="P3273" s="49"/>
      <c r="Q3273" s="49"/>
      <c r="R3273" s="49"/>
      <c r="S3273" s="49" t="n">
        <v>0</v>
      </c>
      <c r="T3273" s="49" t="n">
        <v>0</v>
      </c>
      <c r="U3273" s="49" t="s">
        <v>6787</v>
      </c>
    </row>
    <row r="3274" customFormat="false" ht="15" hidden="false" customHeight="false" outlineLevel="0" collapsed="false">
      <c r="B3274" s="48" t="n">
        <v>46094.0653240741</v>
      </c>
      <c r="C3274" s="4" t="n">
        <f aca="false">YEAR(B3274)</f>
        <v>2026</v>
      </c>
      <c r="D3274" s="49" t="s">
        <v>278</v>
      </c>
      <c r="E3274" s="49" t="s">
        <v>6788</v>
      </c>
      <c r="F3274" s="50" t="n">
        <v>1</v>
      </c>
      <c r="G3274" s="49" t="s">
        <v>290</v>
      </c>
      <c r="H3274" s="51" t="n">
        <v>0.3627</v>
      </c>
      <c r="I3274" s="51" t="n">
        <v>0.5406</v>
      </c>
      <c r="J3274" s="51" t="n">
        <v>0.0967</v>
      </c>
      <c r="K3274" s="49"/>
      <c r="L3274" s="49"/>
      <c r="M3274" s="49"/>
      <c r="N3274" s="49"/>
      <c r="O3274" s="49"/>
      <c r="P3274" s="49"/>
      <c r="Q3274" s="49"/>
      <c r="R3274" s="49"/>
      <c r="S3274" s="49" t="n">
        <v>0</v>
      </c>
      <c r="T3274" s="49" t="n">
        <v>0</v>
      </c>
      <c r="U3274" s="49" t="s">
        <v>6789</v>
      </c>
    </row>
    <row r="3275" customFormat="false" ht="15" hidden="false" customHeight="false" outlineLevel="0" collapsed="false">
      <c r="B3275" s="48" t="n">
        <v>46094.2966898148</v>
      </c>
      <c r="C3275" s="4" t="n">
        <f aca="false">YEAR(B3275)</f>
        <v>2026</v>
      </c>
      <c r="D3275" s="49" t="s">
        <v>278</v>
      </c>
      <c r="E3275" s="49" t="s">
        <v>6790</v>
      </c>
      <c r="F3275" s="50" t="n">
        <v>1</v>
      </c>
      <c r="G3275" s="49" t="s">
        <v>280</v>
      </c>
      <c r="H3275" s="51" t="n">
        <v>0.7083</v>
      </c>
      <c r="I3275" s="51" t="n">
        <v>0.2769</v>
      </c>
      <c r="J3275" s="51" t="n">
        <v>0.0148</v>
      </c>
      <c r="K3275" s="49"/>
      <c r="L3275" s="49"/>
      <c r="M3275" s="49"/>
      <c r="N3275" s="49"/>
      <c r="O3275" s="49"/>
      <c r="P3275" s="49"/>
      <c r="Q3275" s="49"/>
      <c r="R3275" s="49" t="s">
        <v>281</v>
      </c>
      <c r="S3275" s="49" t="n">
        <v>0</v>
      </c>
      <c r="T3275" s="49" t="n">
        <v>0</v>
      </c>
      <c r="U3275" s="49" t="s">
        <v>6791</v>
      </c>
    </row>
    <row r="3276" customFormat="false" ht="15" hidden="false" customHeight="false" outlineLevel="0" collapsed="false">
      <c r="B3276" s="48" t="n">
        <v>46094.5034375</v>
      </c>
      <c r="C3276" s="4" t="n">
        <f aca="false">YEAR(B3276)</f>
        <v>2026</v>
      </c>
      <c r="D3276" s="49" t="s">
        <v>283</v>
      </c>
      <c r="E3276" s="49" t="s">
        <v>6792</v>
      </c>
      <c r="F3276" s="50" t="n">
        <v>1</v>
      </c>
      <c r="G3276" s="49" t="s">
        <v>290</v>
      </c>
      <c r="H3276" s="51" t="n">
        <v>0.0798</v>
      </c>
      <c r="I3276" s="51" t="n">
        <v>0.7496</v>
      </c>
      <c r="J3276" s="51" t="n">
        <v>0.1706</v>
      </c>
      <c r="K3276" s="49"/>
      <c r="L3276" s="49"/>
      <c r="M3276" s="49"/>
      <c r="N3276" s="49"/>
      <c r="O3276" s="49"/>
      <c r="P3276" s="49"/>
      <c r="Q3276" s="49"/>
      <c r="R3276" s="49"/>
      <c r="S3276" s="49" t="n">
        <v>0</v>
      </c>
      <c r="T3276" s="49" t="n">
        <v>0</v>
      </c>
      <c r="U3276" s="49" t="s">
        <v>6793</v>
      </c>
    </row>
    <row r="3277" customFormat="false" ht="15" hidden="false" customHeight="false" outlineLevel="0" collapsed="false">
      <c r="B3277" s="48" t="n">
        <v>46094.7140277778</v>
      </c>
      <c r="C3277" s="4" t="n">
        <f aca="false">YEAR(B3277)</f>
        <v>2026</v>
      </c>
      <c r="D3277" s="49" t="s">
        <v>278</v>
      </c>
      <c r="E3277" s="49" t="s">
        <v>6794</v>
      </c>
      <c r="F3277" s="50" t="n">
        <v>300</v>
      </c>
      <c r="G3277" s="49" t="s">
        <v>290</v>
      </c>
      <c r="H3277" s="51" t="n">
        <v>0.0069</v>
      </c>
      <c r="I3277" s="51" t="n">
        <v>0.8043</v>
      </c>
      <c r="J3277" s="51" t="n">
        <v>0.1888</v>
      </c>
      <c r="K3277" s="49"/>
      <c r="L3277" s="49"/>
      <c r="M3277" s="49"/>
      <c r="N3277" s="49"/>
      <c r="O3277" s="49"/>
      <c r="P3277" s="49"/>
      <c r="Q3277" s="49"/>
      <c r="R3277" s="49"/>
      <c r="S3277" s="49" t="n">
        <v>0</v>
      </c>
      <c r="T3277" s="49" t="n">
        <v>0</v>
      </c>
      <c r="U3277" s="49" t="s">
        <v>6795</v>
      </c>
    </row>
    <row r="3278" customFormat="false" ht="15" hidden="false" customHeight="false" outlineLevel="0" collapsed="false">
      <c r="B3278" s="48" t="n">
        <v>46094.7900810185</v>
      </c>
      <c r="C3278" s="4" t="n">
        <f aca="false">YEAR(B3278)</f>
        <v>2026</v>
      </c>
      <c r="D3278" s="49" t="s">
        <v>283</v>
      </c>
      <c r="E3278" s="49" t="s">
        <v>6796</v>
      </c>
      <c r="F3278" s="50" t="n">
        <v>247</v>
      </c>
      <c r="G3278" s="49" t="s">
        <v>287</v>
      </c>
      <c r="H3278" s="51" t="n">
        <v>0.0199</v>
      </c>
      <c r="I3278" s="51" t="n">
        <v>0.235</v>
      </c>
      <c r="J3278" s="51" t="n">
        <v>0.745</v>
      </c>
      <c r="K3278" s="49"/>
      <c r="L3278" s="49"/>
      <c r="M3278" s="49"/>
      <c r="N3278" s="49"/>
      <c r="O3278" s="49"/>
      <c r="P3278" s="49"/>
      <c r="Q3278" s="49"/>
      <c r="R3278" s="49"/>
      <c r="S3278" s="49" t="n">
        <v>0</v>
      </c>
      <c r="T3278" s="49" t="n">
        <v>0</v>
      </c>
      <c r="U3278" s="49" t="s">
        <v>6797</v>
      </c>
    </row>
    <row r="3279" customFormat="false" ht="15" hidden="false" customHeight="false" outlineLevel="0" collapsed="false">
      <c r="B3279" s="48" t="n">
        <v>46094.8133680556</v>
      </c>
      <c r="C3279" s="4" t="n">
        <f aca="false">YEAR(B3279)</f>
        <v>2026</v>
      </c>
      <c r="D3279" s="49" t="s">
        <v>278</v>
      </c>
      <c r="E3279" s="49" t="s">
        <v>6798</v>
      </c>
      <c r="F3279" s="50" t="n">
        <v>7</v>
      </c>
      <c r="G3279" s="49" t="s">
        <v>287</v>
      </c>
      <c r="H3279" s="51" t="n">
        <v>0.0033</v>
      </c>
      <c r="I3279" s="51" t="n">
        <v>0.0199</v>
      </c>
      <c r="J3279" s="51" t="n">
        <v>0.9767</v>
      </c>
      <c r="K3279" s="49"/>
      <c r="L3279" s="49"/>
      <c r="M3279" s="49"/>
      <c r="N3279" s="49"/>
      <c r="O3279" s="49"/>
      <c r="P3279" s="49"/>
      <c r="Q3279" s="49"/>
      <c r="R3279" s="49"/>
      <c r="S3279" s="49" t="n">
        <v>0</v>
      </c>
      <c r="T3279" s="49" t="n">
        <v>0</v>
      </c>
      <c r="U3279" s="49" t="s">
        <v>6799</v>
      </c>
    </row>
    <row r="3280" customFormat="false" ht="15" hidden="false" customHeight="false" outlineLevel="0" collapsed="false">
      <c r="B3280" s="48" t="n">
        <v>46094.9368518519</v>
      </c>
      <c r="C3280" s="4" t="n">
        <f aca="false">YEAR(B3280)</f>
        <v>2026</v>
      </c>
      <c r="D3280" s="49" t="s">
        <v>278</v>
      </c>
      <c r="E3280" s="49" t="s">
        <v>6800</v>
      </c>
      <c r="F3280" s="50" t="n">
        <v>0</v>
      </c>
      <c r="G3280" s="49" t="s">
        <v>290</v>
      </c>
      <c r="H3280" s="51" t="n">
        <v>0.303</v>
      </c>
      <c r="I3280" s="51" t="n">
        <v>0.6504</v>
      </c>
      <c r="J3280" s="51" t="n">
        <v>0.0466</v>
      </c>
      <c r="K3280" s="49"/>
      <c r="L3280" s="49"/>
      <c r="M3280" s="49"/>
      <c r="N3280" s="49"/>
      <c r="O3280" s="49"/>
      <c r="P3280" s="49"/>
      <c r="Q3280" s="49"/>
      <c r="R3280" s="49" t="s">
        <v>281</v>
      </c>
      <c r="S3280" s="49" t="n">
        <v>0</v>
      </c>
      <c r="T3280" s="49" t="n">
        <v>0</v>
      </c>
      <c r="U3280" s="49" t="s">
        <v>6801</v>
      </c>
    </row>
    <row r="3281" customFormat="false" ht="15" hidden="false" customHeight="false" outlineLevel="0" collapsed="false">
      <c r="B3281" s="48" t="n">
        <v>46095.5355555556</v>
      </c>
      <c r="C3281" s="4" t="n">
        <f aca="false">YEAR(B3281)</f>
        <v>2026</v>
      </c>
      <c r="D3281" s="49" t="s">
        <v>278</v>
      </c>
      <c r="E3281" s="49" t="s">
        <v>6802</v>
      </c>
      <c r="F3281" s="50" t="n">
        <v>0</v>
      </c>
      <c r="G3281" s="49" t="s">
        <v>280</v>
      </c>
      <c r="H3281" s="51" t="n">
        <v>0.8697</v>
      </c>
      <c r="I3281" s="51" t="n">
        <v>0.123</v>
      </c>
      <c r="J3281" s="51" t="n">
        <v>0.0073</v>
      </c>
      <c r="K3281" s="49"/>
      <c r="L3281" s="49"/>
      <c r="M3281" s="49"/>
      <c r="N3281" s="49"/>
      <c r="O3281" s="49"/>
      <c r="P3281" s="49"/>
      <c r="Q3281" s="49"/>
      <c r="R3281" s="49"/>
      <c r="S3281" s="49" t="n">
        <v>0</v>
      </c>
      <c r="T3281" s="49" t="n">
        <v>0</v>
      </c>
      <c r="U3281" s="49" t="s">
        <v>6803</v>
      </c>
    </row>
    <row r="3282" customFormat="false" ht="15" hidden="false" customHeight="false" outlineLevel="0" collapsed="false">
      <c r="B3282" s="48" t="n">
        <v>46095.6434027778</v>
      </c>
      <c r="C3282" s="4" t="n">
        <f aca="false">YEAR(B3282)</f>
        <v>2026</v>
      </c>
      <c r="D3282" s="49" t="s">
        <v>278</v>
      </c>
      <c r="E3282" s="49" t="s">
        <v>6804</v>
      </c>
      <c r="F3282" s="50" t="n">
        <v>5</v>
      </c>
      <c r="G3282" s="49" t="s">
        <v>290</v>
      </c>
      <c r="H3282" s="51" t="n">
        <v>0.1685</v>
      </c>
      <c r="I3282" s="51" t="n">
        <v>0.4567</v>
      </c>
      <c r="J3282" s="51" t="n">
        <v>0.3748</v>
      </c>
      <c r="K3282" s="49"/>
      <c r="L3282" s="49"/>
      <c r="M3282" s="49"/>
      <c r="N3282" s="49"/>
      <c r="O3282" s="49"/>
      <c r="P3282" s="49"/>
      <c r="Q3282" s="49" t="s">
        <v>281</v>
      </c>
      <c r="R3282" s="49"/>
      <c r="S3282" s="49" t="n">
        <v>0</v>
      </c>
      <c r="T3282" s="49" t="n">
        <v>0</v>
      </c>
      <c r="U3282" s="49" t="s">
        <v>6805</v>
      </c>
    </row>
    <row r="3283" customFormat="false" ht="15" hidden="false" customHeight="false" outlineLevel="0" collapsed="false">
      <c r="B3283" s="48" t="n">
        <v>46096.4641203704</v>
      </c>
      <c r="C3283" s="4" t="n">
        <f aca="false">YEAR(B3283)</f>
        <v>2026</v>
      </c>
      <c r="D3283" s="49" t="s">
        <v>278</v>
      </c>
      <c r="E3283" s="49" t="s">
        <v>6806</v>
      </c>
      <c r="F3283" s="50" t="n">
        <v>1</v>
      </c>
      <c r="G3283" s="49" t="s">
        <v>290</v>
      </c>
      <c r="H3283" s="51" t="n">
        <v>0.0541</v>
      </c>
      <c r="I3283" s="51" t="n">
        <v>0.9167</v>
      </c>
      <c r="J3283" s="51" t="n">
        <v>0.0292</v>
      </c>
      <c r="K3283" s="49"/>
      <c r="L3283" s="49"/>
      <c r="M3283" s="49"/>
      <c r="N3283" s="49"/>
      <c r="O3283" s="49"/>
      <c r="P3283" s="49"/>
      <c r="Q3283" s="49"/>
      <c r="R3283" s="49"/>
      <c r="S3283" s="49" t="n">
        <v>0</v>
      </c>
      <c r="T3283" s="49" t="n">
        <v>0</v>
      </c>
      <c r="U3283" s="49" t="s">
        <v>6807</v>
      </c>
    </row>
    <row r="3284" customFormat="false" ht="15" hidden="false" customHeight="false" outlineLevel="0" collapsed="false">
      <c r="B3284" s="48" t="n">
        <v>46096.5247453704</v>
      </c>
      <c r="C3284" s="4" t="n">
        <f aca="false">YEAR(B3284)</f>
        <v>2026</v>
      </c>
      <c r="D3284" s="49" t="s">
        <v>283</v>
      </c>
      <c r="E3284" s="49" t="s">
        <v>6808</v>
      </c>
      <c r="F3284" s="50" t="n">
        <v>1</v>
      </c>
      <c r="G3284" s="49" t="s">
        <v>287</v>
      </c>
      <c r="H3284" s="51" t="n">
        <v>0.0158</v>
      </c>
      <c r="I3284" s="51" t="n">
        <v>0.434</v>
      </c>
      <c r="J3284" s="51" t="n">
        <v>0.5502</v>
      </c>
      <c r="K3284" s="49"/>
      <c r="L3284" s="49"/>
      <c r="M3284" s="49"/>
      <c r="N3284" s="49"/>
      <c r="O3284" s="49"/>
      <c r="P3284" s="49" t="s">
        <v>281</v>
      </c>
      <c r="Q3284" s="49"/>
      <c r="R3284" s="49"/>
      <c r="S3284" s="49" t="n">
        <v>0</v>
      </c>
      <c r="T3284" s="49" t="n">
        <v>0</v>
      </c>
      <c r="U3284" s="49" t="s">
        <v>6809</v>
      </c>
    </row>
    <row r="3285" customFormat="false" ht="15" hidden="false" customHeight="false" outlineLevel="0" collapsed="false">
      <c r="B3285" s="48" t="n">
        <v>46096.5345717593</v>
      </c>
      <c r="C3285" s="4" t="n">
        <f aca="false">YEAR(B3285)</f>
        <v>2026</v>
      </c>
      <c r="D3285" s="49" t="s">
        <v>283</v>
      </c>
      <c r="E3285" s="49" t="s">
        <v>6810</v>
      </c>
      <c r="F3285" s="50" t="n">
        <v>1</v>
      </c>
      <c r="G3285" s="49" t="s">
        <v>280</v>
      </c>
      <c r="H3285" s="51" t="n">
        <v>0.6445</v>
      </c>
      <c r="I3285" s="51" t="n">
        <v>0.3395</v>
      </c>
      <c r="J3285" s="51" t="n">
        <v>0.016</v>
      </c>
      <c r="K3285" s="49"/>
      <c r="L3285" s="49"/>
      <c r="M3285" s="49"/>
      <c r="N3285" s="49"/>
      <c r="O3285" s="49"/>
      <c r="P3285" s="49"/>
      <c r="Q3285" s="49"/>
      <c r="R3285" s="49" t="s">
        <v>281</v>
      </c>
      <c r="S3285" s="49" t="n">
        <v>1</v>
      </c>
      <c r="T3285" s="49" t="n">
        <v>0</v>
      </c>
      <c r="U3285" s="49" t="s">
        <v>6811</v>
      </c>
    </row>
    <row r="3286" customFormat="false" ht="15" hidden="false" customHeight="false" outlineLevel="0" collapsed="false">
      <c r="B3286" s="48" t="n">
        <v>46096.6549768519</v>
      </c>
      <c r="C3286" s="4" t="n">
        <f aca="false">YEAR(B3286)</f>
        <v>2026</v>
      </c>
      <c r="D3286" s="49" t="s">
        <v>278</v>
      </c>
      <c r="E3286" s="49" t="s">
        <v>6812</v>
      </c>
      <c r="F3286" s="50" t="n">
        <v>0</v>
      </c>
      <c r="G3286" s="49" t="s">
        <v>280</v>
      </c>
      <c r="H3286" s="51" t="n">
        <v>0.7216</v>
      </c>
      <c r="I3286" s="51" t="n">
        <v>0.2621</v>
      </c>
      <c r="J3286" s="51" t="n">
        <v>0.0163</v>
      </c>
      <c r="K3286" s="49"/>
      <c r="L3286" s="49"/>
      <c r="M3286" s="49"/>
      <c r="N3286" s="49"/>
      <c r="O3286" s="49"/>
      <c r="P3286" s="49"/>
      <c r="Q3286" s="49" t="s">
        <v>281</v>
      </c>
      <c r="R3286" s="49"/>
      <c r="S3286" s="49" t="n">
        <v>0</v>
      </c>
      <c r="T3286" s="49" t="n">
        <v>0</v>
      </c>
      <c r="U3286" s="49" t="s">
        <v>6813</v>
      </c>
    </row>
    <row r="3287" customFormat="false" ht="15" hidden="false" customHeight="false" outlineLevel="0" collapsed="false">
      <c r="B3287" s="48" t="n">
        <v>46096.7569444445</v>
      </c>
      <c r="C3287" s="4" t="n">
        <f aca="false">YEAR(B3287)</f>
        <v>2026</v>
      </c>
      <c r="D3287" s="49" t="s">
        <v>278</v>
      </c>
      <c r="E3287" s="49" t="s">
        <v>6814</v>
      </c>
      <c r="F3287" s="50" t="n">
        <v>7</v>
      </c>
      <c r="G3287" s="49" t="s">
        <v>287</v>
      </c>
      <c r="H3287" s="51" t="n">
        <v>0.0105</v>
      </c>
      <c r="I3287" s="51" t="n">
        <v>0.0706</v>
      </c>
      <c r="J3287" s="51" t="n">
        <v>0.9189</v>
      </c>
      <c r="K3287" s="49"/>
      <c r="L3287" s="49"/>
      <c r="M3287" s="49"/>
      <c r="N3287" s="49"/>
      <c r="O3287" s="49"/>
      <c r="P3287" s="49"/>
      <c r="Q3287" s="49"/>
      <c r="R3287" s="49"/>
      <c r="S3287" s="49" t="n">
        <v>0</v>
      </c>
      <c r="T3287" s="49" t="n">
        <v>0</v>
      </c>
      <c r="U3287" s="49" t="s">
        <v>6815</v>
      </c>
    </row>
    <row r="3288" customFormat="false" ht="15" hidden="false" customHeight="false" outlineLevel="0" collapsed="false">
      <c r="B3288" s="48" t="n">
        <v>46097.0334953704</v>
      </c>
      <c r="C3288" s="4" t="n">
        <f aca="false">YEAR(B3288)</f>
        <v>2026</v>
      </c>
      <c r="D3288" s="49" t="s">
        <v>283</v>
      </c>
      <c r="E3288" s="49" t="s">
        <v>6816</v>
      </c>
      <c r="F3288" s="50" t="n">
        <v>9</v>
      </c>
      <c r="G3288" s="49" t="s">
        <v>287</v>
      </c>
      <c r="H3288" s="51" t="n">
        <v>0.0549</v>
      </c>
      <c r="I3288" s="51" t="n">
        <v>0.4085</v>
      </c>
      <c r="J3288" s="51" t="n">
        <v>0.5366</v>
      </c>
      <c r="K3288" s="49"/>
      <c r="L3288" s="49"/>
      <c r="M3288" s="49"/>
      <c r="N3288" s="49"/>
      <c r="O3288" s="49"/>
      <c r="P3288" s="49"/>
      <c r="Q3288" s="49"/>
      <c r="R3288" s="49"/>
      <c r="S3288" s="49" t="n">
        <v>0</v>
      </c>
      <c r="T3288" s="49" t="n">
        <v>0</v>
      </c>
      <c r="U3288" s="49" t="s">
        <v>6817</v>
      </c>
    </row>
    <row r="3289" customFormat="false" ht="15" hidden="false" customHeight="false" outlineLevel="0" collapsed="false">
      <c r="B3289" s="48" t="n">
        <v>46097.042974537</v>
      </c>
      <c r="C3289" s="4" t="n">
        <f aca="false">YEAR(B3289)</f>
        <v>2026</v>
      </c>
      <c r="D3289" s="49" t="s">
        <v>278</v>
      </c>
      <c r="E3289" s="49" t="s">
        <v>6818</v>
      </c>
      <c r="F3289" s="50" t="n">
        <v>0</v>
      </c>
      <c r="G3289" s="49" t="s">
        <v>280</v>
      </c>
      <c r="H3289" s="51" t="n">
        <v>0.7609</v>
      </c>
      <c r="I3289" s="51" t="n">
        <v>0.2156</v>
      </c>
      <c r="J3289" s="51" t="n">
        <v>0.0235</v>
      </c>
      <c r="K3289" s="49"/>
      <c r="L3289" s="49"/>
      <c r="M3289" s="49"/>
      <c r="N3289" s="49"/>
      <c r="O3289" s="49"/>
      <c r="P3289" s="49"/>
      <c r="Q3289" s="49"/>
      <c r="R3289" s="49" t="s">
        <v>281</v>
      </c>
      <c r="S3289" s="49" t="n">
        <v>0</v>
      </c>
      <c r="T3289" s="49" t="n">
        <v>0</v>
      </c>
      <c r="U3289" s="49" t="s">
        <v>6819</v>
      </c>
    </row>
    <row r="3290" customFormat="false" ht="15" hidden="false" customHeight="false" outlineLevel="0" collapsed="false">
      <c r="B3290" s="48" t="n">
        <v>46097.5299537037</v>
      </c>
      <c r="C3290" s="4" t="n">
        <f aca="false">YEAR(B3290)</f>
        <v>2026</v>
      </c>
      <c r="D3290" s="49" t="s">
        <v>283</v>
      </c>
      <c r="E3290" s="49" t="s">
        <v>6820</v>
      </c>
      <c r="F3290" s="50" t="n">
        <v>5</v>
      </c>
      <c r="G3290" s="49" t="s">
        <v>287</v>
      </c>
      <c r="H3290" s="51" t="n">
        <v>0.0076</v>
      </c>
      <c r="I3290" s="51" t="n">
        <v>0.1998</v>
      </c>
      <c r="J3290" s="51" t="n">
        <v>0.7926</v>
      </c>
      <c r="K3290" s="49"/>
      <c r="L3290" s="49"/>
      <c r="M3290" s="49"/>
      <c r="N3290" s="49"/>
      <c r="O3290" s="49"/>
      <c r="P3290" s="49" t="s">
        <v>281</v>
      </c>
      <c r="Q3290" s="49"/>
      <c r="R3290" s="49"/>
      <c r="S3290" s="49" t="n">
        <v>0</v>
      </c>
      <c r="T3290" s="49" t="n">
        <v>0</v>
      </c>
      <c r="U3290" s="49" t="s">
        <v>6821</v>
      </c>
    </row>
    <row r="3291" customFormat="false" ht="15" hidden="false" customHeight="false" outlineLevel="0" collapsed="false">
      <c r="B3291" s="48" t="n">
        <v>46097.5762384259</v>
      </c>
      <c r="C3291" s="4" t="n">
        <f aca="false">YEAR(B3291)</f>
        <v>2026</v>
      </c>
      <c r="D3291" s="49" t="s">
        <v>283</v>
      </c>
      <c r="E3291" s="49" t="s">
        <v>6822</v>
      </c>
      <c r="F3291" s="50" t="n">
        <v>2</v>
      </c>
      <c r="G3291" s="49" t="s">
        <v>287</v>
      </c>
      <c r="H3291" s="51" t="n">
        <v>0.0031</v>
      </c>
      <c r="I3291" s="51" t="n">
        <v>0.1348</v>
      </c>
      <c r="J3291" s="51" t="n">
        <v>0.8621</v>
      </c>
      <c r="K3291" s="49"/>
      <c r="L3291" s="49"/>
      <c r="M3291" s="49"/>
      <c r="N3291" s="49"/>
      <c r="O3291" s="49"/>
      <c r="P3291" s="49"/>
      <c r="Q3291" s="49"/>
      <c r="R3291" s="49"/>
      <c r="S3291" s="49" t="n">
        <v>0</v>
      </c>
      <c r="T3291" s="49" t="n">
        <v>0</v>
      </c>
      <c r="U3291" s="49" t="s">
        <v>6823</v>
      </c>
    </row>
    <row r="3292" customFormat="false" ht="15" hidden="false" customHeight="false" outlineLevel="0" collapsed="false">
      <c r="B3292" s="48" t="n">
        <v>46097.8341087963</v>
      </c>
      <c r="C3292" s="4" t="n">
        <f aca="false">YEAR(B3292)</f>
        <v>2026</v>
      </c>
      <c r="D3292" s="49" t="s">
        <v>278</v>
      </c>
      <c r="E3292" s="49" t="s">
        <v>6824</v>
      </c>
      <c r="F3292" s="50" t="n">
        <v>1</v>
      </c>
      <c r="G3292" s="49" t="s">
        <v>280</v>
      </c>
      <c r="H3292" s="51" t="n">
        <v>0.6323</v>
      </c>
      <c r="I3292" s="51" t="n">
        <v>0.3474</v>
      </c>
      <c r="J3292" s="51" t="n">
        <v>0.0203</v>
      </c>
      <c r="K3292" s="49"/>
      <c r="L3292" s="49"/>
      <c r="M3292" s="49"/>
      <c r="N3292" s="49"/>
      <c r="O3292" s="49"/>
      <c r="P3292" s="49"/>
      <c r="Q3292" s="49"/>
      <c r="R3292" s="49"/>
      <c r="S3292" s="49" t="n">
        <v>0</v>
      </c>
      <c r="T3292" s="49" t="n">
        <v>0</v>
      </c>
      <c r="U3292" s="49" t="s">
        <v>6825</v>
      </c>
    </row>
    <row r="3293" customFormat="false" ht="15" hidden="false" customHeight="false" outlineLevel="0" collapsed="false">
      <c r="B3293" s="48" t="n">
        <v>46098.6722916667</v>
      </c>
      <c r="C3293" s="4" t="n">
        <f aca="false">YEAR(B3293)</f>
        <v>2026</v>
      </c>
      <c r="D3293" s="49" t="s">
        <v>278</v>
      </c>
      <c r="E3293" s="49" t="s">
        <v>6826</v>
      </c>
      <c r="F3293" s="50" t="n">
        <v>0</v>
      </c>
      <c r="G3293" s="49" t="s">
        <v>280</v>
      </c>
      <c r="H3293" s="51" t="n">
        <v>0.7112</v>
      </c>
      <c r="I3293" s="51" t="n">
        <v>0.2688</v>
      </c>
      <c r="J3293" s="51" t="n">
        <v>0.0201</v>
      </c>
      <c r="K3293" s="49"/>
      <c r="L3293" s="49"/>
      <c r="M3293" s="49"/>
      <c r="N3293" s="49"/>
      <c r="O3293" s="49"/>
      <c r="P3293" s="49"/>
      <c r="Q3293" s="49"/>
      <c r="R3293" s="49"/>
      <c r="S3293" s="49" t="n">
        <v>0</v>
      </c>
      <c r="T3293" s="49" t="n">
        <v>0</v>
      </c>
      <c r="U3293" s="49" t="s">
        <v>6827</v>
      </c>
    </row>
    <row r="3294" customFormat="false" ht="15" hidden="false" customHeight="false" outlineLevel="0" collapsed="false">
      <c r="B3294" s="48" t="n">
        <v>46098.7933449074</v>
      </c>
      <c r="C3294" s="4" t="n">
        <f aca="false">YEAR(B3294)</f>
        <v>2026</v>
      </c>
      <c r="D3294" s="49" t="s">
        <v>283</v>
      </c>
      <c r="E3294" s="49" t="s">
        <v>6828</v>
      </c>
      <c r="F3294" s="50" t="n">
        <v>0</v>
      </c>
      <c r="G3294" s="49" t="s">
        <v>287</v>
      </c>
      <c r="H3294" s="51" t="n">
        <v>0.0111</v>
      </c>
      <c r="I3294" s="51" t="n">
        <v>0.3282</v>
      </c>
      <c r="J3294" s="51" t="n">
        <v>0.6607</v>
      </c>
      <c r="K3294" s="49"/>
      <c r="L3294" s="49"/>
      <c r="M3294" s="49"/>
      <c r="N3294" s="49"/>
      <c r="O3294" s="49"/>
      <c r="P3294" s="49"/>
      <c r="Q3294" s="49"/>
      <c r="R3294" s="49"/>
      <c r="S3294" s="49" t="n">
        <v>0</v>
      </c>
      <c r="T3294" s="49" t="n">
        <v>0</v>
      </c>
      <c r="U3294" s="49" t="s">
        <v>6829</v>
      </c>
    </row>
    <row r="3295" customFormat="false" ht="15" hidden="false" customHeight="false" outlineLevel="0" collapsed="false">
      <c r="B3295" s="48" t="n">
        <v>46099.6789699074</v>
      </c>
      <c r="C3295" s="4" t="n">
        <f aca="false">YEAR(B3295)</f>
        <v>2026</v>
      </c>
      <c r="D3295" s="49" t="s">
        <v>283</v>
      </c>
      <c r="E3295" s="49" t="s">
        <v>6830</v>
      </c>
      <c r="F3295" s="50" t="n">
        <v>1</v>
      </c>
      <c r="G3295" s="49" t="s">
        <v>280</v>
      </c>
      <c r="H3295" s="51" t="n">
        <v>0.7603</v>
      </c>
      <c r="I3295" s="51" t="n">
        <v>0.223</v>
      </c>
      <c r="J3295" s="51" t="n">
        <v>0.0167</v>
      </c>
      <c r="K3295" s="49"/>
      <c r="L3295" s="49"/>
      <c r="M3295" s="49"/>
      <c r="N3295" s="49"/>
      <c r="O3295" s="49"/>
      <c r="P3295" s="49"/>
      <c r="Q3295" s="49"/>
      <c r="R3295" s="49"/>
      <c r="S3295" s="49" t="n">
        <v>1</v>
      </c>
      <c r="T3295" s="49" t="n">
        <v>0</v>
      </c>
      <c r="U3295" s="49" t="s">
        <v>6831</v>
      </c>
    </row>
    <row r="3296" customFormat="false" ht="15" hidden="false" customHeight="false" outlineLevel="0" collapsed="false">
      <c r="B3296" s="48" t="n">
        <v>46099.7797453704</v>
      </c>
      <c r="C3296" s="4" t="n">
        <f aca="false">YEAR(B3296)</f>
        <v>2026</v>
      </c>
      <c r="D3296" s="49" t="s">
        <v>278</v>
      </c>
      <c r="E3296" s="49" t="s">
        <v>6832</v>
      </c>
      <c r="F3296" s="50" t="n">
        <v>5</v>
      </c>
      <c r="G3296" s="49" t="s">
        <v>280</v>
      </c>
      <c r="H3296" s="51" t="n">
        <v>0.8776</v>
      </c>
      <c r="I3296" s="51" t="n">
        <v>0.1113</v>
      </c>
      <c r="J3296" s="51" t="n">
        <v>0.0112</v>
      </c>
      <c r="K3296" s="49"/>
      <c r="L3296" s="49"/>
      <c r="M3296" s="49"/>
      <c r="N3296" s="49"/>
      <c r="O3296" s="49"/>
      <c r="P3296" s="49"/>
      <c r="Q3296" s="49"/>
      <c r="R3296" s="49"/>
      <c r="S3296" s="49" t="n">
        <v>0</v>
      </c>
      <c r="T3296" s="49" t="n">
        <v>0</v>
      </c>
      <c r="U3296" s="49" t="s">
        <v>6833</v>
      </c>
    </row>
    <row r="3297" customFormat="false" ht="15" hidden="false" customHeight="false" outlineLevel="0" collapsed="false">
      <c r="B3297" s="48" t="n">
        <v>46099.9189583333</v>
      </c>
      <c r="C3297" s="4" t="n">
        <f aca="false">YEAR(B3297)</f>
        <v>2026</v>
      </c>
      <c r="D3297" s="49" t="s">
        <v>283</v>
      </c>
      <c r="E3297" s="49" t="s">
        <v>6834</v>
      </c>
      <c r="F3297" s="50" t="n">
        <v>1</v>
      </c>
      <c r="G3297" s="49" t="s">
        <v>287</v>
      </c>
      <c r="H3297" s="51" t="n">
        <v>0.0129</v>
      </c>
      <c r="I3297" s="51" t="n">
        <v>0.2512</v>
      </c>
      <c r="J3297" s="51" t="n">
        <v>0.7359</v>
      </c>
      <c r="K3297" s="49"/>
      <c r="L3297" s="49"/>
      <c r="M3297" s="49"/>
      <c r="N3297" s="49"/>
      <c r="O3297" s="49"/>
      <c r="P3297" s="49"/>
      <c r="Q3297" s="49"/>
      <c r="R3297" s="49"/>
      <c r="S3297" s="49" t="n">
        <v>0</v>
      </c>
      <c r="T3297" s="49" t="n">
        <v>0</v>
      </c>
      <c r="U3297" s="49" t="s">
        <v>6835</v>
      </c>
    </row>
    <row r="3298" customFormat="false" ht="15" hidden="false" customHeight="false" outlineLevel="0" collapsed="false">
      <c r="B3298" s="48" t="n">
        <v>46100.3100925926</v>
      </c>
      <c r="C3298" s="4" t="n">
        <f aca="false">YEAR(B3298)</f>
        <v>2026</v>
      </c>
      <c r="D3298" s="49" t="s">
        <v>283</v>
      </c>
      <c r="E3298" s="49" t="s">
        <v>6836</v>
      </c>
      <c r="F3298" s="50" t="n">
        <v>1</v>
      </c>
      <c r="G3298" s="49" t="s">
        <v>287</v>
      </c>
      <c r="H3298" s="51" t="n">
        <v>0.0027</v>
      </c>
      <c r="I3298" s="51" t="n">
        <v>0.04</v>
      </c>
      <c r="J3298" s="51" t="n">
        <v>0.9573</v>
      </c>
      <c r="K3298" s="49"/>
      <c r="L3298" s="49"/>
      <c r="M3298" s="49"/>
      <c r="N3298" s="49"/>
      <c r="O3298" s="49"/>
      <c r="P3298" s="49"/>
      <c r="Q3298" s="49"/>
      <c r="R3298" s="49"/>
      <c r="S3298" s="49" t="n">
        <v>0</v>
      </c>
      <c r="T3298" s="49" t="n">
        <v>0</v>
      </c>
      <c r="U3298" s="49" t="s">
        <v>6837</v>
      </c>
    </row>
    <row r="3299" customFormat="false" ht="15" hidden="false" customHeight="false" outlineLevel="0" collapsed="false">
      <c r="B3299" s="48" t="n">
        <v>46100.4535416667</v>
      </c>
      <c r="C3299" s="4" t="n">
        <f aca="false">YEAR(B3299)</f>
        <v>2026</v>
      </c>
      <c r="D3299" s="49" t="s">
        <v>278</v>
      </c>
      <c r="E3299" s="49" t="s">
        <v>6838</v>
      </c>
      <c r="F3299" s="50" t="n">
        <v>6</v>
      </c>
      <c r="G3299" s="49" t="s">
        <v>280</v>
      </c>
      <c r="H3299" s="51" t="n">
        <v>0.9389</v>
      </c>
      <c r="I3299" s="51" t="n">
        <v>0.0535</v>
      </c>
      <c r="J3299" s="51" t="n">
        <v>0.0076</v>
      </c>
      <c r="K3299" s="49"/>
      <c r="L3299" s="49"/>
      <c r="M3299" s="49"/>
      <c r="N3299" s="49"/>
      <c r="O3299" s="49"/>
      <c r="P3299" s="49"/>
      <c r="Q3299" s="49" t="s">
        <v>281</v>
      </c>
      <c r="R3299" s="49"/>
      <c r="S3299" s="49" t="n">
        <v>0</v>
      </c>
      <c r="T3299" s="49" t="n">
        <v>0</v>
      </c>
      <c r="U3299" s="49" t="s">
        <v>6839</v>
      </c>
    </row>
    <row r="3300" customFormat="false" ht="15" hidden="false" customHeight="false" outlineLevel="0" collapsed="false">
      <c r="B3300" s="48" t="n">
        <v>46100.6877430556</v>
      </c>
      <c r="C3300" s="4" t="n">
        <f aca="false">YEAR(B3300)</f>
        <v>2026</v>
      </c>
      <c r="D3300" s="49" t="s">
        <v>283</v>
      </c>
      <c r="E3300" s="49" t="s">
        <v>6840</v>
      </c>
      <c r="F3300" s="50" t="n">
        <v>1</v>
      </c>
      <c r="G3300" s="49" t="s">
        <v>280</v>
      </c>
      <c r="H3300" s="51" t="n">
        <v>0.8126</v>
      </c>
      <c r="I3300" s="51" t="n">
        <v>0.1776</v>
      </c>
      <c r="J3300" s="51" t="n">
        <v>0.0098</v>
      </c>
      <c r="K3300" s="49"/>
      <c r="L3300" s="49"/>
      <c r="M3300" s="49"/>
      <c r="N3300" s="49"/>
      <c r="O3300" s="49"/>
      <c r="P3300" s="49"/>
      <c r="Q3300" s="49" t="s">
        <v>281</v>
      </c>
      <c r="R3300" s="49"/>
      <c r="S3300" s="49" t="n">
        <v>0</v>
      </c>
      <c r="T3300" s="49" t="n">
        <v>0</v>
      </c>
      <c r="U3300" s="49" t="s">
        <v>6841</v>
      </c>
    </row>
    <row r="3301" customFormat="false" ht="15" hidden="false" customHeight="false" outlineLevel="0" collapsed="false">
      <c r="B3301" s="48" t="n">
        <v>46100.6962847222</v>
      </c>
      <c r="C3301" s="4" t="n">
        <f aca="false">YEAR(B3301)</f>
        <v>2026</v>
      </c>
      <c r="D3301" s="49" t="s">
        <v>278</v>
      </c>
      <c r="E3301" s="49" t="s">
        <v>6842</v>
      </c>
      <c r="F3301" s="50" t="n">
        <v>1</v>
      </c>
      <c r="G3301" s="49" t="s">
        <v>290</v>
      </c>
      <c r="H3301" s="51" t="n">
        <v>0.1223</v>
      </c>
      <c r="I3301" s="51" t="n">
        <v>0.6204</v>
      </c>
      <c r="J3301" s="51" t="n">
        <v>0.2572</v>
      </c>
      <c r="K3301" s="49"/>
      <c r="L3301" s="49"/>
      <c r="M3301" s="49"/>
      <c r="N3301" s="49"/>
      <c r="O3301" s="49"/>
      <c r="P3301" s="49"/>
      <c r="Q3301" s="49"/>
      <c r="R3301" s="49"/>
      <c r="S3301" s="49" t="n">
        <v>0</v>
      </c>
      <c r="T3301" s="49" t="n">
        <v>0</v>
      </c>
      <c r="U3301" s="49" t="s">
        <v>6843</v>
      </c>
    </row>
    <row r="3302" customFormat="false" ht="15" hidden="false" customHeight="false" outlineLevel="0" collapsed="false">
      <c r="B3302" s="48" t="n">
        <v>46100.7375231482</v>
      </c>
      <c r="C3302" s="4" t="n">
        <f aca="false">YEAR(B3302)</f>
        <v>2026</v>
      </c>
      <c r="D3302" s="49" t="s">
        <v>278</v>
      </c>
      <c r="E3302" s="49" t="s">
        <v>6844</v>
      </c>
      <c r="F3302" s="50" t="n">
        <v>1</v>
      </c>
      <c r="G3302" s="49" t="s">
        <v>280</v>
      </c>
      <c r="H3302" s="51" t="n">
        <v>0.8741</v>
      </c>
      <c r="I3302" s="51" t="n">
        <v>0.1151</v>
      </c>
      <c r="J3302" s="51" t="n">
        <v>0.0108</v>
      </c>
      <c r="K3302" s="49"/>
      <c r="L3302" s="49"/>
      <c r="M3302" s="49"/>
      <c r="N3302" s="49"/>
      <c r="O3302" s="49"/>
      <c r="P3302" s="49"/>
      <c r="Q3302" s="49"/>
      <c r="R3302" s="49" t="s">
        <v>281</v>
      </c>
      <c r="S3302" s="49" t="n">
        <v>0</v>
      </c>
      <c r="T3302" s="49" t="n">
        <v>0</v>
      </c>
      <c r="U3302" s="49" t="s">
        <v>6845</v>
      </c>
    </row>
    <row r="3303" customFormat="false" ht="15" hidden="false" customHeight="false" outlineLevel="0" collapsed="false">
      <c r="B3303" s="48" t="n">
        <v>46100.8076736111</v>
      </c>
      <c r="C3303" s="4" t="n">
        <f aca="false">YEAR(B3303)</f>
        <v>2026</v>
      </c>
      <c r="D3303" s="49" t="s">
        <v>278</v>
      </c>
      <c r="E3303" s="49" t="s">
        <v>6846</v>
      </c>
      <c r="F3303" s="50" t="n">
        <v>0</v>
      </c>
      <c r="G3303" s="49" t="s">
        <v>290</v>
      </c>
      <c r="H3303" s="51" t="n">
        <v>0.3483</v>
      </c>
      <c r="I3303" s="51" t="n">
        <v>0.6276</v>
      </c>
      <c r="J3303" s="51" t="n">
        <v>0.0241</v>
      </c>
      <c r="K3303" s="49"/>
      <c r="L3303" s="49"/>
      <c r="M3303" s="49"/>
      <c r="N3303" s="49"/>
      <c r="O3303" s="49"/>
      <c r="P3303" s="49"/>
      <c r="Q3303" s="49"/>
      <c r="R3303" s="49"/>
      <c r="S3303" s="49" t="n">
        <v>0</v>
      </c>
      <c r="T3303" s="49" t="n">
        <v>0</v>
      </c>
      <c r="U3303" s="49" t="s">
        <v>6847</v>
      </c>
    </row>
    <row r="3304" customFormat="false" ht="15" hidden="false" customHeight="false" outlineLevel="0" collapsed="false">
      <c r="B3304" s="48" t="n">
        <v>46100.8366898148</v>
      </c>
      <c r="C3304" s="4" t="n">
        <f aca="false">YEAR(B3304)</f>
        <v>2026</v>
      </c>
      <c r="D3304" s="49" t="s">
        <v>278</v>
      </c>
      <c r="E3304" s="49" t="s">
        <v>6848</v>
      </c>
      <c r="F3304" s="50" t="n">
        <v>1</v>
      </c>
      <c r="G3304" s="49" t="s">
        <v>290</v>
      </c>
      <c r="H3304" s="51" t="n">
        <v>0.4481</v>
      </c>
      <c r="I3304" s="51" t="n">
        <v>0.5356</v>
      </c>
      <c r="J3304" s="51" t="n">
        <v>0.0163</v>
      </c>
      <c r="K3304" s="49"/>
      <c r="L3304" s="49"/>
      <c r="M3304" s="49"/>
      <c r="N3304" s="49"/>
      <c r="O3304" s="49"/>
      <c r="P3304" s="49"/>
      <c r="Q3304" s="49"/>
      <c r="R3304" s="49"/>
      <c r="S3304" s="49" t="n">
        <v>1</v>
      </c>
      <c r="T3304" s="49" t="n">
        <v>0</v>
      </c>
      <c r="U3304" s="49" t="s">
        <v>6849</v>
      </c>
    </row>
    <row r="3305" customFormat="false" ht="15" hidden="false" customHeight="false" outlineLevel="0" collapsed="false">
      <c r="B3305" s="48" t="n">
        <v>46100.9252662037</v>
      </c>
      <c r="C3305" s="4" t="n">
        <f aca="false">YEAR(B3305)</f>
        <v>2026</v>
      </c>
      <c r="D3305" s="49" t="s">
        <v>278</v>
      </c>
      <c r="E3305" s="49" t="s">
        <v>6850</v>
      </c>
      <c r="F3305" s="50" t="n">
        <v>4</v>
      </c>
      <c r="G3305" s="49" t="s">
        <v>280</v>
      </c>
      <c r="H3305" s="51" t="n">
        <v>0.8001</v>
      </c>
      <c r="I3305" s="51" t="n">
        <v>0.1866</v>
      </c>
      <c r="J3305" s="51" t="n">
        <v>0.0133</v>
      </c>
      <c r="K3305" s="49"/>
      <c r="L3305" s="49"/>
      <c r="M3305" s="49"/>
      <c r="N3305" s="49"/>
      <c r="O3305" s="49"/>
      <c r="P3305" s="49"/>
      <c r="Q3305" s="49"/>
      <c r="R3305" s="49"/>
      <c r="S3305" s="49" t="n">
        <v>0</v>
      </c>
      <c r="T3305" s="49" t="n">
        <v>0</v>
      </c>
      <c r="U3305" s="49" t="s">
        <v>6851</v>
      </c>
    </row>
    <row r="3306" customFormat="false" ht="15" hidden="false" customHeight="false" outlineLevel="0" collapsed="false">
      <c r="B3306" s="48" t="n">
        <v>46100.9714583333</v>
      </c>
      <c r="C3306" s="4" t="n">
        <f aca="false">YEAR(B3306)</f>
        <v>2026</v>
      </c>
      <c r="D3306" s="49" t="s">
        <v>278</v>
      </c>
      <c r="E3306" s="49" t="s">
        <v>6852</v>
      </c>
      <c r="F3306" s="50" t="n">
        <v>44</v>
      </c>
      <c r="G3306" s="49" t="s">
        <v>290</v>
      </c>
      <c r="H3306" s="51" t="n">
        <v>0.128</v>
      </c>
      <c r="I3306" s="51" t="n">
        <v>0.8081</v>
      </c>
      <c r="J3306" s="51" t="n">
        <v>0.0639</v>
      </c>
      <c r="K3306" s="49"/>
      <c r="L3306" s="49"/>
      <c r="M3306" s="49"/>
      <c r="N3306" s="49"/>
      <c r="O3306" s="49"/>
      <c r="P3306" s="49"/>
      <c r="Q3306" s="49"/>
      <c r="R3306" s="49"/>
      <c r="S3306" s="49" t="n">
        <v>0</v>
      </c>
      <c r="T3306" s="49" t="n">
        <v>0</v>
      </c>
      <c r="U3306" s="49" t="s">
        <v>6853</v>
      </c>
    </row>
    <row r="3307" customFormat="false" ht="15" hidden="false" customHeight="false" outlineLevel="0" collapsed="false">
      <c r="B3307" s="48" t="n">
        <v>46101.3740509259</v>
      </c>
      <c r="C3307" s="4" t="n">
        <f aca="false">YEAR(B3307)</f>
        <v>2026</v>
      </c>
      <c r="D3307" s="49" t="s">
        <v>278</v>
      </c>
      <c r="E3307" s="49" t="s">
        <v>6854</v>
      </c>
      <c r="F3307" s="50" t="n">
        <v>0</v>
      </c>
      <c r="G3307" s="49" t="s">
        <v>290</v>
      </c>
      <c r="H3307" s="51" t="n">
        <v>0.4812</v>
      </c>
      <c r="I3307" s="51" t="n">
        <v>0.4887</v>
      </c>
      <c r="J3307" s="51" t="n">
        <v>0.03</v>
      </c>
      <c r="K3307" s="49"/>
      <c r="L3307" s="49"/>
      <c r="M3307" s="49"/>
      <c r="N3307" s="49"/>
      <c r="O3307" s="49"/>
      <c r="P3307" s="49"/>
      <c r="Q3307" s="49"/>
      <c r="R3307" s="49"/>
      <c r="S3307" s="49" t="n">
        <v>0</v>
      </c>
      <c r="T3307" s="49" t="n">
        <v>0</v>
      </c>
      <c r="U3307" s="49" t="s">
        <v>6855</v>
      </c>
    </row>
    <row r="3308" customFormat="false" ht="15" hidden="false" customHeight="false" outlineLevel="0" collapsed="false">
      <c r="B3308" s="48" t="n">
        <v>46101.3749884259</v>
      </c>
      <c r="C3308" s="4" t="n">
        <f aca="false">YEAR(B3308)</f>
        <v>2026</v>
      </c>
      <c r="D3308" s="49" t="s">
        <v>278</v>
      </c>
      <c r="E3308" s="49" t="s">
        <v>6856</v>
      </c>
      <c r="F3308" s="50" t="n">
        <v>0</v>
      </c>
      <c r="G3308" s="49" t="s">
        <v>287</v>
      </c>
      <c r="H3308" s="51" t="n">
        <v>0.0064</v>
      </c>
      <c r="I3308" s="51" t="n">
        <v>0.3252</v>
      </c>
      <c r="J3308" s="51" t="n">
        <v>0.6683</v>
      </c>
      <c r="K3308" s="49"/>
      <c r="L3308" s="49"/>
      <c r="M3308" s="49"/>
      <c r="N3308" s="49"/>
      <c r="O3308" s="49"/>
      <c r="P3308" s="49"/>
      <c r="Q3308" s="49"/>
      <c r="R3308" s="49"/>
      <c r="S3308" s="49" t="n">
        <v>0</v>
      </c>
      <c r="T3308" s="49" t="n">
        <v>0</v>
      </c>
      <c r="U3308" s="49" t="s">
        <v>6857</v>
      </c>
    </row>
    <row r="3309" customFormat="false" ht="15" hidden="false" customHeight="false" outlineLevel="0" collapsed="false">
      <c r="B3309" s="48" t="n">
        <v>46101.5435069444</v>
      </c>
      <c r="C3309" s="4" t="n">
        <f aca="false">YEAR(B3309)</f>
        <v>2026</v>
      </c>
      <c r="D3309" s="49" t="s">
        <v>278</v>
      </c>
      <c r="E3309" s="49" t="s">
        <v>6858</v>
      </c>
      <c r="F3309" s="50" t="n">
        <v>8</v>
      </c>
      <c r="G3309" s="49" t="s">
        <v>287</v>
      </c>
      <c r="H3309" s="51" t="n">
        <v>0.0182</v>
      </c>
      <c r="I3309" s="51" t="n">
        <v>0.1142</v>
      </c>
      <c r="J3309" s="51" t="n">
        <v>0.8677</v>
      </c>
      <c r="K3309" s="49"/>
      <c r="L3309" s="49"/>
      <c r="M3309" s="49"/>
      <c r="N3309" s="49"/>
      <c r="O3309" s="49"/>
      <c r="P3309" s="49"/>
      <c r="Q3309" s="49"/>
      <c r="R3309" s="49" t="s">
        <v>281</v>
      </c>
      <c r="S3309" s="49" t="n">
        <v>0</v>
      </c>
      <c r="T3309" s="49" t="n">
        <v>0</v>
      </c>
      <c r="U3309" s="49" t="s">
        <v>6859</v>
      </c>
    </row>
    <row r="3310" customFormat="false" ht="15" hidden="false" customHeight="false" outlineLevel="0" collapsed="false">
      <c r="B3310" s="48" t="n">
        <v>46101.7528703704</v>
      </c>
      <c r="C3310" s="4" t="n">
        <f aca="false">YEAR(B3310)</f>
        <v>2026</v>
      </c>
      <c r="D3310" s="49" t="s">
        <v>278</v>
      </c>
      <c r="E3310" s="49" t="s">
        <v>6860</v>
      </c>
      <c r="F3310" s="50" t="n">
        <v>1</v>
      </c>
      <c r="G3310" s="49" t="s">
        <v>290</v>
      </c>
      <c r="H3310" s="51" t="n">
        <v>0.0381</v>
      </c>
      <c r="I3310" s="51" t="n">
        <v>0.8327</v>
      </c>
      <c r="J3310" s="51" t="n">
        <v>0.1292</v>
      </c>
      <c r="K3310" s="49"/>
      <c r="L3310" s="49"/>
      <c r="M3310" s="49"/>
      <c r="N3310" s="49"/>
      <c r="O3310" s="49"/>
      <c r="P3310" s="49"/>
      <c r="Q3310" s="49"/>
      <c r="R3310" s="49"/>
      <c r="S3310" s="49" t="n">
        <v>0</v>
      </c>
      <c r="T3310" s="49" t="n">
        <v>0</v>
      </c>
      <c r="U3310" s="49" t="s">
        <v>6861</v>
      </c>
    </row>
    <row r="3311" customFormat="false" ht="15" hidden="false" customHeight="false" outlineLevel="0" collapsed="false">
      <c r="B3311" s="48" t="n">
        <v>46101.7911574074</v>
      </c>
      <c r="C3311" s="4" t="n">
        <f aca="false">YEAR(B3311)</f>
        <v>2026</v>
      </c>
      <c r="D3311" s="49" t="s">
        <v>283</v>
      </c>
      <c r="E3311" s="49" t="s">
        <v>6862</v>
      </c>
      <c r="F3311" s="50" t="n">
        <v>7</v>
      </c>
      <c r="G3311" s="49" t="s">
        <v>290</v>
      </c>
      <c r="H3311" s="51" t="n">
        <v>0.0272</v>
      </c>
      <c r="I3311" s="51" t="n">
        <v>0.5278</v>
      </c>
      <c r="J3311" s="51" t="n">
        <v>0.4449</v>
      </c>
      <c r="K3311" s="49"/>
      <c r="L3311" s="49"/>
      <c r="M3311" s="49"/>
      <c r="N3311" s="49"/>
      <c r="O3311" s="49"/>
      <c r="P3311" s="49"/>
      <c r="Q3311" s="49"/>
      <c r="R3311" s="49"/>
      <c r="S3311" s="49" t="n">
        <v>0</v>
      </c>
      <c r="T3311" s="49" t="n">
        <v>0</v>
      </c>
      <c r="U3311" s="49" t="s">
        <v>6863</v>
      </c>
    </row>
    <row r="3312" customFormat="false" ht="15" hidden="false" customHeight="false" outlineLevel="0" collapsed="false">
      <c r="B3312" s="48" t="n">
        <v>46101.8304050926</v>
      </c>
      <c r="C3312" s="4" t="n">
        <f aca="false">YEAR(B3312)</f>
        <v>2026</v>
      </c>
      <c r="D3312" s="49" t="s">
        <v>278</v>
      </c>
      <c r="E3312" s="49" t="s">
        <v>6864</v>
      </c>
      <c r="F3312" s="50" t="n">
        <v>1</v>
      </c>
      <c r="G3312" s="49" t="s">
        <v>280</v>
      </c>
      <c r="H3312" s="51" t="n">
        <v>0.7751</v>
      </c>
      <c r="I3312" s="51" t="n">
        <v>0.2059</v>
      </c>
      <c r="J3312" s="51" t="n">
        <v>0.019</v>
      </c>
      <c r="K3312" s="49"/>
      <c r="L3312" s="49"/>
      <c r="M3312" s="49"/>
      <c r="N3312" s="49"/>
      <c r="O3312" s="49"/>
      <c r="P3312" s="49"/>
      <c r="Q3312" s="49" t="s">
        <v>281</v>
      </c>
      <c r="R3312" s="49"/>
      <c r="S3312" s="49" t="n">
        <v>0</v>
      </c>
      <c r="T3312" s="49" t="n">
        <v>0</v>
      </c>
      <c r="U3312" s="49" t="s">
        <v>6865</v>
      </c>
    </row>
    <row r="3313" customFormat="false" ht="15" hidden="false" customHeight="false" outlineLevel="0" collapsed="false">
      <c r="B3313" s="48" t="n">
        <v>46101.9350578704</v>
      </c>
      <c r="C3313" s="4" t="n">
        <f aca="false">YEAR(B3313)</f>
        <v>2026</v>
      </c>
      <c r="D3313" s="49" t="s">
        <v>278</v>
      </c>
      <c r="E3313" s="49" t="s">
        <v>6866</v>
      </c>
      <c r="F3313" s="50" t="n">
        <v>1</v>
      </c>
      <c r="G3313" s="49" t="s">
        <v>280</v>
      </c>
      <c r="H3313" s="51" t="n">
        <v>0.6763</v>
      </c>
      <c r="I3313" s="51" t="n">
        <v>0.2988</v>
      </c>
      <c r="J3313" s="51" t="n">
        <v>0.0249</v>
      </c>
      <c r="K3313" s="49"/>
      <c r="L3313" s="49"/>
      <c r="M3313" s="49"/>
      <c r="N3313" s="49"/>
      <c r="O3313" s="49"/>
      <c r="P3313" s="49"/>
      <c r="Q3313" s="49" t="s">
        <v>281</v>
      </c>
      <c r="R3313" s="49"/>
      <c r="S3313" s="49" t="n">
        <v>0</v>
      </c>
      <c r="T3313" s="49" t="n">
        <v>0</v>
      </c>
      <c r="U3313" s="49" t="s">
        <v>6867</v>
      </c>
    </row>
    <row r="3314" customFormat="false" ht="15" hidden="false" customHeight="false" outlineLevel="0" collapsed="false">
      <c r="B3314" s="48" t="n">
        <v>46101.9700578704</v>
      </c>
      <c r="C3314" s="4" t="n">
        <f aca="false">YEAR(B3314)</f>
        <v>2026</v>
      </c>
      <c r="D3314" s="49" t="s">
        <v>278</v>
      </c>
      <c r="E3314" s="49" t="s">
        <v>6868</v>
      </c>
      <c r="F3314" s="50" t="n">
        <v>53</v>
      </c>
      <c r="G3314" s="49" t="s">
        <v>280</v>
      </c>
      <c r="H3314" s="51" t="n">
        <v>0.8934</v>
      </c>
      <c r="I3314" s="51" t="n">
        <v>0.0885</v>
      </c>
      <c r="J3314" s="51" t="n">
        <v>0.018</v>
      </c>
      <c r="K3314" s="49" t="s">
        <v>281</v>
      </c>
      <c r="L3314" s="49"/>
      <c r="M3314" s="49"/>
      <c r="N3314" s="49"/>
      <c r="O3314" s="49"/>
      <c r="P3314" s="49"/>
      <c r="Q3314" s="49"/>
      <c r="R3314" s="49" t="s">
        <v>281</v>
      </c>
      <c r="S3314" s="49" t="n">
        <v>0</v>
      </c>
      <c r="T3314" s="49" t="n">
        <v>0</v>
      </c>
      <c r="U3314" s="49" t="s">
        <v>6869</v>
      </c>
    </row>
    <row r="3315" customFormat="false" ht="15" hidden="false" customHeight="false" outlineLevel="0" collapsed="false">
      <c r="B3315" s="48" t="n">
        <v>46102.1874074074</v>
      </c>
      <c r="C3315" s="4" t="n">
        <f aca="false">YEAR(B3315)</f>
        <v>2026</v>
      </c>
      <c r="D3315" s="49" t="s">
        <v>278</v>
      </c>
      <c r="E3315" s="49" t="s">
        <v>6870</v>
      </c>
      <c r="F3315" s="50" t="n">
        <v>0</v>
      </c>
      <c r="G3315" s="49" t="s">
        <v>280</v>
      </c>
      <c r="H3315" s="51" t="n">
        <v>0.9035</v>
      </c>
      <c r="I3315" s="51" t="n">
        <v>0.0889</v>
      </c>
      <c r="J3315" s="51" t="n">
        <v>0.0076</v>
      </c>
      <c r="K3315" s="49"/>
      <c r="L3315" s="49"/>
      <c r="M3315" s="49"/>
      <c r="N3315" s="49"/>
      <c r="O3315" s="49"/>
      <c r="P3315" s="49"/>
      <c r="Q3315" s="49"/>
      <c r="R3315" s="49" t="s">
        <v>281</v>
      </c>
      <c r="S3315" s="49" t="n">
        <v>0</v>
      </c>
      <c r="T3315" s="49" t="n">
        <v>0</v>
      </c>
      <c r="U3315" s="49" t="s">
        <v>6871</v>
      </c>
    </row>
    <row r="3316" customFormat="false" ht="15" hidden="false" customHeight="false" outlineLevel="0" collapsed="false">
      <c r="B3316" s="48" t="n">
        <v>46102.5845833333</v>
      </c>
      <c r="C3316" s="4" t="n">
        <f aca="false">YEAR(B3316)</f>
        <v>2026</v>
      </c>
      <c r="D3316" s="49" t="s">
        <v>278</v>
      </c>
      <c r="E3316" s="49" t="s">
        <v>6872</v>
      </c>
      <c r="F3316" s="50" t="n">
        <v>2</v>
      </c>
      <c r="G3316" s="49" t="s">
        <v>280</v>
      </c>
      <c r="H3316" s="51" t="n">
        <v>0.7846</v>
      </c>
      <c r="I3316" s="51" t="n">
        <v>0.2015</v>
      </c>
      <c r="J3316" s="51" t="n">
        <v>0.0139</v>
      </c>
      <c r="K3316" s="49"/>
      <c r="L3316" s="49"/>
      <c r="M3316" s="49"/>
      <c r="N3316" s="49"/>
      <c r="O3316" s="49"/>
      <c r="P3316" s="49"/>
      <c r="Q3316" s="49"/>
      <c r="R3316" s="49"/>
      <c r="S3316" s="49" t="n">
        <v>0</v>
      </c>
      <c r="T3316" s="49" t="n">
        <v>0</v>
      </c>
      <c r="U3316" s="49" t="s">
        <v>6873</v>
      </c>
    </row>
    <row r="3317" customFormat="false" ht="15" hidden="false" customHeight="false" outlineLevel="0" collapsed="false">
      <c r="B3317" s="48" t="n">
        <v>46102.8858217593</v>
      </c>
      <c r="C3317" s="4" t="n">
        <f aca="false">YEAR(B3317)</f>
        <v>2026</v>
      </c>
      <c r="D3317" s="49" t="s">
        <v>278</v>
      </c>
      <c r="E3317" s="49" t="s">
        <v>6874</v>
      </c>
      <c r="F3317" s="50" t="n">
        <v>2</v>
      </c>
      <c r="G3317" s="49" t="s">
        <v>280</v>
      </c>
      <c r="H3317" s="51" t="n">
        <v>0.6265</v>
      </c>
      <c r="I3317" s="51" t="n">
        <v>0.359</v>
      </c>
      <c r="J3317" s="51" t="n">
        <v>0.0146</v>
      </c>
      <c r="K3317" s="49"/>
      <c r="L3317" s="49"/>
      <c r="M3317" s="49"/>
      <c r="N3317" s="49"/>
      <c r="O3317" s="49"/>
      <c r="P3317" s="49"/>
      <c r="Q3317" s="49"/>
      <c r="R3317" s="49"/>
      <c r="S3317" s="49" t="n">
        <v>0</v>
      </c>
      <c r="T3317" s="49" t="n">
        <v>0</v>
      </c>
      <c r="U3317" s="49" t="s">
        <v>6875</v>
      </c>
    </row>
    <row r="3318" customFormat="false" ht="15" hidden="false" customHeight="false" outlineLevel="0" collapsed="false">
      <c r="B3318" s="48" t="n">
        <v>46102.9023263889</v>
      </c>
      <c r="C3318" s="4" t="n">
        <f aca="false">YEAR(B3318)</f>
        <v>2026</v>
      </c>
      <c r="D3318" s="49" t="s">
        <v>283</v>
      </c>
      <c r="E3318" s="49" t="s">
        <v>6876</v>
      </c>
      <c r="F3318" s="50" t="n">
        <v>1</v>
      </c>
      <c r="G3318" s="49" t="s">
        <v>290</v>
      </c>
      <c r="H3318" s="51" t="n">
        <v>0.0365</v>
      </c>
      <c r="I3318" s="51" t="n">
        <v>0.7395</v>
      </c>
      <c r="J3318" s="51" t="n">
        <v>0.224</v>
      </c>
      <c r="K3318" s="49"/>
      <c r="L3318" s="49"/>
      <c r="M3318" s="49"/>
      <c r="N3318" s="49"/>
      <c r="O3318" s="49"/>
      <c r="P3318" s="49"/>
      <c r="Q3318" s="49"/>
      <c r="R3318" s="49"/>
      <c r="S3318" s="49" t="n">
        <v>0</v>
      </c>
      <c r="T3318" s="49" t="n">
        <v>0</v>
      </c>
      <c r="U3318" s="49" t="s">
        <v>6877</v>
      </c>
    </row>
    <row r="3319" customFormat="false" ht="15" hidden="false" customHeight="false" outlineLevel="0" collapsed="false">
      <c r="B3319" s="48" t="n">
        <v>46103.1184027778</v>
      </c>
      <c r="C3319" s="4" t="n">
        <f aca="false">YEAR(B3319)</f>
        <v>2026</v>
      </c>
      <c r="D3319" s="49" t="s">
        <v>278</v>
      </c>
      <c r="E3319" s="49" t="s">
        <v>6878</v>
      </c>
      <c r="F3319" s="50" t="n">
        <v>1</v>
      </c>
      <c r="G3319" s="49" t="s">
        <v>290</v>
      </c>
      <c r="H3319" s="51" t="n">
        <v>0.2289</v>
      </c>
      <c r="I3319" s="51" t="n">
        <v>0.5388</v>
      </c>
      <c r="J3319" s="51" t="n">
        <v>0.2323</v>
      </c>
      <c r="K3319" s="49"/>
      <c r="L3319" s="49"/>
      <c r="M3319" s="49"/>
      <c r="N3319" s="49"/>
      <c r="O3319" s="49"/>
      <c r="P3319" s="49"/>
      <c r="Q3319" s="49"/>
      <c r="R3319" s="49"/>
      <c r="S3319" s="49" t="n">
        <v>0</v>
      </c>
      <c r="T3319" s="49" t="n">
        <v>0</v>
      </c>
      <c r="U3319" s="49" t="s">
        <v>6879</v>
      </c>
    </row>
    <row r="3320" customFormat="false" ht="15" hidden="false" customHeight="false" outlineLevel="0" collapsed="false">
      <c r="B3320" s="48" t="n">
        <v>46103.1247569445</v>
      </c>
      <c r="C3320" s="4" t="n">
        <f aca="false">YEAR(B3320)</f>
        <v>2026</v>
      </c>
      <c r="D3320" s="49" t="s">
        <v>278</v>
      </c>
      <c r="E3320" s="49" t="s">
        <v>6880</v>
      </c>
      <c r="F3320" s="50" t="n">
        <v>1</v>
      </c>
      <c r="G3320" s="49" t="s">
        <v>290</v>
      </c>
      <c r="H3320" s="51" t="n">
        <v>0.1143</v>
      </c>
      <c r="I3320" s="51" t="n">
        <v>0.7196</v>
      </c>
      <c r="J3320" s="51" t="n">
        <v>0.1661</v>
      </c>
      <c r="K3320" s="49"/>
      <c r="L3320" s="49"/>
      <c r="M3320" s="49"/>
      <c r="N3320" s="49"/>
      <c r="O3320" s="49"/>
      <c r="P3320" s="49"/>
      <c r="Q3320" s="49"/>
      <c r="R3320" s="49" t="s">
        <v>281</v>
      </c>
      <c r="S3320" s="49" t="n">
        <v>0</v>
      </c>
      <c r="T3320" s="49" t="n">
        <v>0</v>
      </c>
      <c r="U3320" s="49" t="s">
        <v>6881</v>
      </c>
    </row>
    <row r="3321" customFormat="false" ht="15" hidden="false" customHeight="false" outlineLevel="0" collapsed="false">
      <c r="B3321" s="48" t="n">
        <v>46103.2760532407</v>
      </c>
      <c r="C3321" s="4" t="n">
        <f aca="false">YEAR(B3321)</f>
        <v>2026</v>
      </c>
      <c r="D3321" s="49" t="s">
        <v>278</v>
      </c>
      <c r="E3321" s="49" t="s">
        <v>6882</v>
      </c>
      <c r="F3321" s="50" t="n">
        <v>1</v>
      </c>
      <c r="G3321" s="49" t="s">
        <v>280</v>
      </c>
      <c r="H3321" s="51" t="n">
        <v>0.6661</v>
      </c>
      <c r="I3321" s="51" t="n">
        <v>0.3131</v>
      </c>
      <c r="J3321" s="51" t="n">
        <v>0.0208</v>
      </c>
      <c r="K3321" s="49" t="s">
        <v>281</v>
      </c>
      <c r="L3321" s="49"/>
      <c r="M3321" s="49"/>
      <c r="N3321" s="49"/>
      <c r="O3321" s="49"/>
      <c r="P3321" s="49"/>
      <c r="Q3321" s="49"/>
      <c r="R3321" s="49"/>
      <c r="S3321" s="49" t="n">
        <v>0</v>
      </c>
      <c r="T3321" s="49" t="n">
        <v>0</v>
      </c>
      <c r="U3321" s="49" t="s">
        <v>6883</v>
      </c>
    </row>
    <row r="3322" customFormat="false" ht="15" hidden="false" customHeight="false" outlineLevel="0" collapsed="false">
      <c r="B3322" s="48" t="n">
        <v>46103.4780208333</v>
      </c>
      <c r="C3322" s="4" t="n">
        <f aca="false">YEAR(B3322)</f>
        <v>2026</v>
      </c>
      <c r="D3322" s="49" t="s">
        <v>278</v>
      </c>
      <c r="E3322" s="49" t="s">
        <v>6884</v>
      </c>
      <c r="F3322" s="50" t="n">
        <v>99</v>
      </c>
      <c r="G3322" s="49" t="s">
        <v>280</v>
      </c>
      <c r="H3322" s="51" t="n">
        <v>0.8322</v>
      </c>
      <c r="I3322" s="51" t="n">
        <v>0.1592</v>
      </c>
      <c r="J3322" s="51" t="n">
        <v>0.0085</v>
      </c>
      <c r="K3322" s="49"/>
      <c r="L3322" s="49"/>
      <c r="M3322" s="49" t="s">
        <v>281</v>
      </c>
      <c r="N3322" s="49"/>
      <c r="O3322" s="49"/>
      <c r="P3322" s="49"/>
      <c r="Q3322" s="49"/>
      <c r="R3322" s="49"/>
      <c r="S3322" s="49" t="n">
        <v>0</v>
      </c>
      <c r="T3322" s="49" t="n">
        <v>0</v>
      </c>
      <c r="U3322" s="49" t="s">
        <v>6885</v>
      </c>
    </row>
    <row r="3323" customFormat="false" ht="15" hidden="false" customHeight="false" outlineLevel="0" collapsed="false">
      <c r="B3323" s="48" t="n">
        <v>46103.6076388889</v>
      </c>
      <c r="C3323" s="4" t="n">
        <f aca="false">YEAR(B3323)</f>
        <v>2026</v>
      </c>
      <c r="D3323" s="49" t="s">
        <v>278</v>
      </c>
      <c r="E3323" s="49" t="s">
        <v>6886</v>
      </c>
      <c r="F3323" s="50" t="n">
        <v>0</v>
      </c>
      <c r="G3323" s="49" t="s">
        <v>280</v>
      </c>
      <c r="H3323" s="51" t="n">
        <v>0.8556</v>
      </c>
      <c r="I3323" s="51" t="n">
        <v>0.1346</v>
      </c>
      <c r="J3323" s="51" t="n">
        <v>0.0099</v>
      </c>
      <c r="K3323" s="49"/>
      <c r="L3323" s="49"/>
      <c r="M3323" s="49"/>
      <c r="N3323" s="49"/>
      <c r="O3323" s="49"/>
      <c r="P3323" s="49"/>
      <c r="Q3323" s="49" t="s">
        <v>281</v>
      </c>
      <c r="R3323" s="49"/>
      <c r="S3323" s="49" t="n">
        <v>0</v>
      </c>
      <c r="T3323" s="49" t="n">
        <v>0</v>
      </c>
      <c r="U3323" s="49" t="s">
        <v>6887</v>
      </c>
    </row>
    <row r="3324" customFormat="false" ht="15" hidden="false" customHeight="false" outlineLevel="0" collapsed="false">
      <c r="B3324" s="48" t="n">
        <v>46103.9154976852</v>
      </c>
      <c r="C3324" s="4" t="n">
        <f aca="false">YEAR(B3324)</f>
        <v>2026</v>
      </c>
      <c r="D3324" s="49" t="s">
        <v>278</v>
      </c>
      <c r="E3324" s="49" t="s">
        <v>6888</v>
      </c>
      <c r="F3324" s="50" t="n">
        <v>164</v>
      </c>
      <c r="G3324" s="49" t="s">
        <v>280</v>
      </c>
      <c r="H3324" s="51" t="n">
        <v>0.8304</v>
      </c>
      <c r="I3324" s="51" t="n">
        <v>0.1579</v>
      </c>
      <c r="J3324" s="51" t="n">
        <v>0.0117</v>
      </c>
      <c r="K3324" s="49"/>
      <c r="L3324" s="49"/>
      <c r="M3324" s="49" t="s">
        <v>281</v>
      </c>
      <c r="N3324" s="49"/>
      <c r="O3324" s="49"/>
      <c r="P3324" s="49"/>
      <c r="Q3324" s="49" t="s">
        <v>281</v>
      </c>
      <c r="R3324" s="49"/>
      <c r="S3324" s="49" t="n">
        <v>0</v>
      </c>
      <c r="T3324" s="49" t="n">
        <v>0</v>
      </c>
      <c r="U3324" s="49" t="s">
        <v>6889</v>
      </c>
    </row>
    <row r="3325" customFormat="false" ht="15" hidden="false" customHeight="false" outlineLevel="0" collapsed="false">
      <c r="B3325" s="48" t="n">
        <v>46104.3662731482</v>
      </c>
      <c r="C3325" s="4" t="n">
        <f aca="false">YEAR(B3325)</f>
        <v>2026</v>
      </c>
      <c r="D3325" s="49" t="s">
        <v>278</v>
      </c>
      <c r="E3325" s="49" t="s">
        <v>6890</v>
      </c>
      <c r="F3325" s="50" t="n">
        <v>2</v>
      </c>
      <c r="G3325" s="49" t="s">
        <v>280</v>
      </c>
      <c r="H3325" s="51" t="n">
        <v>0.8352</v>
      </c>
      <c r="I3325" s="51" t="n">
        <v>0.1551</v>
      </c>
      <c r="J3325" s="51" t="n">
        <v>0.0097</v>
      </c>
      <c r="K3325" s="49"/>
      <c r="L3325" s="49"/>
      <c r="M3325" s="49"/>
      <c r="N3325" s="49"/>
      <c r="O3325" s="49"/>
      <c r="P3325" s="49"/>
      <c r="Q3325" s="49"/>
      <c r="R3325" s="49"/>
      <c r="S3325" s="49" t="n">
        <v>0</v>
      </c>
      <c r="T3325" s="49" t="n">
        <v>0</v>
      </c>
      <c r="U3325" s="49" t="s">
        <v>6891</v>
      </c>
    </row>
    <row r="3326" customFormat="false" ht="15" hidden="false" customHeight="false" outlineLevel="0" collapsed="false">
      <c r="B3326" s="48" t="n">
        <v>46104.5569560185</v>
      </c>
      <c r="C3326" s="4" t="n">
        <f aca="false">YEAR(B3326)</f>
        <v>2026</v>
      </c>
      <c r="D3326" s="49" t="s">
        <v>278</v>
      </c>
      <c r="E3326" s="49" t="s">
        <v>6892</v>
      </c>
      <c r="F3326" s="50" t="n">
        <v>14</v>
      </c>
      <c r="G3326" s="49" t="s">
        <v>280</v>
      </c>
      <c r="H3326" s="51" t="n">
        <v>0.5068</v>
      </c>
      <c r="I3326" s="51" t="n">
        <v>0.3774</v>
      </c>
      <c r="J3326" s="51" t="n">
        <v>0.1159</v>
      </c>
      <c r="K3326" s="49"/>
      <c r="L3326" s="49"/>
      <c r="M3326" s="49"/>
      <c r="N3326" s="49"/>
      <c r="O3326" s="49"/>
      <c r="P3326" s="49"/>
      <c r="Q3326" s="49"/>
      <c r="R3326" s="49"/>
      <c r="S3326" s="49" t="n">
        <v>0</v>
      </c>
      <c r="T3326" s="49" t="n">
        <v>0</v>
      </c>
      <c r="U3326" s="49" t="s">
        <v>6893</v>
      </c>
    </row>
    <row r="3327" customFormat="false" ht="15" hidden="false" customHeight="false" outlineLevel="0" collapsed="false">
      <c r="B3327" s="48" t="n">
        <v>46104.7261111111</v>
      </c>
      <c r="C3327" s="4" t="n">
        <f aca="false">YEAR(B3327)</f>
        <v>2026</v>
      </c>
      <c r="D3327" s="49" t="s">
        <v>278</v>
      </c>
      <c r="E3327" s="49" t="s">
        <v>6894</v>
      </c>
      <c r="F3327" s="50" t="n">
        <v>1</v>
      </c>
      <c r="G3327" s="49" t="s">
        <v>290</v>
      </c>
      <c r="H3327" s="51" t="n">
        <v>0.1956</v>
      </c>
      <c r="I3327" s="51" t="n">
        <v>0.5061</v>
      </c>
      <c r="J3327" s="51" t="n">
        <v>0.2983</v>
      </c>
      <c r="K3327" s="49"/>
      <c r="L3327" s="49"/>
      <c r="M3327" s="49"/>
      <c r="N3327" s="49"/>
      <c r="O3327" s="49"/>
      <c r="P3327" s="49"/>
      <c r="Q3327" s="49"/>
      <c r="R3327" s="49"/>
      <c r="S3327" s="49" t="n">
        <v>0</v>
      </c>
      <c r="T3327" s="49" t="n">
        <v>0</v>
      </c>
      <c r="U3327" s="49" t="s">
        <v>6895</v>
      </c>
    </row>
    <row r="3328" customFormat="false" ht="15" hidden="false" customHeight="false" outlineLevel="0" collapsed="false">
      <c r="B3328" s="48" t="n">
        <v>46105.2791782407</v>
      </c>
      <c r="C3328" s="4" t="n">
        <f aca="false">YEAR(B3328)</f>
        <v>2026</v>
      </c>
      <c r="D3328" s="49" t="s">
        <v>278</v>
      </c>
      <c r="E3328" s="49" t="s">
        <v>6896</v>
      </c>
      <c r="F3328" s="50" t="n">
        <v>1</v>
      </c>
      <c r="G3328" s="49" t="s">
        <v>290</v>
      </c>
      <c r="H3328" s="51" t="n">
        <v>0.3355</v>
      </c>
      <c r="I3328" s="51" t="n">
        <v>0.624</v>
      </c>
      <c r="J3328" s="51" t="n">
        <v>0.0405</v>
      </c>
      <c r="K3328" s="49"/>
      <c r="L3328" s="49"/>
      <c r="M3328" s="49"/>
      <c r="N3328" s="49"/>
      <c r="O3328" s="49"/>
      <c r="P3328" s="49"/>
      <c r="Q3328" s="49"/>
      <c r="R3328" s="49"/>
      <c r="S3328" s="49" t="n">
        <v>0</v>
      </c>
      <c r="T3328" s="49" t="n">
        <v>0</v>
      </c>
      <c r="U3328" s="49" t="s">
        <v>6897</v>
      </c>
    </row>
    <row r="3329" customFormat="false" ht="15" hidden="false" customHeight="false" outlineLevel="0" collapsed="false">
      <c r="B3329" s="48" t="n">
        <v>46105.5556712963</v>
      </c>
      <c r="C3329" s="4" t="n">
        <f aca="false">YEAR(B3329)</f>
        <v>2026</v>
      </c>
      <c r="D3329" s="49" t="s">
        <v>278</v>
      </c>
      <c r="E3329" s="49" t="s">
        <v>6898</v>
      </c>
      <c r="F3329" s="50" t="n">
        <v>2</v>
      </c>
      <c r="G3329" s="49" t="s">
        <v>280</v>
      </c>
      <c r="H3329" s="51" t="n">
        <v>0.7917</v>
      </c>
      <c r="I3329" s="51" t="n">
        <v>0.1942</v>
      </c>
      <c r="J3329" s="51" t="n">
        <v>0.0141</v>
      </c>
      <c r="K3329" s="49"/>
      <c r="L3329" s="49"/>
      <c r="M3329" s="49"/>
      <c r="N3329" s="49"/>
      <c r="O3329" s="49"/>
      <c r="P3329" s="49"/>
      <c r="Q3329" s="49"/>
      <c r="R3329" s="49"/>
      <c r="S3329" s="49" t="n">
        <v>0</v>
      </c>
      <c r="T3329" s="49" t="n">
        <v>0</v>
      </c>
      <c r="U3329" s="49" t="s">
        <v>6899</v>
      </c>
    </row>
    <row r="3330" customFormat="false" ht="15" hidden="false" customHeight="false" outlineLevel="0" collapsed="false">
      <c r="B3330" s="48" t="n">
        <v>46105.6032523148</v>
      </c>
      <c r="C3330" s="4" t="n">
        <f aca="false">YEAR(B3330)</f>
        <v>2026</v>
      </c>
      <c r="D3330" s="49" t="s">
        <v>283</v>
      </c>
      <c r="E3330" s="49" t="s">
        <v>6900</v>
      </c>
      <c r="F3330" s="50" t="n">
        <v>1</v>
      </c>
      <c r="G3330" s="49" t="s">
        <v>287</v>
      </c>
      <c r="H3330" s="51" t="n">
        <v>0.007</v>
      </c>
      <c r="I3330" s="51" t="n">
        <v>0.1423</v>
      </c>
      <c r="J3330" s="51" t="n">
        <v>0.8508</v>
      </c>
      <c r="K3330" s="49"/>
      <c r="L3330" s="49"/>
      <c r="M3330" s="49"/>
      <c r="N3330" s="49"/>
      <c r="O3330" s="49"/>
      <c r="P3330" s="49"/>
      <c r="Q3330" s="49"/>
      <c r="R3330" s="49"/>
      <c r="S3330" s="49" t="n">
        <v>0</v>
      </c>
      <c r="T3330" s="49" t="n">
        <v>0</v>
      </c>
      <c r="U3330" s="49" t="s">
        <v>6901</v>
      </c>
    </row>
    <row r="3331" customFormat="false" ht="15" hidden="false" customHeight="false" outlineLevel="0" collapsed="false">
      <c r="B3331" s="48" t="n">
        <v>46105.9299537037</v>
      </c>
      <c r="C3331" s="4" t="n">
        <f aca="false">YEAR(B3331)</f>
        <v>2026</v>
      </c>
      <c r="D3331" s="49" t="s">
        <v>278</v>
      </c>
      <c r="E3331" s="49" t="s">
        <v>6902</v>
      </c>
      <c r="F3331" s="50" t="n">
        <v>0</v>
      </c>
      <c r="G3331" s="49" t="s">
        <v>280</v>
      </c>
      <c r="H3331" s="51" t="n">
        <v>0.8526</v>
      </c>
      <c r="I3331" s="51" t="n">
        <v>0.1389</v>
      </c>
      <c r="J3331" s="51" t="n">
        <v>0.0086</v>
      </c>
      <c r="K3331" s="49"/>
      <c r="L3331" s="49"/>
      <c r="M3331" s="49"/>
      <c r="N3331" s="49"/>
      <c r="O3331" s="49"/>
      <c r="P3331" s="49"/>
      <c r="Q3331" s="49"/>
      <c r="R3331" s="49"/>
      <c r="S3331" s="49" t="n">
        <v>0</v>
      </c>
      <c r="T3331" s="49" t="n">
        <v>0</v>
      </c>
      <c r="U3331" s="49" t="s">
        <v>6903</v>
      </c>
    </row>
    <row r="3332" customFormat="false" ht="15" hidden="false" customHeight="false" outlineLevel="0" collapsed="false">
      <c r="B3332" s="48" t="n">
        <v>46106.5000462963</v>
      </c>
      <c r="C3332" s="4" t="n">
        <f aca="false">YEAR(B3332)</f>
        <v>2026</v>
      </c>
      <c r="D3332" s="49" t="s">
        <v>278</v>
      </c>
      <c r="E3332" s="49" t="s">
        <v>6904</v>
      </c>
      <c r="F3332" s="50" t="n">
        <v>0</v>
      </c>
      <c r="G3332" s="49" t="s">
        <v>280</v>
      </c>
      <c r="H3332" s="51" t="n">
        <v>0.9413</v>
      </c>
      <c r="I3332" s="51" t="n">
        <v>0.054</v>
      </c>
      <c r="J3332" s="51" t="n">
        <v>0.0048</v>
      </c>
      <c r="K3332" s="49"/>
      <c r="L3332" s="49"/>
      <c r="M3332" s="49"/>
      <c r="N3332" s="49"/>
      <c r="O3332" s="49"/>
      <c r="P3332" s="49"/>
      <c r="Q3332" s="49"/>
      <c r="R3332" s="49"/>
      <c r="S3332" s="49" t="n">
        <v>0</v>
      </c>
      <c r="T3332" s="49" t="n">
        <v>1</v>
      </c>
      <c r="U3332" s="49" t="s">
        <v>6905</v>
      </c>
    </row>
    <row r="3333" customFormat="false" ht="15" hidden="false" customHeight="false" outlineLevel="0" collapsed="false">
      <c r="B3333" s="48" t="n">
        <v>46106.6223032407</v>
      </c>
      <c r="C3333" s="4" t="n">
        <f aca="false">YEAR(B3333)</f>
        <v>2026</v>
      </c>
      <c r="D3333" s="49" t="s">
        <v>278</v>
      </c>
      <c r="E3333" s="49" t="s">
        <v>6906</v>
      </c>
      <c r="F3333" s="50" t="n">
        <v>1</v>
      </c>
      <c r="G3333" s="49" t="s">
        <v>280</v>
      </c>
      <c r="H3333" s="51" t="n">
        <v>0.5108</v>
      </c>
      <c r="I3333" s="51" t="n">
        <v>0.426</v>
      </c>
      <c r="J3333" s="51" t="n">
        <v>0.0633</v>
      </c>
      <c r="K3333" s="49"/>
      <c r="L3333" s="49"/>
      <c r="M3333" s="49"/>
      <c r="N3333" s="49"/>
      <c r="O3333" s="49"/>
      <c r="P3333" s="49"/>
      <c r="Q3333" s="49"/>
      <c r="R3333" s="49"/>
      <c r="S3333" s="49" t="n">
        <v>0</v>
      </c>
      <c r="T3333" s="49" t="n">
        <v>0</v>
      </c>
      <c r="U3333" s="49" t="s">
        <v>6907</v>
      </c>
    </row>
    <row r="3334" customFormat="false" ht="15" hidden="false" customHeight="false" outlineLevel="0" collapsed="false">
      <c r="B3334" s="48" t="n">
        <v>46106.8699768519</v>
      </c>
      <c r="C3334" s="4" t="n">
        <f aca="false">YEAR(B3334)</f>
        <v>2026</v>
      </c>
      <c r="D3334" s="49" t="s">
        <v>278</v>
      </c>
      <c r="E3334" s="49" t="s">
        <v>6908</v>
      </c>
      <c r="F3334" s="50" t="n">
        <v>0</v>
      </c>
      <c r="G3334" s="49" t="s">
        <v>290</v>
      </c>
      <c r="H3334" s="51" t="n">
        <v>0.3768</v>
      </c>
      <c r="I3334" s="51" t="n">
        <v>0.5742</v>
      </c>
      <c r="J3334" s="51" t="n">
        <v>0.0491</v>
      </c>
      <c r="K3334" s="49" t="s">
        <v>281</v>
      </c>
      <c r="L3334" s="49"/>
      <c r="M3334" s="49"/>
      <c r="N3334" s="49"/>
      <c r="O3334" s="49"/>
      <c r="P3334" s="49"/>
      <c r="Q3334" s="49"/>
      <c r="R3334" s="49"/>
      <c r="S3334" s="49" t="n">
        <v>0</v>
      </c>
      <c r="T3334" s="49" t="n">
        <v>0</v>
      </c>
      <c r="U3334" s="49" t="s">
        <v>6909</v>
      </c>
    </row>
    <row r="3335" customFormat="false" ht="15" hidden="false" customHeight="false" outlineLevel="0" collapsed="false">
      <c r="B3335" s="48" t="n">
        <v>46106.870462963</v>
      </c>
      <c r="C3335" s="4" t="n">
        <f aca="false">YEAR(B3335)</f>
        <v>2026</v>
      </c>
      <c r="D3335" s="49" t="s">
        <v>278</v>
      </c>
      <c r="E3335" s="49" t="s">
        <v>6910</v>
      </c>
      <c r="F3335" s="50" t="n">
        <v>0</v>
      </c>
      <c r="G3335" s="49" t="s">
        <v>287</v>
      </c>
      <c r="H3335" s="51" t="n">
        <v>0.1856</v>
      </c>
      <c r="I3335" s="51" t="n">
        <v>0.3878</v>
      </c>
      <c r="J3335" s="51" t="n">
        <v>0.4266</v>
      </c>
      <c r="K3335" s="49"/>
      <c r="L3335" s="49"/>
      <c r="M3335" s="49"/>
      <c r="N3335" s="49"/>
      <c r="O3335" s="49"/>
      <c r="P3335" s="49"/>
      <c r="Q3335" s="49"/>
      <c r="R3335" s="49" t="s">
        <v>281</v>
      </c>
      <c r="S3335" s="49" t="n">
        <v>0</v>
      </c>
      <c r="T3335" s="49" t="n">
        <v>0</v>
      </c>
      <c r="U3335" s="49" t="s">
        <v>6911</v>
      </c>
    </row>
    <row r="3336" customFormat="false" ht="15" hidden="false" customHeight="false" outlineLevel="0" collapsed="false">
      <c r="B3336" s="48" t="n">
        <v>46107.5591087963</v>
      </c>
      <c r="C3336" s="4" t="n">
        <f aca="false">YEAR(B3336)</f>
        <v>2026</v>
      </c>
      <c r="D3336" s="49" t="s">
        <v>278</v>
      </c>
      <c r="E3336" s="49" t="s">
        <v>6912</v>
      </c>
      <c r="F3336" s="50" t="n">
        <v>1</v>
      </c>
      <c r="G3336" s="49" t="s">
        <v>280</v>
      </c>
      <c r="H3336" s="51" t="n">
        <v>0.8893</v>
      </c>
      <c r="I3336" s="51" t="n">
        <v>0.1013</v>
      </c>
      <c r="J3336" s="51" t="n">
        <v>0.0094</v>
      </c>
      <c r="K3336" s="49"/>
      <c r="L3336" s="49"/>
      <c r="M3336" s="49"/>
      <c r="N3336" s="49"/>
      <c r="O3336" s="49"/>
      <c r="P3336" s="49"/>
      <c r="Q3336" s="49"/>
      <c r="R3336" s="49"/>
      <c r="S3336" s="49" t="n">
        <v>0</v>
      </c>
      <c r="T3336" s="49" t="n">
        <v>0</v>
      </c>
      <c r="U3336" s="49" t="s">
        <v>6913</v>
      </c>
    </row>
    <row r="3337" customFormat="false" ht="15" hidden="false" customHeight="false" outlineLevel="0" collapsed="false">
      <c r="B3337" s="48" t="n">
        <v>46107.6910648148</v>
      </c>
      <c r="C3337" s="4" t="n">
        <f aca="false">YEAR(B3337)</f>
        <v>2026</v>
      </c>
      <c r="D3337" s="49" t="s">
        <v>283</v>
      </c>
      <c r="E3337" s="49" t="s">
        <v>6914</v>
      </c>
      <c r="F3337" s="50" t="n">
        <v>64</v>
      </c>
      <c r="G3337" s="49" t="s">
        <v>280</v>
      </c>
      <c r="H3337" s="51" t="n">
        <v>0.6354</v>
      </c>
      <c r="I3337" s="51" t="n">
        <v>0.3249</v>
      </c>
      <c r="J3337" s="51" t="n">
        <v>0.0398</v>
      </c>
      <c r="K3337" s="49" t="s">
        <v>281</v>
      </c>
      <c r="L3337" s="49"/>
      <c r="M3337" s="49"/>
      <c r="N3337" s="49"/>
      <c r="O3337" s="49"/>
      <c r="P3337" s="49"/>
      <c r="Q3337" s="49"/>
      <c r="R3337" s="49"/>
      <c r="S3337" s="49" t="n">
        <v>0</v>
      </c>
      <c r="T3337" s="49" t="n">
        <v>0</v>
      </c>
      <c r="U3337" s="49" t="s">
        <v>6915</v>
      </c>
    </row>
    <row r="3338" customFormat="false" ht="15" hidden="false" customHeight="false" outlineLevel="0" collapsed="false">
      <c r="B3338" s="48" t="n">
        <v>46107.7150462963</v>
      </c>
      <c r="C3338" s="4" t="n">
        <f aca="false">YEAR(B3338)</f>
        <v>2026</v>
      </c>
      <c r="D3338" s="49" t="s">
        <v>278</v>
      </c>
      <c r="E3338" s="49" t="s">
        <v>6916</v>
      </c>
      <c r="F3338" s="50" t="n">
        <v>0</v>
      </c>
      <c r="G3338" s="49" t="s">
        <v>280</v>
      </c>
      <c r="H3338" s="51" t="n">
        <v>0.6096</v>
      </c>
      <c r="I3338" s="51" t="n">
        <v>0.3698</v>
      </c>
      <c r="J3338" s="51" t="n">
        <v>0.0206</v>
      </c>
      <c r="K3338" s="49"/>
      <c r="L3338" s="49"/>
      <c r="M3338" s="49"/>
      <c r="N3338" s="49"/>
      <c r="O3338" s="49"/>
      <c r="P3338" s="49"/>
      <c r="Q3338" s="49"/>
      <c r="R3338" s="49"/>
      <c r="S3338" s="49" t="n">
        <v>0</v>
      </c>
      <c r="T3338" s="49" t="n">
        <v>0</v>
      </c>
      <c r="U3338" s="49" t="s">
        <v>6917</v>
      </c>
    </row>
    <row r="3339" customFormat="false" ht="15" hidden="false" customHeight="false" outlineLevel="0" collapsed="false">
      <c r="B3339" s="48" t="n">
        <v>46107.7412384259</v>
      </c>
      <c r="C3339" s="4" t="n">
        <f aca="false">YEAR(B3339)</f>
        <v>2026</v>
      </c>
      <c r="D3339" s="49" t="s">
        <v>278</v>
      </c>
      <c r="E3339" s="49" t="s">
        <v>6918</v>
      </c>
      <c r="F3339" s="50" t="n">
        <v>21</v>
      </c>
      <c r="G3339" s="49" t="s">
        <v>287</v>
      </c>
      <c r="H3339" s="51" t="n">
        <v>0.0909</v>
      </c>
      <c r="I3339" s="51" t="n">
        <v>0.2039</v>
      </c>
      <c r="J3339" s="51" t="n">
        <v>0.7052</v>
      </c>
      <c r="K3339" s="49"/>
      <c r="L3339" s="49"/>
      <c r="M3339" s="49"/>
      <c r="N3339" s="49"/>
      <c r="O3339" s="49"/>
      <c r="P3339" s="49"/>
      <c r="Q3339" s="49"/>
      <c r="R3339" s="49" t="s">
        <v>281</v>
      </c>
      <c r="S3339" s="49" t="n">
        <v>0</v>
      </c>
      <c r="T3339" s="49" t="n">
        <v>0</v>
      </c>
      <c r="U3339" s="49" t="s">
        <v>6919</v>
      </c>
    </row>
    <row r="3340" customFormat="false" ht="15" hidden="false" customHeight="false" outlineLevel="0" collapsed="false">
      <c r="B3340" s="48" t="n">
        <v>46108.3799305556</v>
      </c>
      <c r="C3340" s="4" t="n">
        <f aca="false">YEAR(B3340)</f>
        <v>2026</v>
      </c>
      <c r="D3340" s="49" t="s">
        <v>278</v>
      </c>
      <c r="E3340" s="49" t="s">
        <v>6920</v>
      </c>
      <c r="F3340" s="50" t="n">
        <v>0</v>
      </c>
      <c r="G3340" s="49" t="s">
        <v>280</v>
      </c>
      <c r="H3340" s="51" t="n">
        <v>0.8655</v>
      </c>
      <c r="I3340" s="51" t="n">
        <v>0.1277</v>
      </c>
      <c r="J3340" s="51" t="n">
        <v>0.0068</v>
      </c>
      <c r="K3340" s="49"/>
      <c r="L3340" s="49"/>
      <c r="M3340" s="49"/>
      <c r="N3340" s="49"/>
      <c r="O3340" s="49"/>
      <c r="P3340" s="49"/>
      <c r="Q3340" s="49"/>
      <c r="R3340" s="49" t="s">
        <v>281</v>
      </c>
      <c r="S3340" s="49" t="n">
        <v>0</v>
      </c>
      <c r="T3340" s="49" t="n">
        <v>0</v>
      </c>
      <c r="U3340" s="49" t="s">
        <v>6921</v>
      </c>
    </row>
    <row r="3341" customFormat="false" ht="15" hidden="false" customHeight="false" outlineLevel="0" collapsed="false">
      <c r="B3341" s="48" t="n">
        <v>46108.4788541667</v>
      </c>
      <c r="C3341" s="4" t="n">
        <f aca="false">YEAR(B3341)</f>
        <v>2026</v>
      </c>
      <c r="D3341" s="49" t="s">
        <v>283</v>
      </c>
      <c r="E3341" s="49" t="s">
        <v>6922</v>
      </c>
      <c r="F3341" s="50" t="n">
        <v>1</v>
      </c>
      <c r="G3341" s="49" t="s">
        <v>290</v>
      </c>
      <c r="H3341" s="51" t="n">
        <v>0.0121</v>
      </c>
      <c r="I3341" s="51" t="n">
        <v>0.9209</v>
      </c>
      <c r="J3341" s="51" t="n">
        <v>0.067</v>
      </c>
      <c r="K3341" s="49"/>
      <c r="L3341" s="49"/>
      <c r="M3341" s="49"/>
      <c r="N3341" s="49"/>
      <c r="O3341" s="49"/>
      <c r="P3341" s="49"/>
      <c r="Q3341" s="49"/>
      <c r="R3341" s="49"/>
      <c r="S3341" s="49" t="n">
        <v>1</v>
      </c>
      <c r="T3341" s="49" t="n">
        <v>0</v>
      </c>
      <c r="U3341" s="49" t="s">
        <v>6923</v>
      </c>
    </row>
    <row r="3342" customFormat="false" ht="15" hidden="false" customHeight="false" outlineLevel="0" collapsed="false">
      <c r="B3342" s="48" t="n">
        <v>46108.5118287037</v>
      </c>
      <c r="C3342" s="4" t="n">
        <f aca="false">YEAR(B3342)</f>
        <v>2026</v>
      </c>
      <c r="D3342" s="49" t="s">
        <v>278</v>
      </c>
      <c r="E3342" s="49" t="s">
        <v>6924</v>
      </c>
      <c r="F3342" s="50" t="n">
        <v>1</v>
      </c>
      <c r="G3342" s="49" t="s">
        <v>280</v>
      </c>
      <c r="H3342" s="51" t="n">
        <v>0.5726</v>
      </c>
      <c r="I3342" s="51" t="n">
        <v>0.3966</v>
      </c>
      <c r="J3342" s="51" t="n">
        <v>0.0308</v>
      </c>
      <c r="K3342" s="49"/>
      <c r="L3342" s="49"/>
      <c r="M3342" s="49"/>
      <c r="N3342" s="49"/>
      <c r="O3342" s="49"/>
      <c r="P3342" s="49"/>
      <c r="Q3342" s="49"/>
      <c r="R3342" s="49" t="s">
        <v>281</v>
      </c>
      <c r="S3342" s="49" t="n">
        <v>0</v>
      </c>
      <c r="T3342" s="49" t="n">
        <v>0</v>
      </c>
      <c r="U3342" s="49" t="s">
        <v>6925</v>
      </c>
    </row>
    <row r="3343" customFormat="false" ht="15" hidden="false" customHeight="false" outlineLevel="0" collapsed="false">
      <c r="B3343" s="48" t="n">
        <v>46108.5265856482</v>
      </c>
      <c r="C3343" s="4" t="n">
        <f aca="false">YEAR(B3343)</f>
        <v>2026</v>
      </c>
      <c r="D3343" s="49" t="s">
        <v>283</v>
      </c>
      <c r="E3343" s="49" t="s">
        <v>6926</v>
      </c>
      <c r="F3343" s="50" t="n">
        <v>1</v>
      </c>
      <c r="G3343" s="49" t="s">
        <v>290</v>
      </c>
      <c r="H3343" s="51" t="n">
        <v>0.0075</v>
      </c>
      <c r="I3343" s="51" t="n">
        <v>0.9098</v>
      </c>
      <c r="J3343" s="51" t="n">
        <v>0.0827</v>
      </c>
      <c r="K3343" s="49"/>
      <c r="L3343" s="49"/>
      <c r="M3343" s="49"/>
      <c r="N3343" s="49"/>
      <c r="O3343" s="49"/>
      <c r="P3343" s="49"/>
      <c r="Q3343" s="49" t="s">
        <v>281</v>
      </c>
      <c r="R3343" s="49"/>
      <c r="S3343" s="49" t="n">
        <v>1</v>
      </c>
      <c r="T3343" s="49" t="n">
        <v>0</v>
      </c>
      <c r="U3343" s="49" t="s">
        <v>6927</v>
      </c>
    </row>
    <row r="3344" customFormat="false" ht="15" hidden="false" customHeight="false" outlineLevel="0" collapsed="false">
      <c r="B3344" s="48" t="n">
        <v>46108.5369907407</v>
      </c>
      <c r="C3344" s="4" t="n">
        <f aca="false">YEAR(B3344)</f>
        <v>2026</v>
      </c>
      <c r="D3344" s="49" t="s">
        <v>278</v>
      </c>
      <c r="E3344" s="49" t="s">
        <v>6928</v>
      </c>
      <c r="F3344" s="50" t="n">
        <v>0</v>
      </c>
      <c r="G3344" s="49" t="s">
        <v>280</v>
      </c>
      <c r="H3344" s="51" t="n">
        <v>0.7807</v>
      </c>
      <c r="I3344" s="51" t="n">
        <v>0.2069</v>
      </c>
      <c r="J3344" s="51" t="n">
        <v>0.0124</v>
      </c>
      <c r="K3344" s="49"/>
      <c r="L3344" s="49"/>
      <c r="M3344" s="49"/>
      <c r="N3344" s="49"/>
      <c r="O3344" s="49"/>
      <c r="P3344" s="49"/>
      <c r="Q3344" s="49" t="s">
        <v>281</v>
      </c>
      <c r="R3344" s="49"/>
      <c r="S3344" s="49" t="n">
        <v>0</v>
      </c>
      <c r="T3344" s="49" t="n">
        <v>0</v>
      </c>
      <c r="U3344" s="49" t="s">
        <v>6929</v>
      </c>
    </row>
    <row r="3345" customFormat="false" ht="15" hidden="false" customHeight="false" outlineLevel="0" collapsed="false">
      <c r="B3345" s="48" t="n">
        <v>46108.5604513889</v>
      </c>
      <c r="C3345" s="4" t="n">
        <f aca="false">YEAR(B3345)</f>
        <v>2026</v>
      </c>
      <c r="D3345" s="49" t="s">
        <v>278</v>
      </c>
      <c r="E3345" s="49" t="s">
        <v>6930</v>
      </c>
      <c r="F3345" s="50" t="n">
        <v>7</v>
      </c>
      <c r="G3345" s="49" t="s">
        <v>280</v>
      </c>
      <c r="H3345" s="51" t="n">
        <v>0.7922</v>
      </c>
      <c r="I3345" s="51" t="n">
        <v>0.1983</v>
      </c>
      <c r="J3345" s="51" t="n">
        <v>0.0095</v>
      </c>
      <c r="K3345" s="49" t="s">
        <v>281</v>
      </c>
      <c r="L3345" s="49"/>
      <c r="M3345" s="49"/>
      <c r="N3345" s="49"/>
      <c r="O3345" s="49"/>
      <c r="P3345" s="49"/>
      <c r="Q3345" s="49"/>
      <c r="R3345" s="49"/>
      <c r="S3345" s="49" t="n">
        <v>0</v>
      </c>
      <c r="T3345" s="49" t="n">
        <v>0</v>
      </c>
      <c r="U3345" s="49" t="s">
        <v>6931</v>
      </c>
    </row>
    <row r="3346" customFormat="false" ht="15" hidden="false" customHeight="false" outlineLevel="0" collapsed="false">
      <c r="B3346" s="48" t="n">
        <v>46108.5643055556</v>
      </c>
      <c r="C3346" s="4" t="n">
        <f aca="false">YEAR(B3346)</f>
        <v>2026</v>
      </c>
      <c r="D3346" s="49" t="s">
        <v>278</v>
      </c>
      <c r="E3346" s="49" t="s">
        <v>6932</v>
      </c>
      <c r="F3346" s="50" t="n">
        <v>0</v>
      </c>
      <c r="G3346" s="49" t="s">
        <v>280</v>
      </c>
      <c r="H3346" s="51" t="n">
        <v>0.8491</v>
      </c>
      <c r="I3346" s="51" t="n">
        <v>0.1404</v>
      </c>
      <c r="J3346" s="51" t="n">
        <v>0.0105</v>
      </c>
      <c r="K3346" s="49"/>
      <c r="L3346" s="49"/>
      <c r="M3346" s="49"/>
      <c r="N3346" s="49"/>
      <c r="O3346" s="49"/>
      <c r="P3346" s="49"/>
      <c r="Q3346" s="49"/>
      <c r="R3346" s="49" t="s">
        <v>281</v>
      </c>
      <c r="S3346" s="49" t="n">
        <v>0</v>
      </c>
      <c r="T3346" s="49" t="n">
        <v>0</v>
      </c>
      <c r="U3346" s="49" t="s">
        <v>6933</v>
      </c>
    </row>
    <row r="3347" customFormat="false" ht="15" hidden="false" customHeight="false" outlineLevel="0" collapsed="false">
      <c r="B3347" s="48" t="n">
        <v>46108.6960416667</v>
      </c>
      <c r="C3347" s="4" t="n">
        <f aca="false">YEAR(B3347)</f>
        <v>2026</v>
      </c>
      <c r="D3347" s="49" t="s">
        <v>283</v>
      </c>
      <c r="E3347" s="49" t="s">
        <v>6934</v>
      </c>
      <c r="F3347" s="50" t="n">
        <v>3</v>
      </c>
      <c r="G3347" s="49" t="s">
        <v>290</v>
      </c>
      <c r="H3347" s="51" t="n">
        <v>0.0185</v>
      </c>
      <c r="I3347" s="51" t="n">
        <v>0.5047</v>
      </c>
      <c r="J3347" s="51" t="n">
        <v>0.4768</v>
      </c>
      <c r="K3347" s="49"/>
      <c r="L3347" s="49"/>
      <c r="M3347" s="49"/>
      <c r="N3347" s="49"/>
      <c r="O3347" s="49"/>
      <c r="P3347" s="49"/>
      <c r="Q3347" s="49"/>
      <c r="R3347" s="49"/>
      <c r="S3347" s="49" t="n">
        <v>0</v>
      </c>
      <c r="T3347" s="49" t="n">
        <v>0</v>
      </c>
      <c r="U3347" s="49" t="s">
        <v>6935</v>
      </c>
    </row>
    <row r="3348" customFormat="false" ht="15" hidden="false" customHeight="false" outlineLevel="0" collapsed="false">
      <c r="B3348" s="48" t="n">
        <v>46109.1960069445</v>
      </c>
      <c r="C3348" s="4" t="n">
        <f aca="false">YEAR(B3348)</f>
        <v>2026</v>
      </c>
      <c r="D3348" s="49" t="s">
        <v>278</v>
      </c>
      <c r="E3348" s="49" t="s">
        <v>6936</v>
      </c>
      <c r="F3348" s="50" t="n">
        <v>2</v>
      </c>
      <c r="G3348" s="49" t="s">
        <v>280</v>
      </c>
      <c r="H3348" s="51" t="n">
        <v>0.5849</v>
      </c>
      <c r="I3348" s="51" t="n">
        <v>0.3716</v>
      </c>
      <c r="J3348" s="51" t="n">
        <v>0.0435</v>
      </c>
      <c r="K3348" s="49"/>
      <c r="L3348" s="49"/>
      <c r="M3348" s="49"/>
      <c r="N3348" s="49"/>
      <c r="O3348" s="49"/>
      <c r="P3348" s="49"/>
      <c r="Q3348" s="49"/>
      <c r="R3348" s="49"/>
      <c r="S3348" s="49" t="n">
        <v>0</v>
      </c>
      <c r="T3348" s="49" t="n">
        <v>0</v>
      </c>
      <c r="U3348" s="49" t="s">
        <v>6937</v>
      </c>
    </row>
    <row r="3349" customFormat="false" ht="15" hidden="false" customHeight="false" outlineLevel="0" collapsed="false">
      <c r="B3349" s="48" t="n">
        <v>46109.3995601852</v>
      </c>
      <c r="C3349" s="4" t="n">
        <f aca="false">YEAR(B3349)</f>
        <v>2026</v>
      </c>
      <c r="D3349" s="49" t="s">
        <v>278</v>
      </c>
      <c r="E3349" s="49" t="s">
        <v>6938</v>
      </c>
      <c r="F3349" s="50" t="n">
        <v>7</v>
      </c>
      <c r="G3349" s="49" t="s">
        <v>280</v>
      </c>
      <c r="H3349" s="51" t="n">
        <v>0.814</v>
      </c>
      <c r="I3349" s="51" t="n">
        <v>0.1737</v>
      </c>
      <c r="J3349" s="51" t="n">
        <v>0.0123</v>
      </c>
      <c r="K3349" s="49"/>
      <c r="L3349" s="49"/>
      <c r="M3349" s="49"/>
      <c r="N3349" s="49"/>
      <c r="O3349" s="49"/>
      <c r="P3349" s="49"/>
      <c r="Q3349" s="49"/>
      <c r="R3349" s="49"/>
      <c r="S3349" s="49" t="n">
        <v>0</v>
      </c>
      <c r="T3349" s="49" t="n">
        <v>0</v>
      </c>
      <c r="U3349" s="49" t="s">
        <v>6939</v>
      </c>
    </row>
    <row r="3350" customFormat="false" ht="15" hidden="false" customHeight="false" outlineLevel="0" collapsed="false">
      <c r="B3350" s="48" t="n">
        <v>46109.8081134259</v>
      </c>
      <c r="C3350" s="4" t="n">
        <f aca="false">YEAR(B3350)</f>
        <v>2026</v>
      </c>
      <c r="D3350" s="49" t="s">
        <v>283</v>
      </c>
      <c r="E3350" s="49" t="s">
        <v>6940</v>
      </c>
      <c r="F3350" s="50" t="n">
        <v>0</v>
      </c>
      <c r="G3350" s="49" t="s">
        <v>287</v>
      </c>
      <c r="H3350" s="51" t="n">
        <v>0.0015</v>
      </c>
      <c r="I3350" s="51" t="n">
        <v>0.0249</v>
      </c>
      <c r="J3350" s="51" t="n">
        <v>0.9737</v>
      </c>
      <c r="K3350" s="49"/>
      <c r="L3350" s="49"/>
      <c r="M3350" s="49"/>
      <c r="N3350" s="49"/>
      <c r="O3350" s="49"/>
      <c r="P3350" s="49"/>
      <c r="Q3350" s="49" t="s">
        <v>281</v>
      </c>
      <c r="R3350" s="49"/>
      <c r="S3350" s="49" t="n">
        <v>0</v>
      </c>
      <c r="T3350" s="49" t="n">
        <v>0</v>
      </c>
      <c r="U3350" s="49" t="s">
        <v>6941</v>
      </c>
    </row>
    <row r="3351" customFormat="false" ht="15" hidden="false" customHeight="false" outlineLevel="0" collapsed="false">
      <c r="B3351" s="48" t="n">
        <v>46110.0527662037</v>
      </c>
      <c r="C3351" s="4" t="n">
        <f aca="false">YEAR(B3351)</f>
        <v>2026</v>
      </c>
      <c r="D3351" s="49" t="s">
        <v>278</v>
      </c>
      <c r="E3351" s="49" t="s">
        <v>6942</v>
      </c>
      <c r="F3351" s="50" t="n">
        <v>139</v>
      </c>
      <c r="G3351" s="49" t="s">
        <v>280</v>
      </c>
      <c r="H3351" s="51" t="n">
        <v>0.9499</v>
      </c>
      <c r="I3351" s="51" t="n">
        <v>0.0445</v>
      </c>
      <c r="J3351" s="51" t="n">
        <v>0.0056</v>
      </c>
      <c r="K3351" s="49"/>
      <c r="L3351" s="49"/>
      <c r="M3351" s="49" t="s">
        <v>281</v>
      </c>
      <c r="N3351" s="49"/>
      <c r="O3351" s="49"/>
      <c r="P3351" s="49"/>
      <c r="Q3351" s="49"/>
      <c r="R3351" s="49" t="s">
        <v>281</v>
      </c>
      <c r="S3351" s="49" t="n">
        <v>0</v>
      </c>
      <c r="T3351" s="49" t="n">
        <v>0</v>
      </c>
      <c r="U3351" s="49" t="s">
        <v>6943</v>
      </c>
    </row>
    <row r="3352" customFormat="false" ht="15" hidden="false" customHeight="false" outlineLevel="0" collapsed="false">
      <c r="B3352" s="48" t="n">
        <v>46110.5514930556</v>
      </c>
      <c r="C3352" s="4" t="n">
        <f aca="false">YEAR(B3352)</f>
        <v>2026</v>
      </c>
      <c r="D3352" s="49" t="s">
        <v>278</v>
      </c>
      <c r="E3352" s="49" t="s">
        <v>6944</v>
      </c>
      <c r="F3352" s="50" t="n">
        <v>0</v>
      </c>
      <c r="G3352" s="49" t="s">
        <v>280</v>
      </c>
      <c r="H3352" s="51" t="n">
        <v>0.8257</v>
      </c>
      <c r="I3352" s="51" t="n">
        <v>0.157</v>
      </c>
      <c r="J3352" s="51" t="n">
        <v>0.0172</v>
      </c>
      <c r="K3352" s="49" t="s">
        <v>281</v>
      </c>
      <c r="L3352" s="49"/>
      <c r="M3352" s="49"/>
      <c r="N3352" s="49"/>
      <c r="O3352" s="49"/>
      <c r="P3352" s="49"/>
      <c r="Q3352" s="49"/>
      <c r="R3352" s="49"/>
      <c r="S3352" s="49" t="n">
        <v>0</v>
      </c>
      <c r="T3352" s="49" t="n">
        <v>0</v>
      </c>
      <c r="U3352" s="49" t="s">
        <v>6945</v>
      </c>
    </row>
    <row r="3353" customFormat="false" ht="15" hidden="false" customHeight="false" outlineLevel="0" collapsed="false">
      <c r="B3353" s="48" t="n">
        <v>46110.5922222222</v>
      </c>
      <c r="C3353" s="4" t="n">
        <f aca="false">YEAR(B3353)</f>
        <v>2026</v>
      </c>
      <c r="D3353" s="49" t="s">
        <v>278</v>
      </c>
      <c r="E3353" s="49" t="s">
        <v>6946</v>
      </c>
      <c r="F3353" s="50" t="n">
        <v>3</v>
      </c>
      <c r="G3353" s="49" t="s">
        <v>280</v>
      </c>
      <c r="H3353" s="51" t="n">
        <v>0.7621</v>
      </c>
      <c r="I3353" s="51" t="n">
        <v>0.2275</v>
      </c>
      <c r="J3353" s="51" t="n">
        <v>0.0103</v>
      </c>
      <c r="K3353" s="49"/>
      <c r="L3353" s="49"/>
      <c r="M3353" s="49"/>
      <c r="N3353" s="49" t="s">
        <v>281</v>
      </c>
      <c r="O3353" s="49"/>
      <c r="P3353" s="49"/>
      <c r="Q3353" s="49"/>
      <c r="R3353" s="49"/>
      <c r="S3353" s="49" t="n">
        <v>0</v>
      </c>
      <c r="T3353" s="49" t="n">
        <v>0</v>
      </c>
      <c r="U3353" s="49" t="s">
        <v>6947</v>
      </c>
    </row>
    <row r="3354" customFormat="false" ht="15" hidden="false" customHeight="false" outlineLevel="0" collapsed="false">
      <c r="B3354" s="48" t="n">
        <v>46110.6830092593</v>
      </c>
      <c r="C3354" s="4" t="n">
        <f aca="false">YEAR(B3354)</f>
        <v>2026</v>
      </c>
      <c r="D3354" s="49" t="s">
        <v>283</v>
      </c>
      <c r="E3354" s="49" t="s">
        <v>6948</v>
      </c>
      <c r="F3354" s="50" t="n">
        <v>1</v>
      </c>
      <c r="G3354" s="49" t="s">
        <v>287</v>
      </c>
      <c r="H3354" s="51" t="n">
        <v>0.0036</v>
      </c>
      <c r="I3354" s="51" t="n">
        <v>0.4828</v>
      </c>
      <c r="J3354" s="51" t="n">
        <v>0.5136</v>
      </c>
      <c r="K3354" s="49"/>
      <c r="L3354" s="49"/>
      <c r="M3354" s="49"/>
      <c r="N3354" s="49"/>
      <c r="O3354" s="49"/>
      <c r="P3354" s="49"/>
      <c r="Q3354" s="49"/>
      <c r="R3354" s="49"/>
      <c r="S3354" s="49" t="n">
        <v>0</v>
      </c>
      <c r="T3354" s="49" t="n">
        <v>0</v>
      </c>
      <c r="U3354" s="49" t="s">
        <v>6949</v>
      </c>
    </row>
    <row r="3355" customFormat="false" ht="15" hidden="false" customHeight="false" outlineLevel="0" collapsed="false">
      <c r="B3355" s="48" t="n">
        <v>46110.6986226852</v>
      </c>
      <c r="C3355" s="4" t="n">
        <f aca="false">YEAR(B3355)</f>
        <v>2026</v>
      </c>
      <c r="D3355" s="49" t="s">
        <v>283</v>
      </c>
      <c r="E3355" s="49" t="s">
        <v>6950</v>
      </c>
      <c r="F3355" s="50" t="n">
        <v>0</v>
      </c>
      <c r="G3355" s="49" t="s">
        <v>287</v>
      </c>
      <c r="H3355" s="51" t="n">
        <v>0.0031</v>
      </c>
      <c r="I3355" s="51" t="n">
        <v>0.4657</v>
      </c>
      <c r="J3355" s="51" t="n">
        <v>0.5312</v>
      </c>
      <c r="K3355" s="49"/>
      <c r="L3355" s="49"/>
      <c r="M3355" s="49"/>
      <c r="N3355" s="49"/>
      <c r="O3355" s="49"/>
      <c r="P3355" s="49"/>
      <c r="Q3355" s="49"/>
      <c r="R3355" s="49"/>
      <c r="S3355" s="49" t="n">
        <v>0</v>
      </c>
      <c r="T3355" s="49" t="n">
        <v>0</v>
      </c>
      <c r="U3355" s="49" t="s">
        <v>6951</v>
      </c>
    </row>
    <row r="3356" customFormat="false" ht="15" hidden="false" customHeight="false" outlineLevel="0" collapsed="false">
      <c r="B3356" s="48" t="n">
        <v>46110.8681944445</v>
      </c>
      <c r="C3356" s="4" t="n">
        <f aca="false">YEAR(B3356)</f>
        <v>2026</v>
      </c>
      <c r="D3356" s="49" t="s">
        <v>278</v>
      </c>
      <c r="E3356" s="49" t="s">
        <v>6952</v>
      </c>
      <c r="F3356" s="50" t="n">
        <v>0</v>
      </c>
      <c r="G3356" s="49" t="s">
        <v>280</v>
      </c>
      <c r="H3356" s="51" t="n">
        <v>0.8252</v>
      </c>
      <c r="I3356" s="51" t="n">
        <v>0.1461</v>
      </c>
      <c r="J3356" s="51" t="n">
        <v>0.0287</v>
      </c>
      <c r="K3356" s="49"/>
      <c r="L3356" s="49"/>
      <c r="M3356" s="49"/>
      <c r="N3356" s="49"/>
      <c r="O3356" s="49"/>
      <c r="P3356" s="49"/>
      <c r="Q3356" s="49"/>
      <c r="R3356" s="49" t="s">
        <v>281</v>
      </c>
      <c r="S3356" s="49" t="n">
        <v>0</v>
      </c>
      <c r="T3356" s="49" t="n">
        <v>0</v>
      </c>
      <c r="U3356" s="49" t="s">
        <v>6953</v>
      </c>
    </row>
    <row r="3357" customFormat="false" ht="15" hidden="false" customHeight="false" outlineLevel="0" collapsed="false">
      <c r="B3357" s="48" t="n">
        <v>46110.9800347222</v>
      </c>
      <c r="C3357" s="4" t="n">
        <f aca="false">YEAR(B3357)</f>
        <v>2026</v>
      </c>
      <c r="D3357" s="49" t="s">
        <v>278</v>
      </c>
      <c r="E3357" s="49" t="s">
        <v>6954</v>
      </c>
      <c r="F3357" s="50" t="n">
        <v>6</v>
      </c>
      <c r="G3357" s="49" t="s">
        <v>280</v>
      </c>
      <c r="H3357" s="51" t="n">
        <v>0.5779</v>
      </c>
      <c r="I3357" s="51" t="n">
        <v>0.4058</v>
      </c>
      <c r="J3357" s="51" t="n">
        <v>0.0163</v>
      </c>
      <c r="K3357" s="49"/>
      <c r="L3357" s="49"/>
      <c r="M3357" s="49"/>
      <c r="N3357" s="49"/>
      <c r="O3357" s="49"/>
      <c r="P3357" s="49"/>
      <c r="Q3357" s="49"/>
      <c r="R3357" s="49"/>
      <c r="S3357" s="49" t="n">
        <v>0</v>
      </c>
      <c r="T3357" s="49" t="n">
        <v>0</v>
      </c>
      <c r="U3357" s="49" t="s">
        <v>6955</v>
      </c>
    </row>
    <row r="3358" customFormat="false" ht="15" hidden="false" customHeight="false" outlineLevel="0" collapsed="false">
      <c r="B3358" s="48" t="n">
        <v>46111.6099421296</v>
      </c>
      <c r="C3358" s="4" t="n">
        <f aca="false">YEAR(B3358)</f>
        <v>2026</v>
      </c>
      <c r="D3358" s="49" t="s">
        <v>283</v>
      </c>
      <c r="E3358" s="49" t="s">
        <v>6956</v>
      </c>
      <c r="F3358" s="50" t="n">
        <v>38</v>
      </c>
      <c r="G3358" s="49" t="s">
        <v>280</v>
      </c>
      <c r="H3358" s="51" t="n">
        <v>0.6411</v>
      </c>
      <c r="I3358" s="51" t="n">
        <v>0.323</v>
      </c>
      <c r="J3358" s="51" t="n">
        <v>0.0359</v>
      </c>
      <c r="K3358" s="49" t="s">
        <v>281</v>
      </c>
      <c r="L3358" s="49"/>
      <c r="M3358" s="49"/>
      <c r="N3358" s="49"/>
      <c r="O3358" s="49"/>
      <c r="P3358" s="49"/>
      <c r="Q3358" s="49" t="s">
        <v>281</v>
      </c>
      <c r="R3358" s="49" t="s">
        <v>281</v>
      </c>
      <c r="S3358" s="49" t="n">
        <v>0</v>
      </c>
      <c r="T3358" s="49" t="n">
        <v>0</v>
      </c>
      <c r="U3358" s="49" t="s">
        <v>6957</v>
      </c>
    </row>
    <row r="3359" customFormat="false" ht="15" hidden="false" customHeight="false" outlineLevel="0" collapsed="false">
      <c r="B3359" s="48" t="n">
        <v>46111.7905324074</v>
      </c>
      <c r="C3359" s="4" t="n">
        <f aca="false">YEAR(B3359)</f>
        <v>2026</v>
      </c>
      <c r="D3359" s="49" t="s">
        <v>278</v>
      </c>
      <c r="E3359" s="49" t="s">
        <v>6958</v>
      </c>
      <c r="F3359" s="50" t="n">
        <v>1</v>
      </c>
      <c r="G3359" s="49" t="s">
        <v>290</v>
      </c>
      <c r="H3359" s="51" t="n">
        <v>0.4383</v>
      </c>
      <c r="I3359" s="51" t="n">
        <v>0.5258</v>
      </c>
      <c r="J3359" s="51" t="n">
        <v>0.0359</v>
      </c>
      <c r="K3359" s="49"/>
      <c r="L3359" s="49"/>
      <c r="M3359" s="49"/>
      <c r="N3359" s="49"/>
      <c r="O3359" s="49"/>
      <c r="P3359" s="49"/>
      <c r="Q3359" s="49"/>
      <c r="R3359" s="49" t="s">
        <v>281</v>
      </c>
      <c r="S3359" s="49" t="n">
        <v>0</v>
      </c>
      <c r="T3359" s="49" t="n">
        <v>0</v>
      </c>
      <c r="U3359" s="49" t="s">
        <v>6959</v>
      </c>
    </row>
    <row r="3360" customFormat="false" ht="15" hidden="false" customHeight="false" outlineLevel="0" collapsed="false">
      <c r="B3360" s="48" t="n">
        <v>46111.9052777778</v>
      </c>
      <c r="C3360" s="4" t="n">
        <f aca="false">YEAR(B3360)</f>
        <v>2026</v>
      </c>
      <c r="D3360" s="49" t="s">
        <v>278</v>
      </c>
      <c r="E3360" s="49" t="s">
        <v>6960</v>
      </c>
      <c r="F3360" s="50" t="n">
        <v>0</v>
      </c>
      <c r="G3360" s="49" t="s">
        <v>280</v>
      </c>
      <c r="H3360" s="51" t="n">
        <v>0.7792</v>
      </c>
      <c r="I3360" s="51" t="n">
        <v>0.2055</v>
      </c>
      <c r="J3360" s="51" t="n">
        <v>0.0153</v>
      </c>
      <c r="K3360" s="49"/>
      <c r="L3360" s="49"/>
      <c r="M3360" s="49"/>
      <c r="N3360" s="49"/>
      <c r="O3360" s="49"/>
      <c r="P3360" s="49"/>
      <c r="Q3360" s="49"/>
      <c r="R3360" s="49" t="s">
        <v>281</v>
      </c>
      <c r="S3360" s="49" t="n">
        <v>0</v>
      </c>
      <c r="T3360" s="49" t="n">
        <v>0</v>
      </c>
      <c r="U3360" s="49" t="s">
        <v>6961</v>
      </c>
    </row>
    <row r="3361" customFormat="false" ht="15" hidden="false" customHeight="false" outlineLevel="0" collapsed="false">
      <c r="B3361" s="48" t="n">
        <v>46111.9769212963</v>
      </c>
      <c r="C3361" s="4" t="n">
        <f aca="false">YEAR(B3361)</f>
        <v>2026</v>
      </c>
      <c r="D3361" s="49" t="s">
        <v>283</v>
      </c>
      <c r="E3361" s="49" t="s">
        <v>6962</v>
      </c>
      <c r="F3361" s="50" t="n">
        <v>1</v>
      </c>
      <c r="G3361" s="49" t="s">
        <v>290</v>
      </c>
      <c r="H3361" s="51" t="n">
        <v>0.0897</v>
      </c>
      <c r="I3361" s="51" t="n">
        <v>0.7342</v>
      </c>
      <c r="J3361" s="51" t="n">
        <v>0.1761</v>
      </c>
      <c r="K3361" s="49"/>
      <c r="L3361" s="49"/>
      <c r="M3361" s="49"/>
      <c r="N3361" s="49"/>
      <c r="O3361" s="49"/>
      <c r="P3361" s="49"/>
      <c r="Q3361" s="49"/>
      <c r="R3361" s="49"/>
      <c r="S3361" s="49" t="n">
        <v>0</v>
      </c>
      <c r="T3361" s="49" t="n">
        <v>0</v>
      </c>
      <c r="U3361" s="49" t="s">
        <v>6963</v>
      </c>
    </row>
    <row r="3362" customFormat="false" ht="15" hidden="false" customHeight="false" outlineLevel="0" collapsed="false">
      <c r="B3362" s="48" t="n">
        <v>46112.1400462963</v>
      </c>
      <c r="C3362" s="4" t="n">
        <f aca="false">YEAR(B3362)</f>
        <v>2026</v>
      </c>
      <c r="D3362" s="49" t="s">
        <v>283</v>
      </c>
      <c r="E3362" s="49" t="s">
        <v>6964</v>
      </c>
      <c r="F3362" s="50" t="n">
        <v>1</v>
      </c>
      <c r="G3362" s="49" t="s">
        <v>290</v>
      </c>
      <c r="H3362" s="51" t="n">
        <v>0.0123</v>
      </c>
      <c r="I3362" s="51" t="n">
        <v>0.9018</v>
      </c>
      <c r="J3362" s="51" t="n">
        <v>0.0859</v>
      </c>
      <c r="K3362" s="49"/>
      <c r="L3362" s="49"/>
      <c r="M3362" s="49"/>
      <c r="N3362" s="49"/>
      <c r="O3362" s="49"/>
      <c r="P3362" s="49"/>
      <c r="Q3362" s="49"/>
      <c r="R3362" s="49"/>
      <c r="S3362" s="49" t="n">
        <v>0</v>
      </c>
      <c r="T3362" s="49" t="n">
        <v>0</v>
      </c>
      <c r="U3362" s="49" t="s">
        <v>6965</v>
      </c>
    </row>
    <row r="3363" customFormat="false" ht="15" hidden="false" customHeight="false" outlineLevel="0" collapsed="false">
      <c r="B3363" s="48" t="n">
        <v>46113.0722453704</v>
      </c>
      <c r="C3363" s="4" t="n">
        <f aca="false">YEAR(B3363)</f>
        <v>2026</v>
      </c>
      <c r="D3363" s="49" t="s">
        <v>278</v>
      </c>
      <c r="E3363" s="49" t="s">
        <v>6966</v>
      </c>
      <c r="F3363" s="50" t="n">
        <v>1</v>
      </c>
      <c r="G3363" s="49" t="s">
        <v>280</v>
      </c>
      <c r="H3363" s="51" t="n">
        <v>0.7372</v>
      </c>
      <c r="I3363" s="51" t="n">
        <v>0.2502</v>
      </c>
      <c r="J3363" s="51" t="n">
        <v>0.0126</v>
      </c>
      <c r="K3363" s="49"/>
      <c r="L3363" s="49"/>
      <c r="M3363" s="49"/>
      <c r="N3363" s="49"/>
      <c r="O3363" s="49"/>
      <c r="P3363" s="49"/>
      <c r="Q3363" s="49" t="s">
        <v>281</v>
      </c>
      <c r="R3363" s="49"/>
      <c r="S3363" s="49" t="n">
        <v>0</v>
      </c>
      <c r="T3363" s="49" t="n">
        <v>0</v>
      </c>
      <c r="U3363" s="49" t="s">
        <v>6967</v>
      </c>
    </row>
    <row r="3364" customFormat="false" ht="15" hidden="false" customHeight="false" outlineLevel="0" collapsed="false">
      <c r="B3364" s="48" t="n">
        <v>46113.3441087963</v>
      </c>
      <c r="C3364" s="4" t="n">
        <f aca="false">YEAR(B3364)</f>
        <v>2026</v>
      </c>
      <c r="D3364" s="49" t="s">
        <v>283</v>
      </c>
      <c r="E3364" s="49" t="s">
        <v>6968</v>
      </c>
      <c r="F3364" s="50" t="n">
        <v>4</v>
      </c>
      <c r="G3364" s="49" t="s">
        <v>287</v>
      </c>
      <c r="H3364" s="51" t="n">
        <v>0.0933</v>
      </c>
      <c r="I3364" s="51" t="n">
        <v>0.3206</v>
      </c>
      <c r="J3364" s="51" t="n">
        <v>0.5861</v>
      </c>
      <c r="K3364" s="49" t="s">
        <v>281</v>
      </c>
      <c r="L3364" s="49"/>
      <c r="M3364" s="49"/>
      <c r="N3364" s="49"/>
      <c r="O3364" s="49"/>
      <c r="P3364" s="49"/>
      <c r="Q3364" s="49"/>
      <c r="R3364" s="49"/>
      <c r="S3364" s="49" t="n">
        <v>0</v>
      </c>
      <c r="T3364" s="49" t="n">
        <v>0</v>
      </c>
      <c r="U3364" s="49" t="s">
        <v>6969</v>
      </c>
    </row>
    <row r="3365" customFormat="false" ht="15" hidden="false" customHeight="false" outlineLevel="0" collapsed="false">
      <c r="B3365" s="48" t="n">
        <v>46113.4519328704</v>
      </c>
      <c r="C3365" s="4" t="n">
        <f aca="false">YEAR(B3365)</f>
        <v>2026</v>
      </c>
      <c r="D3365" s="49" t="s">
        <v>278</v>
      </c>
      <c r="E3365" s="49" t="s">
        <v>6970</v>
      </c>
      <c r="F3365" s="50" t="n">
        <v>1</v>
      </c>
      <c r="G3365" s="49" t="s">
        <v>290</v>
      </c>
      <c r="H3365" s="51" t="n">
        <v>0.2572</v>
      </c>
      <c r="I3365" s="51" t="n">
        <v>0.7262</v>
      </c>
      <c r="J3365" s="51" t="n">
        <v>0.0166</v>
      </c>
      <c r="K3365" s="49"/>
      <c r="L3365" s="49"/>
      <c r="M3365" s="49"/>
      <c r="N3365" s="49"/>
      <c r="O3365" s="49"/>
      <c r="P3365" s="49"/>
      <c r="Q3365" s="49"/>
      <c r="R3365" s="49" t="s">
        <v>281</v>
      </c>
      <c r="S3365" s="49" t="n">
        <v>0</v>
      </c>
      <c r="T3365" s="49" t="n">
        <v>0</v>
      </c>
      <c r="U3365" s="49" t="s">
        <v>6971</v>
      </c>
    </row>
    <row r="3366" customFormat="false" ht="15" hidden="false" customHeight="false" outlineLevel="0" collapsed="false">
      <c r="B3366" s="48" t="n">
        <v>46113.4922800926</v>
      </c>
      <c r="C3366" s="4" t="n">
        <f aca="false">YEAR(B3366)</f>
        <v>2026</v>
      </c>
      <c r="D3366" s="49" t="s">
        <v>278</v>
      </c>
      <c r="E3366" s="49" t="s">
        <v>6972</v>
      </c>
      <c r="F3366" s="50" t="n">
        <v>8</v>
      </c>
      <c r="G3366" s="49" t="s">
        <v>280</v>
      </c>
      <c r="H3366" s="51" t="n">
        <v>0.813</v>
      </c>
      <c r="I3366" s="51" t="n">
        <v>0.1742</v>
      </c>
      <c r="J3366" s="51" t="n">
        <v>0.0128</v>
      </c>
      <c r="K3366" s="49"/>
      <c r="L3366" s="49"/>
      <c r="M3366" s="49"/>
      <c r="N3366" s="49"/>
      <c r="O3366" s="49"/>
      <c r="P3366" s="49"/>
      <c r="Q3366" s="49"/>
      <c r="R3366" s="49"/>
      <c r="S3366" s="49" t="n">
        <v>0</v>
      </c>
      <c r="T3366" s="49" t="n">
        <v>0</v>
      </c>
      <c r="U3366" s="49" t="s">
        <v>6973</v>
      </c>
    </row>
    <row r="3367" customFormat="false" ht="15" hidden="false" customHeight="false" outlineLevel="0" collapsed="false">
      <c r="B3367" s="48" t="n">
        <v>46113.5479861111</v>
      </c>
      <c r="C3367" s="4" t="n">
        <f aca="false">YEAR(B3367)</f>
        <v>2026</v>
      </c>
      <c r="D3367" s="49" t="s">
        <v>278</v>
      </c>
      <c r="E3367" s="49" t="s">
        <v>6974</v>
      </c>
      <c r="F3367" s="50" t="n">
        <v>2</v>
      </c>
      <c r="G3367" s="49" t="s">
        <v>280</v>
      </c>
      <c r="H3367" s="51" t="n">
        <v>0.6318</v>
      </c>
      <c r="I3367" s="51" t="n">
        <v>0.3485</v>
      </c>
      <c r="J3367" s="51" t="n">
        <v>0.0197</v>
      </c>
      <c r="K3367" s="49"/>
      <c r="L3367" s="49"/>
      <c r="M3367" s="49"/>
      <c r="N3367" s="49"/>
      <c r="O3367" s="49"/>
      <c r="P3367" s="49"/>
      <c r="Q3367" s="49"/>
      <c r="R3367" s="49"/>
      <c r="S3367" s="49" t="n">
        <v>0</v>
      </c>
      <c r="T3367" s="49" t="n">
        <v>0</v>
      </c>
      <c r="U3367" s="49" t="s">
        <v>6975</v>
      </c>
    </row>
    <row r="3368" customFormat="false" ht="15" hidden="false" customHeight="false" outlineLevel="0" collapsed="false">
      <c r="B3368" s="48" t="n">
        <v>46113.5498148148</v>
      </c>
      <c r="C3368" s="4" t="n">
        <f aca="false">YEAR(B3368)</f>
        <v>2026</v>
      </c>
      <c r="D3368" s="49" t="s">
        <v>283</v>
      </c>
      <c r="E3368" s="49" t="s">
        <v>6976</v>
      </c>
      <c r="F3368" s="50" t="n">
        <v>2</v>
      </c>
      <c r="G3368" s="49" t="s">
        <v>290</v>
      </c>
      <c r="H3368" s="51" t="n">
        <v>0.023</v>
      </c>
      <c r="I3368" s="51" t="n">
        <v>0.648</v>
      </c>
      <c r="J3368" s="51" t="n">
        <v>0.329</v>
      </c>
      <c r="K3368" s="49"/>
      <c r="L3368" s="49"/>
      <c r="M3368" s="49"/>
      <c r="N3368" s="49"/>
      <c r="O3368" s="49"/>
      <c r="P3368" s="49"/>
      <c r="Q3368" s="49"/>
      <c r="R3368" s="49"/>
      <c r="S3368" s="49" t="n">
        <v>0</v>
      </c>
      <c r="T3368" s="49" t="n">
        <v>0</v>
      </c>
      <c r="U3368" s="49" t="s">
        <v>6977</v>
      </c>
    </row>
    <row r="3369" customFormat="false" ht="15" hidden="false" customHeight="false" outlineLevel="0" collapsed="false">
      <c r="B3369" s="48" t="n">
        <v>46113.868900463</v>
      </c>
      <c r="C3369" s="4" t="n">
        <f aca="false">YEAR(B3369)</f>
        <v>2026</v>
      </c>
      <c r="D3369" s="49" t="s">
        <v>278</v>
      </c>
      <c r="E3369" s="49" t="s">
        <v>6978</v>
      </c>
      <c r="F3369" s="50" t="n">
        <v>1</v>
      </c>
      <c r="G3369" s="49" t="s">
        <v>280</v>
      </c>
      <c r="H3369" s="51" t="n">
        <v>0.7607</v>
      </c>
      <c r="I3369" s="51" t="n">
        <v>0.2245</v>
      </c>
      <c r="J3369" s="51" t="n">
        <v>0.0148</v>
      </c>
      <c r="K3369" s="49"/>
      <c r="L3369" s="49"/>
      <c r="M3369" s="49"/>
      <c r="N3369" s="49"/>
      <c r="O3369" s="49"/>
      <c r="P3369" s="49"/>
      <c r="Q3369" s="49"/>
      <c r="R3369" s="49"/>
      <c r="S3369" s="49" t="n">
        <v>0</v>
      </c>
      <c r="T3369" s="49" t="n">
        <v>0</v>
      </c>
      <c r="U3369" s="49" t="s">
        <v>6979</v>
      </c>
    </row>
    <row r="3370" customFormat="false" ht="15" hidden="false" customHeight="false" outlineLevel="0" collapsed="false">
      <c r="B3370" s="48" t="n">
        <v>46114.1368055556</v>
      </c>
      <c r="C3370" s="4" t="n">
        <f aca="false">YEAR(B3370)</f>
        <v>2026</v>
      </c>
      <c r="D3370" s="49" t="s">
        <v>278</v>
      </c>
      <c r="E3370" s="49" t="s">
        <v>6980</v>
      </c>
      <c r="F3370" s="50" t="n">
        <v>0</v>
      </c>
      <c r="G3370" s="49" t="s">
        <v>287</v>
      </c>
      <c r="H3370" s="51" t="n">
        <v>0.0049</v>
      </c>
      <c r="I3370" s="51" t="n">
        <v>0.2221</v>
      </c>
      <c r="J3370" s="51" t="n">
        <v>0.773</v>
      </c>
      <c r="K3370" s="49"/>
      <c r="L3370" s="49"/>
      <c r="M3370" s="49"/>
      <c r="N3370" s="49"/>
      <c r="O3370" s="49"/>
      <c r="P3370" s="49"/>
      <c r="Q3370" s="49"/>
      <c r="R3370" s="49"/>
      <c r="S3370" s="49" t="n">
        <v>0</v>
      </c>
      <c r="T3370" s="49" t="n">
        <v>0</v>
      </c>
      <c r="U3370" s="49" t="s">
        <v>6981</v>
      </c>
    </row>
    <row r="3371" customFormat="false" ht="15" hidden="false" customHeight="false" outlineLevel="0" collapsed="false">
      <c r="B3371" s="48" t="n">
        <v>46114.6559606482</v>
      </c>
      <c r="C3371" s="4" t="n">
        <f aca="false">YEAR(B3371)</f>
        <v>2026</v>
      </c>
      <c r="D3371" s="49" t="s">
        <v>278</v>
      </c>
      <c r="E3371" s="49" t="s">
        <v>6982</v>
      </c>
      <c r="F3371" s="50" t="n">
        <v>4</v>
      </c>
      <c r="G3371" s="49" t="s">
        <v>280</v>
      </c>
      <c r="H3371" s="51" t="n">
        <v>0.8106</v>
      </c>
      <c r="I3371" s="51" t="n">
        <v>0.1765</v>
      </c>
      <c r="J3371" s="51" t="n">
        <v>0.0129</v>
      </c>
      <c r="K3371" s="49"/>
      <c r="L3371" s="49"/>
      <c r="M3371" s="49"/>
      <c r="N3371" s="49"/>
      <c r="O3371" s="49"/>
      <c r="P3371" s="49"/>
      <c r="Q3371" s="49" t="s">
        <v>281</v>
      </c>
      <c r="R3371" s="49"/>
      <c r="S3371" s="49" t="n">
        <v>0</v>
      </c>
      <c r="T3371" s="49" t="n">
        <v>0</v>
      </c>
      <c r="U3371" s="49" t="s">
        <v>6983</v>
      </c>
    </row>
    <row r="3372" customFormat="false" ht="15" hidden="false" customHeight="false" outlineLevel="0" collapsed="false">
      <c r="B3372" s="48" t="n">
        <v>46114.7375347222</v>
      </c>
      <c r="C3372" s="4" t="n">
        <f aca="false">YEAR(B3372)</f>
        <v>2026</v>
      </c>
      <c r="D3372" s="49" t="s">
        <v>278</v>
      </c>
      <c r="E3372" s="49" t="s">
        <v>6984</v>
      </c>
      <c r="F3372" s="50" t="n">
        <v>8</v>
      </c>
      <c r="G3372" s="49" t="s">
        <v>280</v>
      </c>
      <c r="H3372" s="51" t="n">
        <v>0.6774</v>
      </c>
      <c r="I3372" s="51" t="n">
        <v>0.3035</v>
      </c>
      <c r="J3372" s="51" t="n">
        <v>0.0191</v>
      </c>
      <c r="K3372" s="49"/>
      <c r="L3372" s="49"/>
      <c r="M3372" s="49"/>
      <c r="N3372" s="49"/>
      <c r="O3372" s="49"/>
      <c r="P3372" s="49"/>
      <c r="Q3372" s="49" t="s">
        <v>281</v>
      </c>
      <c r="R3372" s="49"/>
      <c r="S3372" s="49" t="n">
        <v>0</v>
      </c>
      <c r="T3372" s="49" t="n">
        <v>0</v>
      </c>
      <c r="U3372" s="49" t="s">
        <v>6985</v>
      </c>
    </row>
    <row r="3373" customFormat="false" ht="15" hidden="false" customHeight="false" outlineLevel="0" collapsed="false">
      <c r="B3373" s="48" t="n">
        <v>46114.8271064815</v>
      </c>
      <c r="C3373" s="4" t="n">
        <f aca="false">YEAR(B3373)</f>
        <v>2026</v>
      </c>
      <c r="D3373" s="49" t="s">
        <v>278</v>
      </c>
      <c r="E3373" s="49" t="s">
        <v>6986</v>
      </c>
      <c r="F3373" s="50" t="n">
        <v>1</v>
      </c>
      <c r="G3373" s="49" t="s">
        <v>280</v>
      </c>
      <c r="H3373" s="51" t="n">
        <v>0.8376</v>
      </c>
      <c r="I3373" s="51" t="n">
        <v>0.1526</v>
      </c>
      <c r="J3373" s="51" t="n">
        <v>0.0098</v>
      </c>
      <c r="K3373" s="49"/>
      <c r="L3373" s="49"/>
      <c r="M3373" s="49"/>
      <c r="N3373" s="49"/>
      <c r="O3373" s="49"/>
      <c r="P3373" s="49"/>
      <c r="Q3373" s="49"/>
      <c r="R3373" s="49"/>
      <c r="S3373" s="49" t="n">
        <v>0</v>
      </c>
      <c r="T3373" s="49" t="n">
        <v>0</v>
      </c>
      <c r="U3373" s="49" t="s">
        <v>6987</v>
      </c>
    </row>
    <row r="3374" customFormat="false" ht="15" hidden="false" customHeight="false" outlineLevel="0" collapsed="false">
      <c r="B3374" s="48" t="n">
        <v>46114.8770717593</v>
      </c>
      <c r="C3374" s="4" t="n">
        <f aca="false">YEAR(B3374)</f>
        <v>2026</v>
      </c>
      <c r="D3374" s="49" t="s">
        <v>278</v>
      </c>
      <c r="E3374" s="49" t="s">
        <v>6988</v>
      </c>
      <c r="F3374" s="50" t="n">
        <v>10</v>
      </c>
      <c r="G3374" s="49" t="s">
        <v>280</v>
      </c>
      <c r="H3374" s="51" t="n">
        <v>0.7736</v>
      </c>
      <c r="I3374" s="51" t="n">
        <v>0.2145</v>
      </c>
      <c r="J3374" s="51" t="n">
        <v>0.0119</v>
      </c>
      <c r="K3374" s="49"/>
      <c r="L3374" s="49"/>
      <c r="M3374" s="49"/>
      <c r="N3374" s="49"/>
      <c r="O3374" s="49"/>
      <c r="P3374" s="49"/>
      <c r="Q3374" s="49" t="s">
        <v>281</v>
      </c>
      <c r="R3374" s="49"/>
      <c r="S3374" s="49" t="n">
        <v>0</v>
      </c>
      <c r="T3374" s="49" t="n">
        <v>0</v>
      </c>
      <c r="U3374" s="49" t="s">
        <v>6989</v>
      </c>
    </row>
    <row r="3375" customFormat="false" ht="15" hidden="false" customHeight="false" outlineLevel="0" collapsed="false">
      <c r="B3375" s="48" t="n">
        <v>46115.2289236111</v>
      </c>
      <c r="C3375" s="4" t="n">
        <f aca="false">YEAR(B3375)</f>
        <v>2026</v>
      </c>
      <c r="D3375" s="49" t="s">
        <v>278</v>
      </c>
      <c r="E3375" s="49" t="s">
        <v>6990</v>
      </c>
      <c r="F3375" s="50" t="n">
        <v>0</v>
      </c>
      <c r="G3375" s="49" t="s">
        <v>280</v>
      </c>
      <c r="H3375" s="51" t="n">
        <v>0.4429</v>
      </c>
      <c r="I3375" s="51" t="n">
        <v>0.3862</v>
      </c>
      <c r="J3375" s="51" t="n">
        <v>0.1708</v>
      </c>
      <c r="K3375" s="49"/>
      <c r="L3375" s="49"/>
      <c r="M3375" s="49"/>
      <c r="N3375" s="49"/>
      <c r="O3375" s="49"/>
      <c r="P3375" s="49"/>
      <c r="Q3375" s="49"/>
      <c r="R3375" s="49" t="s">
        <v>281</v>
      </c>
      <c r="S3375" s="49" t="n">
        <v>0</v>
      </c>
      <c r="T3375" s="49" t="n">
        <v>0</v>
      </c>
      <c r="U3375" s="49" t="s">
        <v>6991</v>
      </c>
    </row>
    <row r="3376" customFormat="false" ht="15" hidden="false" customHeight="false" outlineLevel="0" collapsed="false">
      <c r="B3376" s="48" t="n">
        <v>46115.5296296296</v>
      </c>
      <c r="C3376" s="4" t="n">
        <f aca="false">YEAR(B3376)</f>
        <v>2026</v>
      </c>
      <c r="D3376" s="49" t="s">
        <v>278</v>
      </c>
      <c r="E3376" s="49" t="s">
        <v>6992</v>
      </c>
      <c r="F3376" s="50" t="n">
        <v>0</v>
      </c>
      <c r="G3376" s="49" t="s">
        <v>290</v>
      </c>
      <c r="H3376" s="51" t="n">
        <v>0.1395</v>
      </c>
      <c r="I3376" s="51" t="n">
        <v>0.6634</v>
      </c>
      <c r="J3376" s="51" t="n">
        <v>0.1971</v>
      </c>
      <c r="K3376" s="49"/>
      <c r="L3376" s="49"/>
      <c r="M3376" s="49"/>
      <c r="N3376" s="49"/>
      <c r="O3376" s="49"/>
      <c r="P3376" s="49"/>
      <c r="Q3376" s="49"/>
      <c r="R3376" s="49"/>
      <c r="S3376" s="49" t="n">
        <v>0</v>
      </c>
      <c r="T3376" s="49" t="n">
        <v>0</v>
      </c>
      <c r="U3376" s="49" t="s">
        <v>6993</v>
      </c>
    </row>
    <row r="3377" customFormat="false" ht="15" hidden="false" customHeight="false" outlineLevel="0" collapsed="false">
      <c r="B3377" s="48" t="n">
        <v>46115.5396064815</v>
      </c>
      <c r="C3377" s="4" t="n">
        <f aca="false">YEAR(B3377)</f>
        <v>2026</v>
      </c>
      <c r="D3377" s="49" t="s">
        <v>283</v>
      </c>
      <c r="E3377" s="49" t="s">
        <v>6994</v>
      </c>
      <c r="F3377" s="50" t="n">
        <v>1</v>
      </c>
      <c r="G3377" s="49" t="s">
        <v>290</v>
      </c>
      <c r="H3377" s="51" t="n">
        <v>0.3921</v>
      </c>
      <c r="I3377" s="51" t="n">
        <v>0.5171</v>
      </c>
      <c r="J3377" s="51" t="n">
        <v>0.0908</v>
      </c>
      <c r="K3377" s="49"/>
      <c r="L3377" s="49"/>
      <c r="M3377" s="49"/>
      <c r="N3377" s="49"/>
      <c r="O3377" s="49"/>
      <c r="P3377" s="49"/>
      <c r="Q3377" s="49"/>
      <c r="R3377" s="49"/>
      <c r="S3377" s="49" t="n">
        <v>0</v>
      </c>
      <c r="T3377" s="49" t="n">
        <v>0</v>
      </c>
      <c r="U3377" s="49" t="s">
        <v>6995</v>
      </c>
    </row>
    <row r="3378" customFormat="false" ht="15" hidden="false" customHeight="false" outlineLevel="0" collapsed="false">
      <c r="B3378" s="48" t="n">
        <v>46115.6875578704</v>
      </c>
      <c r="C3378" s="4" t="n">
        <f aca="false">YEAR(B3378)</f>
        <v>2026</v>
      </c>
      <c r="D3378" s="49" t="s">
        <v>278</v>
      </c>
      <c r="E3378" s="49" t="s">
        <v>6996</v>
      </c>
      <c r="F3378" s="50" t="n">
        <v>0</v>
      </c>
      <c r="G3378" s="49" t="s">
        <v>280</v>
      </c>
      <c r="H3378" s="51" t="n">
        <v>0.6773</v>
      </c>
      <c r="I3378" s="51" t="n">
        <v>0.3002</v>
      </c>
      <c r="J3378" s="51" t="n">
        <v>0.0225</v>
      </c>
      <c r="K3378" s="49"/>
      <c r="L3378" s="49"/>
      <c r="M3378" s="49"/>
      <c r="N3378" s="49"/>
      <c r="O3378" s="49"/>
      <c r="P3378" s="49"/>
      <c r="Q3378" s="49"/>
      <c r="R3378" s="49"/>
      <c r="S3378" s="49" t="n">
        <v>0</v>
      </c>
      <c r="T3378" s="49" t="n">
        <v>0</v>
      </c>
      <c r="U3378" s="49" t="s">
        <v>6997</v>
      </c>
    </row>
    <row r="3379" customFormat="false" ht="15" hidden="false" customHeight="false" outlineLevel="0" collapsed="false">
      <c r="B3379" s="48" t="n">
        <v>46115.7959490741</v>
      </c>
      <c r="C3379" s="4" t="n">
        <f aca="false">YEAR(B3379)</f>
        <v>2026</v>
      </c>
      <c r="D3379" s="49" t="s">
        <v>278</v>
      </c>
      <c r="E3379" s="49" t="s">
        <v>6998</v>
      </c>
      <c r="F3379" s="50" t="n">
        <v>1</v>
      </c>
      <c r="G3379" s="49" t="s">
        <v>287</v>
      </c>
      <c r="H3379" s="51" t="n">
        <v>0.0095</v>
      </c>
      <c r="I3379" s="51" t="n">
        <v>0.117</v>
      </c>
      <c r="J3379" s="51" t="n">
        <v>0.8735</v>
      </c>
      <c r="K3379" s="49"/>
      <c r="L3379" s="49"/>
      <c r="M3379" s="49"/>
      <c r="N3379" s="49"/>
      <c r="O3379" s="49"/>
      <c r="P3379" s="49"/>
      <c r="Q3379" s="49"/>
      <c r="R3379" s="49"/>
      <c r="S3379" s="49" t="n">
        <v>0</v>
      </c>
      <c r="T3379" s="49" t="n">
        <v>0</v>
      </c>
      <c r="U3379" s="49" t="s">
        <v>6999</v>
      </c>
    </row>
    <row r="3380" customFormat="false" ht="15" hidden="false" customHeight="false" outlineLevel="0" collapsed="false">
      <c r="B3380" s="48" t="n">
        <v>46115.8283796296</v>
      </c>
      <c r="C3380" s="4" t="n">
        <f aca="false">YEAR(B3380)</f>
        <v>2026</v>
      </c>
      <c r="D3380" s="49" t="s">
        <v>278</v>
      </c>
      <c r="E3380" s="49" t="s">
        <v>7000</v>
      </c>
      <c r="F3380" s="50" t="n">
        <v>4</v>
      </c>
      <c r="G3380" s="49" t="s">
        <v>290</v>
      </c>
      <c r="H3380" s="51" t="n">
        <v>0.144</v>
      </c>
      <c r="I3380" s="51" t="n">
        <v>0.7934</v>
      </c>
      <c r="J3380" s="51" t="n">
        <v>0.0626</v>
      </c>
      <c r="K3380" s="49"/>
      <c r="L3380" s="49"/>
      <c r="M3380" s="49"/>
      <c r="N3380" s="49"/>
      <c r="O3380" s="49"/>
      <c r="P3380" s="49"/>
      <c r="Q3380" s="49"/>
      <c r="R3380" s="49"/>
      <c r="S3380" s="49" t="n">
        <v>0</v>
      </c>
      <c r="T3380" s="49" t="n">
        <v>0</v>
      </c>
      <c r="U3380" s="49" t="s">
        <v>7001</v>
      </c>
    </row>
    <row r="3381" customFormat="false" ht="15" hidden="false" customHeight="false" outlineLevel="0" collapsed="false">
      <c r="B3381" s="48" t="n">
        <v>46116.1991666667</v>
      </c>
      <c r="C3381" s="4" t="n">
        <f aca="false">YEAR(B3381)</f>
        <v>2026</v>
      </c>
      <c r="D3381" s="49" t="s">
        <v>278</v>
      </c>
      <c r="E3381" s="49" t="s">
        <v>7002</v>
      </c>
      <c r="F3381" s="50" t="n">
        <v>1</v>
      </c>
      <c r="G3381" s="49" t="s">
        <v>280</v>
      </c>
      <c r="H3381" s="51" t="n">
        <v>0.8777</v>
      </c>
      <c r="I3381" s="51" t="n">
        <v>0.1156</v>
      </c>
      <c r="J3381" s="51" t="n">
        <v>0.0067</v>
      </c>
      <c r="K3381" s="49"/>
      <c r="L3381" s="49"/>
      <c r="M3381" s="49"/>
      <c r="N3381" s="49" t="s">
        <v>281</v>
      </c>
      <c r="O3381" s="49"/>
      <c r="P3381" s="49"/>
      <c r="Q3381" s="49"/>
      <c r="R3381" s="49"/>
      <c r="S3381" s="49" t="n">
        <v>0</v>
      </c>
      <c r="T3381" s="49" t="n">
        <v>0</v>
      </c>
      <c r="U3381" s="49" t="s">
        <v>7003</v>
      </c>
    </row>
    <row r="3382" customFormat="false" ht="15" hidden="false" customHeight="false" outlineLevel="0" collapsed="false">
      <c r="B3382" s="48" t="n">
        <v>46116.770474537</v>
      </c>
      <c r="C3382" s="4" t="n">
        <f aca="false">YEAR(B3382)</f>
        <v>2026</v>
      </c>
      <c r="D3382" s="49" t="s">
        <v>278</v>
      </c>
      <c r="E3382" s="49" t="s">
        <v>7004</v>
      </c>
      <c r="F3382" s="50" t="n">
        <v>2</v>
      </c>
      <c r="G3382" s="49" t="s">
        <v>290</v>
      </c>
      <c r="H3382" s="51" t="n">
        <v>0.3825</v>
      </c>
      <c r="I3382" s="51" t="n">
        <v>0.5635</v>
      </c>
      <c r="J3382" s="51" t="n">
        <v>0.054</v>
      </c>
      <c r="K3382" s="49"/>
      <c r="L3382" s="49"/>
      <c r="M3382" s="49"/>
      <c r="N3382" s="49"/>
      <c r="O3382" s="49"/>
      <c r="P3382" s="49"/>
      <c r="Q3382" s="49"/>
      <c r="R3382" s="49"/>
      <c r="S3382" s="49" t="n">
        <v>0</v>
      </c>
      <c r="T3382" s="49" t="n">
        <v>0</v>
      </c>
      <c r="U3382" s="49" t="s">
        <v>7005</v>
      </c>
    </row>
    <row r="3383" customFormat="false" ht="15" hidden="false" customHeight="false" outlineLevel="0" collapsed="false">
      <c r="B3383" s="48" t="n">
        <v>46117.0453935185</v>
      </c>
      <c r="C3383" s="4" t="n">
        <f aca="false">YEAR(B3383)</f>
        <v>2026</v>
      </c>
      <c r="D3383" s="49" t="s">
        <v>278</v>
      </c>
      <c r="E3383" s="49" t="s">
        <v>7006</v>
      </c>
      <c r="F3383" s="50" t="n">
        <v>5</v>
      </c>
      <c r="G3383" s="49" t="s">
        <v>280</v>
      </c>
      <c r="H3383" s="51" t="n">
        <v>0.7163</v>
      </c>
      <c r="I3383" s="51" t="n">
        <v>0.2674</v>
      </c>
      <c r="J3383" s="51" t="n">
        <v>0.0163</v>
      </c>
      <c r="K3383" s="49"/>
      <c r="L3383" s="49"/>
      <c r="M3383" s="49"/>
      <c r="N3383" s="49" t="s">
        <v>281</v>
      </c>
      <c r="O3383" s="49"/>
      <c r="P3383" s="49"/>
      <c r="Q3383" s="49"/>
      <c r="R3383" s="49"/>
      <c r="S3383" s="49" t="n">
        <v>0</v>
      </c>
      <c r="T3383" s="49" t="n">
        <v>0</v>
      </c>
      <c r="U3383" s="49" t="s">
        <v>7007</v>
      </c>
    </row>
    <row r="3384" customFormat="false" ht="15" hidden="false" customHeight="false" outlineLevel="0" collapsed="false">
      <c r="B3384" s="48" t="n">
        <v>46117.1194907407</v>
      </c>
      <c r="C3384" s="4" t="n">
        <f aca="false">YEAR(B3384)</f>
        <v>2026</v>
      </c>
      <c r="D3384" s="49" t="s">
        <v>283</v>
      </c>
      <c r="E3384" s="49" t="s">
        <v>7008</v>
      </c>
      <c r="F3384" s="50" t="n">
        <v>27</v>
      </c>
      <c r="G3384" s="49" t="s">
        <v>287</v>
      </c>
      <c r="H3384" s="51" t="n">
        <v>0.0031</v>
      </c>
      <c r="I3384" s="51" t="n">
        <v>0.0426</v>
      </c>
      <c r="J3384" s="51" t="n">
        <v>0.9542</v>
      </c>
      <c r="K3384" s="49"/>
      <c r="L3384" s="49"/>
      <c r="M3384" s="49"/>
      <c r="N3384" s="49"/>
      <c r="O3384" s="49"/>
      <c r="P3384" s="49"/>
      <c r="Q3384" s="49"/>
      <c r="R3384" s="49"/>
      <c r="S3384" s="49" t="n">
        <v>0</v>
      </c>
      <c r="T3384" s="49" t="n">
        <v>0</v>
      </c>
      <c r="U3384" s="49" t="s">
        <v>7009</v>
      </c>
    </row>
    <row r="3385" customFormat="false" ht="15" hidden="false" customHeight="false" outlineLevel="0" collapsed="false">
      <c r="B3385" s="48" t="n">
        <v>46117.6033564815</v>
      </c>
      <c r="C3385" s="4" t="n">
        <f aca="false">YEAR(B3385)</f>
        <v>2026</v>
      </c>
      <c r="D3385" s="49" t="s">
        <v>278</v>
      </c>
      <c r="E3385" s="49" t="s">
        <v>7010</v>
      </c>
      <c r="F3385" s="50" t="n">
        <v>0</v>
      </c>
      <c r="G3385" s="49" t="s">
        <v>280</v>
      </c>
      <c r="H3385" s="51" t="n">
        <v>0.8896</v>
      </c>
      <c r="I3385" s="51" t="n">
        <v>0.0906</v>
      </c>
      <c r="J3385" s="51" t="n">
        <v>0.0199</v>
      </c>
      <c r="K3385" s="49"/>
      <c r="L3385" s="49"/>
      <c r="M3385" s="49"/>
      <c r="N3385" s="49"/>
      <c r="O3385" s="49"/>
      <c r="P3385" s="49" t="s">
        <v>281</v>
      </c>
      <c r="Q3385" s="49"/>
      <c r="R3385" s="49" t="s">
        <v>281</v>
      </c>
      <c r="S3385" s="49" t="n">
        <v>0</v>
      </c>
      <c r="T3385" s="49" t="n">
        <v>0</v>
      </c>
      <c r="U3385" s="49" t="s">
        <v>7011</v>
      </c>
    </row>
    <row r="3386" customFormat="false" ht="15" hidden="false" customHeight="false" outlineLevel="0" collapsed="false">
      <c r="B3386" s="48" t="n">
        <v>46117.997974537</v>
      </c>
      <c r="C3386" s="4" t="n">
        <f aca="false">YEAR(B3386)</f>
        <v>2026</v>
      </c>
      <c r="D3386" s="49" t="s">
        <v>283</v>
      </c>
      <c r="E3386" s="49" t="s">
        <v>7012</v>
      </c>
      <c r="F3386" s="50" t="n">
        <v>1</v>
      </c>
      <c r="G3386" s="49" t="s">
        <v>290</v>
      </c>
      <c r="H3386" s="51" t="n">
        <v>0.1598</v>
      </c>
      <c r="I3386" s="51" t="n">
        <v>0.7737</v>
      </c>
      <c r="J3386" s="51" t="n">
        <v>0.0665</v>
      </c>
      <c r="K3386" s="49"/>
      <c r="L3386" s="49"/>
      <c r="M3386" s="49"/>
      <c r="N3386" s="49"/>
      <c r="O3386" s="49"/>
      <c r="P3386" s="49"/>
      <c r="Q3386" s="49"/>
      <c r="R3386" s="49"/>
      <c r="S3386" s="49" t="n">
        <v>0</v>
      </c>
      <c r="T3386" s="49" t="n">
        <v>0</v>
      </c>
      <c r="U3386" s="49" t="s">
        <v>7013</v>
      </c>
    </row>
    <row r="3387" customFormat="false" ht="15" hidden="false" customHeight="false" outlineLevel="0" collapsed="false">
      <c r="B3387" s="48" t="n">
        <v>46118.1821296296</v>
      </c>
      <c r="C3387" s="4" t="n">
        <f aca="false">YEAR(B3387)</f>
        <v>2026</v>
      </c>
      <c r="D3387" s="49" t="s">
        <v>283</v>
      </c>
      <c r="E3387" s="49" t="s">
        <v>7014</v>
      </c>
      <c r="F3387" s="50" t="n">
        <v>5</v>
      </c>
      <c r="G3387" s="49" t="s">
        <v>287</v>
      </c>
      <c r="H3387" s="51" t="n">
        <v>0.0048</v>
      </c>
      <c r="I3387" s="51" t="n">
        <v>0.0549</v>
      </c>
      <c r="J3387" s="51" t="n">
        <v>0.9403</v>
      </c>
      <c r="K3387" s="49"/>
      <c r="L3387" s="49"/>
      <c r="M3387" s="49"/>
      <c r="N3387" s="49"/>
      <c r="O3387" s="49"/>
      <c r="P3387" s="49"/>
      <c r="Q3387" s="49"/>
      <c r="R3387" s="49"/>
      <c r="S3387" s="49" t="n">
        <v>0</v>
      </c>
      <c r="T3387" s="49" t="n">
        <v>0</v>
      </c>
      <c r="U3387" s="49" t="s">
        <v>7015</v>
      </c>
    </row>
    <row r="3388" customFormat="false" ht="15" hidden="false" customHeight="false" outlineLevel="0" collapsed="false">
      <c r="B3388" s="48" t="n">
        <v>46118.2569444445</v>
      </c>
      <c r="C3388" s="4" t="n">
        <f aca="false">YEAR(B3388)</f>
        <v>2026</v>
      </c>
      <c r="D3388" s="49" t="s">
        <v>278</v>
      </c>
      <c r="E3388" s="49" t="s">
        <v>7016</v>
      </c>
      <c r="F3388" s="50" t="n">
        <v>1</v>
      </c>
      <c r="G3388" s="49" t="s">
        <v>290</v>
      </c>
      <c r="H3388" s="51" t="n">
        <v>0.0933</v>
      </c>
      <c r="I3388" s="51" t="n">
        <v>0.7362</v>
      </c>
      <c r="J3388" s="51" t="n">
        <v>0.1705</v>
      </c>
      <c r="K3388" s="49"/>
      <c r="L3388" s="49"/>
      <c r="M3388" s="49"/>
      <c r="N3388" s="49"/>
      <c r="O3388" s="49"/>
      <c r="P3388" s="49"/>
      <c r="Q3388" s="49"/>
      <c r="R3388" s="49" t="s">
        <v>281</v>
      </c>
      <c r="S3388" s="49" t="n">
        <v>0</v>
      </c>
      <c r="T3388" s="49" t="n">
        <v>0</v>
      </c>
      <c r="U3388" s="49" t="s">
        <v>7017</v>
      </c>
    </row>
    <row r="3389" customFormat="false" ht="15" hidden="false" customHeight="false" outlineLevel="0" collapsed="false">
      <c r="B3389" s="48" t="n">
        <v>46118.6923726852</v>
      </c>
      <c r="C3389" s="4" t="n">
        <f aca="false">YEAR(B3389)</f>
        <v>2026</v>
      </c>
      <c r="D3389" s="49" t="s">
        <v>283</v>
      </c>
      <c r="E3389" s="49" t="s">
        <v>7018</v>
      </c>
      <c r="F3389" s="50" t="n">
        <v>1</v>
      </c>
      <c r="G3389" s="49" t="s">
        <v>287</v>
      </c>
      <c r="H3389" s="51" t="n">
        <v>0.0046</v>
      </c>
      <c r="I3389" s="51" t="n">
        <v>0.0524</v>
      </c>
      <c r="J3389" s="51" t="n">
        <v>0.943</v>
      </c>
      <c r="K3389" s="49"/>
      <c r="L3389" s="49"/>
      <c r="M3389" s="49"/>
      <c r="N3389" s="49"/>
      <c r="O3389" s="49"/>
      <c r="P3389" s="49"/>
      <c r="Q3389" s="49"/>
      <c r="R3389" s="49"/>
      <c r="S3389" s="49" t="n">
        <v>0</v>
      </c>
      <c r="T3389" s="49" t="n">
        <v>0</v>
      </c>
      <c r="U3389" s="49" t="s">
        <v>7019</v>
      </c>
    </row>
    <row r="3390" customFormat="false" ht="15" hidden="false" customHeight="false" outlineLevel="0" collapsed="false">
      <c r="B3390" s="48" t="n">
        <v>46118.7756134259</v>
      </c>
      <c r="C3390" s="4" t="n">
        <f aca="false">YEAR(B3390)</f>
        <v>2026</v>
      </c>
      <c r="D3390" s="49" t="s">
        <v>278</v>
      </c>
      <c r="E3390" s="49" t="s">
        <v>7020</v>
      </c>
      <c r="F3390" s="50" t="n">
        <v>2</v>
      </c>
      <c r="G3390" s="49" t="s">
        <v>280</v>
      </c>
      <c r="H3390" s="51" t="n">
        <v>0.855</v>
      </c>
      <c r="I3390" s="51" t="n">
        <v>0.1366</v>
      </c>
      <c r="J3390" s="51" t="n">
        <v>0.0085</v>
      </c>
      <c r="K3390" s="49"/>
      <c r="L3390" s="49"/>
      <c r="M3390" s="49"/>
      <c r="N3390" s="49"/>
      <c r="O3390" s="49"/>
      <c r="P3390" s="49"/>
      <c r="Q3390" s="49" t="s">
        <v>281</v>
      </c>
      <c r="R3390" s="49"/>
      <c r="S3390" s="49" t="n">
        <v>0</v>
      </c>
      <c r="T3390" s="49" t="n">
        <v>0</v>
      </c>
      <c r="U3390" s="49" t="s">
        <v>7021</v>
      </c>
    </row>
    <row r="3391" customFormat="false" ht="15" hidden="false" customHeight="false" outlineLevel="0" collapsed="false">
      <c r="B3391" s="48" t="n">
        <v>46118.9566666667</v>
      </c>
      <c r="C3391" s="4" t="n">
        <f aca="false">YEAR(B3391)</f>
        <v>2026</v>
      </c>
      <c r="D3391" s="49" t="s">
        <v>278</v>
      </c>
      <c r="E3391" s="49" t="s">
        <v>7022</v>
      </c>
      <c r="F3391" s="50" t="n">
        <v>322</v>
      </c>
      <c r="G3391" s="49" t="s">
        <v>290</v>
      </c>
      <c r="H3391" s="51" t="n">
        <v>0.2847</v>
      </c>
      <c r="I3391" s="51" t="n">
        <v>0.6726</v>
      </c>
      <c r="J3391" s="51" t="n">
        <v>0.0426</v>
      </c>
      <c r="K3391" s="49"/>
      <c r="L3391" s="49"/>
      <c r="M3391" s="49"/>
      <c r="N3391" s="49"/>
      <c r="O3391" s="49"/>
      <c r="P3391" s="49"/>
      <c r="Q3391" s="49"/>
      <c r="R3391" s="49"/>
      <c r="S3391" s="49" t="n">
        <v>0</v>
      </c>
      <c r="T3391" s="49" t="n">
        <v>0</v>
      </c>
      <c r="U3391" s="49" t="s">
        <v>7023</v>
      </c>
    </row>
    <row r="3392" customFormat="false" ht="15" hidden="false" customHeight="false" outlineLevel="0" collapsed="false">
      <c r="B3392" s="48" t="n">
        <v>46119.2827199074</v>
      </c>
      <c r="C3392" s="4" t="n">
        <f aca="false">YEAR(B3392)</f>
        <v>2026</v>
      </c>
      <c r="D3392" s="49" t="s">
        <v>283</v>
      </c>
      <c r="E3392" s="49" t="s">
        <v>7024</v>
      </c>
      <c r="F3392" s="50" t="n">
        <v>1</v>
      </c>
      <c r="G3392" s="49" t="s">
        <v>290</v>
      </c>
      <c r="H3392" s="51" t="n">
        <v>0.0627</v>
      </c>
      <c r="I3392" s="51" t="n">
        <v>0.6807</v>
      </c>
      <c r="J3392" s="51" t="n">
        <v>0.2565</v>
      </c>
      <c r="K3392" s="49"/>
      <c r="L3392" s="49"/>
      <c r="M3392" s="49"/>
      <c r="N3392" s="49"/>
      <c r="O3392" s="49"/>
      <c r="P3392" s="49"/>
      <c r="Q3392" s="49"/>
      <c r="R3392" s="49"/>
      <c r="S3392" s="49" t="n">
        <v>0</v>
      </c>
      <c r="T3392" s="49" t="n">
        <v>0</v>
      </c>
      <c r="U3392" s="49" t="s">
        <v>7025</v>
      </c>
    </row>
    <row r="3393" customFormat="false" ht="15" hidden="false" customHeight="false" outlineLevel="0" collapsed="false">
      <c r="B3393" s="48" t="n">
        <v>46120.123912037</v>
      </c>
      <c r="C3393" s="4" t="n">
        <f aca="false">YEAR(B3393)</f>
        <v>2026</v>
      </c>
      <c r="D3393" s="49" t="s">
        <v>278</v>
      </c>
      <c r="E3393" s="49" t="s">
        <v>7026</v>
      </c>
      <c r="F3393" s="50" t="n">
        <v>15</v>
      </c>
      <c r="G3393" s="49" t="s">
        <v>280</v>
      </c>
      <c r="H3393" s="51" t="n">
        <v>0.9277</v>
      </c>
      <c r="I3393" s="51" t="n">
        <v>0.0652</v>
      </c>
      <c r="J3393" s="51" t="n">
        <v>0.007</v>
      </c>
      <c r="K3393" s="49"/>
      <c r="L3393" s="49"/>
      <c r="M3393" s="49" t="s">
        <v>281</v>
      </c>
      <c r="N3393" s="49"/>
      <c r="O3393" s="49"/>
      <c r="P3393" s="49"/>
      <c r="Q3393" s="49"/>
      <c r="R3393" s="49"/>
      <c r="S3393" s="49" t="n">
        <v>0</v>
      </c>
      <c r="T3393" s="49" t="n">
        <v>0</v>
      </c>
      <c r="U3393" s="49" t="s">
        <v>7027</v>
      </c>
    </row>
    <row r="3394" customFormat="false" ht="15" hidden="false" customHeight="false" outlineLevel="0" collapsed="false">
      <c r="B3394" s="48" t="n">
        <v>46120.1461574074</v>
      </c>
      <c r="C3394" s="4" t="n">
        <f aca="false">YEAR(B3394)</f>
        <v>2026</v>
      </c>
      <c r="D3394" s="49" t="s">
        <v>283</v>
      </c>
      <c r="E3394" s="49" t="s">
        <v>7028</v>
      </c>
      <c r="F3394" s="50" t="n">
        <v>1</v>
      </c>
      <c r="G3394" s="49" t="s">
        <v>290</v>
      </c>
      <c r="H3394" s="51" t="n">
        <v>0.0171</v>
      </c>
      <c r="I3394" s="51" t="n">
        <v>0.5587</v>
      </c>
      <c r="J3394" s="51" t="n">
        <v>0.4242</v>
      </c>
      <c r="K3394" s="49"/>
      <c r="L3394" s="49"/>
      <c r="M3394" s="49"/>
      <c r="N3394" s="49"/>
      <c r="O3394" s="49"/>
      <c r="P3394" s="49"/>
      <c r="Q3394" s="49"/>
      <c r="R3394" s="49"/>
      <c r="S3394" s="49" t="n">
        <v>0</v>
      </c>
      <c r="T3394" s="49" t="n">
        <v>0</v>
      </c>
      <c r="U3394" s="49" t="s">
        <v>7029</v>
      </c>
    </row>
    <row r="3395" customFormat="false" ht="15" hidden="false" customHeight="false" outlineLevel="0" collapsed="false">
      <c r="B3395" s="48" t="n">
        <v>46120.4773842593</v>
      </c>
      <c r="C3395" s="4" t="n">
        <f aca="false">YEAR(B3395)</f>
        <v>2026</v>
      </c>
      <c r="D3395" s="49" t="s">
        <v>278</v>
      </c>
      <c r="E3395" s="49" t="s">
        <v>7030</v>
      </c>
      <c r="F3395" s="50" t="n">
        <v>0</v>
      </c>
      <c r="G3395" s="49" t="s">
        <v>280</v>
      </c>
      <c r="H3395" s="51" t="n">
        <v>0.566</v>
      </c>
      <c r="I3395" s="51" t="n">
        <v>0.2964</v>
      </c>
      <c r="J3395" s="51" t="n">
        <v>0.1376</v>
      </c>
      <c r="K3395" s="49"/>
      <c r="L3395" s="49"/>
      <c r="M3395" s="49"/>
      <c r="N3395" s="49"/>
      <c r="O3395" s="49"/>
      <c r="P3395" s="49"/>
      <c r="Q3395" s="49"/>
      <c r="R3395" s="49" t="s">
        <v>281</v>
      </c>
      <c r="S3395" s="49" t="n">
        <v>0</v>
      </c>
      <c r="T3395" s="49" t="n">
        <v>0</v>
      </c>
      <c r="U3395" s="49" t="s">
        <v>7031</v>
      </c>
    </row>
    <row r="3396" customFormat="false" ht="15" hidden="false" customHeight="false" outlineLevel="0" collapsed="false">
      <c r="B3396" s="48" t="n">
        <v>46120.8688657407</v>
      </c>
      <c r="C3396" s="4" t="n">
        <f aca="false">YEAR(B3396)</f>
        <v>2026</v>
      </c>
      <c r="D3396" s="49" t="s">
        <v>278</v>
      </c>
      <c r="E3396" s="49" t="s">
        <v>7032</v>
      </c>
      <c r="F3396" s="50" t="n">
        <v>1</v>
      </c>
      <c r="G3396" s="49" t="s">
        <v>280</v>
      </c>
      <c r="H3396" s="51" t="n">
        <v>0.6441</v>
      </c>
      <c r="I3396" s="51" t="n">
        <v>0.3168</v>
      </c>
      <c r="J3396" s="51" t="n">
        <v>0.039</v>
      </c>
      <c r="K3396" s="49"/>
      <c r="L3396" s="49"/>
      <c r="M3396" s="49"/>
      <c r="N3396" s="49"/>
      <c r="O3396" s="49"/>
      <c r="P3396" s="49"/>
      <c r="Q3396" s="49"/>
      <c r="R3396" s="49" t="s">
        <v>281</v>
      </c>
      <c r="S3396" s="49" t="n">
        <v>0</v>
      </c>
      <c r="T3396" s="49" t="n">
        <v>0</v>
      </c>
      <c r="U3396" s="49" t="s">
        <v>7033</v>
      </c>
    </row>
    <row r="3397" customFormat="false" ht="15" hidden="false" customHeight="false" outlineLevel="0" collapsed="false">
      <c r="B3397" s="48" t="n">
        <v>46121.6330902778</v>
      </c>
      <c r="C3397" s="4" t="n">
        <f aca="false">YEAR(B3397)</f>
        <v>2026</v>
      </c>
      <c r="D3397" s="49" t="s">
        <v>278</v>
      </c>
      <c r="E3397" s="49" t="s">
        <v>7034</v>
      </c>
      <c r="F3397" s="50" t="n">
        <v>0</v>
      </c>
      <c r="G3397" s="49" t="s">
        <v>280</v>
      </c>
      <c r="H3397" s="51" t="n">
        <v>0.8188</v>
      </c>
      <c r="I3397" s="51" t="n">
        <v>0.1654</v>
      </c>
      <c r="J3397" s="51" t="n">
        <v>0.0157</v>
      </c>
      <c r="K3397" s="49" t="s">
        <v>281</v>
      </c>
      <c r="L3397" s="49"/>
      <c r="M3397" s="49"/>
      <c r="N3397" s="49"/>
      <c r="O3397" s="49"/>
      <c r="P3397" s="49"/>
      <c r="Q3397" s="49"/>
      <c r="R3397" s="49" t="s">
        <v>281</v>
      </c>
      <c r="S3397" s="49" t="n">
        <v>0</v>
      </c>
      <c r="T3397" s="49" t="n">
        <v>0</v>
      </c>
      <c r="U3397" s="49" t="s">
        <v>7035</v>
      </c>
    </row>
    <row r="3398" customFormat="false" ht="15" hidden="false" customHeight="false" outlineLevel="0" collapsed="false">
      <c r="B3398" s="48" t="n">
        <v>46121.7259143519</v>
      </c>
      <c r="C3398" s="4" t="n">
        <f aca="false">YEAR(B3398)</f>
        <v>2026</v>
      </c>
      <c r="D3398" s="49" t="s">
        <v>278</v>
      </c>
      <c r="E3398" s="49" t="s">
        <v>7036</v>
      </c>
      <c r="F3398" s="50" t="n">
        <v>2</v>
      </c>
      <c r="G3398" s="49" t="s">
        <v>280</v>
      </c>
      <c r="H3398" s="51" t="n">
        <v>0.8688</v>
      </c>
      <c r="I3398" s="51" t="n">
        <v>0.123</v>
      </c>
      <c r="J3398" s="51" t="n">
        <v>0.0081</v>
      </c>
      <c r="K3398" s="49"/>
      <c r="L3398" s="49"/>
      <c r="M3398" s="49"/>
      <c r="N3398" s="49"/>
      <c r="O3398" s="49"/>
      <c r="P3398" s="49"/>
      <c r="Q3398" s="49"/>
      <c r="R3398" s="49"/>
      <c r="S3398" s="49" t="n">
        <v>0</v>
      </c>
      <c r="T3398" s="49" t="n">
        <v>0</v>
      </c>
      <c r="U3398" s="49" t="s">
        <v>7037</v>
      </c>
    </row>
    <row r="3399" customFormat="false" ht="15" hidden="false" customHeight="false" outlineLevel="0" collapsed="false">
      <c r="B3399" s="48" t="n">
        <v>46121.7591666667</v>
      </c>
      <c r="C3399" s="4" t="n">
        <f aca="false">YEAR(B3399)</f>
        <v>2026</v>
      </c>
      <c r="D3399" s="49" t="s">
        <v>283</v>
      </c>
      <c r="E3399" s="49" t="s">
        <v>7038</v>
      </c>
      <c r="F3399" s="50" t="n">
        <v>0</v>
      </c>
      <c r="G3399" s="49" t="s">
        <v>287</v>
      </c>
      <c r="H3399" s="51" t="n">
        <v>0.005</v>
      </c>
      <c r="I3399" s="51" t="n">
        <v>0.1174</v>
      </c>
      <c r="J3399" s="51" t="n">
        <v>0.8776</v>
      </c>
      <c r="K3399" s="49"/>
      <c r="L3399" s="49"/>
      <c r="M3399" s="49"/>
      <c r="N3399" s="49"/>
      <c r="O3399" s="49"/>
      <c r="P3399" s="49"/>
      <c r="Q3399" s="49"/>
      <c r="R3399" s="49"/>
      <c r="S3399" s="49" t="n">
        <v>0</v>
      </c>
      <c r="T3399" s="49" t="n">
        <v>0</v>
      </c>
      <c r="U3399" s="49" t="s">
        <v>7039</v>
      </c>
    </row>
    <row r="3400" customFormat="false" ht="15" hidden="false" customHeight="false" outlineLevel="0" collapsed="false">
      <c r="B3400" s="48" t="n">
        <v>46121.8052083333</v>
      </c>
      <c r="C3400" s="4" t="n">
        <f aca="false">YEAR(B3400)</f>
        <v>2026</v>
      </c>
      <c r="D3400" s="49" t="s">
        <v>278</v>
      </c>
      <c r="E3400" s="49" t="s">
        <v>7040</v>
      </c>
      <c r="F3400" s="50" t="n">
        <v>0</v>
      </c>
      <c r="G3400" s="49" t="s">
        <v>287</v>
      </c>
      <c r="H3400" s="51" t="n">
        <v>0.0028</v>
      </c>
      <c r="I3400" s="51" t="n">
        <v>0.1069</v>
      </c>
      <c r="J3400" s="51" t="n">
        <v>0.8903</v>
      </c>
      <c r="K3400" s="49"/>
      <c r="L3400" s="49"/>
      <c r="M3400" s="49"/>
      <c r="N3400" s="49"/>
      <c r="O3400" s="49"/>
      <c r="P3400" s="49"/>
      <c r="Q3400" s="49"/>
      <c r="R3400" s="49"/>
      <c r="S3400" s="49" t="n">
        <v>0</v>
      </c>
      <c r="T3400" s="49" t="n">
        <v>0</v>
      </c>
      <c r="U3400" s="49" t="s">
        <v>7041</v>
      </c>
    </row>
    <row r="3401" customFormat="false" ht="15" hidden="false" customHeight="false" outlineLevel="0" collapsed="false">
      <c r="B3401" s="48" t="n">
        <v>46121.9039699074</v>
      </c>
      <c r="C3401" s="4" t="n">
        <f aca="false">YEAR(B3401)</f>
        <v>2026</v>
      </c>
      <c r="D3401" s="49" t="s">
        <v>278</v>
      </c>
      <c r="E3401" s="49" t="s">
        <v>7042</v>
      </c>
      <c r="F3401" s="50" t="n">
        <v>1</v>
      </c>
      <c r="G3401" s="49" t="s">
        <v>290</v>
      </c>
      <c r="H3401" s="51" t="n">
        <v>0.4134</v>
      </c>
      <c r="I3401" s="51" t="n">
        <v>0.5033</v>
      </c>
      <c r="J3401" s="51" t="n">
        <v>0.0833</v>
      </c>
      <c r="K3401" s="49"/>
      <c r="L3401" s="49"/>
      <c r="M3401" s="49"/>
      <c r="N3401" s="49"/>
      <c r="O3401" s="49"/>
      <c r="P3401" s="49"/>
      <c r="Q3401" s="49"/>
      <c r="R3401" s="49"/>
      <c r="S3401" s="49" t="n">
        <v>0</v>
      </c>
      <c r="T3401" s="49" t="n">
        <v>0</v>
      </c>
      <c r="U3401" s="49" t="s">
        <v>7043</v>
      </c>
    </row>
    <row r="3402" customFormat="false" ht="15" hidden="false" customHeight="false" outlineLevel="0" collapsed="false">
      <c r="B3402" s="48" t="n">
        <v>46122.0901851852</v>
      </c>
      <c r="C3402" s="4" t="n">
        <f aca="false">YEAR(B3402)</f>
        <v>2026</v>
      </c>
      <c r="D3402" s="49" t="s">
        <v>283</v>
      </c>
      <c r="E3402" s="49" t="s">
        <v>7044</v>
      </c>
      <c r="F3402" s="50" t="n">
        <v>1</v>
      </c>
      <c r="G3402" s="49" t="s">
        <v>287</v>
      </c>
      <c r="H3402" s="51" t="n">
        <v>0.01</v>
      </c>
      <c r="I3402" s="51" t="n">
        <v>0.4909</v>
      </c>
      <c r="J3402" s="51" t="n">
        <v>0.4991</v>
      </c>
      <c r="K3402" s="49"/>
      <c r="L3402" s="49"/>
      <c r="M3402" s="49"/>
      <c r="N3402" s="49"/>
      <c r="O3402" s="49"/>
      <c r="P3402" s="49" t="s">
        <v>281</v>
      </c>
      <c r="Q3402" s="49"/>
      <c r="R3402" s="49"/>
      <c r="S3402" s="49" t="n">
        <v>0</v>
      </c>
      <c r="T3402" s="49" t="n">
        <v>0</v>
      </c>
      <c r="U3402" s="49" t="s">
        <v>7045</v>
      </c>
    </row>
    <row r="3403" customFormat="false" ht="15" hidden="false" customHeight="false" outlineLevel="0" collapsed="false">
      <c r="B3403" s="48" t="n">
        <v>46122.4524305556</v>
      </c>
      <c r="C3403" s="4" t="n">
        <f aca="false">YEAR(B3403)</f>
        <v>2026</v>
      </c>
      <c r="D3403" s="49" t="s">
        <v>278</v>
      </c>
      <c r="E3403" s="49" t="s">
        <v>7046</v>
      </c>
      <c r="F3403" s="50" t="n">
        <v>3</v>
      </c>
      <c r="G3403" s="49" t="s">
        <v>290</v>
      </c>
      <c r="H3403" s="51" t="n">
        <v>0.2385</v>
      </c>
      <c r="I3403" s="51" t="n">
        <v>0.5008</v>
      </c>
      <c r="J3403" s="51" t="n">
        <v>0.2607</v>
      </c>
      <c r="K3403" s="49"/>
      <c r="L3403" s="49"/>
      <c r="M3403" s="49"/>
      <c r="N3403" s="49"/>
      <c r="O3403" s="49"/>
      <c r="P3403" s="49"/>
      <c r="Q3403" s="49"/>
      <c r="R3403" s="49"/>
      <c r="S3403" s="49" t="n">
        <v>0</v>
      </c>
      <c r="T3403" s="49" t="n">
        <v>0</v>
      </c>
      <c r="U3403" s="49" t="s">
        <v>7047</v>
      </c>
    </row>
    <row r="3404" customFormat="false" ht="15" hidden="false" customHeight="false" outlineLevel="0" collapsed="false">
      <c r="B3404" s="48" t="n">
        <v>46122.590787037</v>
      </c>
      <c r="C3404" s="4" t="n">
        <f aca="false">YEAR(B3404)</f>
        <v>2026</v>
      </c>
      <c r="D3404" s="49" t="s">
        <v>278</v>
      </c>
      <c r="E3404" s="49" t="s">
        <v>7048</v>
      </c>
      <c r="F3404" s="50" t="n">
        <v>0</v>
      </c>
      <c r="G3404" s="49" t="s">
        <v>280</v>
      </c>
      <c r="H3404" s="51" t="n">
        <v>0.9316</v>
      </c>
      <c r="I3404" s="51" t="n">
        <v>0.0609</v>
      </c>
      <c r="J3404" s="51" t="n">
        <v>0.0075</v>
      </c>
      <c r="K3404" s="49" t="s">
        <v>281</v>
      </c>
      <c r="L3404" s="49"/>
      <c r="M3404" s="49"/>
      <c r="N3404" s="49"/>
      <c r="O3404" s="49"/>
      <c r="P3404" s="49"/>
      <c r="Q3404" s="49"/>
      <c r="R3404" s="49"/>
      <c r="S3404" s="49" t="n">
        <v>0</v>
      </c>
      <c r="T3404" s="49" t="n">
        <v>0</v>
      </c>
      <c r="U3404" s="49" t="s">
        <v>7049</v>
      </c>
    </row>
    <row r="3405" customFormat="false" ht="15" hidden="false" customHeight="false" outlineLevel="0" collapsed="false">
      <c r="B3405" s="48" t="n">
        <v>46122.6478356482</v>
      </c>
      <c r="C3405" s="4" t="n">
        <f aca="false">YEAR(B3405)</f>
        <v>2026</v>
      </c>
      <c r="D3405" s="49" t="s">
        <v>278</v>
      </c>
      <c r="E3405" s="49" t="s">
        <v>7050</v>
      </c>
      <c r="F3405" s="50" t="n">
        <v>96</v>
      </c>
      <c r="G3405" s="49" t="s">
        <v>280</v>
      </c>
      <c r="H3405" s="51" t="n">
        <v>0.8686</v>
      </c>
      <c r="I3405" s="51" t="n">
        <v>0.1241</v>
      </c>
      <c r="J3405" s="51" t="n">
        <v>0.0072</v>
      </c>
      <c r="K3405" s="49"/>
      <c r="L3405" s="49"/>
      <c r="M3405" s="49"/>
      <c r="N3405" s="49"/>
      <c r="O3405" s="49"/>
      <c r="P3405" s="49"/>
      <c r="Q3405" s="49"/>
      <c r="R3405" s="49"/>
      <c r="S3405" s="49" t="n">
        <v>0</v>
      </c>
      <c r="T3405" s="49" t="n">
        <v>0</v>
      </c>
      <c r="U3405" s="49" t="s">
        <v>7051</v>
      </c>
    </row>
    <row r="3406" customFormat="false" ht="15" hidden="false" customHeight="false" outlineLevel="0" collapsed="false">
      <c r="B3406" s="48" t="n">
        <v>46122.8135300926</v>
      </c>
      <c r="C3406" s="4" t="n">
        <f aca="false">YEAR(B3406)</f>
        <v>2026</v>
      </c>
      <c r="D3406" s="49" t="s">
        <v>278</v>
      </c>
      <c r="E3406" s="49" t="s">
        <v>7052</v>
      </c>
      <c r="F3406" s="50" t="n">
        <v>0</v>
      </c>
      <c r="G3406" s="49" t="s">
        <v>290</v>
      </c>
      <c r="H3406" s="51" t="n">
        <v>0.0073</v>
      </c>
      <c r="I3406" s="51" t="n">
        <v>0.5016</v>
      </c>
      <c r="J3406" s="51" t="n">
        <v>0.4911</v>
      </c>
      <c r="K3406" s="49"/>
      <c r="L3406" s="49"/>
      <c r="M3406" s="49" t="s">
        <v>281</v>
      </c>
      <c r="N3406" s="49"/>
      <c r="O3406" s="49"/>
      <c r="P3406" s="49"/>
      <c r="Q3406" s="49"/>
      <c r="R3406" s="49"/>
      <c r="S3406" s="49" t="n">
        <v>0</v>
      </c>
      <c r="T3406" s="49" t="n">
        <v>0</v>
      </c>
      <c r="U3406" s="49" t="s">
        <v>7053</v>
      </c>
    </row>
    <row r="3407" customFormat="false" ht="15" hidden="false" customHeight="false" outlineLevel="0" collapsed="false">
      <c r="B3407" s="48" t="n">
        <v>46123.4778009259</v>
      </c>
      <c r="C3407" s="4" t="n">
        <f aca="false">YEAR(B3407)</f>
        <v>2026</v>
      </c>
      <c r="D3407" s="49" t="s">
        <v>283</v>
      </c>
      <c r="E3407" s="49" t="s">
        <v>7054</v>
      </c>
      <c r="F3407" s="50" t="n">
        <v>1</v>
      </c>
      <c r="G3407" s="49" t="s">
        <v>290</v>
      </c>
      <c r="H3407" s="51" t="n">
        <v>0.0035</v>
      </c>
      <c r="I3407" s="51" t="n">
        <v>0.6466</v>
      </c>
      <c r="J3407" s="51" t="n">
        <v>0.3499</v>
      </c>
      <c r="K3407" s="49"/>
      <c r="L3407" s="49"/>
      <c r="M3407" s="49"/>
      <c r="N3407" s="49"/>
      <c r="O3407" s="49"/>
      <c r="P3407" s="49"/>
      <c r="Q3407" s="49"/>
      <c r="R3407" s="49"/>
      <c r="S3407" s="49" t="n">
        <v>0</v>
      </c>
      <c r="T3407" s="49" t="n">
        <v>0</v>
      </c>
      <c r="U3407" s="49" t="s">
        <v>7055</v>
      </c>
    </row>
    <row r="3408" customFormat="false" ht="15" hidden="false" customHeight="false" outlineLevel="0" collapsed="false">
      <c r="B3408" s="48" t="n">
        <v>46124.0588888889</v>
      </c>
      <c r="C3408" s="4" t="n">
        <f aca="false">YEAR(B3408)</f>
        <v>2026</v>
      </c>
      <c r="D3408" s="49" t="s">
        <v>278</v>
      </c>
      <c r="E3408" s="49" t="s">
        <v>7056</v>
      </c>
      <c r="F3408" s="50" t="n">
        <v>1</v>
      </c>
      <c r="G3408" s="49" t="s">
        <v>280</v>
      </c>
      <c r="H3408" s="51" t="n">
        <v>0.9135</v>
      </c>
      <c r="I3408" s="51" t="n">
        <v>0.0786</v>
      </c>
      <c r="J3408" s="51" t="n">
        <v>0.0079</v>
      </c>
      <c r="K3408" s="49"/>
      <c r="L3408" s="49"/>
      <c r="M3408" s="49"/>
      <c r="N3408" s="49"/>
      <c r="O3408" s="49"/>
      <c r="P3408" s="49"/>
      <c r="Q3408" s="49"/>
      <c r="R3408" s="49"/>
      <c r="S3408" s="49" t="n">
        <v>0</v>
      </c>
      <c r="T3408" s="49" t="n">
        <v>0</v>
      </c>
      <c r="U3408" s="49" t="s">
        <v>7057</v>
      </c>
    </row>
    <row r="3409" customFormat="false" ht="15" hidden="false" customHeight="false" outlineLevel="0" collapsed="false">
      <c r="B3409" s="48" t="n">
        <v>46124.549212963</v>
      </c>
      <c r="C3409" s="4" t="n">
        <f aca="false">YEAR(B3409)</f>
        <v>2026</v>
      </c>
      <c r="D3409" s="49" t="s">
        <v>278</v>
      </c>
      <c r="E3409" s="49" t="s">
        <v>7058</v>
      </c>
      <c r="F3409" s="50" t="n">
        <v>1</v>
      </c>
      <c r="G3409" s="49" t="s">
        <v>280</v>
      </c>
      <c r="H3409" s="51" t="n">
        <v>0.5362</v>
      </c>
      <c r="I3409" s="51" t="n">
        <v>0.4028</v>
      </c>
      <c r="J3409" s="51" t="n">
        <v>0.061</v>
      </c>
      <c r="K3409" s="49"/>
      <c r="L3409" s="49"/>
      <c r="M3409" s="49"/>
      <c r="N3409" s="49"/>
      <c r="O3409" s="49"/>
      <c r="P3409" s="49"/>
      <c r="Q3409" s="49"/>
      <c r="R3409" s="49"/>
      <c r="S3409" s="49" t="n">
        <v>0</v>
      </c>
      <c r="T3409" s="49" t="n">
        <v>0</v>
      </c>
      <c r="U3409" s="49" t="s">
        <v>7059</v>
      </c>
    </row>
    <row r="3410" customFormat="false" ht="15" hidden="false" customHeight="false" outlineLevel="0" collapsed="false">
      <c r="B3410" s="48" t="n">
        <v>46124.5815509259</v>
      </c>
      <c r="C3410" s="4" t="n">
        <f aca="false">YEAR(B3410)</f>
        <v>2026</v>
      </c>
      <c r="D3410" s="49" t="s">
        <v>278</v>
      </c>
      <c r="E3410" s="49" t="s">
        <v>7060</v>
      </c>
      <c r="F3410" s="50" t="n">
        <v>1</v>
      </c>
      <c r="G3410" s="49" t="s">
        <v>280</v>
      </c>
      <c r="H3410" s="51" t="n">
        <v>0.707</v>
      </c>
      <c r="I3410" s="51" t="n">
        <v>0.2671</v>
      </c>
      <c r="J3410" s="51" t="n">
        <v>0.0259</v>
      </c>
      <c r="K3410" s="49"/>
      <c r="L3410" s="49"/>
      <c r="M3410" s="49"/>
      <c r="N3410" s="49"/>
      <c r="O3410" s="49"/>
      <c r="P3410" s="49"/>
      <c r="Q3410" s="49"/>
      <c r="R3410" s="49" t="s">
        <v>281</v>
      </c>
      <c r="S3410" s="49" t="n">
        <v>0</v>
      </c>
      <c r="T3410" s="49" t="n">
        <v>0</v>
      </c>
      <c r="U3410" s="49" t="s">
        <v>7061</v>
      </c>
    </row>
    <row r="3411" customFormat="false" ht="15" hidden="false" customHeight="false" outlineLevel="0" collapsed="false">
      <c r="B3411" s="48" t="n">
        <v>46125.1505208333</v>
      </c>
      <c r="C3411" s="4" t="n">
        <f aca="false">YEAR(B3411)</f>
        <v>2026</v>
      </c>
      <c r="D3411" s="49" t="s">
        <v>278</v>
      </c>
      <c r="E3411" s="49" t="s">
        <v>7062</v>
      </c>
      <c r="F3411" s="50" t="n">
        <v>9</v>
      </c>
      <c r="G3411" s="49" t="s">
        <v>280</v>
      </c>
      <c r="H3411" s="51" t="n">
        <v>0.7787</v>
      </c>
      <c r="I3411" s="51" t="n">
        <v>0.2048</v>
      </c>
      <c r="J3411" s="51" t="n">
        <v>0.0165</v>
      </c>
      <c r="K3411" s="49"/>
      <c r="L3411" s="49"/>
      <c r="M3411" s="49" t="s">
        <v>281</v>
      </c>
      <c r="N3411" s="49"/>
      <c r="O3411" s="49"/>
      <c r="P3411" s="49"/>
      <c r="Q3411" s="49"/>
      <c r="R3411" s="49"/>
      <c r="S3411" s="49" t="n">
        <v>0</v>
      </c>
      <c r="T3411" s="49" t="n">
        <v>0</v>
      </c>
      <c r="U3411" s="49" t="s">
        <v>7063</v>
      </c>
    </row>
    <row r="3412" customFormat="false" ht="15" hidden="false" customHeight="false" outlineLevel="0" collapsed="false">
      <c r="B3412" s="48" t="n">
        <v>46125.3716898148</v>
      </c>
      <c r="C3412" s="4" t="n">
        <f aca="false">YEAR(B3412)</f>
        <v>2026</v>
      </c>
      <c r="D3412" s="49" t="s">
        <v>283</v>
      </c>
      <c r="E3412" s="49" t="s">
        <v>7064</v>
      </c>
      <c r="F3412" s="50" t="n">
        <v>1</v>
      </c>
      <c r="G3412" s="49" t="s">
        <v>290</v>
      </c>
      <c r="H3412" s="51" t="n">
        <v>0.0043</v>
      </c>
      <c r="I3412" s="51" t="n">
        <v>0.5628</v>
      </c>
      <c r="J3412" s="51" t="n">
        <v>0.433</v>
      </c>
      <c r="K3412" s="49"/>
      <c r="L3412" s="49"/>
      <c r="M3412" s="49"/>
      <c r="N3412" s="49"/>
      <c r="O3412" s="49"/>
      <c r="P3412" s="49"/>
      <c r="Q3412" s="49"/>
      <c r="R3412" s="49" t="s">
        <v>281</v>
      </c>
      <c r="S3412" s="49" t="n">
        <v>0</v>
      </c>
      <c r="T3412" s="49" t="n">
        <v>0</v>
      </c>
      <c r="U3412" s="49" t="s">
        <v>7065</v>
      </c>
    </row>
    <row r="3413" customFormat="false" ht="15" hidden="false" customHeight="false" outlineLevel="0" collapsed="false">
      <c r="B3413" s="48" t="n">
        <v>46125.603275463</v>
      </c>
      <c r="C3413" s="4" t="n">
        <f aca="false">YEAR(B3413)</f>
        <v>2026</v>
      </c>
      <c r="D3413" s="49" t="s">
        <v>278</v>
      </c>
      <c r="E3413" s="49" t="s">
        <v>7066</v>
      </c>
      <c r="F3413" s="50" t="n">
        <v>1</v>
      </c>
      <c r="G3413" s="49" t="s">
        <v>290</v>
      </c>
      <c r="H3413" s="51" t="n">
        <v>0.3296</v>
      </c>
      <c r="I3413" s="51" t="n">
        <v>0.6302</v>
      </c>
      <c r="J3413" s="51" t="n">
        <v>0.0402</v>
      </c>
      <c r="K3413" s="49"/>
      <c r="L3413" s="49"/>
      <c r="M3413" s="49"/>
      <c r="N3413" s="49"/>
      <c r="O3413" s="49"/>
      <c r="P3413" s="49"/>
      <c r="Q3413" s="49"/>
      <c r="R3413" s="49" t="s">
        <v>281</v>
      </c>
      <c r="S3413" s="49" t="n">
        <v>0</v>
      </c>
      <c r="T3413" s="49" t="n">
        <v>0</v>
      </c>
      <c r="U3413" s="49" t="s">
        <v>7067</v>
      </c>
    </row>
    <row r="3414" customFormat="false" ht="15" hidden="false" customHeight="false" outlineLevel="0" collapsed="false">
      <c r="B3414" s="48" t="n">
        <v>46125.6236111111</v>
      </c>
      <c r="C3414" s="4" t="n">
        <f aca="false">YEAR(B3414)</f>
        <v>2026</v>
      </c>
      <c r="D3414" s="49" t="s">
        <v>283</v>
      </c>
      <c r="E3414" s="49" t="s">
        <v>7068</v>
      </c>
      <c r="F3414" s="50" t="n">
        <v>0</v>
      </c>
      <c r="G3414" s="49" t="s">
        <v>280</v>
      </c>
      <c r="H3414" s="51" t="n">
        <v>0.4971</v>
      </c>
      <c r="I3414" s="51" t="n">
        <v>0.4132</v>
      </c>
      <c r="J3414" s="51" t="n">
        <v>0.0898</v>
      </c>
      <c r="K3414" s="49"/>
      <c r="L3414" s="49"/>
      <c r="M3414" s="49" t="s">
        <v>281</v>
      </c>
      <c r="N3414" s="49"/>
      <c r="O3414" s="49"/>
      <c r="P3414" s="49"/>
      <c r="Q3414" s="49" t="s">
        <v>281</v>
      </c>
      <c r="R3414" s="49"/>
      <c r="S3414" s="49" t="n">
        <v>0</v>
      </c>
      <c r="T3414" s="49" t="n">
        <v>0</v>
      </c>
      <c r="U3414" s="49" t="s">
        <v>7069</v>
      </c>
    </row>
    <row r="3415" customFormat="false" ht="15" hidden="false" customHeight="false" outlineLevel="0" collapsed="false">
      <c r="B3415" s="48" t="n">
        <v>46125.8063078704</v>
      </c>
      <c r="C3415" s="4" t="n">
        <f aca="false">YEAR(B3415)</f>
        <v>2026</v>
      </c>
      <c r="D3415" s="49" t="s">
        <v>278</v>
      </c>
      <c r="E3415" s="49" t="s">
        <v>7070</v>
      </c>
      <c r="F3415" s="50" t="n">
        <v>5</v>
      </c>
      <c r="G3415" s="49" t="s">
        <v>280</v>
      </c>
      <c r="H3415" s="51" t="n">
        <v>0.8748</v>
      </c>
      <c r="I3415" s="51" t="n">
        <v>0.1188</v>
      </c>
      <c r="J3415" s="51" t="n">
        <v>0.0064</v>
      </c>
      <c r="K3415" s="49"/>
      <c r="L3415" s="49"/>
      <c r="M3415" s="49" t="s">
        <v>281</v>
      </c>
      <c r="N3415" s="49"/>
      <c r="O3415" s="49"/>
      <c r="P3415" s="49"/>
      <c r="Q3415" s="49" t="s">
        <v>281</v>
      </c>
      <c r="R3415" s="49"/>
      <c r="S3415" s="49" t="n">
        <v>0</v>
      </c>
      <c r="T3415" s="49" t="n">
        <v>0</v>
      </c>
      <c r="U3415" s="49" t="s">
        <v>7071</v>
      </c>
    </row>
    <row r="3416" customFormat="false" ht="15" hidden="false" customHeight="false" outlineLevel="0" collapsed="false">
      <c r="B3416" s="48" t="n">
        <v>46126.0371875</v>
      </c>
      <c r="C3416" s="4" t="n">
        <f aca="false">YEAR(B3416)</f>
        <v>2026</v>
      </c>
      <c r="D3416" s="49" t="s">
        <v>278</v>
      </c>
      <c r="E3416" s="49" t="s">
        <v>7072</v>
      </c>
      <c r="F3416" s="50" t="n">
        <v>0</v>
      </c>
      <c r="G3416" s="49" t="s">
        <v>280</v>
      </c>
      <c r="H3416" s="51" t="n">
        <v>0.9236</v>
      </c>
      <c r="I3416" s="51" t="n">
        <v>0.0702</v>
      </c>
      <c r="J3416" s="51" t="n">
        <v>0.0061</v>
      </c>
      <c r="K3416" s="49"/>
      <c r="L3416" s="49" t="s">
        <v>281</v>
      </c>
      <c r="M3416" s="49" t="s">
        <v>281</v>
      </c>
      <c r="N3416" s="49"/>
      <c r="O3416" s="49"/>
      <c r="P3416" s="49"/>
      <c r="Q3416" s="49"/>
      <c r="R3416" s="49"/>
      <c r="S3416" s="49" t="n">
        <v>0</v>
      </c>
      <c r="T3416" s="49" t="n">
        <v>0</v>
      </c>
      <c r="U3416" s="49" t="s">
        <v>7073</v>
      </c>
    </row>
    <row r="3417" customFormat="false" ht="15" hidden="false" customHeight="false" outlineLevel="0" collapsed="false">
      <c r="B3417" s="48" t="n">
        <v>46126.346724537</v>
      </c>
      <c r="C3417" s="4" t="n">
        <f aca="false">YEAR(B3417)</f>
        <v>2026</v>
      </c>
      <c r="D3417" s="49" t="s">
        <v>283</v>
      </c>
      <c r="E3417" s="49" t="s">
        <v>7074</v>
      </c>
      <c r="F3417" s="50" t="n">
        <v>1</v>
      </c>
      <c r="G3417" s="49" t="s">
        <v>287</v>
      </c>
      <c r="H3417" s="51" t="n">
        <v>0.0081</v>
      </c>
      <c r="I3417" s="51" t="n">
        <v>0.1052</v>
      </c>
      <c r="J3417" s="51" t="n">
        <v>0.8867</v>
      </c>
      <c r="K3417" s="49"/>
      <c r="L3417" s="49"/>
      <c r="M3417" s="49"/>
      <c r="N3417" s="49"/>
      <c r="O3417" s="49"/>
      <c r="P3417" s="49"/>
      <c r="Q3417" s="49"/>
      <c r="R3417" s="49"/>
      <c r="S3417" s="49" t="n">
        <v>0</v>
      </c>
      <c r="T3417" s="49" t="n">
        <v>0</v>
      </c>
      <c r="U3417" s="49" t="s">
        <v>7075</v>
      </c>
    </row>
    <row r="3418" customFormat="false" ht="15" hidden="false" customHeight="false" outlineLevel="0" collapsed="false">
      <c r="B3418" s="48" t="n">
        <v>46126.4483680556</v>
      </c>
      <c r="C3418" s="4" t="n">
        <f aca="false">YEAR(B3418)</f>
        <v>2026</v>
      </c>
      <c r="D3418" s="49" t="s">
        <v>278</v>
      </c>
      <c r="E3418" s="49" t="s">
        <v>7076</v>
      </c>
      <c r="F3418" s="50" t="n">
        <v>0</v>
      </c>
      <c r="G3418" s="49" t="s">
        <v>290</v>
      </c>
      <c r="H3418" s="51" t="n">
        <v>0.3149</v>
      </c>
      <c r="I3418" s="51" t="n">
        <v>0.4052</v>
      </c>
      <c r="J3418" s="51" t="n">
        <v>0.2799</v>
      </c>
      <c r="K3418" s="49"/>
      <c r="L3418" s="49"/>
      <c r="M3418" s="49"/>
      <c r="N3418" s="49"/>
      <c r="O3418" s="49"/>
      <c r="P3418" s="49" t="s">
        <v>281</v>
      </c>
      <c r="Q3418" s="49" t="s">
        <v>281</v>
      </c>
      <c r="R3418" s="49"/>
      <c r="S3418" s="49" t="n">
        <v>0</v>
      </c>
      <c r="T3418" s="49" t="n">
        <v>0</v>
      </c>
      <c r="U3418" s="49" t="s">
        <v>7077</v>
      </c>
    </row>
    <row r="3419" customFormat="false" ht="15" hidden="false" customHeight="false" outlineLevel="0" collapsed="false">
      <c r="B3419" s="48" t="n">
        <v>46126.8215277778</v>
      </c>
      <c r="C3419" s="4" t="n">
        <f aca="false">YEAR(B3419)</f>
        <v>2026</v>
      </c>
      <c r="D3419" s="49" t="s">
        <v>278</v>
      </c>
      <c r="E3419" s="49" t="s">
        <v>7078</v>
      </c>
      <c r="F3419" s="50" t="n">
        <v>9</v>
      </c>
      <c r="G3419" s="49" t="s">
        <v>280</v>
      </c>
      <c r="H3419" s="51" t="n">
        <v>0.8277</v>
      </c>
      <c r="I3419" s="51" t="n">
        <v>0.1631</v>
      </c>
      <c r="J3419" s="51" t="n">
        <v>0.0092</v>
      </c>
      <c r="K3419" s="49"/>
      <c r="L3419" s="49"/>
      <c r="M3419" s="49" t="s">
        <v>281</v>
      </c>
      <c r="N3419" s="49"/>
      <c r="O3419" s="49"/>
      <c r="P3419" s="49"/>
      <c r="Q3419" s="49"/>
      <c r="R3419" s="49"/>
      <c r="S3419" s="49" t="n">
        <v>0</v>
      </c>
      <c r="T3419" s="49" t="n">
        <v>0</v>
      </c>
      <c r="U3419" s="49" t="s">
        <v>7079</v>
      </c>
    </row>
    <row r="3420" customFormat="false" ht="15" hidden="false" customHeight="false" outlineLevel="0" collapsed="false">
      <c r="B3420" s="48" t="n">
        <v>46127.0939583333</v>
      </c>
      <c r="C3420" s="4" t="n">
        <f aca="false">YEAR(B3420)</f>
        <v>2026</v>
      </c>
      <c r="D3420" s="49" t="s">
        <v>278</v>
      </c>
      <c r="E3420" s="49" t="s">
        <v>7080</v>
      </c>
      <c r="F3420" s="50" t="n">
        <v>1</v>
      </c>
      <c r="G3420" s="49" t="s">
        <v>280</v>
      </c>
      <c r="H3420" s="51" t="n">
        <v>0.7859</v>
      </c>
      <c r="I3420" s="51" t="n">
        <v>0.1849</v>
      </c>
      <c r="J3420" s="51" t="n">
        <v>0.0292</v>
      </c>
      <c r="K3420" s="49"/>
      <c r="L3420" s="49"/>
      <c r="M3420" s="49"/>
      <c r="N3420" s="49"/>
      <c r="O3420" s="49"/>
      <c r="P3420" s="49"/>
      <c r="Q3420" s="49" t="s">
        <v>281</v>
      </c>
      <c r="R3420" s="49"/>
      <c r="S3420" s="49" t="n">
        <v>0</v>
      </c>
      <c r="T3420" s="49" t="n">
        <v>0</v>
      </c>
      <c r="U3420" s="49" t="s">
        <v>7081</v>
      </c>
    </row>
    <row r="3421" customFormat="false" ht="15" hidden="false" customHeight="false" outlineLevel="0" collapsed="false">
      <c r="B3421" s="48" t="n">
        <v>46127.1433564815</v>
      </c>
      <c r="C3421" s="4" t="n">
        <f aca="false">YEAR(B3421)</f>
        <v>2026</v>
      </c>
      <c r="D3421" s="49" t="s">
        <v>283</v>
      </c>
      <c r="E3421" s="49" t="s">
        <v>7082</v>
      </c>
      <c r="F3421" s="50" t="n">
        <v>3</v>
      </c>
      <c r="G3421" s="49" t="s">
        <v>290</v>
      </c>
      <c r="H3421" s="51" t="n">
        <v>0.103</v>
      </c>
      <c r="I3421" s="51" t="n">
        <v>0.5367</v>
      </c>
      <c r="J3421" s="51" t="n">
        <v>0.3603</v>
      </c>
      <c r="K3421" s="49"/>
      <c r="L3421" s="49"/>
      <c r="M3421" s="49"/>
      <c r="N3421" s="49"/>
      <c r="O3421" s="49"/>
      <c r="P3421" s="49"/>
      <c r="Q3421" s="49"/>
      <c r="R3421" s="49"/>
      <c r="S3421" s="49" t="n">
        <v>0</v>
      </c>
      <c r="T3421" s="49" t="n">
        <v>0</v>
      </c>
      <c r="U3421" s="49" t="s">
        <v>7083</v>
      </c>
    </row>
    <row r="3422" customFormat="false" ht="15" hidden="false" customHeight="false" outlineLevel="0" collapsed="false">
      <c r="B3422" s="48" t="n">
        <v>46127.5214699074</v>
      </c>
      <c r="C3422" s="4" t="n">
        <f aca="false">YEAR(B3422)</f>
        <v>2026</v>
      </c>
      <c r="D3422" s="49" t="s">
        <v>278</v>
      </c>
      <c r="E3422" s="49" t="s">
        <v>7084</v>
      </c>
      <c r="F3422" s="50" t="n">
        <v>96</v>
      </c>
      <c r="G3422" s="49" t="s">
        <v>280</v>
      </c>
      <c r="H3422" s="51" t="n">
        <v>0.8647</v>
      </c>
      <c r="I3422" s="51" t="n">
        <v>0.1235</v>
      </c>
      <c r="J3422" s="51" t="n">
        <v>0.0118</v>
      </c>
      <c r="K3422" s="49"/>
      <c r="L3422" s="49"/>
      <c r="M3422" s="49"/>
      <c r="N3422" s="49"/>
      <c r="O3422" s="49"/>
      <c r="P3422" s="49"/>
      <c r="Q3422" s="49"/>
      <c r="R3422" s="49"/>
      <c r="S3422" s="49" t="n">
        <v>0</v>
      </c>
      <c r="T3422" s="49" t="n">
        <v>0</v>
      </c>
      <c r="U3422" s="49" t="s">
        <v>7085</v>
      </c>
    </row>
    <row r="3423" customFormat="false" ht="15" hidden="false" customHeight="false" outlineLevel="0" collapsed="false">
      <c r="B3423" s="48" t="n">
        <v>46127.6199421296</v>
      </c>
      <c r="C3423" s="4" t="n">
        <f aca="false">YEAR(B3423)</f>
        <v>2026</v>
      </c>
      <c r="D3423" s="49" t="s">
        <v>283</v>
      </c>
      <c r="E3423" s="49" t="s">
        <v>7086</v>
      </c>
      <c r="F3423" s="50" t="n">
        <v>1</v>
      </c>
      <c r="G3423" s="49" t="s">
        <v>290</v>
      </c>
      <c r="H3423" s="51" t="n">
        <v>0.3285</v>
      </c>
      <c r="I3423" s="51" t="n">
        <v>0.5494</v>
      </c>
      <c r="J3423" s="51" t="n">
        <v>0.122</v>
      </c>
      <c r="K3423" s="49"/>
      <c r="L3423" s="49"/>
      <c r="M3423" s="49"/>
      <c r="N3423" s="49"/>
      <c r="O3423" s="49"/>
      <c r="P3423" s="49"/>
      <c r="Q3423" s="49"/>
      <c r="R3423" s="49"/>
      <c r="S3423" s="49" t="n">
        <v>0</v>
      </c>
      <c r="T3423" s="49" t="n">
        <v>0</v>
      </c>
      <c r="U3423" s="49" t="s">
        <v>7087</v>
      </c>
    </row>
    <row r="3424" customFormat="false" ht="15" hidden="false" customHeight="false" outlineLevel="0" collapsed="false">
      <c r="B3424" s="48" t="n">
        <v>46128.3532060185</v>
      </c>
      <c r="C3424" s="4" t="n">
        <f aca="false">YEAR(B3424)</f>
        <v>2026</v>
      </c>
      <c r="D3424" s="49" t="s">
        <v>278</v>
      </c>
      <c r="E3424" s="49" t="s">
        <v>7088</v>
      </c>
      <c r="F3424" s="50" t="n">
        <v>1</v>
      </c>
      <c r="G3424" s="49" t="s">
        <v>280</v>
      </c>
      <c r="H3424" s="51" t="n">
        <v>0.9225</v>
      </c>
      <c r="I3424" s="51" t="n">
        <v>0.0719</v>
      </c>
      <c r="J3424" s="51" t="n">
        <v>0.0056</v>
      </c>
      <c r="K3424" s="49"/>
      <c r="L3424" s="49"/>
      <c r="M3424" s="49"/>
      <c r="N3424" s="49"/>
      <c r="O3424" s="49"/>
      <c r="P3424" s="49"/>
      <c r="Q3424" s="49"/>
      <c r="R3424" s="49"/>
      <c r="S3424" s="49" t="n">
        <v>0</v>
      </c>
      <c r="T3424" s="49" t="n">
        <v>0</v>
      </c>
      <c r="U3424" s="49" t="s">
        <v>7089</v>
      </c>
    </row>
    <row r="3425" customFormat="false" ht="15" hidden="false" customHeight="false" outlineLevel="0" collapsed="false">
      <c r="B3425" s="48" t="n">
        <v>46128.5051273148</v>
      </c>
      <c r="C3425" s="4" t="n">
        <f aca="false">YEAR(B3425)</f>
        <v>2026</v>
      </c>
      <c r="D3425" s="49" t="s">
        <v>278</v>
      </c>
      <c r="E3425" s="49" t="s">
        <v>7090</v>
      </c>
      <c r="F3425" s="50" t="n">
        <v>0</v>
      </c>
      <c r="G3425" s="49" t="s">
        <v>280</v>
      </c>
      <c r="H3425" s="51" t="n">
        <v>0.8375</v>
      </c>
      <c r="I3425" s="51" t="n">
        <v>0.1424</v>
      </c>
      <c r="J3425" s="51" t="n">
        <v>0.0201</v>
      </c>
      <c r="K3425" s="49"/>
      <c r="L3425" s="49"/>
      <c r="M3425" s="49"/>
      <c r="N3425" s="49"/>
      <c r="O3425" s="49"/>
      <c r="P3425" s="49"/>
      <c r="Q3425" s="49"/>
      <c r="R3425" s="49"/>
      <c r="S3425" s="49" t="n">
        <v>0</v>
      </c>
      <c r="T3425" s="49" t="n">
        <v>0</v>
      </c>
      <c r="U3425" s="49" t="s">
        <v>7091</v>
      </c>
    </row>
    <row r="3426" customFormat="false" ht="15" hidden="false" customHeight="false" outlineLevel="0" collapsed="false">
      <c r="B3426" s="48" t="n">
        <v>46128.9380439815</v>
      </c>
      <c r="C3426" s="4" t="n">
        <f aca="false">YEAR(B3426)</f>
        <v>2026</v>
      </c>
      <c r="D3426" s="49" t="s">
        <v>283</v>
      </c>
      <c r="E3426" s="49" t="s">
        <v>7092</v>
      </c>
      <c r="F3426" s="50" t="n">
        <v>1</v>
      </c>
      <c r="G3426" s="49" t="s">
        <v>290</v>
      </c>
      <c r="H3426" s="51" t="n">
        <v>0.0818</v>
      </c>
      <c r="I3426" s="51" t="n">
        <v>0.4966</v>
      </c>
      <c r="J3426" s="51" t="n">
        <v>0.4216</v>
      </c>
      <c r="K3426" s="49"/>
      <c r="L3426" s="49"/>
      <c r="M3426" s="49"/>
      <c r="N3426" s="49"/>
      <c r="O3426" s="49"/>
      <c r="P3426" s="49"/>
      <c r="Q3426" s="49"/>
      <c r="R3426" s="49"/>
      <c r="S3426" s="49" t="n">
        <v>0</v>
      </c>
      <c r="T3426" s="49" t="n">
        <v>0</v>
      </c>
      <c r="U3426" s="49" t="s">
        <v>7093</v>
      </c>
    </row>
    <row r="3427" customFormat="false" ht="15" hidden="false" customHeight="false" outlineLevel="0" collapsed="false">
      <c r="B3427" s="48" t="n">
        <v>46129.6553240741</v>
      </c>
      <c r="C3427" s="4" t="n">
        <f aca="false">YEAR(B3427)</f>
        <v>2026</v>
      </c>
      <c r="D3427" s="49" t="s">
        <v>278</v>
      </c>
      <c r="E3427" s="49" t="s">
        <v>7094</v>
      </c>
      <c r="F3427" s="50" t="n">
        <v>1</v>
      </c>
      <c r="G3427" s="49" t="s">
        <v>280</v>
      </c>
      <c r="H3427" s="51" t="n">
        <v>0.7351</v>
      </c>
      <c r="I3427" s="51" t="n">
        <v>0.2421</v>
      </c>
      <c r="J3427" s="51" t="n">
        <v>0.0228</v>
      </c>
      <c r="K3427" s="49"/>
      <c r="L3427" s="49"/>
      <c r="M3427" s="49"/>
      <c r="N3427" s="49"/>
      <c r="O3427" s="49"/>
      <c r="P3427" s="49"/>
      <c r="Q3427" s="49"/>
      <c r="R3427" s="49"/>
      <c r="S3427" s="49" t="n">
        <v>0</v>
      </c>
      <c r="T3427" s="49" t="n">
        <v>0</v>
      </c>
      <c r="U3427" s="49" t="s">
        <v>7095</v>
      </c>
    </row>
    <row r="3428" customFormat="false" ht="15" hidden="false" customHeight="false" outlineLevel="0" collapsed="false">
      <c r="B3428" s="48" t="n">
        <v>46130.7875462963</v>
      </c>
      <c r="C3428" s="4" t="n">
        <f aca="false">YEAR(B3428)</f>
        <v>2026</v>
      </c>
      <c r="D3428" s="49" t="s">
        <v>278</v>
      </c>
      <c r="E3428" s="49" t="s">
        <v>7096</v>
      </c>
      <c r="F3428" s="50" t="n">
        <v>0</v>
      </c>
      <c r="G3428" s="49" t="s">
        <v>280</v>
      </c>
      <c r="H3428" s="51" t="n">
        <v>0.8647</v>
      </c>
      <c r="I3428" s="51" t="n">
        <v>0.1234</v>
      </c>
      <c r="J3428" s="51" t="n">
        <v>0.0119</v>
      </c>
      <c r="K3428" s="49"/>
      <c r="L3428" s="49"/>
      <c r="M3428" s="49"/>
      <c r="N3428" s="49"/>
      <c r="O3428" s="49"/>
      <c r="P3428" s="49"/>
      <c r="Q3428" s="49"/>
      <c r="R3428" s="49"/>
      <c r="S3428" s="49" t="n">
        <v>0</v>
      </c>
      <c r="T3428" s="49" t="n">
        <v>0</v>
      </c>
      <c r="U3428" s="49" t="s">
        <v>7097</v>
      </c>
    </row>
    <row r="3429" customFormat="false" ht="15" hidden="false" customHeight="false" outlineLevel="0" collapsed="false">
      <c r="B3429" s="48" t="n">
        <v>46131.1271527778</v>
      </c>
      <c r="C3429" s="4" t="n">
        <f aca="false">YEAR(B3429)</f>
        <v>2026</v>
      </c>
      <c r="D3429" s="49" t="s">
        <v>278</v>
      </c>
      <c r="E3429" s="49" t="s">
        <v>7098</v>
      </c>
      <c r="F3429" s="50" t="n">
        <v>0</v>
      </c>
      <c r="G3429" s="49" t="s">
        <v>280</v>
      </c>
      <c r="H3429" s="51" t="n">
        <v>0.8734</v>
      </c>
      <c r="I3429" s="51" t="n">
        <v>0.1178</v>
      </c>
      <c r="J3429" s="51" t="n">
        <v>0.0088</v>
      </c>
      <c r="K3429" s="49"/>
      <c r="L3429" s="49"/>
      <c r="M3429" s="49"/>
      <c r="N3429" s="49"/>
      <c r="O3429" s="49"/>
      <c r="P3429" s="49"/>
      <c r="Q3429" s="49"/>
      <c r="R3429" s="49"/>
      <c r="S3429" s="49" t="n">
        <v>0</v>
      </c>
      <c r="T3429" s="49" t="n">
        <v>1</v>
      </c>
      <c r="U3429" s="49" t="s">
        <v>7099</v>
      </c>
    </row>
    <row r="3430" customFormat="false" ht="15" hidden="false" customHeight="false" outlineLevel="0" collapsed="false">
      <c r="B3430" s="48" t="n">
        <v>46131.1338773148</v>
      </c>
      <c r="C3430" s="4" t="n">
        <f aca="false">YEAR(B3430)</f>
        <v>2026</v>
      </c>
      <c r="D3430" s="49" t="s">
        <v>278</v>
      </c>
      <c r="E3430" s="49" t="s">
        <v>7100</v>
      </c>
      <c r="F3430" s="50" t="n">
        <v>0</v>
      </c>
      <c r="G3430" s="49" t="s">
        <v>290</v>
      </c>
      <c r="H3430" s="51" t="n">
        <v>0.318</v>
      </c>
      <c r="I3430" s="51" t="n">
        <v>0.6384</v>
      </c>
      <c r="J3430" s="51" t="n">
        <v>0.0437</v>
      </c>
      <c r="K3430" s="49"/>
      <c r="L3430" s="49"/>
      <c r="M3430" s="49"/>
      <c r="N3430" s="49"/>
      <c r="O3430" s="49"/>
      <c r="P3430" s="49"/>
      <c r="Q3430" s="49"/>
      <c r="R3430" s="49"/>
      <c r="S3430" s="49" t="n">
        <v>0</v>
      </c>
      <c r="T3430" s="49" t="n">
        <v>0</v>
      </c>
      <c r="U3430" s="49" t="s">
        <v>7101</v>
      </c>
    </row>
    <row r="3431" customFormat="false" ht="15" hidden="false" customHeight="false" outlineLevel="0" collapsed="false">
      <c r="B3431" s="48" t="n">
        <v>46131.2712962963</v>
      </c>
      <c r="C3431" s="4" t="n">
        <f aca="false">YEAR(B3431)</f>
        <v>2026</v>
      </c>
      <c r="D3431" s="49" t="s">
        <v>278</v>
      </c>
      <c r="E3431" s="49" t="s">
        <v>7102</v>
      </c>
      <c r="F3431" s="50" t="n">
        <v>0</v>
      </c>
      <c r="G3431" s="49" t="s">
        <v>280</v>
      </c>
      <c r="H3431" s="51" t="n">
        <v>0.6309</v>
      </c>
      <c r="I3431" s="51" t="n">
        <v>0.339</v>
      </c>
      <c r="J3431" s="51" t="n">
        <v>0.0301</v>
      </c>
      <c r="K3431" s="49"/>
      <c r="L3431" s="49"/>
      <c r="M3431" s="49"/>
      <c r="N3431" s="49"/>
      <c r="O3431" s="49"/>
      <c r="P3431" s="49"/>
      <c r="Q3431" s="49"/>
      <c r="R3431" s="49"/>
      <c r="S3431" s="49" t="n">
        <v>0</v>
      </c>
      <c r="T3431" s="49" t="n">
        <v>0</v>
      </c>
      <c r="U3431" s="49" t="s">
        <v>7103</v>
      </c>
    </row>
    <row r="3432" customFormat="false" ht="15" hidden="false" customHeight="false" outlineLevel="0" collapsed="false">
      <c r="B3432" s="48" t="n">
        <v>46131.7807638889</v>
      </c>
      <c r="C3432" s="4" t="n">
        <f aca="false">YEAR(B3432)</f>
        <v>2026</v>
      </c>
      <c r="D3432" s="49" t="s">
        <v>283</v>
      </c>
      <c r="E3432" s="49" t="s">
        <v>7104</v>
      </c>
      <c r="F3432" s="50" t="n">
        <v>9</v>
      </c>
      <c r="G3432" s="49" t="s">
        <v>287</v>
      </c>
      <c r="H3432" s="51" t="n">
        <v>0.0029</v>
      </c>
      <c r="I3432" s="51" t="n">
        <v>0.0937</v>
      </c>
      <c r="J3432" s="51" t="n">
        <v>0.9034</v>
      </c>
      <c r="K3432" s="49"/>
      <c r="L3432" s="49"/>
      <c r="M3432" s="49"/>
      <c r="N3432" s="49"/>
      <c r="O3432" s="49"/>
      <c r="P3432" s="49"/>
      <c r="Q3432" s="49"/>
      <c r="R3432" s="49"/>
      <c r="S3432" s="49" t="n">
        <v>0</v>
      </c>
      <c r="T3432" s="49" t="n">
        <v>0</v>
      </c>
      <c r="U3432" s="49" t="s">
        <v>7105</v>
      </c>
    </row>
    <row r="3433" customFormat="false" ht="15" hidden="false" customHeight="false" outlineLevel="0" collapsed="false">
      <c r="B3433" s="48" t="n">
        <v>46131.8847222222</v>
      </c>
      <c r="C3433" s="4" t="n">
        <f aca="false">YEAR(B3433)</f>
        <v>2026</v>
      </c>
      <c r="D3433" s="49" t="s">
        <v>278</v>
      </c>
      <c r="E3433" s="49" t="s">
        <v>7106</v>
      </c>
      <c r="F3433" s="50" t="n">
        <v>568</v>
      </c>
      <c r="G3433" s="49" t="s">
        <v>280</v>
      </c>
      <c r="H3433" s="51" t="n">
        <v>0.7248</v>
      </c>
      <c r="I3433" s="51" t="n">
        <v>0.2493</v>
      </c>
      <c r="J3433" s="51" t="n">
        <v>0.026</v>
      </c>
      <c r="K3433" s="49"/>
      <c r="L3433" s="49"/>
      <c r="M3433" s="49"/>
      <c r="N3433" s="49"/>
      <c r="O3433" s="49"/>
      <c r="P3433" s="49"/>
      <c r="Q3433" s="49"/>
      <c r="R3433" s="49"/>
      <c r="S3433" s="49" t="n">
        <v>0</v>
      </c>
      <c r="T3433" s="49" t="n">
        <v>0</v>
      </c>
      <c r="U3433" s="49" t="s">
        <v>7107</v>
      </c>
    </row>
    <row r="3434" customFormat="false" ht="15" hidden="false" customHeight="false" outlineLevel="0" collapsed="false">
      <c r="B3434" s="48" t="n">
        <v>46132.1846990741</v>
      </c>
      <c r="C3434" s="4" t="n">
        <f aca="false">YEAR(B3434)</f>
        <v>2026</v>
      </c>
      <c r="D3434" s="49" t="s">
        <v>283</v>
      </c>
      <c r="E3434" s="49" t="s">
        <v>7108</v>
      </c>
      <c r="F3434" s="50" t="n">
        <v>1</v>
      </c>
      <c r="G3434" s="49" t="s">
        <v>287</v>
      </c>
      <c r="H3434" s="51" t="n">
        <v>0.0058</v>
      </c>
      <c r="I3434" s="51" t="n">
        <v>0.331</v>
      </c>
      <c r="J3434" s="51" t="n">
        <v>0.6632</v>
      </c>
      <c r="K3434" s="49"/>
      <c r="L3434" s="49"/>
      <c r="M3434" s="49"/>
      <c r="N3434" s="49"/>
      <c r="O3434" s="49"/>
      <c r="P3434" s="49"/>
      <c r="Q3434" s="49"/>
      <c r="R3434" s="49"/>
      <c r="S3434" s="49" t="n">
        <v>0</v>
      </c>
      <c r="T3434" s="49" t="n">
        <v>0</v>
      </c>
      <c r="U3434" s="49" t="s">
        <v>7109</v>
      </c>
    </row>
    <row r="3435" customFormat="false" ht="15" hidden="false" customHeight="false" outlineLevel="0" collapsed="false">
      <c r="B3435" s="48" t="n">
        <v>46132.2693171296</v>
      </c>
      <c r="C3435" s="4" t="n">
        <f aca="false">YEAR(B3435)</f>
        <v>2026</v>
      </c>
      <c r="D3435" s="49" t="s">
        <v>278</v>
      </c>
      <c r="E3435" s="49" t="s">
        <v>7110</v>
      </c>
      <c r="F3435" s="50" t="n">
        <v>1</v>
      </c>
      <c r="G3435" s="49" t="s">
        <v>280</v>
      </c>
      <c r="H3435" s="51" t="n">
        <v>0.683</v>
      </c>
      <c r="I3435" s="51" t="n">
        <v>0.2897</v>
      </c>
      <c r="J3435" s="51" t="n">
        <v>0.0273</v>
      </c>
      <c r="K3435" s="49"/>
      <c r="L3435" s="49"/>
      <c r="M3435" s="49"/>
      <c r="N3435" s="49"/>
      <c r="O3435" s="49"/>
      <c r="P3435" s="49"/>
      <c r="Q3435" s="49"/>
      <c r="R3435" s="49"/>
      <c r="S3435" s="49" t="n">
        <v>0</v>
      </c>
      <c r="T3435" s="49" t="n">
        <v>0</v>
      </c>
      <c r="U3435" s="49" t="s">
        <v>7111</v>
      </c>
    </row>
    <row r="3436" customFormat="false" ht="15" hidden="false" customHeight="false" outlineLevel="0" collapsed="false">
      <c r="B3436" s="48" t="n">
        <v>46132.6202083333</v>
      </c>
      <c r="C3436" s="4" t="n">
        <f aca="false">YEAR(B3436)</f>
        <v>2026</v>
      </c>
      <c r="D3436" s="49" t="s">
        <v>278</v>
      </c>
      <c r="E3436" s="49" t="s">
        <v>7112</v>
      </c>
      <c r="F3436" s="50" t="n">
        <v>0</v>
      </c>
      <c r="G3436" s="49" t="s">
        <v>280</v>
      </c>
      <c r="H3436" s="51" t="n">
        <v>0.8818</v>
      </c>
      <c r="I3436" s="51" t="n">
        <v>0.1088</v>
      </c>
      <c r="J3436" s="51" t="n">
        <v>0.0094</v>
      </c>
      <c r="K3436" s="49"/>
      <c r="L3436" s="49"/>
      <c r="M3436" s="49"/>
      <c r="N3436" s="49"/>
      <c r="O3436" s="49"/>
      <c r="P3436" s="49"/>
      <c r="Q3436" s="49" t="s">
        <v>281</v>
      </c>
      <c r="R3436" s="49"/>
      <c r="S3436" s="49" t="n">
        <v>0</v>
      </c>
      <c r="T3436" s="49" t="n">
        <v>1</v>
      </c>
      <c r="U3436" s="49" t="s">
        <v>7113</v>
      </c>
    </row>
    <row r="3437" customFormat="false" ht="15" hidden="false" customHeight="false" outlineLevel="0" collapsed="false">
      <c r="B3437" s="48" t="n">
        <v>46133.0252777778</v>
      </c>
      <c r="C3437" s="4" t="n">
        <f aca="false">YEAR(B3437)</f>
        <v>2026</v>
      </c>
      <c r="D3437" s="49" t="s">
        <v>283</v>
      </c>
      <c r="E3437" s="49" t="s">
        <v>7114</v>
      </c>
      <c r="F3437" s="50" t="n">
        <v>1</v>
      </c>
      <c r="G3437" s="49" t="s">
        <v>287</v>
      </c>
      <c r="H3437" s="51" t="n">
        <v>0.0018</v>
      </c>
      <c r="I3437" s="51" t="n">
        <v>0.0656</v>
      </c>
      <c r="J3437" s="51" t="n">
        <v>0.9326</v>
      </c>
      <c r="K3437" s="49"/>
      <c r="L3437" s="49"/>
      <c r="M3437" s="49"/>
      <c r="N3437" s="49"/>
      <c r="O3437" s="49"/>
      <c r="P3437" s="49"/>
      <c r="Q3437" s="49"/>
      <c r="R3437" s="49"/>
      <c r="S3437" s="49" t="n">
        <v>0</v>
      </c>
      <c r="T3437" s="49" t="n">
        <v>0</v>
      </c>
      <c r="U3437" s="49" t="s">
        <v>7115</v>
      </c>
    </row>
    <row r="3438" customFormat="false" ht="15" hidden="false" customHeight="false" outlineLevel="0" collapsed="false">
      <c r="B3438" s="48" t="n">
        <v>46133.0458217593</v>
      </c>
      <c r="C3438" s="4" t="n">
        <f aca="false">YEAR(B3438)</f>
        <v>2026</v>
      </c>
      <c r="D3438" s="49" t="s">
        <v>278</v>
      </c>
      <c r="E3438" s="49" t="s">
        <v>7116</v>
      </c>
      <c r="F3438" s="50" t="n">
        <v>1</v>
      </c>
      <c r="G3438" s="49" t="s">
        <v>290</v>
      </c>
      <c r="H3438" s="51" t="n">
        <v>0.2749</v>
      </c>
      <c r="I3438" s="51" t="n">
        <v>0.6413</v>
      </c>
      <c r="J3438" s="51" t="n">
        <v>0.0837</v>
      </c>
      <c r="K3438" s="49"/>
      <c r="L3438" s="49"/>
      <c r="M3438" s="49"/>
      <c r="N3438" s="49"/>
      <c r="O3438" s="49"/>
      <c r="P3438" s="49"/>
      <c r="Q3438" s="49"/>
      <c r="R3438" s="49"/>
      <c r="S3438" s="49" t="n">
        <v>0</v>
      </c>
      <c r="T3438" s="49" t="n">
        <v>0</v>
      </c>
      <c r="U3438" s="49" t="s">
        <v>7117</v>
      </c>
    </row>
    <row r="3439" customFormat="false" ht="15" hidden="false" customHeight="false" outlineLevel="0" collapsed="false">
      <c r="B3439" s="48" t="n">
        <v>46133.0570717593</v>
      </c>
      <c r="C3439" s="4" t="n">
        <f aca="false">YEAR(B3439)</f>
        <v>2026</v>
      </c>
      <c r="D3439" s="49" t="s">
        <v>278</v>
      </c>
      <c r="E3439" s="49" t="s">
        <v>7118</v>
      </c>
      <c r="F3439" s="50" t="n">
        <v>1</v>
      </c>
      <c r="G3439" s="49" t="s">
        <v>280</v>
      </c>
      <c r="H3439" s="51" t="n">
        <v>0.7722</v>
      </c>
      <c r="I3439" s="51" t="n">
        <v>0.2155</v>
      </c>
      <c r="J3439" s="51" t="n">
        <v>0.0123</v>
      </c>
      <c r="K3439" s="49"/>
      <c r="L3439" s="49"/>
      <c r="M3439" s="49"/>
      <c r="N3439" s="49"/>
      <c r="O3439" s="49"/>
      <c r="P3439" s="49"/>
      <c r="Q3439" s="49"/>
      <c r="R3439" s="49" t="s">
        <v>281</v>
      </c>
      <c r="S3439" s="49" t="n">
        <v>0</v>
      </c>
      <c r="T3439" s="49" t="n">
        <v>0</v>
      </c>
      <c r="U3439" s="49" t="s">
        <v>7119</v>
      </c>
    </row>
    <row r="3440" customFormat="false" ht="15" hidden="false" customHeight="false" outlineLevel="0" collapsed="false">
      <c r="B3440" s="48" t="n">
        <v>46133.5108680556</v>
      </c>
      <c r="C3440" s="4" t="n">
        <f aca="false">YEAR(B3440)</f>
        <v>2026</v>
      </c>
      <c r="D3440" s="49" t="s">
        <v>278</v>
      </c>
      <c r="E3440" s="49" t="s">
        <v>7120</v>
      </c>
      <c r="F3440" s="50" t="n">
        <v>15</v>
      </c>
      <c r="G3440" s="49" t="s">
        <v>280</v>
      </c>
      <c r="H3440" s="51" t="n">
        <v>0.8755</v>
      </c>
      <c r="I3440" s="51" t="n">
        <v>0.1151</v>
      </c>
      <c r="J3440" s="51" t="n">
        <v>0.0094</v>
      </c>
      <c r="K3440" s="49"/>
      <c r="L3440" s="49"/>
      <c r="M3440" s="49"/>
      <c r="N3440" s="49"/>
      <c r="O3440" s="49"/>
      <c r="P3440" s="49"/>
      <c r="Q3440" s="49"/>
      <c r="R3440" s="49" t="s">
        <v>281</v>
      </c>
      <c r="S3440" s="49" t="n">
        <v>0</v>
      </c>
      <c r="T3440" s="49" t="n">
        <v>0</v>
      </c>
      <c r="U3440" s="49" t="s">
        <v>7121</v>
      </c>
    </row>
    <row r="3441" customFormat="false" ht="15" hidden="false" customHeight="false" outlineLevel="0" collapsed="false">
      <c r="B3441" s="48" t="n">
        <v>46134.0029050926</v>
      </c>
      <c r="C3441" s="4" t="n">
        <f aca="false">YEAR(B3441)</f>
        <v>2026</v>
      </c>
      <c r="D3441" s="49" t="s">
        <v>283</v>
      </c>
      <c r="E3441" s="49" t="s">
        <v>7122</v>
      </c>
      <c r="F3441" s="50" t="n">
        <v>1</v>
      </c>
      <c r="G3441" s="49" t="s">
        <v>287</v>
      </c>
      <c r="H3441" s="51" t="n">
        <v>0.0156</v>
      </c>
      <c r="I3441" s="51" t="n">
        <v>0.3809</v>
      </c>
      <c r="J3441" s="51" t="n">
        <v>0.6035</v>
      </c>
      <c r="K3441" s="49" t="s">
        <v>281</v>
      </c>
      <c r="L3441" s="49"/>
      <c r="M3441" s="49"/>
      <c r="N3441" s="49"/>
      <c r="O3441" s="49"/>
      <c r="P3441" s="49" t="s">
        <v>281</v>
      </c>
      <c r="Q3441" s="49"/>
      <c r="R3441" s="49"/>
      <c r="S3441" s="49" t="n">
        <v>0</v>
      </c>
      <c r="T3441" s="49" t="n">
        <v>0</v>
      </c>
      <c r="U3441" s="49" t="s">
        <v>7123</v>
      </c>
    </row>
    <row r="3442" customFormat="false" ht="15" hidden="false" customHeight="false" outlineLevel="0" collapsed="false">
      <c r="B3442" s="48" t="n">
        <v>46134.0853587963</v>
      </c>
      <c r="C3442" s="4" t="n">
        <f aca="false">YEAR(B3442)</f>
        <v>2026</v>
      </c>
      <c r="D3442" s="49" t="s">
        <v>278</v>
      </c>
      <c r="E3442" s="49" t="s">
        <v>7124</v>
      </c>
      <c r="F3442" s="50" t="n">
        <v>2</v>
      </c>
      <c r="G3442" s="49" t="s">
        <v>280</v>
      </c>
      <c r="H3442" s="51" t="n">
        <v>0.6437</v>
      </c>
      <c r="I3442" s="51" t="n">
        <v>0.3219</v>
      </c>
      <c r="J3442" s="51" t="n">
        <v>0.0343</v>
      </c>
      <c r="K3442" s="49"/>
      <c r="L3442" s="49"/>
      <c r="M3442" s="49"/>
      <c r="N3442" s="49"/>
      <c r="O3442" s="49"/>
      <c r="P3442" s="49"/>
      <c r="Q3442" s="49"/>
      <c r="R3442" s="49"/>
      <c r="S3442" s="49" t="n">
        <v>0</v>
      </c>
      <c r="T3442" s="49" t="n">
        <v>0</v>
      </c>
      <c r="U3442" s="49" t="s">
        <v>7125</v>
      </c>
    </row>
    <row r="3443" customFormat="false" ht="15" hidden="false" customHeight="false" outlineLevel="0" collapsed="false">
      <c r="B3443" s="48" t="n">
        <v>46134.2865625</v>
      </c>
      <c r="C3443" s="4" t="n">
        <f aca="false">YEAR(B3443)</f>
        <v>2026</v>
      </c>
      <c r="D3443" s="49" t="s">
        <v>278</v>
      </c>
      <c r="E3443" s="49" t="s">
        <v>7126</v>
      </c>
      <c r="F3443" s="50" t="n">
        <v>12</v>
      </c>
      <c r="G3443" s="49" t="s">
        <v>287</v>
      </c>
      <c r="H3443" s="51" t="n">
        <v>0.0069</v>
      </c>
      <c r="I3443" s="51" t="n">
        <v>0.0451</v>
      </c>
      <c r="J3443" s="51" t="n">
        <v>0.948</v>
      </c>
      <c r="K3443" s="49"/>
      <c r="L3443" s="49"/>
      <c r="M3443" s="49"/>
      <c r="N3443" s="49"/>
      <c r="O3443" s="49"/>
      <c r="P3443" s="49"/>
      <c r="Q3443" s="49"/>
      <c r="R3443" s="49"/>
      <c r="S3443" s="49" t="n">
        <v>0</v>
      </c>
      <c r="T3443" s="49" t="n">
        <v>0</v>
      </c>
      <c r="U3443" s="49" t="s">
        <v>7127</v>
      </c>
    </row>
    <row r="3444" customFormat="false" ht="15" hidden="false" customHeight="false" outlineLevel="0" collapsed="false">
      <c r="B3444" s="48" t="n">
        <v>46134.3299421296</v>
      </c>
      <c r="C3444" s="4" t="n">
        <f aca="false">YEAR(B3444)</f>
        <v>2026</v>
      </c>
      <c r="D3444" s="49" t="s">
        <v>278</v>
      </c>
      <c r="E3444" s="49" t="s">
        <v>7128</v>
      </c>
      <c r="F3444" s="50" t="n">
        <v>2</v>
      </c>
      <c r="G3444" s="49" t="s">
        <v>280</v>
      </c>
      <c r="H3444" s="51" t="n">
        <v>0.8048</v>
      </c>
      <c r="I3444" s="51" t="n">
        <v>0.1845</v>
      </c>
      <c r="J3444" s="51" t="n">
        <v>0.0107</v>
      </c>
      <c r="K3444" s="49"/>
      <c r="L3444" s="49"/>
      <c r="M3444" s="49"/>
      <c r="N3444" s="49"/>
      <c r="O3444" s="49"/>
      <c r="P3444" s="49"/>
      <c r="Q3444" s="49"/>
      <c r="R3444" s="49"/>
      <c r="S3444" s="49" t="n">
        <v>0</v>
      </c>
      <c r="T3444" s="49" t="n">
        <v>0</v>
      </c>
      <c r="U3444" s="49" t="s">
        <v>7129</v>
      </c>
    </row>
    <row r="3445" customFormat="false" ht="15" hidden="false" customHeight="false" outlineLevel="0" collapsed="false">
      <c r="B3445" s="48" t="n">
        <v>46134.6362152778</v>
      </c>
      <c r="C3445" s="4" t="n">
        <f aca="false">YEAR(B3445)</f>
        <v>2026</v>
      </c>
      <c r="D3445" s="49" t="s">
        <v>278</v>
      </c>
      <c r="E3445" s="49" t="s">
        <v>7130</v>
      </c>
      <c r="F3445" s="50" t="n">
        <v>25</v>
      </c>
      <c r="G3445" s="49" t="s">
        <v>280</v>
      </c>
      <c r="H3445" s="51" t="n">
        <v>0.8455</v>
      </c>
      <c r="I3445" s="51" t="n">
        <v>0.1444</v>
      </c>
      <c r="J3445" s="51" t="n">
        <v>0.0101</v>
      </c>
      <c r="K3445" s="49"/>
      <c r="L3445" s="49"/>
      <c r="M3445" s="49"/>
      <c r="N3445" s="49"/>
      <c r="O3445" s="49"/>
      <c r="P3445" s="49"/>
      <c r="Q3445" s="49"/>
      <c r="R3445" s="49" t="s">
        <v>281</v>
      </c>
      <c r="S3445" s="49" t="n">
        <v>0</v>
      </c>
      <c r="T3445" s="49" t="n">
        <v>0</v>
      </c>
      <c r="U3445" s="49" t="s">
        <v>7131</v>
      </c>
    </row>
    <row r="3446" customFormat="false" ht="15" hidden="false" customHeight="false" outlineLevel="0" collapsed="false">
      <c r="B3446" s="48" t="n">
        <v>46134.7391203704</v>
      </c>
      <c r="C3446" s="4" t="n">
        <f aca="false">YEAR(B3446)</f>
        <v>2026</v>
      </c>
      <c r="D3446" s="49" t="s">
        <v>278</v>
      </c>
      <c r="E3446" s="49" t="s">
        <v>7132</v>
      </c>
      <c r="F3446" s="50" t="n">
        <v>1</v>
      </c>
      <c r="G3446" s="49" t="s">
        <v>280</v>
      </c>
      <c r="H3446" s="51" t="n">
        <v>0.6512</v>
      </c>
      <c r="I3446" s="51" t="n">
        <v>0.3348</v>
      </c>
      <c r="J3446" s="51" t="n">
        <v>0.014</v>
      </c>
      <c r="K3446" s="49"/>
      <c r="L3446" s="49"/>
      <c r="M3446" s="49"/>
      <c r="N3446" s="49"/>
      <c r="O3446" s="49"/>
      <c r="P3446" s="49"/>
      <c r="Q3446" s="49"/>
      <c r="R3446" s="49"/>
      <c r="S3446" s="49" t="n">
        <v>0</v>
      </c>
      <c r="T3446" s="49" t="n">
        <v>0</v>
      </c>
      <c r="U3446" s="49" t="s">
        <v>7133</v>
      </c>
    </row>
    <row r="3447" customFormat="false" ht="15" hidden="false" customHeight="false" outlineLevel="0" collapsed="false">
      <c r="B3447" s="48" t="n">
        <v>46134.8337731482</v>
      </c>
      <c r="C3447" s="4" t="n">
        <f aca="false">YEAR(B3447)</f>
        <v>2026</v>
      </c>
      <c r="D3447" s="49" t="s">
        <v>278</v>
      </c>
      <c r="E3447" s="49" t="s">
        <v>7134</v>
      </c>
      <c r="F3447" s="50" t="n">
        <v>41</v>
      </c>
      <c r="G3447" s="49" t="s">
        <v>280</v>
      </c>
      <c r="H3447" s="51" t="n">
        <v>0.7976</v>
      </c>
      <c r="I3447" s="51" t="n">
        <v>0.184</v>
      </c>
      <c r="J3447" s="51" t="n">
        <v>0.0185</v>
      </c>
      <c r="K3447" s="49"/>
      <c r="L3447" s="49"/>
      <c r="M3447" s="49"/>
      <c r="N3447" s="49"/>
      <c r="O3447" s="49"/>
      <c r="P3447" s="49"/>
      <c r="Q3447" s="49"/>
      <c r="R3447" s="49"/>
      <c r="S3447" s="49" t="n">
        <v>0</v>
      </c>
      <c r="T3447" s="49" t="n">
        <v>0</v>
      </c>
      <c r="U3447" s="49" t="s">
        <v>7135</v>
      </c>
    </row>
    <row r="3448" customFormat="false" ht="15" hidden="false" customHeight="false" outlineLevel="0" collapsed="false">
      <c r="B3448" s="48" t="n">
        <v>46134.8470717593</v>
      </c>
      <c r="C3448" s="4" t="n">
        <f aca="false">YEAR(B3448)</f>
        <v>2026</v>
      </c>
      <c r="D3448" s="49" t="s">
        <v>278</v>
      </c>
      <c r="E3448" s="49" t="s">
        <v>7136</v>
      </c>
      <c r="F3448" s="50" t="n">
        <v>0</v>
      </c>
      <c r="G3448" s="49" t="s">
        <v>290</v>
      </c>
      <c r="H3448" s="51" t="n">
        <v>0.456</v>
      </c>
      <c r="I3448" s="51" t="n">
        <v>0.522</v>
      </c>
      <c r="J3448" s="51" t="n">
        <v>0.022</v>
      </c>
      <c r="K3448" s="49"/>
      <c r="L3448" s="49"/>
      <c r="M3448" s="49"/>
      <c r="N3448" s="49"/>
      <c r="O3448" s="49"/>
      <c r="P3448" s="49"/>
      <c r="Q3448" s="49"/>
      <c r="R3448" s="49"/>
      <c r="S3448" s="49" t="n">
        <v>0</v>
      </c>
      <c r="T3448" s="49" t="n">
        <v>0</v>
      </c>
      <c r="U3448" s="49" t="s">
        <v>7137</v>
      </c>
    </row>
    <row r="3449" customFormat="false" ht="15" hidden="false" customHeight="false" outlineLevel="0" collapsed="false">
      <c r="B3449" s="48" t="n">
        <v>46134.8778703704</v>
      </c>
      <c r="C3449" s="4" t="n">
        <f aca="false">YEAR(B3449)</f>
        <v>2026</v>
      </c>
      <c r="D3449" s="49" t="s">
        <v>283</v>
      </c>
      <c r="E3449" s="49" t="s">
        <v>7138</v>
      </c>
      <c r="F3449" s="50" t="n">
        <v>3</v>
      </c>
      <c r="G3449" s="49" t="s">
        <v>280</v>
      </c>
      <c r="H3449" s="51" t="n">
        <v>0.4135</v>
      </c>
      <c r="I3449" s="51" t="n">
        <v>0.3975</v>
      </c>
      <c r="J3449" s="51" t="n">
        <v>0.189</v>
      </c>
      <c r="K3449" s="49"/>
      <c r="L3449" s="49"/>
      <c r="M3449" s="49"/>
      <c r="N3449" s="49"/>
      <c r="O3449" s="49"/>
      <c r="P3449" s="49"/>
      <c r="Q3449" s="49"/>
      <c r="R3449" s="49"/>
      <c r="S3449" s="49" t="n">
        <v>0</v>
      </c>
      <c r="T3449" s="49" t="n">
        <v>0</v>
      </c>
      <c r="U3449" s="49" t="s">
        <v>7139</v>
      </c>
    </row>
    <row r="3450" customFormat="false" ht="15" hidden="false" customHeight="false" outlineLevel="0" collapsed="false">
      <c r="B3450" s="48" t="n">
        <v>46135.0503703704</v>
      </c>
      <c r="C3450" s="4" t="n">
        <f aca="false">YEAR(B3450)</f>
        <v>2026</v>
      </c>
      <c r="D3450" s="49" t="s">
        <v>278</v>
      </c>
      <c r="E3450" s="49" t="s">
        <v>7140</v>
      </c>
      <c r="F3450" s="50" t="n">
        <v>1</v>
      </c>
      <c r="G3450" s="49" t="s">
        <v>280</v>
      </c>
      <c r="H3450" s="51" t="n">
        <v>0.6741</v>
      </c>
      <c r="I3450" s="51" t="n">
        <v>0.3064</v>
      </c>
      <c r="J3450" s="51" t="n">
        <v>0.0195</v>
      </c>
      <c r="K3450" s="49"/>
      <c r="L3450" s="49"/>
      <c r="M3450" s="49"/>
      <c r="N3450" s="49"/>
      <c r="O3450" s="49"/>
      <c r="P3450" s="49"/>
      <c r="Q3450" s="49"/>
      <c r="R3450" s="49"/>
      <c r="S3450" s="49" t="n">
        <v>0</v>
      </c>
      <c r="T3450" s="49" t="n">
        <v>0</v>
      </c>
      <c r="U3450" s="49" t="s">
        <v>7141</v>
      </c>
    </row>
    <row r="3451" customFormat="false" ht="15" hidden="false" customHeight="false" outlineLevel="0" collapsed="false">
      <c r="B3451" s="48" t="n">
        <v>46135.7084027778</v>
      </c>
      <c r="C3451" s="4" t="n">
        <f aca="false">YEAR(B3451)</f>
        <v>2026</v>
      </c>
      <c r="D3451" s="49" t="s">
        <v>278</v>
      </c>
      <c r="E3451" s="49" t="s">
        <v>7142</v>
      </c>
      <c r="F3451" s="50" t="n">
        <v>6</v>
      </c>
      <c r="G3451" s="49" t="s">
        <v>287</v>
      </c>
      <c r="H3451" s="51" t="n">
        <v>0.0356</v>
      </c>
      <c r="I3451" s="51" t="n">
        <v>0.1984</v>
      </c>
      <c r="J3451" s="51" t="n">
        <v>0.766</v>
      </c>
      <c r="K3451" s="49"/>
      <c r="L3451" s="49"/>
      <c r="M3451" s="49"/>
      <c r="N3451" s="49"/>
      <c r="O3451" s="49"/>
      <c r="P3451" s="49"/>
      <c r="Q3451" s="49"/>
      <c r="R3451" s="49" t="s">
        <v>281</v>
      </c>
      <c r="S3451" s="49" t="n">
        <v>0</v>
      </c>
      <c r="T3451" s="49" t="n">
        <v>0</v>
      </c>
      <c r="U3451" s="49" t="s">
        <v>7143</v>
      </c>
    </row>
    <row r="3452" customFormat="false" ht="15" hidden="false" customHeight="false" outlineLevel="0" collapsed="false">
      <c r="B3452" s="48" t="n">
        <v>46135.7825462963</v>
      </c>
      <c r="C3452" s="4" t="n">
        <f aca="false">YEAR(B3452)</f>
        <v>2026</v>
      </c>
      <c r="D3452" s="49" t="s">
        <v>278</v>
      </c>
      <c r="E3452" s="49" t="s">
        <v>7144</v>
      </c>
      <c r="F3452" s="50" t="n">
        <v>14</v>
      </c>
      <c r="G3452" s="49" t="s">
        <v>280</v>
      </c>
      <c r="H3452" s="51" t="n">
        <v>0.5902</v>
      </c>
      <c r="I3452" s="51" t="n">
        <v>0.3918</v>
      </c>
      <c r="J3452" s="51" t="n">
        <v>0.018</v>
      </c>
      <c r="K3452" s="49" t="s">
        <v>281</v>
      </c>
      <c r="L3452" s="49"/>
      <c r="M3452" s="49"/>
      <c r="N3452" s="49"/>
      <c r="O3452" s="49"/>
      <c r="P3452" s="49"/>
      <c r="Q3452" s="49"/>
      <c r="R3452" s="49" t="s">
        <v>281</v>
      </c>
      <c r="S3452" s="49" t="n">
        <v>0</v>
      </c>
      <c r="T3452" s="49" t="n">
        <v>0</v>
      </c>
      <c r="U3452" s="49" t="s">
        <v>7145</v>
      </c>
    </row>
    <row r="3453" customFormat="false" ht="15" hidden="false" customHeight="false" outlineLevel="0" collapsed="false">
      <c r="B3453" s="48" t="n">
        <v>46135.7851851852</v>
      </c>
      <c r="C3453" s="4" t="n">
        <f aca="false">YEAR(B3453)</f>
        <v>2026</v>
      </c>
      <c r="D3453" s="49" t="s">
        <v>278</v>
      </c>
      <c r="E3453" s="49" t="s">
        <v>7146</v>
      </c>
      <c r="F3453" s="50" t="n">
        <v>1</v>
      </c>
      <c r="G3453" s="49" t="s">
        <v>280</v>
      </c>
      <c r="H3453" s="51" t="n">
        <v>0.8907</v>
      </c>
      <c r="I3453" s="51" t="n">
        <v>0.1008</v>
      </c>
      <c r="J3453" s="51" t="n">
        <v>0.0085</v>
      </c>
      <c r="K3453" s="49"/>
      <c r="L3453" s="49"/>
      <c r="M3453" s="49"/>
      <c r="N3453" s="49"/>
      <c r="O3453" s="49"/>
      <c r="P3453" s="49"/>
      <c r="Q3453" s="49"/>
      <c r="R3453" s="49" t="s">
        <v>281</v>
      </c>
      <c r="S3453" s="49" t="n">
        <v>0</v>
      </c>
      <c r="T3453" s="49" t="n">
        <v>0</v>
      </c>
      <c r="U3453" s="49" t="s">
        <v>7147</v>
      </c>
    </row>
    <row r="3454" customFormat="false" ht="15" hidden="false" customHeight="false" outlineLevel="0" collapsed="false">
      <c r="B3454" s="48" t="n">
        <v>46135.8720833333</v>
      </c>
      <c r="C3454" s="4" t="n">
        <f aca="false">YEAR(B3454)</f>
        <v>2026</v>
      </c>
      <c r="D3454" s="49" t="s">
        <v>278</v>
      </c>
      <c r="E3454" s="49" t="s">
        <v>7148</v>
      </c>
      <c r="F3454" s="50" t="n">
        <v>2</v>
      </c>
      <c r="G3454" s="49" t="s">
        <v>290</v>
      </c>
      <c r="H3454" s="51" t="n">
        <v>0.0036</v>
      </c>
      <c r="I3454" s="51" t="n">
        <v>0.5868</v>
      </c>
      <c r="J3454" s="51" t="n">
        <v>0.4096</v>
      </c>
      <c r="K3454" s="49"/>
      <c r="L3454" s="49"/>
      <c r="M3454" s="49"/>
      <c r="N3454" s="49"/>
      <c r="O3454" s="49"/>
      <c r="P3454" s="49"/>
      <c r="Q3454" s="49"/>
      <c r="R3454" s="49"/>
      <c r="S3454" s="49" t="n">
        <v>0</v>
      </c>
      <c r="T3454" s="49" t="n">
        <v>0</v>
      </c>
      <c r="U3454" s="49" t="s">
        <v>7149</v>
      </c>
    </row>
    <row r="3455" customFormat="false" ht="15" hidden="false" customHeight="false" outlineLevel="0" collapsed="false">
      <c r="B3455" s="48" t="n">
        <v>46135.9158564815</v>
      </c>
      <c r="C3455" s="4" t="n">
        <f aca="false">YEAR(B3455)</f>
        <v>2026</v>
      </c>
      <c r="D3455" s="49" t="s">
        <v>278</v>
      </c>
      <c r="E3455" s="49" t="s">
        <v>7150</v>
      </c>
      <c r="F3455" s="50" t="n">
        <v>6</v>
      </c>
      <c r="G3455" s="49" t="s">
        <v>280</v>
      </c>
      <c r="H3455" s="51" t="n">
        <v>0.5613</v>
      </c>
      <c r="I3455" s="51" t="n">
        <v>0.4179</v>
      </c>
      <c r="J3455" s="51" t="n">
        <v>0.0208</v>
      </c>
      <c r="K3455" s="49"/>
      <c r="L3455" s="49"/>
      <c r="M3455" s="49"/>
      <c r="N3455" s="49"/>
      <c r="O3455" s="49"/>
      <c r="P3455" s="49"/>
      <c r="Q3455" s="49"/>
      <c r="R3455" s="49"/>
      <c r="S3455" s="49" t="n">
        <v>0</v>
      </c>
      <c r="T3455" s="49" t="n">
        <v>0</v>
      </c>
      <c r="U3455" s="49" t="s">
        <v>7151</v>
      </c>
    </row>
    <row r="3456" customFormat="false" ht="15" hidden="false" customHeight="false" outlineLevel="0" collapsed="false">
      <c r="B3456" s="48" t="n">
        <v>46135.9426967593</v>
      </c>
      <c r="C3456" s="4" t="n">
        <f aca="false">YEAR(B3456)</f>
        <v>2026</v>
      </c>
      <c r="D3456" s="49" t="s">
        <v>283</v>
      </c>
      <c r="E3456" s="49" t="s">
        <v>7152</v>
      </c>
      <c r="F3456" s="50" t="n">
        <v>1</v>
      </c>
      <c r="G3456" s="49" t="s">
        <v>287</v>
      </c>
      <c r="H3456" s="51" t="n">
        <v>0.0016</v>
      </c>
      <c r="I3456" s="51" t="n">
        <v>0.0534</v>
      </c>
      <c r="J3456" s="51" t="n">
        <v>0.945</v>
      </c>
      <c r="K3456" s="49"/>
      <c r="L3456" s="49"/>
      <c r="M3456" s="49"/>
      <c r="N3456" s="49"/>
      <c r="O3456" s="49"/>
      <c r="P3456" s="49"/>
      <c r="Q3456" s="49"/>
      <c r="R3456" s="49"/>
      <c r="S3456" s="49" t="n">
        <v>0</v>
      </c>
      <c r="T3456" s="49" t="n">
        <v>0</v>
      </c>
      <c r="U3456" s="49" t="s">
        <v>7153</v>
      </c>
    </row>
    <row r="3457" customFormat="false" ht="15" hidden="false" customHeight="false" outlineLevel="0" collapsed="false">
      <c r="B3457" s="48" t="n">
        <v>46135.9474652778</v>
      </c>
      <c r="C3457" s="4" t="n">
        <f aca="false">YEAR(B3457)</f>
        <v>2026</v>
      </c>
      <c r="D3457" s="49" t="s">
        <v>278</v>
      </c>
      <c r="E3457" s="49" t="s">
        <v>7154</v>
      </c>
      <c r="F3457" s="50" t="n">
        <v>2</v>
      </c>
      <c r="G3457" s="49" t="s">
        <v>280</v>
      </c>
      <c r="H3457" s="51" t="n">
        <v>0.9469</v>
      </c>
      <c r="I3457" s="51" t="n">
        <v>0.0489</v>
      </c>
      <c r="J3457" s="51" t="n">
        <v>0.0043</v>
      </c>
      <c r="K3457" s="49"/>
      <c r="L3457" s="49"/>
      <c r="M3457" s="49"/>
      <c r="N3457" s="49"/>
      <c r="O3457" s="49"/>
      <c r="P3457" s="49"/>
      <c r="Q3457" s="49"/>
      <c r="R3457" s="49"/>
      <c r="S3457" s="49" t="n">
        <v>0</v>
      </c>
      <c r="T3457" s="49" t="n">
        <v>0</v>
      </c>
      <c r="U3457" s="49" t="s">
        <v>7155</v>
      </c>
    </row>
    <row r="3458" customFormat="false" ht="15" hidden="false" customHeight="false" outlineLevel="0" collapsed="false">
      <c r="B3458" s="48" t="n">
        <v>46135.9530324074</v>
      </c>
      <c r="C3458" s="4" t="n">
        <f aca="false">YEAR(B3458)</f>
        <v>2026</v>
      </c>
      <c r="D3458" s="49" t="s">
        <v>278</v>
      </c>
      <c r="E3458" s="49" t="s">
        <v>7154</v>
      </c>
      <c r="F3458" s="50" t="n">
        <v>1</v>
      </c>
      <c r="G3458" s="49" t="s">
        <v>280</v>
      </c>
      <c r="H3458" s="51" t="n">
        <v>0.9469</v>
      </c>
      <c r="I3458" s="51" t="n">
        <v>0.0489</v>
      </c>
      <c r="J3458" s="51" t="n">
        <v>0.0043</v>
      </c>
      <c r="K3458" s="49"/>
      <c r="L3458" s="49"/>
      <c r="M3458" s="49"/>
      <c r="N3458" s="49"/>
      <c r="O3458" s="49"/>
      <c r="P3458" s="49"/>
      <c r="Q3458" s="49"/>
      <c r="R3458" s="49"/>
      <c r="S3458" s="49" t="n">
        <v>0</v>
      </c>
      <c r="T3458" s="49" t="n">
        <v>0</v>
      </c>
      <c r="U3458" s="49" t="s">
        <v>7156</v>
      </c>
    </row>
    <row r="3459" customFormat="false" ht="15" hidden="false" customHeight="false" outlineLevel="0" collapsed="false">
      <c r="B3459" s="48" t="n">
        <v>46136.3034953704</v>
      </c>
      <c r="C3459" s="4" t="n">
        <f aca="false">YEAR(B3459)</f>
        <v>2026</v>
      </c>
      <c r="D3459" s="49" t="s">
        <v>278</v>
      </c>
      <c r="E3459" s="49" t="s">
        <v>7157</v>
      </c>
      <c r="F3459" s="50" t="n">
        <v>1</v>
      </c>
      <c r="G3459" s="49" t="s">
        <v>280</v>
      </c>
      <c r="H3459" s="51" t="n">
        <v>0.6606</v>
      </c>
      <c r="I3459" s="51" t="n">
        <v>0.3203</v>
      </c>
      <c r="J3459" s="51" t="n">
        <v>0.0191</v>
      </c>
      <c r="K3459" s="49"/>
      <c r="L3459" s="49"/>
      <c r="M3459" s="49"/>
      <c r="N3459" s="49"/>
      <c r="O3459" s="49"/>
      <c r="P3459" s="49"/>
      <c r="Q3459" s="49"/>
      <c r="R3459" s="49"/>
      <c r="S3459" s="49" t="n">
        <v>0</v>
      </c>
      <c r="T3459" s="49" t="n">
        <v>0</v>
      </c>
      <c r="U3459" s="49" t="s">
        <v>7158</v>
      </c>
    </row>
    <row r="3460" customFormat="false" ht="15" hidden="false" customHeight="false" outlineLevel="0" collapsed="false">
      <c r="B3460" s="48" t="n">
        <v>46136.3462731482</v>
      </c>
      <c r="C3460" s="4" t="n">
        <f aca="false">YEAR(B3460)</f>
        <v>2026</v>
      </c>
      <c r="D3460" s="49" t="s">
        <v>278</v>
      </c>
      <c r="E3460" s="49" t="s">
        <v>7159</v>
      </c>
      <c r="F3460" s="50" t="n">
        <v>24</v>
      </c>
      <c r="G3460" s="49" t="s">
        <v>287</v>
      </c>
      <c r="H3460" s="51" t="n">
        <v>0.0113</v>
      </c>
      <c r="I3460" s="51" t="n">
        <v>0.1073</v>
      </c>
      <c r="J3460" s="51" t="n">
        <v>0.8813</v>
      </c>
      <c r="K3460" s="49"/>
      <c r="L3460" s="49"/>
      <c r="M3460" s="49"/>
      <c r="N3460" s="49"/>
      <c r="O3460" s="49" t="s">
        <v>281</v>
      </c>
      <c r="P3460" s="49"/>
      <c r="Q3460" s="49"/>
      <c r="R3460" s="49"/>
      <c r="S3460" s="49" t="n">
        <v>0</v>
      </c>
      <c r="T3460" s="49" t="n">
        <v>1</v>
      </c>
      <c r="U3460" s="49" t="s">
        <v>7160</v>
      </c>
    </row>
    <row r="3461" customFormat="false" ht="15" hidden="false" customHeight="false" outlineLevel="0" collapsed="false">
      <c r="B3461" s="48" t="n">
        <v>46136.4573842593</v>
      </c>
      <c r="C3461" s="4" t="n">
        <f aca="false">YEAR(B3461)</f>
        <v>2026</v>
      </c>
      <c r="D3461" s="49" t="s">
        <v>278</v>
      </c>
      <c r="E3461" s="49" t="s">
        <v>7161</v>
      </c>
      <c r="F3461" s="50" t="n">
        <v>0</v>
      </c>
      <c r="G3461" s="49" t="s">
        <v>287</v>
      </c>
      <c r="H3461" s="51" t="n">
        <v>0.0089</v>
      </c>
      <c r="I3461" s="51" t="n">
        <v>0.4699</v>
      </c>
      <c r="J3461" s="51" t="n">
        <v>0.5212</v>
      </c>
      <c r="K3461" s="49"/>
      <c r="L3461" s="49"/>
      <c r="M3461" s="49"/>
      <c r="N3461" s="49"/>
      <c r="O3461" s="49"/>
      <c r="P3461" s="49"/>
      <c r="Q3461" s="49"/>
      <c r="R3461" s="49"/>
      <c r="S3461" s="49" t="n">
        <v>0</v>
      </c>
      <c r="T3461" s="49" t="n">
        <v>0</v>
      </c>
      <c r="U3461" s="49" t="s">
        <v>7162</v>
      </c>
    </row>
    <row r="3462" customFormat="false" ht="15" hidden="false" customHeight="false" outlineLevel="0" collapsed="false">
      <c r="B3462" s="48" t="n">
        <v>46136.6246412037</v>
      </c>
      <c r="C3462" s="4" t="n">
        <f aca="false">YEAR(B3462)</f>
        <v>2026</v>
      </c>
      <c r="D3462" s="49" t="s">
        <v>278</v>
      </c>
      <c r="E3462" s="49" t="s">
        <v>7163</v>
      </c>
      <c r="F3462" s="50" t="n">
        <v>0</v>
      </c>
      <c r="G3462" s="49" t="s">
        <v>280</v>
      </c>
      <c r="H3462" s="51" t="n">
        <v>0.8377</v>
      </c>
      <c r="I3462" s="51" t="n">
        <v>0.1541</v>
      </c>
      <c r="J3462" s="51" t="n">
        <v>0.0082</v>
      </c>
      <c r="K3462" s="49"/>
      <c r="L3462" s="49"/>
      <c r="M3462" s="49"/>
      <c r="N3462" s="49"/>
      <c r="O3462" s="49"/>
      <c r="P3462" s="49"/>
      <c r="Q3462" s="49"/>
      <c r="R3462" s="49" t="s">
        <v>281</v>
      </c>
      <c r="S3462" s="49" t="n">
        <v>0</v>
      </c>
      <c r="T3462" s="49" t="n">
        <v>0</v>
      </c>
      <c r="U3462" s="49" t="s">
        <v>7164</v>
      </c>
    </row>
    <row r="3463" customFormat="false" ht="15" hidden="false" customHeight="false" outlineLevel="0" collapsed="false">
      <c r="B3463" s="48" t="n">
        <v>46136.7767824074</v>
      </c>
      <c r="C3463" s="4" t="n">
        <f aca="false">YEAR(B3463)</f>
        <v>2026</v>
      </c>
      <c r="D3463" s="49" t="s">
        <v>278</v>
      </c>
      <c r="E3463" s="49" t="s">
        <v>7165</v>
      </c>
      <c r="F3463" s="50" t="n">
        <v>0</v>
      </c>
      <c r="G3463" s="49" t="s">
        <v>287</v>
      </c>
      <c r="H3463" s="51" t="n">
        <v>0.0075</v>
      </c>
      <c r="I3463" s="51" t="n">
        <v>0.0172</v>
      </c>
      <c r="J3463" s="51" t="n">
        <v>0.9752</v>
      </c>
      <c r="K3463" s="49" t="s">
        <v>281</v>
      </c>
      <c r="L3463" s="49"/>
      <c r="M3463" s="49"/>
      <c r="N3463" s="49"/>
      <c r="O3463" s="49"/>
      <c r="P3463" s="49"/>
      <c r="Q3463" s="49"/>
      <c r="R3463" s="49" t="s">
        <v>281</v>
      </c>
      <c r="S3463" s="49" t="n">
        <v>0</v>
      </c>
      <c r="T3463" s="49" t="n">
        <v>0</v>
      </c>
      <c r="U3463" s="49" t="s">
        <v>7166</v>
      </c>
    </row>
    <row r="3464" customFormat="false" ht="15" hidden="false" customHeight="false" outlineLevel="0" collapsed="false">
      <c r="B3464" s="48" t="n">
        <v>46136.8018981482</v>
      </c>
      <c r="C3464" s="4" t="n">
        <f aca="false">YEAR(B3464)</f>
        <v>2026</v>
      </c>
      <c r="D3464" s="49" t="s">
        <v>283</v>
      </c>
      <c r="E3464" s="49" t="s">
        <v>7167</v>
      </c>
      <c r="F3464" s="50" t="n">
        <v>1</v>
      </c>
      <c r="G3464" s="49" t="s">
        <v>287</v>
      </c>
      <c r="H3464" s="51" t="n">
        <v>0.0025</v>
      </c>
      <c r="I3464" s="51" t="n">
        <v>0.0171</v>
      </c>
      <c r="J3464" s="51" t="n">
        <v>0.9805</v>
      </c>
      <c r="K3464" s="49"/>
      <c r="L3464" s="49"/>
      <c r="M3464" s="49"/>
      <c r="N3464" s="49"/>
      <c r="O3464" s="49"/>
      <c r="P3464" s="49"/>
      <c r="Q3464" s="49"/>
      <c r="R3464" s="49"/>
      <c r="S3464" s="49" t="n">
        <v>0</v>
      </c>
      <c r="T3464" s="49" t="n">
        <v>0</v>
      </c>
      <c r="U3464" s="49" t="s">
        <v>7168</v>
      </c>
    </row>
    <row r="3465" customFormat="false" ht="15" hidden="false" customHeight="false" outlineLevel="0" collapsed="false">
      <c r="B3465" s="48" t="n">
        <v>46136.8474768519</v>
      </c>
      <c r="C3465" s="4" t="n">
        <f aca="false">YEAR(B3465)</f>
        <v>2026</v>
      </c>
      <c r="D3465" s="49" t="s">
        <v>283</v>
      </c>
      <c r="E3465" s="49" t="s">
        <v>7169</v>
      </c>
      <c r="F3465" s="50" t="n">
        <v>11</v>
      </c>
      <c r="G3465" s="49" t="s">
        <v>287</v>
      </c>
      <c r="H3465" s="51" t="n">
        <v>0.003</v>
      </c>
      <c r="I3465" s="51" t="n">
        <v>0.0571</v>
      </c>
      <c r="J3465" s="51" t="n">
        <v>0.9399</v>
      </c>
      <c r="K3465" s="49"/>
      <c r="L3465" s="49"/>
      <c r="M3465" s="49"/>
      <c r="N3465" s="49"/>
      <c r="O3465" s="49"/>
      <c r="P3465" s="49" t="s">
        <v>281</v>
      </c>
      <c r="Q3465" s="49"/>
      <c r="R3465" s="49"/>
      <c r="S3465" s="49" t="n">
        <v>0</v>
      </c>
      <c r="T3465" s="49" t="n">
        <v>0</v>
      </c>
      <c r="U3465" s="49" t="s">
        <v>7170</v>
      </c>
    </row>
    <row r="3466" customFormat="false" ht="15" hidden="false" customHeight="false" outlineLevel="0" collapsed="false">
      <c r="B3466" s="48" t="n">
        <v>46136.9766550926</v>
      </c>
      <c r="C3466" s="4" t="n">
        <f aca="false">YEAR(B3466)</f>
        <v>2026</v>
      </c>
      <c r="D3466" s="49" t="s">
        <v>278</v>
      </c>
      <c r="E3466" s="49" t="s">
        <v>7171</v>
      </c>
      <c r="F3466" s="50" t="n">
        <v>0</v>
      </c>
      <c r="G3466" s="49" t="s">
        <v>290</v>
      </c>
      <c r="H3466" s="51" t="n">
        <v>0.1081</v>
      </c>
      <c r="I3466" s="51" t="n">
        <v>0.6147</v>
      </c>
      <c r="J3466" s="51" t="n">
        <v>0.2773</v>
      </c>
      <c r="K3466" s="49"/>
      <c r="L3466" s="49"/>
      <c r="M3466" s="49"/>
      <c r="N3466" s="49"/>
      <c r="O3466" s="49"/>
      <c r="P3466" s="49"/>
      <c r="Q3466" s="49"/>
      <c r="R3466" s="49" t="s">
        <v>281</v>
      </c>
      <c r="S3466" s="49" t="n">
        <v>0</v>
      </c>
      <c r="T3466" s="49" t="n">
        <v>0</v>
      </c>
      <c r="U3466" s="49" t="s">
        <v>7172</v>
      </c>
    </row>
    <row r="3467" customFormat="false" ht="15" hidden="false" customHeight="false" outlineLevel="0" collapsed="false">
      <c r="B3467" s="48" t="n">
        <v>46137.6480902778</v>
      </c>
      <c r="C3467" s="4" t="n">
        <f aca="false">YEAR(B3467)</f>
        <v>2026</v>
      </c>
      <c r="D3467" s="49" t="s">
        <v>283</v>
      </c>
      <c r="E3467" s="49" t="s">
        <v>7173</v>
      </c>
      <c r="F3467" s="50" t="n">
        <v>2</v>
      </c>
      <c r="G3467" s="49" t="s">
        <v>287</v>
      </c>
      <c r="H3467" s="51" t="n">
        <v>0.3255</v>
      </c>
      <c r="I3467" s="51" t="n">
        <v>0.3303</v>
      </c>
      <c r="J3467" s="51" t="n">
        <v>0.3442</v>
      </c>
      <c r="K3467" s="49"/>
      <c r="L3467" s="49"/>
      <c r="M3467" s="49"/>
      <c r="N3467" s="49"/>
      <c r="O3467" s="49"/>
      <c r="P3467" s="49"/>
      <c r="Q3467" s="49"/>
      <c r="R3467" s="49"/>
      <c r="S3467" s="49" t="n">
        <v>0</v>
      </c>
      <c r="T3467" s="49" t="n">
        <v>0</v>
      </c>
      <c r="U3467" s="49" t="s">
        <v>7174</v>
      </c>
    </row>
    <row r="3468" customFormat="false" ht="15" hidden="false" customHeight="false" outlineLevel="0" collapsed="false">
      <c r="B3468" s="48" t="n">
        <v>46138.0339236111</v>
      </c>
      <c r="C3468" s="4" t="n">
        <f aca="false">YEAR(B3468)</f>
        <v>2026</v>
      </c>
      <c r="D3468" s="49" t="s">
        <v>278</v>
      </c>
      <c r="E3468" s="49" t="s">
        <v>7175</v>
      </c>
      <c r="F3468" s="50" t="n">
        <v>2</v>
      </c>
      <c r="G3468" s="49" t="s">
        <v>280</v>
      </c>
      <c r="H3468" s="51" t="n">
        <v>0.8296</v>
      </c>
      <c r="I3468" s="51" t="n">
        <v>0.161</v>
      </c>
      <c r="J3468" s="51" t="n">
        <v>0.0094</v>
      </c>
      <c r="K3468" s="49"/>
      <c r="L3468" s="49"/>
      <c r="M3468" s="49" t="s">
        <v>281</v>
      </c>
      <c r="N3468" s="49"/>
      <c r="O3468" s="49"/>
      <c r="P3468" s="49"/>
      <c r="Q3468" s="49"/>
      <c r="R3468" s="49"/>
      <c r="S3468" s="49" t="n">
        <v>0</v>
      </c>
      <c r="T3468" s="49" t="n">
        <v>0</v>
      </c>
      <c r="U3468" s="49" t="s">
        <v>7176</v>
      </c>
    </row>
    <row r="3469" customFormat="false" ht="15" hidden="false" customHeight="false" outlineLevel="0" collapsed="false">
      <c r="B3469" s="48" t="n">
        <v>46138.065162037</v>
      </c>
      <c r="C3469" s="4" t="n">
        <f aca="false">YEAR(B3469)</f>
        <v>2026</v>
      </c>
      <c r="D3469" s="49" t="s">
        <v>278</v>
      </c>
      <c r="E3469" s="49" t="s">
        <v>7177</v>
      </c>
      <c r="F3469" s="50" t="n">
        <v>2</v>
      </c>
      <c r="G3469" s="49" t="s">
        <v>280</v>
      </c>
      <c r="H3469" s="51" t="n">
        <v>0.7525</v>
      </c>
      <c r="I3469" s="51" t="n">
        <v>0.231</v>
      </c>
      <c r="J3469" s="51" t="n">
        <v>0.0164</v>
      </c>
      <c r="K3469" s="49"/>
      <c r="L3469" s="49"/>
      <c r="M3469" s="49"/>
      <c r="N3469" s="49"/>
      <c r="O3469" s="49"/>
      <c r="P3469" s="49"/>
      <c r="Q3469" s="49"/>
      <c r="R3469" s="49"/>
      <c r="S3469" s="49" t="n">
        <v>0</v>
      </c>
      <c r="T3469" s="49" t="n">
        <v>0</v>
      </c>
      <c r="U3469" s="49" t="s">
        <v>7178</v>
      </c>
    </row>
    <row r="3470" customFormat="false" ht="15" hidden="false" customHeight="false" outlineLevel="0" collapsed="false">
      <c r="B3470" s="48" t="n">
        <v>46138.2118634259</v>
      </c>
      <c r="C3470" s="4" t="n">
        <f aca="false">YEAR(B3470)</f>
        <v>2026</v>
      </c>
      <c r="D3470" s="49" t="s">
        <v>278</v>
      </c>
      <c r="E3470" s="49" t="s">
        <v>7179</v>
      </c>
      <c r="F3470" s="50" t="n">
        <v>6</v>
      </c>
      <c r="G3470" s="49" t="s">
        <v>280</v>
      </c>
      <c r="H3470" s="51" t="n">
        <v>0.7575</v>
      </c>
      <c r="I3470" s="51" t="n">
        <v>0.2195</v>
      </c>
      <c r="J3470" s="51" t="n">
        <v>0.0231</v>
      </c>
      <c r="K3470" s="49"/>
      <c r="L3470" s="49"/>
      <c r="M3470" s="49"/>
      <c r="N3470" s="49"/>
      <c r="O3470" s="49"/>
      <c r="P3470" s="49"/>
      <c r="Q3470" s="49"/>
      <c r="R3470" s="49" t="s">
        <v>281</v>
      </c>
      <c r="S3470" s="49" t="n">
        <v>0</v>
      </c>
      <c r="T3470" s="49" t="n">
        <v>0</v>
      </c>
      <c r="U3470" s="49" t="s">
        <v>7180</v>
      </c>
    </row>
    <row r="3471" customFormat="false" ht="15" hidden="false" customHeight="false" outlineLevel="0" collapsed="false">
      <c r="B3471" s="48" t="n">
        <v>46138.6844444444</v>
      </c>
      <c r="C3471" s="4" t="n">
        <f aca="false">YEAR(B3471)</f>
        <v>2026</v>
      </c>
      <c r="D3471" s="49" t="s">
        <v>278</v>
      </c>
      <c r="E3471" s="49" t="s">
        <v>7181</v>
      </c>
      <c r="F3471" s="50" t="n">
        <v>0</v>
      </c>
      <c r="G3471" s="49" t="s">
        <v>287</v>
      </c>
      <c r="H3471" s="51" t="n">
        <v>0.0078</v>
      </c>
      <c r="I3471" s="51" t="n">
        <v>0.1395</v>
      </c>
      <c r="J3471" s="51" t="n">
        <v>0.8527</v>
      </c>
      <c r="K3471" s="49"/>
      <c r="L3471" s="49"/>
      <c r="M3471" s="49"/>
      <c r="N3471" s="49"/>
      <c r="O3471" s="49"/>
      <c r="P3471" s="49"/>
      <c r="Q3471" s="49"/>
      <c r="R3471" s="49"/>
      <c r="S3471" s="49" t="n">
        <v>0</v>
      </c>
      <c r="T3471" s="49" t="n">
        <v>0</v>
      </c>
      <c r="U3471" s="49" t="s">
        <v>7182</v>
      </c>
    </row>
    <row r="3472" customFormat="false" ht="15" hidden="false" customHeight="false" outlineLevel="0" collapsed="false">
      <c r="B3472" s="48" t="n">
        <v>46138.7037384259</v>
      </c>
      <c r="C3472" s="4" t="n">
        <f aca="false">YEAR(B3472)</f>
        <v>2026</v>
      </c>
      <c r="D3472" s="49" t="s">
        <v>283</v>
      </c>
      <c r="E3472" s="49" t="s">
        <v>7183</v>
      </c>
      <c r="F3472" s="50" t="n">
        <v>1</v>
      </c>
      <c r="G3472" s="49" t="s">
        <v>287</v>
      </c>
      <c r="H3472" s="51" t="n">
        <v>0.0039</v>
      </c>
      <c r="I3472" s="51" t="n">
        <v>0.1871</v>
      </c>
      <c r="J3472" s="51" t="n">
        <v>0.8089</v>
      </c>
      <c r="K3472" s="49"/>
      <c r="L3472" s="49"/>
      <c r="M3472" s="49"/>
      <c r="N3472" s="49"/>
      <c r="O3472" s="49"/>
      <c r="P3472" s="49"/>
      <c r="Q3472" s="49"/>
      <c r="R3472" s="49"/>
      <c r="S3472" s="49" t="n">
        <v>0</v>
      </c>
      <c r="T3472" s="49" t="n">
        <v>0</v>
      </c>
      <c r="U3472" s="49" t="s">
        <v>7184</v>
      </c>
    </row>
    <row r="3473" customFormat="false" ht="15" hidden="false" customHeight="false" outlineLevel="0" collapsed="false">
      <c r="B3473" s="48" t="n">
        <v>46138.929837963</v>
      </c>
      <c r="C3473" s="4" t="n">
        <f aca="false">YEAR(B3473)</f>
        <v>2026</v>
      </c>
      <c r="D3473" s="49" t="s">
        <v>283</v>
      </c>
      <c r="E3473" s="49" t="s">
        <v>7185</v>
      </c>
      <c r="F3473" s="50" t="n">
        <v>1</v>
      </c>
      <c r="G3473" s="49" t="s">
        <v>287</v>
      </c>
      <c r="H3473" s="51" t="n">
        <v>0.011</v>
      </c>
      <c r="I3473" s="51" t="n">
        <v>0.3372</v>
      </c>
      <c r="J3473" s="51" t="n">
        <v>0.6518</v>
      </c>
      <c r="K3473" s="49"/>
      <c r="L3473" s="49"/>
      <c r="M3473" s="49"/>
      <c r="N3473" s="49"/>
      <c r="O3473" s="49"/>
      <c r="P3473" s="49"/>
      <c r="Q3473" s="49"/>
      <c r="R3473" s="49"/>
      <c r="S3473" s="49" t="n">
        <v>0</v>
      </c>
      <c r="T3473" s="49" t="n">
        <v>0</v>
      </c>
      <c r="U3473" s="49" t="s">
        <v>7186</v>
      </c>
    </row>
    <row r="3474" customFormat="false" ht="15" hidden="false" customHeight="false" outlineLevel="0" collapsed="false">
      <c r="B3474" s="48" t="n">
        <v>46139.2615509259</v>
      </c>
      <c r="C3474" s="4" t="n">
        <f aca="false">YEAR(B3474)</f>
        <v>2026</v>
      </c>
      <c r="D3474" s="49" t="s">
        <v>283</v>
      </c>
      <c r="E3474" s="49" t="s">
        <v>7187</v>
      </c>
      <c r="F3474" s="50" t="n">
        <v>2</v>
      </c>
      <c r="G3474" s="49" t="s">
        <v>287</v>
      </c>
      <c r="H3474" s="51" t="n">
        <v>0.0036</v>
      </c>
      <c r="I3474" s="51" t="n">
        <v>0.0969</v>
      </c>
      <c r="J3474" s="51" t="n">
        <v>0.8995</v>
      </c>
      <c r="K3474" s="49"/>
      <c r="L3474" s="49"/>
      <c r="M3474" s="49"/>
      <c r="N3474" s="49"/>
      <c r="O3474" s="49"/>
      <c r="P3474" s="49"/>
      <c r="Q3474" s="49"/>
      <c r="R3474" s="49"/>
      <c r="S3474" s="49" t="n">
        <v>0</v>
      </c>
      <c r="T3474" s="49" t="n">
        <v>0</v>
      </c>
      <c r="U3474" s="49" t="s">
        <v>7188</v>
      </c>
    </row>
    <row r="3475" customFormat="false" ht="15" hidden="false" customHeight="false" outlineLevel="0" collapsed="false">
      <c r="B3475" s="48" t="n">
        <v>46139.3147337963</v>
      </c>
      <c r="C3475" s="4" t="n">
        <f aca="false">YEAR(B3475)</f>
        <v>2026</v>
      </c>
      <c r="D3475" s="49" t="s">
        <v>278</v>
      </c>
      <c r="E3475" s="49" t="s">
        <v>7189</v>
      </c>
      <c r="F3475" s="50" t="n">
        <v>6</v>
      </c>
      <c r="G3475" s="49" t="s">
        <v>280</v>
      </c>
      <c r="H3475" s="51" t="n">
        <v>0.8418</v>
      </c>
      <c r="I3475" s="51" t="n">
        <v>0.1501</v>
      </c>
      <c r="J3475" s="51" t="n">
        <v>0.0081</v>
      </c>
      <c r="K3475" s="49" t="s">
        <v>281</v>
      </c>
      <c r="L3475" s="49"/>
      <c r="M3475" s="49"/>
      <c r="N3475" s="49"/>
      <c r="O3475" s="49"/>
      <c r="P3475" s="49"/>
      <c r="Q3475" s="49"/>
      <c r="R3475" s="49"/>
      <c r="S3475" s="49" t="n">
        <v>0</v>
      </c>
      <c r="T3475" s="49" t="n">
        <v>0</v>
      </c>
      <c r="U3475" s="49" t="s">
        <v>7190</v>
      </c>
    </row>
    <row r="3476" customFormat="false" ht="15" hidden="false" customHeight="false" outlineLevel="0" collapsed="false">
      <c r="B3476" s="48" t="n">
        <v>46139.6668981482</v>
      </c>
      <c r="C3476" s="4" t="n">
        <f aca="false">YEAR(B3476)</f>
        <v>2026</v>
      </c>
      <c r="D3476" s="49" t="s">
        <v>283</v>
      </c>
      <c r="E3476" s="49" t="s">
        <v>7191</v>
      </c>
      <c r="F3476" s="50" t="n">
        <v>3</v>
      </c>
      <c r="G3476" s="49" t="s">
        <v>290</v>
      </c>
      <c r="H3476" s="51" t="n">
        <v>0.0208</v>
      </c>
      <c r="I3476" s="51" t="n">
        <v>0.5917</v>
      </c>
      <c r="J3476" s="51" t="n">
        <v>0.3876</v>
      </c>
      <c r="K3476" s="49" t="s">
        <v>281</v>
      </c>
      <c r="L3476" s="49"/>
      <c r="M3476" s="49"/>
      <c r="N3476" s="49"/>
      <c r="O3476" s="49"/>
      <c r="P3476" s="49"/>
      <c r="Q3476" s="49"/>
      <c r="R3476" s="49"/>
      <c r="S3476" s="49" t="n">
        <v>0</v>
      </c>
      <c r="T3476" s="49" t="n">
        <v>0</v>
      </c>
      <c r="U3476" s="49" t="s">
        <v>7192</v>
      </c>
    </row>
    <row r="3477" customFormat="false" ht="15" hidden="false" customHeight="false" outlineLevel="0" collapsed="false">
      <c r="B3477" s="48" t="n">
        <v>46139.9566666667</v>
      </c>
      <c r="C3477" s="4" t="n">
        <f aca="false">YEAR(B3477)</f>
        <v>2026</v>
      </c>
      <c r="D3477" s="49" t="s">
        <v>283</v>
      </c>
      <c r="E3477" s="49" t="s">
        <v>7193</v>
      </c>
      <c r="F3477" s="50" t="n">
        <v>1</v>
      </c>
      <c r="G3477" s="49" t="s">
        <v>290</v>
      </c>
      <c r="H3477" s="51" t="n">
        <v>0.3797</v>
      </c>
      <c r="I3477" s="51" t="n">
        <v>0.5509</v>
      </c>
      <c r="J3477" s="51" t="n">
        <v>0.0694</v>
      </c>
      <c r="K3477" s="49"/>
      <c r="L3477" s="49"/>
      <c r="M3477" s="49"/>
      <c r="N3477" s="49"/>
      <c r="O3477" s="49"/>
      <c r="P3477" s="49"/>
      <c r="Q3477" s="49"/>
      <c r="R3477" s="49"/>
      <c r="S3477" s="49" t="n">
        <v>0</v>
      </c>
      <c r="T3477" s="49" t="n">
        <v>0</v>
      </c>
      <c r="U3477" s="49" t="s">
        <v>7194</v>
      </c>
    </row>
    <row r="3478" customFormat="false" ht="15" hidden="false" customHeight="false" outlineLevel="0" collapsed="false">
      <c r="B3478" s="48" t="n">
        <v>46140.0187847222</v>
      </c>
      <c r="C3478" s="4" t="n">
        <f aca="false">YEAR(B3478)</f>
        <v>2026</v>
      </c>
      <c r="D3478" s="49" t="s">
        <v>278</v>
      </c>
      <c r="E3478" s="49" t="s">
        <v>7195</v>
      </c>
      <c r="F3478" s="50" t="n">
        <v>0</v>
      </c>
      <c r="G3478" s="49" t="s">
        <v>290</v>
      </c>
      <c r="H3478" s="51" t="n">
        <v>0.0468</v>
      </c>
      <c r="I3478" s="51" t="n">
        <v>0.7451</v>
      </c>
      <c r="J3478" s="51" t="n">
        <v>0.2081</v>
      </c>
      <c r="K3478" s="49"/>
      <c r="L3478" s="49"/>
      <c r="M3478" s="49"/>
      <c r="N3478" s="49"/>
      <c r="O3478" s="49"/>
      <c r="P3478" s="49" t="s">
        <v>281</v>
      </c>
      <c r="Q3478" s="49" t="s">
        <v>281</v>
      </c>
      <c r="R3478" s="49"/>
      <c r="S3478" s="49" t="n">
        <v>0</v>
      </c>
      <c r="T3478" s="49" t="n">
        <v>0</v>
      </c>
      <c r="U3478" s="49" t="s">
        <v>7196</v>
      </c>
    </row>
    <row r="3479" customFormat="false" ht="15" hidden="false" customHeight="false" outlineLevel="0" collapsed="false">
      <c r="B3479" s="48" t="n">
        <v>46140.4191203704</v>
      </c>
      <c r="C3479" s="4" t="n">
        <f aca="false">YEAR(B3479)</f>
        <v>2026</v>
      </c>
      <c r="D3479" s="49" t="s">
        <v>278</v>
      </c>
      <c r="E3479" s="49" t="s">
        <v>7197</v>
      </c>
      <c r="F3479" s="50" t="n">
        <v>14</v>
      </c>
      <c r="G3479" s="49" t="s">
        <v>280</v>
      </c>
      <c r="H3479" s="51" t="n">
        <v>0.8231</v>
      </c>
      <c r="I3479" s="51" t="n">
        <v>0.1687</v>
      </c>
      <c r="J3479" s="51" t="n">
        <v>0.0082</v>
      </c>
      <c r="K3479" s="49"/>
      <c r="L3479" s="49"/>
      <c r="M3479" s="49"/>
      <c r="N3479" s="49"/>
      <c r="O3479" s="49"/>
      <c r="P3479" s="49"/>
      <c r="Q3479" s="49"/>
      <c r="R3479" s="49"/>
      <c r="S3479" s="49" t="n">
        <v>0</v>
      </c>
      <c r="T3479" s="49" t="n">
        <v>0</v>
      </c>
      <c r="U3479" s="49" t="s">
        <v>7198</v>
      </c>
    </row>
    <row r="3480" customFormat="false" ht="15" hidden="false" customHeight="false" outlineLevel="0" collapsed="false">
      <c r="B3480" s="48" t="n">
        <v>46140.5416550926</v>
      </c>
      <c r="C3480" s="4" t="n">
        <f aca="false">YEAR(B3480)</f>
        <v>2026</v>
      </c>
      <c r="D3480" s="49" t="s">
        <v>278</v>
      </c>
      <c r="E3480" s="49" t="s">
        <v>7199</v>
      </c>
      <c r="F3480" s="50" t="n">
        <v>4</v>
      </c>
      <c r="G3480" s="49" t="s">
        <v>280</v>
      </c>
      <c r="H3480" s="51" t="n">
        <v>0.8524</v>
      </c>
      <c r="I3480" s="51" t="n">
        <v>0.1403</v>
      </c>
      <c r="J3480" s="51" t="n">
        <v>0.0073</v>
      </c>
      <c r="K3480" s="49"/>
      <c r="L3480" s="49"/>
      <c r="M3480" s="49"/>
      <c r="N3480" s="49"/>
      <c r="O3480" s="49"/>
      <c r="P3480" s="49"/>
      <c r="Q3480" s="49"/>
      <c r="R3480" s="49"/>
      <c r="S3480" s="49" t="n">
        <v>0</v>
      </c>
      <c r="T3480" s="49" t="n">
        <v>0</v>
      </c>
      <c r="U3480" s="49" t="s">
        <v>7200</v>
      </c>
    </row>
    <row r="3481" customFormat="false" ht="15" hidden="false" customHeight="false" outlineLevel="0" collapsed="false">
      <c r="B3481" s="48" t="n">
        <v>46140.8805787037</v>
      </c>
      <c r="C3481" s="4" t="n">
        <f aca="false">YEAR(B3481)</f>
        <v>2026</v>
      </c>
      <c r="D3481" s="49" t="s">
        <v>283</v>
      </c>
      <c r="E3481" s="49" t="s">
        <v>7201</v>
      </c>
      <c r="F3481" s="50" t="n">
        <v>3</v>
      </c>
      <c r="G3481" s="49" t="s">
        <v>287</v>
      </c>
      <c r="H3481" s="51" t="n">
        <v>0.0017</v>
      </c>
      <c r="I3481" s="51" t="n">
        <v>0.0534</v>
      </c>
      <c r="J3481" s="51" t="n">
        <v>0.9449</v>
      </c>
      <c r="K3481" s="49"/>
      <c r="L3481" s="49"/>
      <c r="M3481" s="49"/>
      <c r="N3481" s="49"/>
      <c r="O3481" s="49"/>
      <c r="P3481" s="49"/>
      <c r="Q3481" s="49"/>
      <c r="R3481" s="49"/>
      <c r="S3481" s="49" t="n">
        <v>0</v>
      </c>
      <c r="T3481" s="49" t="n">
        <v>0</v>
      </c>
      <c r="U3481" s="49" t="s">
        <v>7202</v>
      </c>
    </row>
    <row r="3482" customFormat="false" ht="15" hidden="false" customHeight="false" outlineLevel="0" collapsed="false">
      <c r="B3482" s="48" t="n">
        <v>46140.959224537</v>
      </c>
      <c r="C3482" s="4" t="n">
        <f aca="false">YEAR(B3482)</f>
        <v>2026</v>
      </c>
      <c r="D3482" s="49" t="s">
        <v>283</v>
      </c>
      <c r="E3482" s="49" t="s">
        <v>7203</v>
      </c>
      <c r="F3482" s="50" t="n">
        <v>1</v>
      </c>
      <c r="G3482" s="49" t="s">
        <v>290</v>
      </c>
      <c r="H3482" s="51" t="n">
        <v>0.1931</v>
      </c>
      <c r="I3482" s="51" t="n">
        <v>0.7444</v>
      </c>
      <c r="J3482" s="51" t="n">
        <v>0.0624</v>
      </c>
      <c r="K3482" s="49"/>
      <c r="L3482" s="49"/>
      <c r="M3482" s="49"/>
      <c r="N3482" s="49"/>
      <c r="O3482" s="49"/>
      <c r="P3482" s="49"/>
      <c r="Q3482" s="49"/>
      <c r="R3482" s="49"/>
      <c r="S3482" s="49" t="n">
        <v>0</v>
      </c>
      <c r="T3482" s="49" t="n">
        <v>0</v>
      </c>
      <c r="U3482" s="49" t="s">
        <v>7204</v>
      </c>
    </row>
    <row r="3483" customFormat="false" ht="15" hidden="false" customHeight="false" outlineLevel="0" collapsed="false">
      <c r="B3483" s="48" t="n">
        <v>46141.8019444444</v>
      </c>
      <c r="C3483" s="4" t="n">
        <f aca="false">YEAR(B3483)</f>
        <v>2026</v>
      </c>
      <c r="D3483" s="49" t="s">
        <v>283</v>
      </c>
      <c r="E3483" s="49" t="s">
        <v>7205</v>
      </c>
      <c r="F3483" s="50" t="n">
        <v>0</v>
      </c>
      <c r="G3483" s="49" t="s">
        <v>290</v>
      </c>
      <c r="H3483" s="51" t="n">
        <v>0.3905</v>
      </c>
      <c r="I3483" s="51" t="n">
        <v>0.569</v>
      </c>
      <c r="J3483" s="51" t="n">
        <v>0.0405</v>
      </c>
      <c r="K3483" s="49"/>
      <c r="L3483" s="49"/>
      <c r="M3483" s="49"/>
      <c r="N3483" s="49"/>
      <c r="O3483" s="49"/>
      <c r="P3483" s="49"/>
      <c r="Q3483" s="49"/>
      <c r="R3483" s="49"/>
      <c r="S3483" s="49" t="n">
        <v>0</v>
      </c>
      <c r="T3483" s="49" t="n">
        <v>0</v>
      </c>
      <c r="U3483" s="49" t="s">
        <v>7206</v>
      </c>
    </row>
    <row r="3484" customFormat="false" ht="15" hidden="false" customHeight="false" outlineLevel="0" collapsed="false">
      <c r="B3484" s="48" t="n">
        <v>46141.8149421296</v>
      </c>
      <c r="C3484" s="4" t="n">
        <f aca="false">YEAR(B3484)</f>
        <v>2026</v>
      </c>
      <c r="D3484" s="49" t="s">
        <v>278</v>
      </c>
      <c r="E3484" s="49" t="s">
        <v>7207</v>
      </c>
      <c r="F3484" s="50" t="n">
        <v>2</v>
      </c>
      <c r="G3484" s="49" t="s">
        <v>290</v>
      </c>
      <c r="H3484" s="51" t="n">
        <v>0.225</v>
      </c>
      <c r="I3484" s="51" t="n">
        <v>0.7308</v>
      </c>
      <c r="J3484" s="51" t="n">
        <v>0.0442</v>
      </c>
      <c r="K3484" s="49"/>
      <c r="L3484" s="49"/>
      <c r="M3484" s="49"/>
      <c r="N3484" s="49"/>
      <c r="O3484" s="49"/>
      <c r="P3484" s="49"/>
      <c r="Q3484" s="49"/>
      <c r="R3484" s="49"/>
      <c r="S3484" s="49" t="n">
        <v>0</v>
      </c>
      <c r="T3484" s="49" t="n">
        <v>0</v>
      </c>
      <c r="U3484" s="49" t="s">
        <v>7208</v>
      </c>
    </row>
    <row r="3485" customFormat="false" ht="15" hidden="false" customHeight="false" outlineLevel="0" collapsed="false">
      <c r="B3485" s="48" t="n">
        <v>46141.9163773148</v>
      </c>
      <c r="C3485" s="4" t="n">
        <f aca="false">YEAR(B3485)</f>
        <v>2026</v>
      </c>
      <c r="D3485" s="49" t="s">
        <v>283</v>
      </c>
      <c r="E3485" s="49" t="s">
        <v>7209</v>
      </c>
      <c r="F3485" s="50" t="n">
        <v>1</v>
      </c>
      <c r="G3485" s="49" t="s">
        <v>290</v>
      </c>
      <c r="H3485" s="51" t="n">
        <v>0.0212</v>
      </c>
      <c r="I3485" s="51" t="n">
        <v>0.9341</v>
      </c>
      <c r="J3485" s="51" t="n">
        <v>0.0447</v>
      </c>
      <c r="K3485" s="49"/>
      <c r="L3485" s="49"/>
      <c r="M3485" s="49"/>
      <c r="N3485" s="49"/>
      <c r="O3485" s="49"/>
      <c r="P3485" s="49"/>
      <c r="Q3485" s="49"/>
      <c r="R3485" s="49"/>
      <c r="S3485" s="49" t="n">
        <v>0</v>
      </c>
      <c r="T3485" s="49" t="n">
        <v>0</v>
      </c>
      <c r="U3485" s="49" t="s">
        <v>7210</v>
      </c>
    </row>
    <row r="3486" customFormat="false" ht="15" hidden="false" customHeight="false" outlineLevel="0" collapsed="false">
      <c r="B3486" s="48" t="n">
        <v>46141.924837963</v>
      </c>
      <c r="C3486" s="4" t="n">
        <f aca="false">YEAR(B3486)</f>
        <v>2026</v>
      </c>
      <c r="D3486" s="49" t="s">
        <v>278</v>
      </c>
      <c r="E3486" s="49" t="s">
        <v>7211</v>
      </c>
      <c r="F3486" s="50" t="n">
        <v>1</v>
      </c>
      <c r="G3486" s="49" t="s">
        <v>280</v>
      </c>
      <c r="H3486" s="51" t="n">
        <v>0.8597</v>
      </c>
      <c r="I3486" s="51" t="n">
        <v>0.1297</v>
      </c>
      <c r="J3486" s="51" t="n">
        <v>0.0106</v>
      </c>
      <c r="K3486" s="49"/>
      <c r="L3486" s="49"/>
      <c r="M3486" s="49"/>
      <c r="N3486" s="49"/>
      <c r="O3486" s="49"/>
      <c r="P3486" s="49"/>
      <c r="Q3486" s="49" t="s">
        <v>281</v>
      </c>
      <c r="R3486" s="49" t="s">
        <v>281</v>
      </c>
      <c r="S3486" s="49" t="n">
        <v>0</v>
      </c>
      <c r="T3486" s="49" t="n">
        <v>0</v>
      </c>
      <c r="U3486" s="49" t="s">
        <v>7212</v>
      </c>
    </row>
    <row r="3487" customFormat="false" ht="15" hidden="false" customHeight="false" outlineLevel="0" collapsed="false">
      <c r="B3487" s="48" t="n">
        <v>46142.5311226852</v>
      </c>
      <c r="C3487" s="4" t="n">
        <f aca="false">YEAR(B3487)</f>
        <v>2026</v>
      </c>
      <c r="D3487" s="49" t="s">
        <v>278</v>
      </c>
      <c r="E3487" s="49" t="s">
        <v>7213</v>
      </c>
      <c r="F3487" s="50" t="n">
        <v>1</v>
      </c>
      <c r="G3487" s="49" t="s">
        <v>287</v>
      </c>
      <c r="H3487" s="51" t="n">
        <v>0.0349</v>
      </c>
      <c r="I3487" s="51" t="n">
        <v>0.2843</v>
      </c>
      <c r="J3487" s="51" t="n">
        <v>0.6808</v>
      </c>
      <c r="K3487" s="49"/>
      <c r="L3487" s="49"/>
      <c r="M3487" s="49"/>
      <c r="N3487" s="49"/>
      <c r="O3487" s="49"/>
      <c r="P3487" s="49"/>
      <c r="Q3487" s="49" t="s">
        <v>281</v>
      </c>
      <c r="R3487" s="49"/>
      <c r="S3487" s="49" t="n">
        <v>0</v>
      </c>
      <c r="T3487" s="49" t="n">
        <v>0</v>
      </c>
      <c r="U3487" s="49" t="s">
        <v>7214</v>
      </c>
    </row>
    <row r="3488" customFormat="false" ht="15" hidden="false" customHeight="false" outlineLevel="0" collapsed="false">
      <c r="B3488" s="48" t="n">
        <v>46142.6919212963</v>
      </c>
      <c r="C3488" s="4" t="n">
        <f aca="false">YEAR(B3488)</f>
        <v>2026</v>
      </c>
      <c r="D3488" s="49" t="s">
        <v>278</v>
      </c>
      <c r="E3488" s="49" t="s">
        <v>7215</v>
      </c>
      <c r="F3488" s="50" t="n">
        <v>1</v>
      </c>
      <c r="G3488" s="49" t="s">
        <v>280</v>
      </c>
      <c r="H3488" s="51" t="n">
        <v>0.8269</v>
      </c>
      <c r="I3488" s="51" t="n">
        <v>0.1643</v>
      </c>
      <c r="J3488" s="51" t="n">
        <v>0.0088</v>
      </c>
      <c r="K3488" s="49"/>
      <c r="L3488" s="49"/>
      <c r="M3488" s="49"/>
      <c r="N3488" s="49"/>
      <c r="O3488" s="49"/>
      <c r="P3488" s="49"/>
      <c r="Q3488" s="49"/>
      <c r="R3488" s="49"/>
      <c r="S3488" s="49" t="n">
        <v>0</v>
      </c>
      <c r="T3488" s="49" t="n">
        <v>0</v>
      </c>
      <c r="U3488" s="49" t="s">
        <v>7216</v>
      </c>
    </row>
    <row r="3489" customFormat="false" ht="15" hidden="false" customHeight="false" outlineLevel="0" collapsed="false">
      <c r="B3489" s="48" t="n">
        <v>46143.0684490741</v>
      </c>
      <c r="C3489" s="4" t="n">
        <f aca="false">YEAR(B3489)</f>
        <v>2026</v>
      </c>
      <c r="D3489" s="49" t="s">
        <v>278</v>
      </c>
      <c r="E3489" s="49" t="s">
        <v>7217</v>
      </c>
      <c r="F3489" s="50" t="n">
        <v>1</v>
      </c>
      <c r="G3489" s="49" t="s">
        <v>280</v>
      </c>
      <c r="H3489" s="51" t="n">
        <v>0.6807</v>
      </c>
      <c r="I3489" s="51" t="n">
        <v>0.3034</v>
      </c>
      <c r="J3489" s="51" t="n">
        <v>0.0159</v>
      </c>
      <c r="K3489" s="49"/>
      <c r="L3489" s="49"/>
      <c r="M3489" s="49"/>
      <c r="N3489" s="49"/>
      <c r="O3489" s="49"/>
      <c r="P3489" s="49"/>
      <c r="Q3489" s="49"/>
      <c r="R3489" s="49"/>
      <c r="S3489" s="49" t="n">
        <v>0</v>
      </c>
      <c r="T3489" s="49" t="n">
        <v>0</v>
      </c>
      <c r="U3489" s="49" t="s">
        <v>7218</v>
      </c>
    </row>
    <row r="3490" customFormat="false" ht="15" hidden="false" customHeight="false" outlineLevel="0" collapsed="false">
      <c r="B3490" s="48" t="n">
        <v>46143.3386689815</v>
      </c>
      <c r="C3490" s="4" t="n">
        <f aca="false">YEAR(B3490)</f>
        <v>2026</v>
      </c>
      <c r="D3490" s="49" t="s">
        <v>278</v>
      </c>
      <c r="E3490" s="49" t="s">
        <v>7219</v>
      </c>
      <c r="F3490" s="50" t="n">
        <v>1</v>
      </c>
      <c r="G3490" s="49" t="s">
        <v>280</v>
      </c>
      <c r="H3490" s="51" t="n">
        <v>0.4331</v>
      </c>
      <c r="I3490" s="51" t="n">
        <v>0.3653</v>
      </c>
      <c r="J3490" s="51" t="n">
        <v>0.2016</v>
      </c>
      <c r="K3490" s="49"/>
      <c r="L3490" s="49"/>
      <c r="M3490" s="49"/>
      <c r="N3490" s="49"/>
      <c r="O3490" s="49"/>
      <c r="P3490" s="49"/>
      <c r="Q3490" s="49"/>
      <c r="R3490" s="49"/>
      <c r="S3490" s="49" t="n">
        <v>0</v>
      </c>
      <c r="T3490" s="49" t="n">
        <v>0</v>
      </c>
      <c r="U3490" s="49" t="s">
        <v>7220</v>
      </c>
    </row>
    <row r="3491" customFormat="false" ht="15" hidden="false" customHeight="false" outlineLevel="0" collapsed="false">
      <c r="B3491" s="48" t="n">
        <v>46143.6917013889</v>
      </c>
      <c r="C3491" s="4" t="n">
        <f aca="false">YEAR(B3491)</f>
        <v>2026</v>
      </c>
      <c r="D3491" s="49" t="s">
        <v>283</v>
      </c>
      <c r="E3491" s="49" t="s">
        <v>7221</v>
      </c>
      <c r="F3491" s="50" t="n">
        <v>4</v>
      </c>
      <c r="G3491" s="49" t="s">
        <v>290</v>
      </c>
      <c r="H3491" s="51" t="n">
        <v>0.0126</v>
      </c>
      <c r="I3491" s="51" t="n">
        <v>0.7971</v>
      </c>
      <c r="J3491" s="51" t="n">
        <v>0.1903</v>
      </c>
      <c r="K3491" s="49"/>
      <c r="L3491" s="49"/>
      <c r="M3491" s="49"/>
      <c r="N3491" s="49"/>
      <c r="O3491" s="49"/>
      <c r="P3491" s="49"/>
      <c r="Q3491" s="49"/>
      <c r="R3491" s="49" t="s">
        <v>281</v>
      </c>
      <c r="S3491" s="49" t="n">
        <v>0</v>
      </c>
      <c r="T3491" s="49" t="n">
        <v>0</v>
      </c>
      <c r="U3491" s="49" t="s">
        <v>7222</v>
      </c>
    </row>
    <row r="3492" customFormat="false" ht="15" hidden="false" customHeight="false" outlineLevel="0" collapsed="false">
      <c r="B3492" s="48" t="n">
        <v>46144.133125</v>
      </c>
      <c r="C3492" s="4" t="n">
        <f aca="false">YEAR(B3492)</f>
        <v>2026</v>
      </c>
      <c r="D3492" s="49" t="s">
        <v>283</v>
      </c>
      <c r="E3492" s="49" t="s">
        <v>7223</v>
      </c>
      <c r="F3492" s="50" t="n">
        <v>1</v>
      </c>
      <c r="G3492" s="49" t="s">
        <v>287</v>
      </c>
      <c r="H3492" s="51" t="n">
        <v>0.0021</v>
      </c>
      <c r="I3492" s="51" t="n">
        <v>0.0546</v>
      </c>
      <c r="J3492" s="51" t="n">
        <v>0.9433</v>
      </c>
      <c r="K3492" s="49"/>
      <c r="L3492" s="49"/>
      <c r="M3492" s="49"/>
      <c r="N3492" s="49"/>
      <c r="O3492" s="49"/>
      <c r="P3492" s="49"/>
      <c r="Q3492" s="49"/>
      <c r="R3492" s="49"/>
      <c r="S3492" s="49" t="n">
        <v>0</v>
      </c>
      <c r="T3492" s="49" t="n">
        <v>0</v>
      </c>
      <c r="U3492" s="49" t="s">
        <v>7224</v>
      </c>
    </row>
    <row r="3493" customFormat="false" ht="15" hidden="false" customHeight="false" outlineLevel="0" collapsed="false">
      <c r="B3493" s="48" t="n">
        <v>46144.6475</v>
      </c>
      <c r="C3493" s="4" t="n">
        <f aca="false">YEAR(B3493)</f>
        <v>2026</v>
      </c>
      <c r="D3493" s="49" t="s">
        <v>278</v>
      </c>
      <c r="E3493" s="49" t="s">
        <v>7225</v>
      </c>
      <c r="F3493" s="50" t="n">
        <v>2</v>
      </c>
      <c r="G3493" s="49" t="s">
        <v>290</v>
      </c>
      <c r="H3493" s="51" t="n">
        <v>0.1877</v>
      </c>
      <c r="I3493" s="51" t="n">
        <v>0.5851</v>
      </c>
      <c r="J3493" s="51" t="n">
        <v>0.2272</v>
      </c>
      <c r="K3493" s="49"/>
      <c r="L3493" s="49"/>
      <c r="M3493" s="49"/>
      <c r="N3493" s="49"/>
      <c r="O3493" s="49" t="s">
        <v>281</v>
      </c>
      <c r="P3493" s="49"/>
      <c r="Q3493" s="49"/>
      <c r="R3493" s="49" t="s">
        <v>281</v>
      </c>
      <c r="S3493" s="49" t="n">
        <v>0</v>
      </c>
      <c r="T3493" s="49" t="n">
        <v>0</v>
      </c>
      <c r="U3493" s="49" t="s">
        <v>7226</v>
      </c>
    </row>
    <row r="3494" customFormat="false" ht="15" hidden="false" customHeight="false" outlineLevel="0" collapsed="false">
      <c r="B3494" s="48" t="n">
        <v>46144.6858564815</v>
      </c>
      <c r="C3494" s="4" t="n">
        <f aca="false">YEAR(B3494)</f>
        <v>2026</v>
      </c>
      <c r="D3494" s="49" t="s">
        <v>283</v>
      </c>
      <c r="E3494" s="49" t="s">
        <v>7227</v>
      </c>
      <c r="F3494" s="50" t="n">
        <v>2</v>
      </c>
      <c r="G3494" s="49" t="s">
        <v>290</v>
      </c>
      <c r="H3494" s="51" t="n">
        <v>0.0067</v>
      </c>
      <c r="I3494" s="51" t="n">
        <v>0.8042</v>
      </c>
      <c r="J3494" s="51" t="n">
        <v>0.1891</v>
      </c>
      <c r="K3494" s="49"/>
      <c r="L3494" s="49"/>
      <c r="M3494" s="49"/>
      <c r="N3494" s="49"/>
      <c r="O3494" s="49"/>
      <c r="P3494" s="49"/>
      <c r="Q3494" s="49"/>
      <c r="R3494" s="49"/>
      <c r="S3494" s="49" t="n">
        <v>0</v>
      </c>
      <c r="T3494" s="49" t="n">
        <v>0</v>
      </c>
      <c r="U3494" s="49" t="s">
        <v>7228</v>
      </c>
    </row>
    <row r="3495" customFormat="false" ht="15" hidden="false" customHeight="false" outlineLevel="0" collapsed="false">
      <c r="B3495" s="48" t="n">
        <v>46145.5630787037</v>
      </c>
      <c r="C3495" s="4" t="n">
        <f aca="false">YEAR(B3495)</f>
        <v>2026</v>
      </c>
      <c r="D3495" s="49" t="s">
        <v>278</v>
      </c>
      <c r="E3495" s="49" t="s">
        <v>7229</v>
      </c>
      <c r="F3495" s="50" t="n">
        <v>27</v>
      </c>
      <c r="G3495" s="49" t="s">
        <v>290</v>
      </c>
      <c r="H3495" s="51" t="n">
        <v>0.2303</v>
      </c>
      <c r="I3495" s="51" t="n">
        <v>0.6408</v>
      </c>
      <c r="J3495" s="51" t="n">
        <v>0.1289</v>
      </c>
      <c r="K3495" s="49"/>
      <c r="L3495" s="49"/>
      <c r="M3495" s="49"/>
      <c r="N3495" s="49"/>
      <c r="O3495" s="49"/>
      <c r="P3495" s="49"/>
      <c r="Q3495" s="49" t="s">
        <v>281</v>
      </c>
      <c r="R3495" s="49"/>
      <c r="S3495" s="49" t="n">
        <v>0</v>
      </c>
      <c r="T3495" s="49" t="n">
        <v>0</v>
      </c>
      <c r="U3495" s="49" t="s">
        <v>7230</v>
      </c>
    </row>
    <row r="3496" customFormat="false" ht="15" hidden="false" customHeight="false" outlineLevel="0" collapsed="false">
      <c r="B3496" s="48" t="n">
        <v>46146.5445138889</v>
      </c>
      <c r="C3496" s="4" t="n">
        <f aca="false">YEAR(B3496)</f>
        <v>2026</v>
      </c>
      <c r="D3496" s="49" t="s">
        <v>278</v>
      </c>
      <c r="E3496" s="49" t="s">
        <v>7231</v>
      </c>
      <c r="F3496" s="50" t="n">
        <v>0</v>
      </c>
      <c r="G3496" s="49" t="s">
        <v>290</v>
      </c>
      <c r="H3496" s="51" t="n">
        <v>0.0359</v>
      </c>
      <c r="I3496" s="51" t="n">
        <v>0.8733</v>
      </c>
      <c r="J3496" s="51" t="n">
        <v>0.0908</v>
      </c>
      <c r="K3496" s="49"/>
      <c r="L3496" s="49"/>
      <c r="M3496" s="49"/>
      <c r="N3496" s="49"/>
      <c r="O3496" s="49"/>
      <c r="P3496" s="49"/>
      <c r="Q3496" s="49"/>
      <c r="R3496" s="49" t="s">
        <v>281</v>
      </c>
      <c r="S3496" s="49" t="n">
        <v>0</v>
      </c>
      <c r="T3496" s="49" t="n">
        <v>0</v>
      </c>
      <c r="U3496" s="49" t="s">
        <v>7232</v>
      </c>
    </row>
    <row r="3497" customFormat="false" ht="15" hidden="false" customHeight="false" outlineLevel="0" collapsed="false">
      <c r="B3497" s="48" t="n">
        <v>46146.832962963</v>
      </c>
      <c r="C3497" s="4" t="n">
        <f aca="false">YEAR(B3497)</f>
        <v>2026</v>
      </c>
      <c r="D3497" s="49" t="s">
        <v>278</v>
      </c>
      <c r="E3497" s="49" t="s">
        <v>7233</v>
      </c>
      <c r="F3497" s="50" t="n">
        <v>5</v>
      </c>
      <c r="G3497" s="49" t="s">
        <v>280</v>
      </c>
      <c r="H3497" s="51" t="n">
        <v>0.7611</v>
      </c>
      <c r="I3497" s="51" t="n">
        <v>0.1829</v>
      </c>
      <c r="J3497" s="51" t="n">
        <v>0.0561</v>
      </c>
      <c r="K3497" s="49"/>
      <c r="L3497" s="49"/>
      <c r="M3497" s="49"/>
      <c r="N3497" s="49"/>
      <c r="O3497" s="49"/>
      <c r="P3497" s="49"/>
      <c r="Q3497" s="49"/>
      <c r="R3497" s="49"/>
      <c r="S3497" s="49" t="n">
        <v>0</v>
      </c>
      <c r="T3497" s="49" t="n">
        <v>0</v>
      </c>
      <c r="U3497" s="49" t="s">
        <v>7234</v>
      </c>
    </row>
    <row r="3498" customFormat="false" ht="15" hidden="false" customHeight="false" outlineLevel="0" collapsed="false">
      <c r="B3498" s="48" t="n">
        <v>46147.2741550926</v>
      </c>
      <c r="C3498" s="4" t="n">
        <f aca="false">YEAR(B3498)</f>
        <v>2026</v>
      </c>
      <c r="D3498" s="49" t="s">
        <v>278</v>
      </c>
      <c r="E3498" s="49" t="s">
        <v>7235</v>
      </c>
      <c r="F3498" s="50" t="n">
        <v>3</v>
      </c>
      <c r="G3498" s="49" t="s">
        <v>280</v>
      </c>
      <c r="H3498" s="51" t="n">
        <v>0.72</v>
      </c>
      <c r="I3498" s="51" t="n">
        <v>0.2612</v>
      </c>
      <c r="J3498" s="51" t="n">
        <v>0.0188</v>
      </c>
      <c r="K3498" s="49" t="s">
        <v>281</v>
      </c>
      <c r="L3498" s="49"/>
      <c r="M3498" s="49"/>
      <c r="N3498" s="49"/>
      <c r="O3498" s="49"/>
      <c r="P3498" s="49"/>
      <c r="Q3498" s="49"/>
      <c r="R3498" s="49"/>
      <c r="S3498" s="49" t="n">
        <v>0</v>
      </c>
      <c r="T3498" s="49" t="n">
        <v>0</v>
      </c>
      <c r="U3498" s="49" t="s">
        <v>7236</v>
      </c>
    </row>
    <row r="3499" customFormat="false" ht="15" hidden="false" customHeight="false" outlineLevel="0" collapsed="false">
      <c r="B3499" s="48" t="n">
        <v>46147.3589467593</v>
      </c>
      <c r="C3499" s="4" t="n">
        <f aca="false">YEAR(B3499)</f>
        <v>2026</v>
      </c>
      <c r="D3499" s="49" t="s">
        <v>278</v>
      </c>
      <c r="E3499" s="49" t="s">
        <v>7237</v>
      </c>
      <c r="F3499" s="50" t="n">
        <v>3</v>
      </c>
      <c r="G3499" s="49" t="s">
        <v>280</v>
      </c>
      <c r="H3499" s="51" t="n">
        <v>0.5682</v>
      </c>
      <c r="I3499" s="51" t="n">
        <v>0.2666</v>
      </c>
      <c r="J3499" s="51" t="n">
        <v>0.1652</v>
      </c>
      <c r="K3499" s="49"/>
      <c r="L3499" s="49"/>
      <c r="M3499" s="49"/>
      <c r="N3499" s="49"/>
      <c r="O3499" s="49"/>
      <c r="P3499" s="49" t="s">
        <v>281</v>
      </c>
      <c r="Q3499" s="49" t="s">
        <v>281</v>
      </c>
      <c r="R3499" s="49"/>
      <c r="S3499" s="49" t="n">
        <v>0</v>
      </c>
      <c r="T3499" s="49" t="n">
        <v>0</v>
      </c>
      <c r="U3499" s="49" t="s">
        <v>7238</v>
      </c>
    </row>
    <row r="3500" customFormat="false" ht="15" hidden="false" customHeight="false" outlineLevel="0" collapsed="false">
      <c r="B3500" s="48" t="n">
        <v>46147.6207291667</v>
      </c>
      <c r="C3500" s="4" t="n">
        <f aca="false">YEAR(B3500)</f>
        <v>2026</v>
      </c>
      <c r="D3500" s="49" t="s">
        <v>278</v>
      </c>
      <c r="E3500" s="49" t="s">
        <v>7239</v>
      </c>
      <c r="F3500" s="50" t="n">
        <v>0</v>
      </c>
      <c r="G3500" s="49" t="s">
        <v>290</v>
      </c>
      <c r="H3500" s="51" t="n">
        <v>0.4177</v>
      </c>
      <c r="I3500" s="51" t="n">
        <v>0.4372</v>
      </c>
      <c r="J3500" s="51" t="n">
        <v>0.1451</v>
      </c>
      <c r="K3500" s="49" t="s">
        <v>281</v>
      </c>
      <c r="L3500" s="49"/>
      <c r="M3500" s="49"/>
      <c r="N3500" s="49"/>
      <c r="O3500" s="49"/>
      <c r="P3500" s="49"/>
      <c r="Q3500" s="49"/>
      <c r="R3500" s="49"/>
      <c r="S3500" s="49" t="n">
        <v>0</v>
      </c>
      <c r="T3500" s="49" t="n">
        <v>0</v>
      </c>
      <c r="U3500" s="49" t="s">
        <v>7240</v>
      </c>
    </row>
    <row r="3501" customFormat="false" ht="15" hidden="false" customHeight="false" outlineLevel="0" collapsed="false">
      <c r="B3501" s="48" t="n">
        <v>46147.919849537</v>
      </c>
      <c r="C3501" s="4" t="n">
        <f aca="false">YEAR(B3501)</f>
        <v>2026</v>
      </c>
      <c r="D3501" s="49" t="s">
        <v>278</v>
      </c>
      <c r="E3501" s="49" t="s">
        <v>7241</v>
      </c>
      <c r="F3501" s="50" t="n">
        <v>3</v>
      </c>
      <c r="G3501" s="49" t="s">
        <v>280</v>
      </c>
      <c r="H3501" s="51" t="n">
        <v>0.5166</v>
      </c>
      <c r="I3501" s="51" t="n">
        <v>0.3287</v>
      </c>
      <c r="J3501" s="51" t="n">
        <v>0.1547</v>
      </c>
      <c r="K3501" s="49" t="s">
        <v>281</v>
      </c>
      <c r="L3501" s="49"/>
      <c r="M3501" s="49"/>
      <c r="N3501" s="49"/>
      <c r="O3501" s="49"/>
      <c r="P3501" s="49"/>
      <c r="Q3501" s="49"/>
      <c r="R3501" s="49"/>
      <c r="S3501" s="49" t="n">
        <v>0</v>
      </c>
      <c r="T3501" s="49" t="n">
        <v>0</v>
      </c>
      <c r="U3501" s="49" t="s">
        <v>7242</v>
      </c>
    </row>
    <row r="3502" customFormat="false" ht="15" hidden="false" customHeight="false" outlineLevel="0" collapsed="false">
      <c r="B3502" s="48" t="n">
        <v>46147.9888425926</v>
      </c>
      <c r="C3502" s="4" t="n">
        <f aca="false">YEAR(B3502)</f>
        <v>2026</v>
      </c>
      <c r="D3502" s="49" t="s">
        <v>283</v>
      </c>
      <c r="E3502" s="49" t="s">
        <v>7243</v>
      </c>
      <c r="F3502" s="50" t="n">
        <v>1</v>
      </c>
      <c r="G3502" s="49" t="s">
        <v>287</v>
      </c>
      <c r="H3502" s="51" t="n">
        <v>0.0106</v>
      </c>
      <c r="I3502" s="51" t="n">
        <v>0.1239</v>
      </c>
      <c r="J3502" s="51" t="n">
        <v>0.8654</v>
      </c>
      <c r="K3502" s="49"/>
      <c r="L3502" s="49"/>
      <c r="M3502" s="49"/>
      <c r="N3502" s="49"/>
      <c r="O3502" s="49"/>
      <c r="P3502" s="49"/>
      <c r="Q3502" s="49"/>
      <c r="R3502" s="49"/>
      <c r="S3502" s="49" t="n">
        <v>0</v>
      </c>
      <c r="T3502" s="49" t="n">
        <v>0</v>
      </c>
      <c r="U3502" s="49" t="s">
        <v>7244</v>
      </c>
    </row>
    <row r="3503" customFormat="false" ht="15" hidden="false" customHeight="false" outlineLevel="0" collapsed="false">
      <c r="B3503" s="48" t="n">
        <v>46148.7721412037</v>
      </c>
      <c r="C3503" s="4" t="n">
        <f aca="false">YEAR(B3503)</f>
        <v>2026</v>
      </c>
      <c r="D3503" s="49" t="s">
        <v>278</v>
      </c>
      <c r="E3503" s="49" t="s">
        <v>7245</v>
      </c>
      <c r="F3503" s="50" t="n">
        <v>1</v>
      </c>
      <c r="G3503" s="49" t="s">
        <v>280</v>
      </c>
      <c r="H3503" s="51" t="n">
        <v>0.6559</v>
      </c>
      <c r="I3503" s="51" t="n">
        <v>0.3189</v>
      </c>
      <c r="J3503" s="51" t="n">
        <v>0.0252</v>
      </c>
      <c r="K3503" s="49"/>
      <c r="L3503" s="49"/>
      <c r="M3503" s="49"/>
      <c r="N3503" s="49"/>
      <c r="O3503" s="49" t="s">
        <v>281</v>
      </c>
      <c r="P3503" s="49"/>
      <c r="Q3503" s="49"/>
      <c r="R3503" s="49"/>
      <c r="S3503" s="49" t="n">
        <v>0</v>
      </c>
      <c r="T3503" s="49" t="n">
        <v>0</v>
      </c>
      <c r="U3503" s="49" t="s">
        <v>7246</v>
      </c>
    </row>
    <row r="3504" customFormat="false" ht="15" hidden="false" customHeight="false" outlineLevel="0" collapsed="false">
      <c r="B3504" s="48" t="n">
        <v>46149.0822453704</v>
      </c>
      <c r="C3504" s="4" t="n">
        <f aca="false">YEAR(B3504)</f>
        <v>2026</v>
      </c>
      <c r="D3504" s="49" t="s">
        <v>283</v>
      </c>
      <c r="E3504" s="49" t="s">
        <v>7247</v>
      </c>
      <c r="F3504" s="50" t="n">
        <v>1</v>
      </c>
      <c r="G3504" s="49" t="s">
        <v>290</v>
      </c>
      <c r="H3504" s="51" t="n">
        <v>0.0225</v>
      </c>
      <c r="I3504" s="51" t="n">
        <v>0.7637</v>
      </c>
      <c r="J3504" s="51" t="n">
        <v>0.2138</v>
      </c>
      <c r="K3504" s="49"/>
      <c r="L3504" s="49"/>
      <c r="M3504" s="49"/>
      <c r="N3504" s="49"/>
      <c r="O3504" s="49"/>
      <c r="P3504" s="49"/>
      <c r="Q3504" s="49"/>
      <c r="R3504" s="49"/>
      <c r="S3504" s="49" t="n">
        <v>1</v>
      </c>
      <c r="T3504" s="49" t="n">
        <v>0</v>
      </c>
      <c r="U3504" s="49" t="s">
        <v>7248</v>
      </c>
    </row>
    <row r="3505" customFormat="false" ht="15" hidden="false" customHeight="false" outlineLevel="0" collapsed="false">
      <c r="B3505" s="48" t="n">
        <v>46149.1592361111</v>
      </c>
      <c r="C3505" s="4" t="n">
        <f aca="false">YEAR(B3505)</f>
        <v>2026</v>
      </c>
      <c r="D3505" s="49" t="s">
        <v>283</v>
      </c>
      <c r="E3505" s="49" t="s">
        <v>7249</v>
      </c>
      <c r="F3505" s="50" t="n">
        <v>1</v>
      </c>
      <c r="G3505" s="49" t="s">
        <v>287</v>
      </c>
      <c r="H3505" s="51" t="n">
        <v>0.0033</v>
      </c>
      <c r="I3505" s="51" t="n">
        <v>0.2707</v>
      </c>
      <c r="J3505" s="51" t="n">
        <v>0.726</v>
      </c>
      <c r="K3505" s="49"/>
      <c r="L3505" s="49"/>
      <c r="M3505" s="49"/>
      <c r="N3505" s="49"/>
      <c r="O3505" s="49"/>
      <c r="P3505" s="49"/>
      <c r="Q3505" s="49"/>
      <c r="R3505" s="49"/>
      <c r="S3505" s="49" t="n">
        <v>0</v>
      </c>
      <c r="T3505" s="49" t="n">
        <v>0</v>
      </c>
      <c r="U3505" s="49" t="s">
        <v>7250</v>
      </c>
    </row>
    <row r="3506" customFormat="false" ht="15" hidden="false" customHeight="false" outlineLevel="0" collapsed="false">
      <c r="B3506" s="48" t="n">
        <v>46149.613599537</v>
      </c>
      <c r="C3506" s="4" t="n">
        <f aca="false">YEAR(B3506)</f>
        <v>2026</v>
      </c>
      <c r="D3506" s="49" t="s">
        <v>278</v>
      </c>
      <c r="E3506" s="49" t="s">
        <v>7251</v>
      </c>
      <c r="F3506" s="50" t="n">
        <v>2</v>
      </c>
      <c r="G3506" s="49" t="s">
        <v>280</v>
      </c>
      <c r="H3506" s="51" t="n">
        <v>0.8307</v>
      </c>
      <c r="I3506" s="51" t="n">
        <v>0.153</v>
      </c>
      <c r="J3506" s="51" t="n">
        <v>0.0163</v>
      </c>
      <c r="K3506" s="49"/>
      <c r="L3506" s="49"/>
      <c r="M3506" s="49"/>
      <c r="N3506" s="49"/>
      <c r="O3506" s="49"/>
      <c r="P3506" s="49"/>
      <c r="Q3506" s="49"/>
      <c r="R3506" s="49" t="s">
        <v>281</v>
      </c>
      <c r="S3506" s="49" t="n">
        <v>0</v>
      </c>
      <c r="T3506" s="49" t="n">
        <v>0</v>
      </c>
      <c r="U3506" s="49" t="s">
        <v>7252</v>
      </c>
    </row>
    <row r="3507" customFormat="false" ht="15" hidden="false" customHeight="false" outlineLevel="0" collapsed="false">
      <c r="B3507" s="48" t="n">
        <v>46149.6441087963</v>
      </c>
      <c r="C3507" s="4" t="n">
        <f aca="false">YEAR(B3507)</f>
        <v>2026</v>
      </c>
      <c r="D3507" s="49" t="s">
        <v>278</v>
      </c>
      <c r="E3507" s="49" t="s">
        <v>7253</v>
      </c>
      <c r="F3507" s="50" t="n">
        <v>3</v>
      </c>
      <c r="G3507" s="49" t="s">
        <v>287</v>
      </c>
      <c r="H3507" s="51" t="n">
        <v>0.1487</v>
      </c>
      <c r="I3507" s="51" t="n">
        <v>0.1962</v>
      </c>
      <c r="J3507" s="51" t="n">
        <v>0.6551</v>
      </c>
      <c r="K3507" s="49"/>
      <c r="L3507" s="49"/>
      <c r="M3507" s="49"/>
      <c r="N3507" s="49"/>
      <c r="O3507" s="49"/>
      <c r="P3507" s="49" t="s">
        <v>281</v>
      </c>
      <c r="Q3507" s="49"/>
      <c r="R3507" s="49" t="s">
        <v>281</v>
      </c>
      <c r="S3507" s="49" t="n">
        <v>0</v>
      </c>
      <c r="T3507" s="49" t="n">
        <v>0</v>
      </c>
      <c r="U3507" s="49" t="s">
        <v>7254</v>
      </c>
    </row>
    <row r="3508" customFormat="false" ht="15" hidden="false" customHeight="false" outlineLevel="0" collapsed="false">
      <c r="B3508" s="48" t="n">
        <v>46149.7678009259</v>
      </c>
      <c r="C3508" s="4" t="n">
        <f aca="false">YEAR(B3508)</f>
        <v>2026</v>
      </c>
      <c r="D3508" s="49" t="s">
        <v>278</v>
      </c>
      <c r="E3508" s="49" t="s">
        <v>7255</v>
      </c>
      <c r="F3508" s="50" t="n">
        <v>0</v>
      </c>
      <c r="G3508" s="49" t="s">
        <v>287</v>
      </c>
      <c r="H3508" s="51" t="n">
        <v>0.0105</v>
      </c>
      <c r="I3508" s="51" t="n">
        <v>0.065</v>
      </c>
      <c r="J3508" s="51" t="n">
        <v>0.9246</v>
      </c>
      <c r="K3508" s="49"/>
      <c r="L3508" s="49"/>
      <c r="M3508" s="49"/>
      <c r="N3508" s="49"/>
      <c r="O3508" s="49"/>
      <c r="P3508" s="49" t="s">
        <v>281</v>
      </c>
      <c r="Q3508" s="49"/>
      <c r="R3508" s="49" t="s">
        <v>281</v>
      </c>
      <c r="S3508" s="49" t="n">
        <v>0</v>
      </c>
      <c r="T3508" s="49" t="n">
        <v>0</v>
      </c>
      <c r="U3508" s="49" t="s">
        <v>7256</v>
      </c>
    </row>
    <row r="3509" customFormat="false" ht="15" hidden="false" customHeight="false" outlineLevel="0" collapsed="false">
      <c r="B3509" s="48" t="n">
        <v>46149.8906481482</v>
      </c>
      <c r="C3509" s="4" t="n">
        <f aca="false">YEAR(B3509)</f>
        <v>2026</v>
      </c>
      <c r="D3509" s="49" t="s">
        <v>278</v>
      </c>
      <c r="E3509" s="49" t="s">
        <v>7257</v>
      </c>
      <c r="F3509" s="50" t="n">
        <v>13</v>
      </c>
      <c r="G3509" s="49" t="s">
        <v>290</v>
      </c>
      <c r="H3509" s="51" t="n">
        <v>0.0052</v>
      </c>
      <c r="I3509" s="51" t="n">
        <v>0.5284</v>
      </c>
      <c r="J3509" s="51" t="n">
        <v>0.4664</v>
      </c>
      <c r="K3509" s="49"/>
      <c r="L3509" s="49"/>
      <c r="M3509" s="49"/>
      <c r="N3509" s="49"/>
      <c r="O3509" s="49"/>
      <c r="P3509" s="49"/>
      <c r="Q3509" s="49"/>
      <c r="R3509" s="49" t="s">
        <v>281</v>
      </c>
      <c r="S3509" s="49" t="n">
        <v>0</v>
      </c>
      <c r="T3509" s="49" t="n">
        <v>0</v>
      </c>
      <c r="U3509" s="49" t="s">
        <v>7258</v>
      </c>
    </row>
    <row r="3510" customFormat="false" ht="15" hidden="false" customHeight="false" outlineLevel="0" collapsed="false">
      <c r="B3510" s="48" t="n">
        <v>46150.4809259259</v>
      </c>
      <c r="C3510" s="4" t="n">
        <f aca="false">YEAR(B3510)</f>
        <v>2026</v>
      </c>
      <c r="D3510" s="49" t="s">
        <v>278</v>
      </c>
      <c r="E3510" s="49" t="s">
        <v>7259</v>
      </c>
      <c r="F3510" s="50" t="n">
        <v>0</v>
      </c>
      <c r="G3510" s="49" t="s">
        <v>287</v>
      </c>
      <c r="H3510" s="51" t="n">
        <v>0.0032</v>
      </c>
      <c r="I3510" s="51" t="n">
        <v>0.0336</v>
      </c>
      <c r="J3510" s="51" t="n">
        <v>0.9632</v>
      </c>
      <c r="K3510" s="49"/>
      <c r="L3510" s="49"/>
      <c r="M3510" s="49"/>
      <c r="N3510" s="49"/>
      <c r="O3510" s="49"/>
      <c r="P3510" s="49"/>
      <c r="Q3510" s="49"/>
      <c r="R3510" s="49"/>
      <c r="S3510" s="49" t="n">
        <v>0</v>
      </c>
      <c r="T3510" s="49" t="n">
        <v>0</v>
      </c>
      <c r="U3510" s="49" t="s">
        <v>7260</v>
      </c>
    </row>
    <row r="3511" customFormat="false" ht="15" hidden="false" customHeight="false" outlineLevel="0" collapsed="false">
      <c r="B3511" s="48" t="n">
        <v>46150.5374537037</v>
      </c>
      <c r="C3511" s="4" t="n">
        <f aca="false">YEAR(B3511)</f>
        <v>2026</v>
      </c>
      <c r="D3511" s="49" t="s">
        <v>278</v>
      </c>
      <c r="E3511" s="49" t="s">
        <v>7261</v>
      </c>
      <c r="F3511" s="50" t="n">
        <v>1</v>
      </c>
      <c r="G3511" s="49" t="s">
        <v>280</v>
      </c>
      <c r="H3511" s="51" t="n">
        <v>0.5951</v>
      </c>
      <c r="I3511" s="51" t="n">
        <v>0.3811</v>
      </c>
      <c r="J3511" s="51" t="n">
        <v>0.0239</v>
      </c>
      <c r="K3511" s="49"/>
      <c r="L3511" s="49"/>
      <c r="M3511" s="49"/>
      <c r="N3511" s="49"/>
      <c r="O3511" s="49"/>
      <c r="P3511" s="49"/>
      <c r="Q3511" s="49"/>
      <c r="R3511" s="49"/>
      <c r="S3511" s="49" t="n">
        <v>0</v>
      </c>
      <c r="T3511" s="49" t="n">
        <v>0</v>
      </c>
      <c r="U3511" s="49" t="s">
        <v>7262</v>
      </c>
    </row>
    <row r="3512" customFormat="false" ht="15" hidden="false" customHeight="false" outlineLevel="0" collapsed="false">
      <c r="B3512" s="48" t="n">
        <v>46150.747962963</v>
      </c>
      <c r="C3512" s="4" t="n">
        <f aca="false">YEAR(B3512)</f>
        <v>2026</v>
      </c>
      <c r="D3512" s="49" t="s">
        <v>283</v>
      </c>
      <c r="E3512" s="49" t="s">
        <v>7263</v>
      </c>
      <c r="F3512" s="50" t="n">
        <v>5</v>
      </c>
      <c r="G3512" s="49" t="s">
        <v>290</v>
      </c>
      <c r="H3512" s="51" t="n">
        <v>0.095</v>
      </c>
      <c r="I3512" s="51" t="n">
        <v>0.6028</v>
      </c>
      <c r="J3512" s="51" t="n">
        <v>0.3022</v>
      </c>
      <c r="K3512" s="49"/>
      <c r="L3512" s="49"/>
      <c r="M3512" s="49"/>
      <c r="N3512" s="49"/>
      <c r="O3512" s="49"/>
      <c r="P3512" s="49"/>
      <c r="Q3512" s="49"/>
      <c r="R3512" s="49"/>
      <c r="S3512" s="49" t="n">
        <v>0</v>
      </c>
      <c r="T3512" s="49" t="n">
        <v>0</v>
      </c>
      <c r="U3512" s="49" t="s">
        <v>7264</v>
      </c>
    </row>
    <row r="3513" customFormat="false" ht="15" hidden="false" customHeight="false" outlineLevel="0" collapsed="false">
      <c r="B3513" s="48" t="n">
        <v>46150.7600462963</v>
      </c>
      <c r="C3513" s="4" t="n">
        <f aca="false">YEAR(B3513)</f>
        <v>2026</v>
      </c>
      <c r="D3513" s="49" t="s">
        <v>278</v>
      </c>
      <c r="E3513" s="49" t="s">
        <v>7265</v>
      </c>
      <c r="F3513" s="50" t="n">
        <v>70</v>
      </c>
      <c r="G3513" s="49" t="s">
        <v>287</v>
      </c>
      <c r="H3513" s="51" t="n">
        <v>0.0035</v>
      </c>
      <c r="I3513" s="51" t="n">
        <v>0.4756</v>
      </c>
      <c r="J3513" s="51" t="n">
        <v>0.5209</v>
      </c>
      <c r="K3513" s="49"/>
      <c r="L3513" s="49"/>
      <c r="M3513" s="49"/>
      <c r="N3513" s="49"/>
      <c r="O3513" s="49"/>
      <c r="P3513" s="49"/>
      <c r="Q3513" s="49"/>
      <c r="R3513" s="49" t="s">
        <v>281</v>
      </c>
      <c r="S3513" s="49" t="n">
        <v>0</v>
      </c>
      <c r="T3513" s="49" t="n">
        <v>0</v>
      </c>
      <c r="U3513" s="49" t="s">
        <v>7266</v>
      </c>
    </row>
    <row r="3514" customFormat="false" ht="15" hidden="false" customHeight="false" outlineLevel="0" collapsed="false">
      <c r="B3514" s="48" t="n">
        <v>46150.861400463</v>
      </c>
      <c r="C3514" s="4" t="n">
        <f aca="false">YEAR(B3514)</f>
        <v>2026</v>
      </c>
      <c r="D3514" s="49" t="s">
        <v>283</v>
      </c>
      <c r="E3514" s="49" t="s">
        <v>7267</v>
      </c>
      <c r="F3514" s="50" t="n">
        <v>1</v>
      </c>
      <c r="G3514" s="49" t="s">
        <v>290</v>
      </c>
      <c r="H3514" s="51" t="n">
        <v>0.011</v>
      </c>
      <c r="I3514" s="51" t="n">
        <v>0.8998</v>
      </c>
      <c r="J3514" s="51" t="n">
        <v>0.0892</v>
      </c>
      <c r="K3514" s="49"/>
      <c r="L3514" s="49"/>
      <c r="M3514" s="49"/>
      <c r="N3514" s="49"/>
      <c r="O3514" s="49"/>
      <c r="P3514" s="49"/>
      <c r="Q3514" s="49"/>
      <c r="R3514" s="49"/>
      <c r="S3514" s="49" t="n">
        <v>1</v>
      </c>
      <c r="T3514" s="49" t="n">
        <v>0</v>
      </c>
      <c r="U3514" s="49" t="s">
        <v>7268</v>
      </c>
    </row>
    <row r="3515" customFormat="false" ht="15" hidden="false" customHeight="false" outlineLevel="0" collapsed="false">
      <c r="B3515" s="48" t="n">
        <v>46150.9213078704</v>
      </c>
      <c r="C3515" s="4" t="n">
        <f aca="false">YEAR(B3515)</f>
        <v>2026</v>
      </c>
      <c r="D3515" s="49" t="s">
        <v>278</v>
      </c>
      <c r="E3515" s="49" t="s">
        <v>7269</v>
      </c>
      <c r="F3515" s="50" t="n">
        <v>34</v>
      </c>
      <c r="G3515" s="49" t="s">
        <v>280</v>
      </c>
      <c r="H3515" s="51" t="n">
        <v>0.7245</v>
      </c>
      <c r="I3515" s="51" t="n">
        <v>0.2534</v>
      </c>
      <c r="J3515" s="51" t="n">
        <v>0.0222</v>
      </c>
      <c r="K3515" s="49" t="s">
        <v>281</v>
      </c>
      <c r="L3515" s="49"/>
      <c r="M3515" s="49"/>
      <c r="N3515" s="49"/>
      <c r="O3515" s="49"/>
      <c r="P3515" s="49"/>
      <c r="Q3515" s="49"/>
      <c r="R3515" s="49"/>
      <c r="S3515" s="49" t="n">
        <v>0</v>
      </c>
      <c r="T3515" s="49" t="n">
        <v>0</v>
      </c>
      <c r="U3515" s="49" t="s">
        <v>7270</v>
      </c>
    </row>
    <row r="3516" customFormat="false" ht="15" hidden="false" customHeight="false" outlineLevel="0" collapsed="false">
      <c r="B3516" s="48" t="n">
        <v>46151.1649884259</v>
      </c>
      <c r="C3516" s="4" t="n">
        <f aca="false">YEAR(B3516)</f>
        <v>2026</v>
      </c>
      <c r="D3516" s="49" t="s">
        <v>283</v>
      </c>
      <c r="E3516" s="49" t="s">
        <v>7271</v>
      </c>
      <c r="F3516" s="50" t="n">
        <v>4</v>
      </c>
      <c r="G3516" s="49" t="s">
        <v>287</v>
      </c>
      <c r="H3516" s="51" t="n">
        <v>0.0163</v>
      </c>
      <c r="I3516" s="51" t="n">
        <v>0.3197</v>
      </c>
      <c r="J3516" s="51" t="n">
        <v>0.664</v>
      </c>
      <c r="K3516" s="49"/>
      <c r="L3516" s="49"/>
      <c r="M3516" s="49"/>
      <c r="N3516" s="49"/>
      <c r="O3516" s="49"/>
      <c r="P3516" s="49"/>
      <c r="Q3516" s="49"/>
      <c r="R3516" s="49"/>
      <c r="S3516" s="49" t="n">
        <v>0</v>
      </c>
      <c r="T3516" s="49" t="n">
        <v>0</v>
      </c>
      <c r="U3516" s="49" t="s">
        <v>7272</v>
      </c>
    </row>
    <row r="3517" customFormat="false" ht="15" hidden="false" customHeight="false" outlineLevel="0" collapsed="false">
      <c r="B3517" s="48" t="n">
        <v>46151.2763773148</v>
      </c>
      <c r="C3517" s="4" t="n">
        <f aca="false">YEAR(B3517)</f>
        <v>2026</v>
      </c>
      <c r="D3517" s="49" t="s">
        <v>278</v>
      </c>
      <c r="E3517" s="49" t="s">
        <v>7273</v>
      </c>
      <c r="F3517" s="50" t="n">
        <v>3</v>
      </c>
      <c r="G3517" s="49" t="s">
        <v>287</v>
      </c>
      <c r="H3517" s="51" t="n">
        <v>0.0564</v>
      </c>
      <c r="I3517" s="51" t="n">
        <v>0.377</v>
      </c>
      <c r="J3517" s="51" t="n">
        <v>0.5666</v>
      </c>
      <c r="K3517" s="49"/>
      <c r="L3517" s="49"/>
      <c r="M3517" s="49"/>
      <c r="N3517" s="49"/>
      <c r="O3517" s="49"/>
      <c r="P3517" s="49"/>
      <c r="Q3517" s="49"/>
      <c r="R3517" s="49"/>
      <c r="S3517" s="49" t="n">
        <v>0</v>
      </c>
      <c r="T3517" s="49" t="n">
        <v>0</v>
      </c>
      <c r="U3517" s="49" t="s">
        <v>7274</v>
      </c>
    </row>
    <row r="3518" customFormat="false" ht="15" hidden="false" customHeight="false" outlineLevel="0" collapsed="false">
      <c r="B3518" s="48" t="n">
        <v>46151.8244097222</v>
      </c>
      <c r="C3518" s="4" t="n">
        <f aca="false">YEAR(B3518)</f>
        <v>2026</v>
      </c>
      <c r="D3518" s="49" t="s">
        <v>278</v>
      </c>
      <c r="E3518" s="49" t="s">
        <v>7275</v>
      </c>
      <c r="F3518" s="50" t="n">
        <v>0</v>
      </c>
      <c r="G3518" s="49" t="s">
        <v>287</v>
      </c>
      <c r="H3518" s="51" t="n">
        <v>0.0054</v>
      </c>
      <c r="I3518" s="51" t="n">
        <v>0.2061</v>
      </c>
      <c r="J3518" s="51" t="n">
        <v>0.7885</v>
      </c>
      <c r="K3518" s="49"/>
      <c r="L3518" s="49"/>
      <c r="M3518" s="49"/>
      <c r="N3518" s="49"/>
      <c r="O3518" s="49"/>
      <c r="P3518" s="49"/>
      <c r="Q3518" s="49"/>
      <c r="R3518" s="49"/>
      <c r="S3518" s="49" t="n">
        <v>0</v>
      </c>
      <c r="T3518" s="49" t="n">
        <v>0</v>
      </c>
      <c r="U3518" s="49" t="s">
        <v>7276</v>
      </c>
    </row>
    <row r="3519" customFormat="false" ht="15" hidden="false" customHeight="false" outlineLevel="0" collapsed="false">
      <c r="B3519" s="48" t="n">
        <v>46151.8460300926</v>
      </c>
      <c r="C3519" s="4" t="n">
        <f aca="false">YEAR(B3519)</f>
        <v>2026</v>
      </c>
      <c r="D3519" s="49" t="s">
        <v>278</v>
      </c>
      <c r="E3519" s="49" t="s">
        <v>7277</v>
      </c>
      <c r="F3519" s="50" t="n">
        <v>5</v>
      </c>
      <c r="G3519" s="49" t="s">
        <v>280</v>
      </c>
      <c r="H3519" s="51" t="n">
        <v>0.8218</v>
      </c>
      <c r="I3519" s="51" t="n">
        <v>0.1705</v>
      </c>
      <c r="J3519" s="51" t="n">
        <v>0.0078</v>
      </c>
      <c r="K3519" s="49"/>
      <c r="L3519" s="49"/>
      <c r="M3519" s="49"/>
      <c r="N3519" s="49"/>
      <c r="O3519" s="49"/>
      <c r="P3519" s="49"/>
      <c r="Q3519" s="49"/>
      <c r="R3519" s="49"/>
      <c r="S3519" s="49" t="n">
        <v>0</v>
      </c>
      <c r="T3519" s="49" t="n">
        <v>0</v>
      </c>
      <c r="U3519" s="49" t="s">
        <v>7278</v>
      </c>
    </row>
    <row r="3520" customFormat="false" ht="15" hidden="false" customHeight="false" outlineLevel="0" collapsed="false">
      <c r="B3520" s="48" t="n">
        <v>46152.0989467593</v>
      </c>
      <c r="C3520" s="4" t="n">
        <f aca="false">YEAR(B3520)</f>
        <v>2026</v>
      </c>
      <c r="D3520" s="49" t="s">
        <v>283</v>
      </c>
      <c r="E3520" s="49" t="s">
        <v>7279</v>
      </c>
      <c r="F3520" s="50" t="n">
        <v>4</v>
      </c>
      <c r="G3520" s="49" t="s">
        <v>287</v>
      </c>
      <c r="H3520" s="51" t="n">
        <v>0.0033</v>
      </c>
      <c r="I3520" s="51" t="n">
        <v>0.1427</v>
      </c>
      <c r="J3520" s="51" t="n">
        <v>0.854</v>
      </c>
      <c r="K3520" s="49"/>
      <c r="L3520" s="49"/>
      <c r="M3520" s="49"/>
      <c r="N3520" s="49"/>
      <c r="O3520" s="49"/>
      <c r="P3520" s="49"/>
      <c r="Q3520" s="49"/>
      <c r="R3520" s="49"/>
      <c r="S3520" s="49" t="n">
        <v>0</v>
      </c>
      <c r="T3520" s="49" t="n">
        <v>0</v>
      </c>
      <c r="U3520" s="49" t="s">
        <v>7280</v>
      </c>
    </row>
    <row r="3521" customFormat="false" ht="15" hidden="false" customHeight="false" outlineLevel="0" collapsed="false">
      <c r="B3521" s="48" t="n">
        <v>46152.1978125</v>
      </c>
      <c r="C3521" s="4" t="n">
        <f aca="false">YEAR(B3521)</f>
        <v>2026</v>
      </c>
      <c r="D3521" s="49" t="s">
        <v>283</v>
      </c>
      <c r="E3521" s="49" t="s">
        <v>7281</v>
      </c>
      <c r="F3521" s="50" t="n">
        <v>1</v>
      </c>
      <c r="G3521" s="49" t="s">
        <v>280</v>
      </c>
      <c r="H3521" s="51" t="n">
        <v>0.4474</v>
      </c>
      <c r="I3521" s="51" t="n">
        <v>0.438</v>
      </c>
      <c r="J3521" s="51" t="n">
        <v>0.1145</v>
      </c>
      <c r="K3521" s="49"/>
      <c r="L3521" s="49"/>
      <c r="M3521" s="49"/>
      <c r="N3521" s="49"/>
      <c r="O3521" s="49"/>
      <c r="P3521" s="49"/>
      <c r="Q3521" s="49" t="s">
        <v>281</v>
      </c>
      <c r="R3521" s="49"/>
      <c r="S3521" s="49" t="n">
        <v>1</v>
      </c>
      <c r="T3521" s="49" t="n">
        <v>0</v>
      </c>
      <c r="U3521" s="49" t="s">
        <v>7282</v>
      </c>
    </row>
    <row r="3522" customFormat="false" ht="15" hidden="false" customHeight="false" outlineLevel="0" collapsed="false">
      <c r="B3522" s="48" t="n">
        <v>46152.5415625</v>
      </c>
      <c r="C3522" s="4" t="n">
        <f aca="false">YEAR(B3522)</f>
        <v>2026</v>
      </c>
      <c r="D3522" s="49" t="s">
        <v>283</v>
      </c>
      <c r="E3522" s="49" t="s">
        <v>7283</v>
      </c>
      <c r="F3522" s="50" t="n">
        <v>1</v>
      </c>
      <c r="G3522" s="49" t="s">
        <v>287</v>
      </c>
      <c r="H3522" s="51" t="n">
        <v>0.1275</v>
      </c>
      <c r="I3522" s="51" t="n">
        <v>0.3507</v>
      </c>
      <c r="J3522" s="51" t="n">
        <v>0.5218</v>
      </c>
      <c r="K3522" s="49"/>
      <c r="L3522" s="49"/>
      <c r="M3522" s="49"/>
      <c r="N3522" s="49"/>
      <c r="O3522" s="49"/>
      <c r="P3522" s="49"/>
      <c r="Q3522" s="49"/>
      <c r="R3522" s="49"/>
      <c r="S3522" s="49" t="n">
        <v>0</v>
      </c>
      <c r="T3522" s="49" t="n">
        <v>0</v>
      </c>
      <c r="U3522" s="49" t="s">
        <v>7284</v>
      </c>
    </row>
    <row r="3523" customFormat="false" ht="15" hidden="false" customHeight="false" outlineLevel="0" collapsed="false">
      <c r="B3523" s="48" t="n">
        <v>46152.5441666667</v>
      </c>
      <c r="C3523" s="4" t="n">
        <f aca="false">YEAR(B3523)</f>
        <v>2026</v>
      </c>
      <c r="D3523" s="49" t="s">
        <v>278</v>
      </c>
      <c r="E3523" s="49" t="s">
        <v>7285</v>
      </c>
      <c r="F3523" s="50" t="n">
        <v>1</v>
      </c>
      <c r="G3523" s="49" t="s">
        <v>287</v>
      </c>
      <c r="H3523" s="51" t="n">
        <v>0.1054</v>
      </c>
      <c r="I3523" s="51" t="n">
        <v>0.3425</v>
      </c>
      <c r="J3523" s="51" t="n">
        <v>0.5521</v>
      </c>
      <c r="K3523" s="49"/>
      <c r="L3523" s="49"/>
      <c r="M3523" s="49"/>
      <c r="N3523" s="49"/>
      <c r="O3523" s="49"/>
      <c r="P3523" s="49"/>
      <c r="Q3523" s="49"/>
      <c r="R3523" s="49"/>
      <c r="S3523" s="49" t="n">
        <v>0</v>
      </c>
      <c r="T3523" s="49" t="n">
        <v>0</v>
      </c>
      <c r="U3523" s="49" t="s">
        <v>7286</v>
      </c>
    </row>
    <row r="3524" customFormat="false" ht="15" hidden="false" customHeight="false" outlineLevel="0" collapsed="false">
      <c r="B3524" s="48" t="n">
        <v>46152.8699074074</v>
      </c>
      <c r="C3524" s="4" t="n">
        <f aca="false">YEAR(B3524)</f>
        <v>2026</v>
      </c>
      <c r="D3524" s="49" t="s">
        <v>283</v>
      </c>
      <c r="E3524" s="49" t="s">
        <v>7287</v>
      </c>
      <c r="F3524" s="50" t="n">
        <v>1</v>
      </c>
      <c r="G3524" s="49" t="s">
        <v>290</v>
      </c>
      <c r="H3524" s="51" t="n">
        <v>0.4198</v>
      </c>
      <c r="I3524" s="51" t="n">
        <v>0.5021</v>
      </c>
      <c r="J3524" s="51" t="n">
        <v>0.0781</v>
      </c>
      <c r="K3524" s="49"/>
      <c r="L3524" s="49"/>
      <c r="M3524" s="49"/>
      <c r="N3524" s="49"/>
      <c r="O3524" s="49"/>
      <c r="P3524" s="49"/>
      <c r="Q3524" s="49"/>
      <c r="R3524" s="49"/>
      <c r="S3524" s="49" t="n">
        <v>1</v>
      </c>
      <c r="T3524" s="49" t="n">
        <v>0</v>
      </c>
      <c r="U3524" s="49" t="s">
        <v>7288</v>
      </c>
    </row>
    <row r="3525" customFormat="false" ht="15" hidden="false" customHeight="false" outlineLevel="0" collapsed="false">
      <c r="B3525" s="48" t="n">
        <v>46153.1742592593</v>
      </c>
      <c r="C3525" s="4" t="n">
        <f aca="false">YEAR(B3525)</f>
        <v>2026</v>
      </c>
      <c r="D3525" s="49" t="s">
        <v>278</v>
      </c>
      <c r="E3525" s="49" t="s">
        <v>7289</v>
      </c>
      <c r="F3525" s="50" t="n">
        <v>1</v>
      </c>
      <c r="G3525" s="49" t="s">
        <v>280</v>
      </c>
      <c r="H3525" s="51" t="n">
        <v>0.7181</v>
      </c>
      <c r="I3525" s="51" t="n">
        <v>0.2711</v>
      </c>
      <c r="J3525" s="51" t="n">
        <v>0.0108</v>
      </c>
      <c r="K3525" s="49"/>
      <c r="L3525" s="49"/>
      <c r="M3525" s="49"/>
      <c r="N3525" s="49"/>
      <c r="O3525" s="49"/>
      <c r="P3525" s="49"/>
      <c r="Q3525" s="49"/>
      <c r="R3525" s="49"/>
      <c r="S3525" s="49" t="n">
        <v>0</v>
      </c>
      <c r="T3525" s="49" t="n">
        <v>0</v>
      </c>
      <c r="U3525" s="49" t="s">
        <v>7290</v>
      </c>
    </row>
    <row r="3526" customFormat="false" ht="15" hidden="false" customHeight="false" outlineLevel="0" collapsed="false">
      <c r="B3526" s="48" t="n">
        <v>46153.3974189815</v>
      </c>
      <c r="C3526" s="4" t="n">
        <f aca="false">YEAR(B3526)</f>
        <v>2026</v>
      </c>
      <c r="D3526" s="49" t="s">
        <v>278</v>
      </c>
      <c r="E3526" s="49" t="s">
        <v>7291</v>
      </c>
      <c r="F3526" s="50" t="n">
        <v>52</v>
      </c>
      <c r="G3526" s="49" t="s">
        <v>287</v>
      </c>
      <c r="H3526" s="51" t="n">
        <v>0.039</v>
      </c>
      <c r="I3526" s="51" t="n">
        <v>0.0867</v>
      </c>
      <c r="J3526" s="51" t="n">
        <v>0.8744</v>
      </c>
      <c r="K3526" s="49"/>
      <c r="L3526" s="49"/>
      <c r="M3526" s="49"/>
      <c r="N3526" s="49"/>
      <c r="O3526" s="49"/>
      <c r="P3526" s="49"/>
      <c r="Q3526" s="49"/>
      <c r="R3526" s="49" t="s">
        <v>281</v>
      </c>
      <c r="S3526" s="49" t="n">
        <v>0</v>
      </c>
      <c r="T3526" s="49" t="n">
        <v>0</v>
      </c>
      <c r="U3526" s="49" t="s">
        <v>7292</v>
      </c>
    </row>
    <row r="3527" customFormat="false" ht="15" hidden="false" customHeight="false" outlineLevel="0" collapsed="false">
      <c r="B3527" s="48" t="n">
        <v>46153.4628356482</v>
      </c>
      <c r="C3527" s="4" t="n">
        <f aca="false">YEAR(B3527)</f>
        <v>2026</v>
      </c>
      <c r="D3527" s="49" t="s">
        <v>278</v>
      </c>
      <c r="E3527" s="49" t="s">
        <v>7293</v>
      </c>
      <c r="F3527" s="50" t="n">
        <v>1</v>
      </c>
      <c r="G3527" s="49" t="s">
        <v>280</v>
      </c>
      <c r="H3527" s="51" t="n">
        <v>0.873</v>
      </c>
      <c r="I3527" s="51" t="n">
        <v>0.1181</v>
      </c>
      <c r="J3527" s="51" t="n">
        <v>0.0089</v>
      </c>
      <c r="K3527" s="49" t="s">
        <v>281</v>
      </c>
      <c r="L3527" s="49"/>
      <c r="M3527" s="49"/>
      <c r="N3527" s="49"/>
      <c r="O3527" s="49"/>
      <c r="P3527" s="49"/>
      <c r="Q3527" s="49" t="s">
        <v>281</v>
      </c>
      <c r="R3527" s="49"/>
      <c r="S3527" s="49" t="n">
        <v>0</v>
      </c>
      <c r="T3527" s="49" t="n">
        <v>0</v>
      </c>
      <c r="U3527" s="49" t="s">
        <v>7294</v>
      </c>
    </row>
    <row r="3528" customFormat="false" ht="15" hidden="false" customHeight="false" outlineLevel="0" collapsed="false">
      <c r="B3528" s="48" t="n">
        <v>46153.5291782407</v>
      </c>
      <c r="C3528" s="4" t="n">
        <f aca="false">YEAR(B3528)</f>
        <v>2026</v>
      </c>
      <c r="D3528" s="49" t="s">
        <v>278</v>
      </c>
      <c r="E3528" s="49" t="s">
        <v>7295</v>
      </c>
      <c r="F3528" s="50" t="n">
        <v>1</v>
      </c>
      <c r="G3528" s="49" t="s">
        <v>290</v>
      </c>
      <c r="H3528" s="51" t="n">
        <v>0.3959</v>
      </c>
      <c r="I3528" s="51" t="n">
        <v>0.5752</v>
      </c>
      <c r="J3528" s="51" t="n">
        <v>0.0288</v>
      </c>
      <c r="K3528" s="49" t="s">
        <v>281</v>
      </c>
      <c r="L3528" s="49"/>
      <c r="M3528" s="49"/>
      <c r="N3528" s="49"/>
      <c r="O3528" s="49"/>
      <c r="P3528" s="49"/>
      <c r="Q3528" s="49"/>
      <c r="R3528" s="49"/>
      <c r="S3528" s="49" t="n">
        <v>0</v>
      </c>
      <c r="T3528" s="49" t="n">
        <v>0</v>
      </c>
      <c r="U3528" s="49" t="s">
        <v>7296</v>
      </c>
    </row>
    <row r="3529" customFormat="false" ht="15" hidden="false" customHeight="false" outlineLevel="0" collapsed="false">
      <c r="B3529" s="48" t="n">
        <v>46153.5598842593</v>
      </c>
      <c r="C3529" s="4" t="n">
        <f aca="false">YEAR(B3529)</f>
        <v>2026</v>
      </c>
      <c r="D3529" s="49" t="s">
        <v>278</v>
      </c>
      <c r="E3529" s="49" t="s">
        <v>7297</v>
      </c>
      <c r="F3529" s="50" t="n">
        <v>933</v>
      </c>
      <c r="G3529" s="49" t="s">
        <v>280</v>
      </c>
      <c r="H3529" s="51" t="n">
        <v>0.9284</v>
      </c>
      <c r="I3529" s="51" t="n">
        <v>0.0655</v>
      </c>
      <c r="J3529" s="51" t="n">
        <v>0.0061</v>
      </c>
      <c r="K3529" s="49"/>
      <c r="L3529" s="49"/>
      <c r="M3529" s="49"/>
      <c r="N3529" s="49"/>
      <c r="O3529" s="49"/>
      <c r="P3529" s="49"/>
      <c r="Q3529" s="49"/>
      <c r="R3529" s="49"/>
      <c r="S3529" s="49" t="n">
        <v>0</v>
      </c>
      <c r="T3529" s="49" t="n">
        <v>0</v>
      </c>
      <c r="U3529" s="49" t="s">
        <v>7298</v>
      </c>
    </row>
    <row r="3530" customFormat="false" ht="15" hidden="false" customHeight="false" outlineLevel="0" collapsed="false">
      <c r="B3530" s="48" t="n">
        <v>46153.8983217593</v>
      </c>
      <c r="C3530" s="4" t="n">
        <f aca="false">YEAR(B3530)</f>
        <v>2026</v>
      </c>
      <c r="D3530" s="49" t="s">
        <v>278</v>
      </c>
      <c r="E3530" s="49" t="s">
        <v>7299</v>
      </c>
      <c r="F3530" s="50" t="n">
        <v>5</v>
      </c>
      <c r="G3530" s="49" t="s">
        <v>290</v>
      </c>
      <c r="H3530" s="51" t="n">
        <v>0.3002</v>
      </c>
      <c r="I3530" s="51" t="n">
        <v>0.5858</v>
      </c>
      <c r="J3530" s="51" t="n">
        <v>0.1141</v>
      </c>
      <c r="K3530" s="49"/>
      <c r="L3530" s="49"/>
      <c r="M3530" s="49"/>
      <c r="N3530" s="49"/>
      <c r="O3530" s="49"/>
      <c r="P3530" s="49"/>
      <c r="Q3530" s="49"/>
      <c r="R3530" s="49"/>
      <c r="S3530" s="49" t="n">
        <v>0</v>
      </c>
      <c r="T3530" s="49" t="n">
        <v>0</v>
      </c>
      <c r="U3530" s="49" t="s">
        <v>7300</v>
      </c>
    </row>
    <row r="3531" customFormat="false" ht="15" hidden="false" customHeight="false" outlineLevel="0" collapsed="false">
      <c r="B3531" s="48" t="n">
        <v>46154.0668171296</v>
      </c>
      <c r="C3531" s="4" t="n">
        <f aca="false">YEAR(B3531)</f>
        <v>2026</v>
      </c>
      <c r="D3531" s="49" t="s">
        <v>278</v>
      </c>
      <c r="E3531" s="49" t="s">
        <v>7301</v>
      </c>
      <c r="F3531" s="50" t="n">
        <v>0</v>
      </c>
      <c r="G3531" s="49" t="s">
        <v>290</v>
      </c>
      <c r="H3531" s="51" t="n">
        <v>0.0947</v>
      </c>
      <c r="I3531" s="51" t="n">
        <v>0.8847</v>
      </c>
      <c r="J3531" s="51" t="n">
        <v>0.0206</v>
      </c>
      <c r="K3531" s="49"/>
      <c r="L3531" s="49"/>
      <c r="M3531" s="49"/>
      <c r="N3531" s="49"/>
      <c r="O3531" s="49"/>
      <c r="P3531" s="49"/>
      <c r="Q3531" s="49"/>
      <c r="R3531" s="49" t="s">
        <v>281</v>
      </c>
      <c r="S3531" s="49" t="n">
        <v>0</v>
      </c>
      <c r="T3531" s="49" t="n">
        <v>0</v>
      </c>
      <c r="U3531" s="49" t="s">
        <v>7302</v>
      </c>
    </row>
    <row r="3532" customFormat="false" ht="15" hidden="false" customHeight="false" outlineLevel="0" collapsed="false">
      <c r="B3532" s="48" t="n">
        <v>46154.0957060185</v>
      </c>
      <c r="C3532" s="4" t="n">
        <f aca="false">YEAR(B3532)</f>
        <v>2026</v>
      </c>
      <c r="D3532" s="49" t="s">
        <v>278</v>
      </c>
      <c r="E3532" s="49" t="s">
        <v>7303</v>
      </c>
      <c r="F3532" s="50" t="n">
        <v>0</v>
      </c>
      <c r="G3532" s="49" t="s">
        <v>280</v>
      </c>
      <c r="H3532" s="51" t="n">
        <v>0.6665</v>
      </c>
      <c r="I3532" s="51" t="n">
        <v>0.2865</v>
      </c>
      <c r="J3532" s="51" t="n">
        <v>0.047</v>
      </c>
      <c r="K3532" s="49" t="s">
        <v>281</v>
      </c>
      <c r="L3532" s="49"/>
      <c r="M3532" s="49"/>
      <c r="N3532" s="49"/>
      <c r="O3532" s="49"/>
      <c r="P3532" s="49"/>
      <c r="Q3532" s="49"/>
      <c r="R3532" s="49" t="s">
        <v>281</v>
      </c>
      <c r="S3532" s="49" t="n">
        <v>0</v>
      </c>
      <c r="T3532" s="49" t="n">
        <v>1</v>
      </c>
      <c r="U3532" s="49" t="s">
        <v>7304</v>
      </c>
    </row>
    <row r="3533" customFormat="false" ht="15" hidden="false" customHeight="false" outlineLevel="0" collapsed="false">
      <c r="B3533" s="48" t="n">
        <v>46154.5125925926</v>
      </c>
      <c r="C3533" s="4" t="n">
        <f aca="false">YEAR(B3533)</f>
        <v>2026</v>
      </c>
      <c r="D3533" s="49" t="s">
        <v>278</v>
      </c>
      <c r="E3533" s="49" t="s">
        <v>7305</v>
      </c>
      <c r="F3533" s="50" t="n">
        <v>2</v>
      </c>
      <c r="G3533" s="49" t="s">
        <v>280</v>
      </c>
      <c r="H3533" s="51" t="n">
        <v>0.7056</v>
      </c>
      <c r="I3533" s="51" t="n">
        <v>0.2766</v>
      </c>
      <c r="J3533" s="51" t="n">
        <v>0.0179</v>
      </c>
      <c r="K3533" s="49"/>
      <c r="L3533" s="49"/>
      <c r="M3533" s="49"/>
      <c r="N3533" s="49"/>
      <c r="O3533" s="49"/>
      <c r="P3533" s="49"/>
      <c r="Q3533" s="49"/>
      <c r="R3533" s="49" t="s">
        <v>281</v>
      </c>
      <c r="S3533" s="49" t="n">
        <v>0</v>
      </c>
      <c r="T3533" s="49" t="n">
        <v>0</v>
      </c>
      <c r="U3533" s="49" t="s">
        <v>7306</v>
      </c>
    </row>
    <row r="3534" customFormat="false" ht="15" hidden="false" customHeight="false" outlineLevel="0" collapsed="false">
      <c r="B3534" s="48" t="n">
        <v>46154.5888657407</v>
      </c>
      <c r="C3534" s="4" t="n">
        <f aca="false">YEAR(B3534)</f>
        <v>2026</v>
      </c>
      <c r="D3534" s="49" t="s">
        <v>278</v>
      </c>
      <c r="E3534" s="49" t="s">
        <v>7307</v>
      </c>
      <c r="F3534" s="50" t="n">
        <v>0</v>
      </c>
      <c r="G3534" s="49" t="s">
        <v>290</v>
      </c>
      <c r="H3534" s="51" t="n">
        <v>0.1817</v>
      </c>
      <c r="I3534" s="51" t="n">
        <v>0.7854</v>
      </c>
      <c r="J3534" s="51" t="n">
        <v>0.0329</v>
      </c>
      <c r="K3534" s="49"/>
      <c r="L3534" s="49"/>
      <c r="M3534" s="49"/>
      <c r="N3534" s="49"/>
      <c r="O3534" s="49"/>
      <c r="P3534" s="49"/>
      <c r="Q3534" s="49"/>
      <c r="R3534" s="49"/>
      <c r="S3534" s="49" t="n">
        <v>0</v>
      </c>
      <c r="T3534" s="49" t="n">
        <v>0</v>
      </c>
      <c r="U3534" s="49" t="s">
        <v>7308</v>
      </c>
    </row>
    <row r="3535" customFormat="false" ht="15" hidden="false" customHeight="false" outlineLevel="0" collapsed="false">
      <c r="B3535" s="48" t="n">
        <v>46154.8806944444</v>
      </c>
      <c r="C3535" s="4" t="n">
        <f aca="false">YEAR(B3535)</f>
        <v>2026</v>
      </c>
      <c r="D3535" s="49" t="s">
        <v>283</v>
      </c>
      <c r="E3535" s="49" t="s">
        <v>7309</v>
      </c>
      <c r="F3535" s="50" t="n">
        <v>1</v>
      </c>
      <c r="G3535" s="49" t="s">
        <v>287</v>
      </c>
      <c r="H3535" s="51" t="n">
        <v>0.0029</v>
      </c>
      <c r="I3535" s="51" t="n">
        <v>0.1118</v>
      </c>
      <c r="J3535" s="51" t="n">
        <v>0.8853</v>
      </c>
      <c r="K3535" s="49"/>
      <c r="L3535" s="49"/>
      <c r="M3535" s="49"/>
      <c r="N3535" s="49"/>
      <c r="O3535" s="49"/>
      <c r="P3535" s="49"/>
      <c r="Q3535" s="49"/>
      <c r="R3535" s="49"/>
      <c r="S3535" s="49" t="n">
        <v>0</v>
      </c>
      <c r="T3535" s="49" t="n">
        <v>0</v>
      </c>
      <c r="U3535" s="49" t="s">
        <v>7310</v>
      </c>
    </row>
    <row r="3536" customFormat="false" ht="15" hidden="false" customHeight="false" outlineLevel="0" collapsed="false">
      <c r="B3536" s="48" t="n">
        <v>46154.9116087963</v>
      </c>
      <c r="C3536" s="4" t="n">
        <f aca="false">YEAR(B3536)</f>
        <v>2026</v>
      </c>
      <c r="D3536" s="49" t="s">
        <v>278</v>
      </c>
      <c r="E3536" s="49" t="s">
        <v>7311</v>
      </c>
      <c r="F3536" s="50" t="n">
        <v>3</v>
      </c>
      <c r="G3536" s="49" t="s">
        <v>280</v>
      </c>
      <c r="H3536" s="51" t="n">
        <v>0.828</v>
      </c>
      <c r="I3536" s="51" t="n">
        <v>0.1559</v>
      </c>
      <c r="J3536" s="51" t="n">
        <v>0.0161</v>
      </c>
      <c r="K3536" s="49" t="s">
        <v>281</v>
      </c>
      <c r="L3536" s="49"/>
      <c r="M3536" s="49"/>
      <c r="N3536" s="49"/>
      <c r="O3536" s="49"/>
      <c r="P3536" s="49"/>
      <c r="Q3536" s="49" t="s">
        <v>281</v>
      </c>
      <c r="R3536" s="49"/>
      <c r="S3536" s="49" t="n">
        <v>0</v>
      </c>
      <c r="T3536" s="49" t="n">
        <v>0</v>
      </c>
      <c r="U3536" s="49" t="s">
        <v>7312</v>
      </c>
    </row>
    <row r="3537" customFormat="false" ht="15" hidden="false" customHeight="false" outlineLevel="0" collapsed="false">
      <c r="B3537" s="48" t="n">
        <v>46155.1214814815</v>
      </c>
      <c r="C3537" s="4" t="n">
        <f aca="false">YEAR(B3537)</f>
        <v>2026</v>
      </c>
      <c r="D3537" s="49" t="s">
        <v>278</v>
      </c>
      <c r="E3537" s="49" t="s">
        <v>7313</v>
      </c>
      <c r="F3537" s="50" t="n">
        <v>0</v>
      </c>
      <c r="G3537" s="49" t="s">
        <v>287</v>
      </c>
      <c r="H3537" s="51" t="n">
        <v>0.0049</v>
      </c>
      <c r="I3537" s="51" t="n">
        <v>0.4121</v>
      </c>
      <c r="J3537" s="51" t="n">
        <v>0.583</v>
      </c>
      <c r="K3537" s="49"/>
      <c r="L3537" s="49"/>
      <c r="M3537" s="49"/>
      <c r="N3537" s="49"/>
      <c r="O3537" s="49"/>
      <c r="P3537" s="49"/>
      <c r="Q3537" s="49"/>
      <c r="R3537" s="49"/>
      <c r="S3537" s="49" t="n">
        <v>0</v>
      </c>
      <c r="T3537" s="49" t="n">
        <v>0</v>
      </c>
      <c r="U3537" s="49" t="s">
        <v>7314</v>
      </c>
    </row>
    <row r="3538" customFormat="false" ht="15" hidden="false" customHeight="false" outlineLevel="0" collapsed="false">
      <c r="B3538" s="48" t="n">
        <v>46155.1492939815</v>
      </c>
      <c r="C3538" s="4" t="n">
        <f aca="false">YEAR(B3538)</f>
        <v>2026</v>
      </c>
      <c r="D3538" s="49" t="s">
        <v>278</v>
      </c>
      <c r="E3538" s="49" t="s">
        <v>7315</v>
      </c>
      <c r="F3538" s="50" t="n">
        <v>1</v>
      </c>
      <c r="G3538" s="49" t="s">
        <v>280</v>
      </c>
      <c r="H3538" s="51" t="n">
        <v>0.6071</v>
      </c>
      <c r="I3538" s="51" t="n">
        <v>0.3581</v>
      </c>
      <c r="J3538" s="51" t="n">
        <v>0.0348</v>
      </c>
      <c r="K3538" s="49"/>
      <c r="L3538" s="49"/>
      <c r="M3538" s="49"/>
      <c r="N3538" s="49"/>
      <c r="O3538" s="49"/>
      <c r="P3538" s="49"/>
      <c r="Q3538" s="49"/>
      <c r="R3538" s="49"/>
      <c r="S3538" s="49" t="n">
        <v>0</v>
      </c>
      <c r="T3538" s="49" t="n">
        <v>0</v>
      </c>
      <c r="U3538" s="49" t="s">
        <v>7316</v>
      </c>
    </row>
    <row r="3539" customFormat="false" ht="15" hidden="false" customHeight="false" outlineLevel="0" collapsed="false">
      <c r="B3539" s="48" t="n">
        <v>46155.3776273148</v>
      </c>
      <c r="C3539" s="4" t="n">
        <f aca="false">YEAR(B3539)</f>
        <v>2026</v>
      </c>
      <c r="D3539" s="49" t="s">
        <v>283</v>
      </c>
      <c r="E3539" s="49" t="s">
        <v>7317</v>
      </c>
      <c r="F3539" s="50" t="n">
        <v>3</v>
      </c>
      <c r="G3539" s="49" t="s">
        <v>287</v>
      </c>
      <c r="H3539" s="51" t="n">
        <v>0.0031</v>
      </c>
      <c r="I3539" s="51" t="n">
        <v>0.1265</v>
      </c>
      <c r="J3539" s="51" t="n">
        <v>0.8705</v>
      </c>
      <c r="K3539" s="49"/>
      <c r="L3539" s="49"/>
      <c r="M3539" s="49"/>
      <c r="N3539" s="49"/>
      <c r="O3539" s="49"/>
      <c r="P3539" s="49"/>
      <c r="Q3539" s="49"/>
      <c r="R3539" s="49"/>
      <c r="S3539" s="49" t="n">
        <v>0</v>
      </c>
      <c r="T3539" s="49" t="n">
        <v>0</v>
      </c>
      <c r="U3539" s="49" t="s">
        <v>7318</v>
      </c>
    </row>
    <row r="3540" customFormat="false" ht="15" hidden="false" customHeight="false" outlineLevel="0" collapsed="false">
      <c r="B3540" s="48" t="n">
        <v>46155.8967592593</v>
      </c>
      <c r="C3540" s="4" t="n">
        <f aca="false">YEAR(B3540)</f>
        <v>2026</v>
      </c>
      <c r="D3540" s="49" t="s">
        <v>283</v>
      </c>
      <c r="E3540" s="49" t="s">
        <v>7319</v>
      </c>
      <c r="F3540" s="50" t="n">
        <v>1</v>
      </c>
      <c r="G3540" s="49" t="s">
        <v>287</v>
      </c>
      <c r="H3540" s="51" t="n">
        <v>0.0016</v>
      </c>
      <c r="I3540" s="51" t="n">
        <v>0.0647</v>
      </c>
      <c r="J3540" s="51" t="n">
        <v>0.9336</v>
      </c>
      <c r="K3540" s="49"/>
      <c r="L3540" s="49"/>
      <c r="M3540" s="49"/>
      <c r="N3540" s="49"/>
      <c r="O3540" s="49"/>
      <c r="P3540" s="49"/>
      <c r="Q3540" s="49"/>
      <c r="R3540" s="49"/>
      <c r="S3540" s="49" t="n">
        <v>0</v>
      </c>
      <c r="T3540" s="49" t="n">
        <v>0</v>
      </c>
      <c r="U3540" s="49" t="s">
        <v>7320</v>
      </c>
    </row>
    <row r="3541" customFormat="false" ht="15" hidden="false" customHeight="false" outlineLevel="0" collapsed="false">
      <c r="B3541" s="48" t="n">
        <v>46156.3287847222</v>
      </c>
      <c r="C3541" s="4" t="n">
        <f aca="false">YEAR(B3541)</f>
        <v>2026</v>
      </c>
      <c r="D3541" s="49" t="s">
        <v>278</v>
      </c>
      <c r="E3541" s="49" t="s">
        <v>7321</v>
      </c>
      <c r="F3541" s="50" t="n">
        <v>0</v>
      </c>
      <c r="G3541" s="49" t="s">
        <v>280</v>
      </c>
      <c r="H3541" s="51" t="n">
        <v>0.931</v>
      </c>
      <c r="I3541" s="51" t="n">
        <v>0.0623</v>
      </c>
      <c r="J3541" s="51" t="n">
        <v>0.0067</v>
      </c>
      <c r="K3541" s="49"/>
      <c r="L3541" s="49"/>
      <c r="M3541" s="49"/>
      <c r="N3541" s="49"/>
      <c r="O3541" s="49"/>
      <c r="P3541" s="49"/>
      <c r="Q3541" s="49"/>
      <c r="R3541" s="49"/>
      <c r="S3541" s="49" t="n">
        <v>0</v>
      </c>
      <c r="T3541" s="49" t="n">
        <v>0</v>
      </c>
      <c r="U3541" s="49" t="s">
        <v>7322</v>
      </c>
    </row>
    <row r="3542" customFormat="false" ht="15" hidden="false" customHeight="false" outlineLevel="0" collapsed="false">
      <c r="B3542" s="48" t="n">
        <v>46157.0772337963</v>
      </c>
      <c r="C3542" s="4" t="n">
        <f aca="false">YEAR(B3542)</f>
        <v>2026</v>
      </c>
      <c r="D3542" s="49" t="s">
        <v>278</v>
      </c>
      <c r="E3542" s="49" t="s">
        <v>7323</v>
      </c>
      <c r="F3542" s="50" t="n">
        <v>1</v>
      </c>
      <c r="G3542" s="49" t="s">
        <v>280</v>
      </c>
      <c r="H3542" s="51" t="n">
        <v>0.7164</v>
      </c>
      <c r="I3542" s="51" t="n">
        <v>0.2721</v>
      </c>
      <c r="J3542" s="51" t="n">
        <v>0.0115</v>
      </c>
      <c r="K3542" s="49"/>
      <c r="L3542" s="49"/>
      <c r="M3542" s="49"/>
      <c r="N3542" s="49"/>
      <c r="O3542" s="49"/>
      <c r="P3542" s="49"/>
      <c r="Q3542" s="49"/>
      <c r="R3542" s="49"/>
      <c r="S3542" s="49" t="n">
        <v>0</v>
      </c>
      <c r="T3542" s="49" t="n">
        <v>0</v>
      </c>
      <c r="U3542" s="49" t="s">
        <v>7324</v>
      </c>
    </row>
    <row r="3543" customFormat="false" ht="15" hidden="false" customHeight="false" outlineLevel="0" collapsed="false">
      <c r="B3543" s="48" t="n">
        <v>46157.7399421296</v>
      </c>
      <c r="C3543" s="4" t="n">
        <f aca="false">YEAR(B3543)</f>
        <v>2026</v>
      </c>
      <c r="D3543" s="49" t="s">
        <v>283</v>
      </c>
      <c r="E3543" s="49" t="s">
        <v>7325</v>
      </c>
      <c r="F3543" s="50" t="n">
        <v>1</v>
      </c>
      <c r="G3543" s="49" t="s">
        <v>280</v>
      </c>
      <c r="H3543" s="51" t="n">
        <v>0.7034</v>
      </c>
      <c r="I3543" s="51" t="n">
        <v>0.2731</v>
      </c>
      <c r="J3543" s="51" t="n">
        <v>0.0235</v>
      </c>
      <c r="K3543" s="49"/>
      <c r="L3543" s="49"/>
      <c r="M3543" s="49"/>
      <c r="N3543" s="49"/>
      <c r="O3543" s="49"/>
      <c r="P3543" s="49"/>
      <c r="Q3543" s="49"/>
      <c r="R3543" s="49"/>
      <c r="S3543" s="49" t="n">
        <v>0</v>
      </c>
      <c r="T3543" s="49" t="n">
        <v>0</v>
      </c>
      <c r="U3543" s="49" t="s">
        <v>7326</v>
      </c>
    </row>
    <row r="3544" customFormat="false" ht="15" hidden="false" customHeight="false" outlineLevel="0" collapsed="false">
      <c r="B3544" s="48" t="n">
        <v>46157.7737037037</v>
      </c>
      <c r="C3544" s="4" t="n">
        <f aca="false">YEAR(B3544)</f>
        <v>2026</v>
      </c>
      <c r="D3544" s="49" t="s">
        <v>283</v>
      </c>
      <c r="E3544" s="49" t="s">
        <v>7327</v>
      </c>
      <c r="F3544" s="50" t="n">
        <v>0</v>
      </c>
      <c r="G3544" s="49" t="s">
        <v>287</v>
      </c>
      <c r="H3544" s="51" t="n">
        <v>0.0899</v>
      </c>
      <c r="I3544" s="51" t="n">
        <v>0.2427</v>
      </c>
      <c r="J3544" s="51" t="n">
        <v>0.6673</v>
      </c>
      <c r="K3544" s="49"/>
      <c r="L3544" s="49"/>
      <c r="M3544" s="49"/>
      <c r="N3544" s="49"/>
      <c r="O3544" s="49"/>
      <c r="P3544" s="49"/>
      <c r="Q3544" s="49"/>
      <c r="R3544" s="49"/>
      <c r="S3544" s="49" t="n">
        <v>0</v>
      </c>
      <c r="T3544" s="49" t="n">
        <v>0</v>
      </c>
      <c r="U3544" s="49" t="s">
        <v>7328</v>
      </c>
    </row>
    <row r="3545" customFormat="false" ht="15" hidden="false" customHeight="false" outlineLevel="0" collapsed="false">
      <c r="B3545" s="48" t="n">
        <v>46158.116724537</v>
      </c>
      <c r="C3545" s="4" t="n">
        <f aca="false">YEAR(B3545)</f>
        <v>2026</v>
      </c>
      <c r="D3545" s="49" t="s">
        <v>278</v>
      </c>
      <c r="E3545" s="49" t="s">
        <v>7329</v>
      </c>
      <c r="F3545" s="50" t="n">
        <v>1</v>
      </c>
      <c r="G3545" s="49" t="s">
        <v>280</v>
      </c>
      <c r="H3545" s="51" t="n">
        <v>0.7879</v>
      </c>
      <c r="I3545" s="51" t="n">
        <v>0.2036</v>
      </c>
      <c r="J3545" s="51" t="n">
        <v>0.0085</v>
      </c>
      <c r="K3545" s="49"/>
      <c r="L3545" s="49"/>
      <c r="M3545" s="49"/>
      <c r="N3545" s="49"/>
      <c r="O3545" s="49"/>
      <c r="P3545" s="49"/>
      <c r="Q3545" s="49"/>
      <c r="R3545" s="49"/>
      <c r="S3545" s="49" t="n">
        <v>0</v>
      </c>
      <c r="T3545" s="49" t="n">
        <v>0</v>
      </c>
      <c r="U3545" s="49" t="s">
        <v>7330</v>
      </c>
    </row>
    <row r="3546" customFormat="false" ht="15" hidden="false" customHeight="false" outlineLevel="0" collapsed="false">
      <c r="B3546" s="48" t="n">
        <v>46158.4692361111</v>
      </c>
      <c r="C3546" s="4" t="n">
        <f aca="false">YEAR(B3546)</f>
        <v>2026</v>
      </c>
      <c r="D3546" s="49" t="s">
        <v>278</v>
      </c>
      <c r="E3546" s="49" t="s">
        <v>7331</v>
      </c>
      <c r="F3546" s="50" t="n">
        <v>1</v>
      </c>
      <c r="G3546" s="49" t="s">
        <v>290</v>
      </c>
      <c r="H3546" s="51" t="n">
        <v>0.0162</v>
      </c>
      <c r="I3546" s="51" t="n">
        <v>0.9455</v>
      </c>
      <c r="J3546" s="51" t="n">
        <v>0.0382</v>
      </c>
      <c r="K3546" s="49"/>
      <c r="L3546" s="49"/>
      <c r="M3546" s="49"/>
      <c r="N3546" s="49"/>
      <c r="O3546" s="49"/>
      <c r="P3546" s="49"/>
      <c r="Q3546" s="49"/>
      <c r="R3546" s="49" t="s">
        <v>281</v>
      </c>
      <c r="S3546" s="49" t="n">
        <v>0</v>
      </c>
      <c r="T3546" s="49" t="n">
        <v>0</v>
      </c>
      <c r="U3546" s="49" t="s">
        <v>7332</v>
      </c>
    </row>
    <row r="3547" customFormat="false" ht="15" hidden="false" customHeight="false" outlineLevel="0" collapsed="false">
      <c r="B3547" s="48" t="n">
        <v>46158.8247222222</v>
      </c>
      <c r="C3547" s="4" t="n">
        <f aca="false">YEAR(B3547)</f>
        <v>2026</v>
      </c>
      <c r="D3547" s="49" t="s">
        <v>283</v>
      </c>
      <c r="E3547" s="49" t="s">
        <v>7333</v>
      </c>
      <c r="F3547" s="50" t="n">
        <v>1</v>
      </c>
      <c r="G3547" s="49" t="s">
        <v>290</v>
      </c>
      <c r="H3547" s="51" t="n">
        <v>0.0126</v>
      </c>
      <c r="I3547" s="51" t="n">
        <v>0.878</v>
      </c>
      <c r="J3547" s="51" t="n">
        <v>0.1094</v>
      </c>
      <c r="K3547" s="49"/>
      <c r="L3547" s="49"/>
      <c r="M3547" s="49"/>
      <c r="N3547" s="49"/>
      <c r="O3547" s="49"/>
      <c r="P3547" s="49"/>
      <c r="Q3547" s="49"/>
      <c r="R3547" s="49"/>
      <c r="S3547" s="49" t="n">
        <v>1</v>
      </c>
      <c r="T3547" s="49" t="n">
        <v>0</v>
      </c>
      <c r="U3547" s="49" t="s">
        <v>7334</v>
      </c>
    </row>
    <row r="3548" customFormat="false" ht="15" hidden="false" customHeight="false" outlineLevel="0" collapsed="false">
      <c r="B3548" s="48" t="n">
        <v>46158.9679976852</v>
      </c>
      <c r="C3548" s="4" t="n">
        <f aca="false">YEAR(B3548)</f>
        <v>2026</v>
      </c>
      <c r="D3548" s="49" t="s">
        <v>278</v>
      </c>
      <c r="E3548" s="49" t="s">
        <v>7335</v>
      </c>
      <c r="F3548" s="50" t="n">
        <v>2</v>
      </c>
      <c r="G3548" s="49" t="s">
        <v>280</v>
      </c>
      <c r="H3548" s="51" t="n">
        <v>0.6539</v>
      </c>
      <c r="I3548" s="51" t="n">
        <v>0.3199</v>
      </c>
      <c r="J3548" s="51" t="n">
        <v>0.0261</v>
      </c>
      <c r="K3548" s="49"/>
      <c r="L3548" s="49"/>
      <c r="M3548" s="49"/>
      <c r="N3548" s="49"/>
      <c r="O3548" s="49"/>
      <c r="P3548" s="49"/>
      <c r="Q3548" s="49"/>
      <c r="R3548" s="49"/>
      <c r="S3548" s="49" t="n">
        <v>0</v>
      </c>
      <c r="T3548" s="49" t="n">
        <v>0</v>
      </c>
      <c r="U3548" s="49" t="s">
        <v>7336</v>
      </c>
    </row>
    <row r="3549" customFormat="false" ht="15" hidden="false" customHeight="false" outlineLevel="0" collapsed="false">
      <c r="B3549" s="48" t="n">
        <v>46159.0866782407</v>
      </c>
      <c r="C3549" s="4" t="n">
        <f aca="false">YEAR(B3549)</f>
        <v>2026</v>
      </c>
      <c r="D3549" s="49" t="s">
        <v>283</v>
      </c>
      <c r="E3549" s="49" t="s">
        <v>7337</v>
      </c>
      <c r="F3549" s="50" t="n">
        <v>1</v>
      </c>
      <c r="G3549" s="49" t="s">
        <v>280</v>
      </c>
      <c r="H3549" s="51" t="n">
        <v>0.659</v>
      </c>
      <c r="I3549" s="51" t="n">
        <v>0.3045</v>
      </c>
      <c r="J3549" s="51" t="n">
        <v>0.0366</v>
      </c>
      <c r="K3549" s="49"/>
      <c r="L3549" s="49"/>
      <c r="M3549" s="49"/>
      <c r="N3549" s="49"/>
      <c r="O3549" s="49"/>
      <c r="P3549" s="49"/>
      <c r="Q3549" s="49"/>
      <c r="R3549" s="49"/>
      <c r="S3549" s="49" t="n">
        <v>0</v>
      </c>
      <c r="T3549" s="49" t="n">
        <v>0</v>
      </c>
      <c r="U3549" s="49" t="s">
        <v>7338</v>
      </c>
    </row>
    <row r="3550" customFormat="false" ht="15" hidden="false" customHeight="false" outlineLevel="0" collapsed="false">
      <c r="B3550" s="48" t="n">
        <v>46159.4953009259</v>
      </c>
      <c r="C3550" s="4" t="n">
        <f aca="false">YEAR(B3550)</f>
        <v>2026</v>
      </c>
      <c r="D3550" s="49" t="s">
        <v>278</v>
      </c>
      <c r="E3550" s="49" t="s">
        <v>7339</v>
      </c>
      <c r="F3550" s="50" t="n">
        <v>2</v>
      </c>
      <c r="G3550" s="49" t="s">
        <v>280</v>
      </c>
      <c r="H3550" s="51" t="n">
        <v>0.6305</v>
      </c>
      <c r="I3550" s="51" t="n">
        <v>0.245</v>
      </c>
      <c r="J3550" s="51" t="n">
        <v>0.1245</v>
      </c>
      <c r="K3550" s="49"/>
      <c r="L3550" s="49"/>
      <c r="M3550" s="49"/>
      <c r="N3550" s="49"/>
      <c r="O3550" s="49"/>
      <c r="P3550" s="49"/>
      <c r="Q3550" s="49"/>
      <c r="R3550" s="49" t="s">
        <v>281</v>
      </c>
      <c r="S3550" s="49" t="n">
        <v>0</v>
      </c>
      <c r="T3550" s="49" t="n">
        <v>0</v>
      </c>
      <c r="U3550" s="49" t="s">
        <v>7340</v>
      </c>
    </row>
    <row r="3551" customFormat="false" ht="15" hidden="false" customHeight="false" outlineLevel="0" collapsed="false">
      <c r="B3551" s="48" t="n">
        <v>46160.142962963</v>
      </c>
      <c r="C3551" s="4" t="n">
        <f aca="false">YEAR(B3551)</f>
        <v>2026</v>
      </c>
      <c r="D3551" s="49" t="s">
        <v>278</v>
      </c>
      <c r="E3551" s="49" t="s">
        <v>7341</v>
      </c>
      <c r="F3551" s="50" t="n">
        <v>1</v>
      </c>
      <c r="G3551" s="49" t="s">
        <v>290</v>
      </c>
      <c r="H3551" s="51" t="n">
        <v>0.4107</v>
      </c>
      <c r="I3551" s="51" t="n">
        <v>0.5648</v>
      </c>
      <c r="J3551" s="51" t="n">
        <v>0.0245</v>
      </c>
      <c r="K3551" s="49"/>
      <c r="L3551" s="49"/>
      <c r="M3551" s="49"/>
      <c r="N3551" s="49"/>
      <c r="O3551" s="49"/>
      <c r="P3551" s="49"/>
      <c r="Q3551" s="49"/>
      <c r="R3551" s="49" t="s">
        <v>281</v>
      </c>
      <c r="S3551" s="49" t="n">
        <v>0</v>
      </c>
      <c r="T3551" s="49" t="n">
        <v>0</v>
      </c>
      <c r="U3551" s="49" t="s">
        <v>7342</v>
      </c>
    </row>
    <row r="3552" customFormat="false" ht="15" hidden="false" customHeight="false" outlineLevel="0" collapsed="false">
      <c r="B3552" s="48" t="n">
        <v>46161.2295601852</v>
      </c>
      <c r="C3552" s="4" t="n">
        <f aca="false">YEAR(B3552)</f>
        <v>2026</v>
      </c>
      <c r="D3552" s="49" t="s">
        <v>283</v>
      </c>
      <c r="E3552" s="49" t="s">
        <v>7343</v>
      </c>
      <c r="F3552" s="50" t="n">
        <v>35</v>
      </c>
      <c r="G3552" s="49" t="s">
        <v>290</v>
      </c>
      <c r="H3552" s="51" t="n">
        <v>0.049</v>
      </c>
      <c r="I3552" s="51" t="n">
        <v>0.6385</v>
      </c>
      <c r="J3552" s="51" t="n">
        <v>0.3125</v>
      </c>
      <c r="K3552" s="49"/>
      <c r="L3552" s="49"/>
      <c r="M3552" s="49"/>
      <c r="N3552" s="49"/>
      <c r="O3552" s="49"/>
      <c r="P3552" s="49"/>
      <c r="Q3552" s="49"/>
      <c r="R3552" s="49"/>
      <c r="S3552" s="49" t="n">
        <v>0</v>
      </c>
      <c r="T3552" s="49" t="n">
        <v>0</v>
      </c>
      <c r="U3552" s="49" t="s">
        <v>7344</v>
      </c>
    </row>
    <row r="3553" customFormat="false" ht="15" hidden="false" customHeight="false" outlineLevel="0" collapsed="false">
      <c r="B3553" s="48" t="n">
        <v>46161.2504050926</v>
      </c>
      <c r="C3553" s="4" t="n">
        <f aca="false">YEAR(B3553)</f>
        <v>2026</v>
      </c>
      <c r="D3553" s="49" t="s">
        <v>278</v>
      </c>
      <c r="E3553" s="49" t="s">
        <v>7345</v>
      </c>
      <c r="F3553" s="50" t="n">
        <v>0</v>
      </c>
      <c r="G3553" s="49" t="s">
        <v>280</v>
      </c>
      <c r="H3553" s="51" t="n">
        <v>0.8033</v>
      </c>
      <c r="I3553" s="51" t="n">
        <v>0.1848</v>
      </c>
      <c r="J3553" s="51" t="n">
        <v>0.0118</v>
      </c>
      <c r="K3553" s="49" t="s">
        <v>281</v>
      </c>
      <c r="L3553" s="49"/>
      <c r="M3553" s="49"/>
      <c r="N3553" s="49"/>
      <c r="O3553" s="49"/>
      <c r="P3553" s="49"/>
      <c r="Q3553" s="49"/>
      <c r="R3553" s="49" t="s">
        <v>281</v>
      </c>
      <c r="S3553" s="49" t="n">
        <v>0</v>
      </c>
      <c r="T3553" s="49" t="n">
        <v>0</v>
      </c>
      <c r="U3553" s="49" t="s">
        <v>7346</v>
      </c>
    </row>
    <row r="3554" customFormat="false" ht="15" hidden="false" customHeight="false" outlineLevel="0" collapsed="false">
      <c r="B3554" s="48" t="n">
        <v>46161.3028587963</v>
      </c>
      <c r="C3554" s="4" t="n">
        <f aca="false">YEAR(B3554)</f>
        <v>2026</v>
      </c>
      <c r="D3554" s="49" t="s">
        <v>278</v>
      </c>
      <c r="E3554" s="49" t="s">
        <v>7347</v>
      </c>
      <c r="F3554" s="50" t="n">
        <v>2</v>
      </c>
      <c r="G3554" s="49" t="s">
        <v>287</v>
      </c>
      <c r="H3554" s="51" t="n">
        <v>0.0426</v>
      </c>
      <c r="I3554" s="51" t="n">
        <v>0.4162</v>
      </c>
      <c r="J3554" s="51" t="n">
        <v>0.5412</v>
      </c>
      <c r="K3554" s="49"/>
      <c r="L3554" s="49"/>
      <c r="M3554" s="49"/>
      <c r="N3554" s="49"/>
      <c r="O3554" s="49"/>
      <c r="P3554" s="49"/>
      <c r="Q3554" s="49"/>
      <c r="R3554" s="49" t="s">
        <v>281</v>
      </c>
      <c r="S3554" s="49" t="n">
        <v>0</v>
      </c>
      <c r="T3554" s="49" t="n">
        <v>0</v>
      </c>
      <c r="U3554" s="49" t="s">
        <v>7348</v>
      </c>
    </row>
    <row r="3555" customFormat="false" ht="15" hidden="false" customHeight="false" outlineLevel="0" collapsed="false">
      <c r="B3555" s="48" t="n">
        <v>46161.5491666667</v>
      </c>
      <c r="C3555" s="4" t="n">
        <f aca="false">YEAR(B3555)</f>
        <v>2026</v>
      </c>
      <c r="D3555" s="49" t="s">
        <v>278</v>
      </c>
      <c r="E3555" s="49" t="s">
        <v>7349</v>
      </c>
      <c r="F3555" s="50" t="n">
        <v>15</v>
      </c>
      <c r="G3555" s="49" t="s">
        <v>290</v>
      </c>
      <c r="H3555" s="51" t="n">
        <v>0.3169</v>
      </c>
      <c r="I3555" s="51" t="n">
        <v>0.6683</v>
      </c>
      <c r="J3555" s="51" t="n">
        <v>0.0147</v>
      </c>
      <c r="K3555" s="49"/>
      <c r="L3555" s="49"/>
      <c r="M3555" s="49"/>
      <c r="N3555" s="49"/>
      <c r="O3555" s="49"/>
      <c r="P3555" s="49"/>
      <c r="Q3555" s="49"/>
      <c r="R3555" s="49" t="s">
        <v>281</v>
      </c>
      <c r="S3555" s="49" t="n">
        <v>0</v>
      </c>
      <c r="T3555" s="49" t="n">
        <v>0</v>
      </c>
      <c r="U3555" s="49" t="s">
        <v>7350</v>
      </c>
    </row>
    <row r="3556" customFormat="false" ht="15" hidden="false" customHeight="false" outlineLevel="0" collapsed="false">
      <c r="B3556" s="48" t="n">
        <v>46161.6572685185</v>
      </c>
      <c r="C3556" s="4" t="n">
        <f aca="false">YEAR(B3556)</f>
        <v>2026</v>
      </c>
      <c r="D3556" s="49" t="s">
        <v>278</v>
      </c>
      <c r="E3556" s="49" t="s">
        <v>7351</v>
      </c>
      <c r="F3556" s="50" t="n">
        <v>1</v>
      </c>
      <c r="G3556" s="49" t="s">
        <v>280</v>
      </c>
      <c r="H3556" s="51" t="n">
        <v>0.9106</v>
      </c>
      <c r="I3556" s="51" t="n">
        <v>0.0791</v>
      </c>
      <c r="J3556" s="51" t="n">
        <v>0.0103</v>
      </c>
      <c r="K3556" s="49" t="s">
        <v>281</v>
      </c>
      <c r="L3556" s="49"/>
      <c r="M3556" s="49"/>
      <c r="N3556" s="49"/>
      <c r="O3556" s="49"/>
      <c r="P3556" s="49"/>
      <c r="Q3556" s="49"/>
      <c r="R3556" s="49" t="s">
        <v>281</v>
      </c>
      <c r="S3556" s="49" t="n">
        <v>0</v>
      </c>
      <c r="T3556" s="49" t="n">
        <v>0</v>
      </c>
      <c r="U3556" s="49" t="s">
        <v>7352</v>
      </c>
    </row>
    <row r="3557" customFormat="false" ht="15" hidden="false" customHeight="false" outlineLevel="0" collapsed="false">
      <c r="B3557" s="48" t="n">
        <v>46161.7239236111</v>
      </c>
      <c r="C3557" s="4" t="n">
        <f aca="false">YEAR(B3557)</f>
        <v>2026</v>
      </c>
      <c r="D3557" s="49" t="s">
        <v>283</v>
      </c>
      <c r="E3557" s="49" t="s">
        <v>2438</v>
      </c>
      <c r="F3557" s="50" t="n">
        <v>1</v>
      </c>
      <c r="G3557" s="49" t="s">
        <v>290</v>
      </c>
      <c r="H3557" s="51" t="n">
        <v>0.0191</v>
      </c>
      <c r="I3557" s="51" t="n">
        <v>0.9246</v>
      </c>
      <c r="J3557" s="51" t="n">
        <v>0.0562</v>
      </c>
      <c r="K3557" s="49"/>
      <c r="L3557" s="49"/>
      <c r="M3557" s="49"/>
      <c r="N3557" s="49"/>
      <c r="O3557" s="49"/>
      <c r="P3557" s="49"/>
      <c r="Q3557" s="49"/>
      <c r="R3557" s="49"/>
      <c r="S3557" s="49" t="n">
        <v>1</v>
      </c>
      <c r="T3557" s="49" t="n">
        <v>0</v>
      </c>
      <c r="U3557" s="49" t="s">
        <v>7353</v>
      </c>
    </row>
    <row r="3558" customFormat="false" ht="15" hidden="false" customHeight="false" outlineLevel="0" collapsed="false">
      <c r="B3558" s="48" t="n">
        <v>46162.0616435185</v>
      </c>
      <c r="C3558" s="4" t="n">
        <f aca="false">YEAR(B3558)</f>
        <v>2026</v>
      </c>
      <c r="D3558" s="49" t="s">
        <v>278</v>
      </c>
      <c r="E3558" s="49" t="s">
        <v>7354</v>
      </c>
      <c r="F3558" s="50" t="n">
        <v>1</v>
      </c>
      <c r="G3558" s="49" t="s">
        <v>287</v>
      </c>
      <c r="H3558" s="51" t="n">
        <v>0.008</v>
      </c>
      <c r="I3558" s="51" t="n">
        <v>0.3244</v>
      </c>
      <c r="J3558" s="51" t="n">
        <v>0.6676</v>
      </c>
      <c r="K3558" s="49"/>
      <c r="L3558" s="49"/>
      <c r="M3558" s="49"/>
      <c r="N3558" s="49"/>
      <c r="O3558" s="49"/>
      <c r="P3558" s="49"/>
      <c r="Q3558" s="49"/>
      <c r="R3558" s="49"/>
      <c r="S3558" s="49" t="n">
        <v>0</v>
      </c>
      <c r="T3558" s="49" t="n">
        <v>0</v>
      </c>
      <c r="U3558" s="49" t="s">
        <v>7355</v>
      </c>
    </row>
    <row r="3559" customFormat="false" ht="15" hidden="false" customHeight="false" outlineLevel="0" collapsed="false">
      <c r="B3559" s="48" t="n">
        <v>46162.3262962963</v>
      </c>
      <c r="C3559" s="4" t="n">
        <f aca="false">YEAR(B3559)</f>
        <v>2026</v>
      </c>
      <c r="D3559" s="49" t="s">
        <v>278</v>
      </c>
      <c r="E3559" s="49" t="s">
        <v>7356</v>
      </c>
      <c r="F3559" s="50" t="n">
        <v>1</v>
      </c>
      <c r="G3559" s="49" t="s">
        <v>280</v>
      </c>
      <c r="H3559" s="51" t="n">
        <v>0.8</v>
      </c>
      <c r="I3559" s="51" t="n">
        <v>0.1878</v>
      </c>
      <c r="J3559" s="51" t="n">
        <v>0.0122</v>
      </c>
      <c r="K3559" s="49"/>
      <c r="L3559" s="49"/>
      <c r="M3559" s="49"/>
      <c r="N3559" s="49"/>
      <c r="O3559" s="49"/>
      <c r="P3559" s="49"/>
      <c r="Q3559" s="49" t="s">
        <v>281</v>
      </c>
      <c r="R3559" s="49"/>
      <c r="S3559" s="49" t="n">
        <v>0</v>
      </c>
      <c r="T3559" s="49" t="n">
        <v>0</v>
      </c>
      <c r="U3559" s="49" t="s">
        <v>7357</v>
      </c>
    </row>
    <row r="3560" customFormat="false" ht="15" hidden="false" customHeight="false" outlineLevel="0" collapsed="false">
      <c r="B3560" s="48" t="n">
        <v>46162.4036458333</v>
      </c>
      <c r="C3560" s="4" t="n">
        <f aca="false">YEAR(B3560)</f>
        <v>2026</v>
      </c>
      <c r="D3560" s="49" t="s">
        <v>278</v>
      </c>
      <c r="E3560" s="49" t="s">
        <v>7358</v>
      </c>
      <c r="F3560" s="50" t="n">
        <v>9</v>
      </c>
      <c r="G3560" s="49" t="s">
        <v>290</v>
      </c>
      <c r="H3560" s="51" t="n">
        <v>0.0623</v>
      </c>
      <c r="I3560" s="51" t="n">
        <v>0.6808</v>
      </c>
      <c r="J3560" s="51" t="n">
        <v>0.257</v>
      </c>
      <c r="K3560" s="49"/>
      <c r="L3560" s="49"/>
      <c r="M3560" s="49"/>
      <c r="N3560" s="49"/>
      <c r="O3560" s="49"/>
      <c r="P3560" s="49"/>
      <c r="Q3560" s="49"/>
      <c r="R3560" s="49" t="s">
        <v>281</v>
      </c>
      <c r="S3560" s="49" t="n">
        <v>0</v>
      </c>
      <c r="T3560" s="49" t="n">
        <v>0</v>
      </c>
      <c r="U3560" s="49" t="s">
        <v>7359</v>
      </c>
    </row>
    <row r="3561" customFormat="false" ht="15" hidden="false" customHeight="false" outlineLevel="0" collapsed="false">
      <c r="B3561" s="48" t="n">
        <v>46162.585625</v>
      </c>
      <c r="C3561" s="4" t="n">
        <f aca="false">YEAR(B3561)</f>
        <v>2026</v>
      </c>
      <c r="D3561" s="49" t="s">
        <v>283</v>
      </c>
      <c r="E3561" s="49" t="s">
        <v>7360</v>
      </c>
      <c r="F3561" s="50" t="n">
        <v>1</v>
      </c>
      <c r="G3561" s="49" t="s">
        <v>287</v>
      </c>
      <c r="H3561" s="51" t="n">
        <v>0.0049</v>
      </c>
      <c r="I3561" s="51" t="n">
        <v>0.316</v>
      </c>
      <c r="J3561" s="51" t="n">
        <v>0.6791</v>
      </c>
      <c r="K3561" s="49"/>
      <c r="L3561" s="49"/>
      <c r="M3561" s="49"/>
      <c r="N3561" s="49"/>
      <c r="O3561" s="49"/>
      <c r="P3561" s="49" t="s">
        <v>281</v>
      </c>
      <c r="Q3561" s="49"/>
      <c r="R3561" s="49"/>
      <c r="S3561" s="49" t="n">
        <v>0</v>
      </c>
      <c r="T3561" s="49" t="n">
        <v>0</v>
      </c>
      <c r="U3561" s="49" t="s">
        <v>7361</v>
      </c>
    </row>
    <row r="3562" customFormat="false" ht="15" hidden="false" customHeight="false" outlineLevel="0" collapsed="false">
      <c r="B3562" s="48" t="n">
        <v>46162.6553240741</v>
      </c>
      <c r="C3562" s="4" t="n">
        <f aca="false">YEAR(B3562)</f>
        <v>2026</v>
      </c>
      <c r="D3562" s="49" t="s">
        <v>283</v>
      </c>
      <c r="E3562" s="49" t="s">
        <v>7362</v>
      </c>
      <c r="F3562" s="50" t="n">
        <v>3</v>
      </c>
      <c r="G3562" s="49" t="s">
        <v>287</v>
      </c>
      <c r="H3562" s="51" t="n">
        <v>0.002</v>
      </c>
      <c r="I3562" s="51" t="n">
        <v>0.0263</v>
      </c>
      <c r="J3562" s="51" t="n">
        <v>0.9717</v>
      </c>
      <c r="K3562" s="49"/>
      <c r="L3562" s="49"/>
      <c r="M3562" s="49"/>
      <c r="N3562" s="49"/>
      <c r="O3562" s="49"/>
      <c r="P3562" s="49"/>
      <c r="Q3562" s="49"/>
      <c r="R3562" s="49"/>
      <c r="S3562" s="49" t="n">
        <v>0</v>
      </c>
      <c r="T3562" s="49" t="n">
        <v>0</v>
      </c>
      <c r="U3562" s="49" t="s">
        <v>7363</v>
      </c>
    </row>
    <row r="3563" customFormat="false" ht="15" hidden="false" customHeight="false" outlineLevel="0" collapsed="false">
      <c r="B3563" s="48" t="n">
        <v>46163.6888888889</v>
      </c>
      <c r="C3563" s="4" t="n">
        <f aca="false">YEAR(B3563)</f>
        <v>2026</v>
      </c>
      <c r="D3563" s="49" t="s">
        <v>278</v>
      </c>
      <c r="E3563" s="49" t="s">
        <v>7364</v>
      </c>
      <c r="F3563" s="50" t="n">
        <v>0</v>
      </c>
      <c r="G3563" s="49" t="s">
        <v>290</v>
      </c>
      <c r="H3563" s="51" t="n">
        <v>0.12</v>
      </c>
      <c r="I3563" s="51" t="n">
        <v>0.5795</v>
      </c>
      <c r="J3563" s="51" t="n">
        <v>0.3005</v>
      </c>
      <c r="K3563" s="49"/>
      <c r="L3563" s="49"/>
      <c r="M3563" s="49"/>
      <c r="N3563" s="49"/>
      <c r="O3563" s="49"/>
      <c r="P3563" s="49"/>
      <c r="Q3563" s="49"/>
      <c r="R3563" s="49" t="s">
        <v>281</v>
      </c>
      <c r="S3563" s="49" t="n">
        <v>0</v>
      </c>
      <c r="T3563" s="49" t="n">
        <v>0</v>
      </c>
      <c r="U3563" s="49" t="s">
        <v>7365</v>
      </c>
    </row>
    <row r="3564" customFormat="false" ht="15" hidden="false" customHeight="false" outlineLevel="0" collapsed="false">
      <c r="B3564" s="48" t="n">
        <v>46164.5090625</v>
      </c>
      <c r="C3564" s="4" t="n">
        <f aca="false">YEAR(B3564)</f>
        <v>2026</v>
      </c>
      <c r="D3564" s="49" t="s">
        <v>278</v>
      </c>
      <c r="E3564" s="49" t="s">
        <v>7366</v>
      </c>
      <c r="F3564" s="50" t="n">
        <v>3</v>
      </c>
      <c r="G3564" s="49" t="s">
        <v>290</v>
      </c>
      <c r="H3564" s="51" t="n">
        <v>0.4397</v>
      </c>
      <c r="I3564" s="51" t="n">
        <v>0.475</v>
      </c>
      <c r="J3564" s="51" t="n">
        <v>0.0853</v>
      </c>
      <c r="K3564" s="49"/>
      <c r="L3564" s="49"/>
      <c r="M3564" s="49"/>
      <c r="N3564" s="49"/>
      <c r="O3564" s="49"/>
      <c r="P3564" s="49"/>
      <c r="Q3564" s="49"/>
      <c r="R3564" s="49" t="s">
        <v>281</v>
      </c>
      <c r="S3564" s="49" t="n">
        <v>0</v>
      </c>
      <c r="T3564" s="49" t="n">
        <v>0</v>
      </c>
      <c r="U3564" s="49" t="s">
        <v>7367</v>
      </c>
    </row>
    <row r="3565" customFormat="false" ht="15" hidden="false" customHeight="false" outlineLevel="0" collapsed="false">
      <c r="B3565" s="48" t="n">
        <v>46164.5616203704</v>
      </c>
      <c r="C3565" s="4" t="n">
        <f aca="false">YEAR(B3565)</f>
        <v>2026</v>
      </c>
      <c r="D3565" s="49" t="s">
        <v>283</v>
      </c>
      <c r="E3565" s="49" t="s">
        <v>7368</v>
      </c>
      <c r="F3565" s="50" t="n">
        <v>2</v>
      </c>
      <c r="G3565" s="49" t="s">
        <v>290</v>
      </c>
      <c r="H3565" s="51" t="n">
        <v>0.0125</v>
      </c>
      <c r="I3565" s="51" t="n">
        <v>0.563</v>
      </c>
      <c r="J3565" s="51" t="n">
        <v>0.4245</v>
      </c>
      <c r="K3565" s="49"/>
      <c r="L3565" s="49"/>
      <c r="M3565" s="49"/>
      <c r="N3565" s="49"/>
      <c r="O3565" s="49"/>
      <c r="P3565" s="49"/>
      <c r="Q3565" s="49"/>
      <c r="R3565" s="49"/>
      <c r="S3565" s="49" t="n">
        <v>0</v>
      </c>
      <c r="T3565" s="49" t="n">
        <v>0</v>
      </c>
      <c r="U3565" s="49" t="s">
        <v>7369</v>
      </c>
    </row>
    <row r="3566" customFormat="false" ht="15" hidden="false" customHeight="false" outlineLevel="0" collapsed="false">
      <c r="B3566" s="48" t="n">
        <v>46164.8569212963</v>
      </c>
      <c r="C3566" s="4" t="n">
        <f aca="false">YEAR(B3566)</f>
        <v>2026</v>
      </c>
      <c r="D3566" s="49" t="s">
        <v>283</v>
      </c>
      <c r="E3566" s="49" t="s">
        <v>7370</v>
      </c>
      <c r="F3566" s="50" t="n">
        <v>0</v>
      </c>
      <c r="G3566" s="49" t="s">
        <v>290</v>
      </c>
      <c r="H3566" s="51" t="n">
        <v>0.0477</v>
      </c>
      <c r="I3566" s="51" t="n">
        <v>0.7899</v>
      </c>
      <c r="J3566" s="51" t="n">
        <v>0.1624</v>
      </c>
      <c r="K3566" s="49"/>
      <c r="L3566" s="49"/>
      <c r="M3566" s="49"/>
      <c r="N3566" s="49"/>
      <c r="O3566" s="49"/>
      <c r="P3566" s="49"/>
      <c r="Q3566" s="49"/>
      <c r="R3566" s="49"/>
      <c r="S3566" s="49" t="n">
        <v>0</v>
      </c>
      <c r="T3566" s="49" t="n">
        <v>0</v>
      </c>
      <c r="U3566" s="49" t="s">
        <v>7371</v>
      </c>
    </row>
    <row r="3567" customFormat="false" ht="15" hidden="false" customHeight="false" outlineLevel="0" collapsed="false">
      <c r="B3567" s="48" t="n">
        <v>46164.9978356482</v>
      </c>
      <c r="C3567" s="4" t="n">
        <f aca="false">YEAR(B3567)</f>
        <v>2026</v>
      </c>
      <c r="D3567" s="49" t="s">
        <v>283</v>
      </c>
      <c r="E3567" s="49" t="s">
        <v>7372</v>
      </c>
      <c r="F3567" s="50" t="n">
        <v>4</v>
      </c>
      <c r="G3567" s="49" t="s">
        <v>287</v>
      </c>
      <c r="H3567" s="51" t="n">
        <v>0.0054</v>
      </c>
      <c r="I3567" s="51" t="n">
        <v>0.2392</v>
      </c>
      <c r="J3567" s="51" t="n">
        <v>0.7554</v>
      </c>
      <c r="K3567" s="49"/>
      <c r="L3567" s="49"/>
      <c r="M3567" s="49"/>
      <c r="N3567" s="49"/>
      <c r="O3567" s="49"/>
      <c r="P3567" s="49"/>
      <c r="Q3567" s="49"/>
      <c r="R3567" s="49"/>
      <c r="S3567" s="49" t="n">
        <v>0</v>
      </c>
      <c r="T3567" s="49" t="n">
        <v>0</v>
      </c>
      <c r="U3567" s="49" t="s">
        <v>7373</v>
      </c>
    </row>
    <row r="3568" customFormat="false" ht="15" hidden="false" customHeight="false" outlineLevel="0" collapsed="false">
      <c r="B3568" s="48" t="n">
        <v>46164.9979976852</v>
      </c>
      <c r="C3568" s="4" t="n">
        <f aca="false">YEAR(B3568)</f>
        <v>2026</v>
      </c>
      <c r="D3568" s="49" t="s">
        <v>278</v>
      </c>
      <c r="E3568" s="49" t="s">
        <v>7374</v>
      </c>
      <c r="F3568" s="50" t="n">
        <v>5</v>
      </c>
      <c r="G3568" s="49" t="s">
        <v>280</v>
      </c>
      <c r="H3568" s="51" t="n">
        <v>0.6548</v>
      </c>
      <c r="I3568" s="51" t="n">
        <v>0.3176</v>
      </c>
      <c r="J3568" s="51" t="n">
        <v>0.0276</v>
      </c>
      <c r="K3568" s="49"/>
      <c r="L3568" s="49"/>
      <c r="M3568" s="49" t="s">
        <v>281</v>
      </c>
      <c r="N3568" s="49"/>
      <c r="O3568" s="49"/>
      <c r="P3568" s="49"/>
      <c r="Q3568" s="49"/>
      <c r="R3568" s="49"/>
      <c r="S3568" s="49" t="n">
        <v>0</v>
      </c>
      <c r="T3568" s="49" t="n">
        <v>0</v>
      </c>
      <c r="U3568" s="49" t="s">
        <v>7375</v>
      </c>
    </row>
    <row r="3569" customFormat="false" ht="15" hidden="false" customHeight="false" outlineLevel="0" collapsed="false">
      <c r="B3569" s="48" t="n">
        <v>46165.3616898148</v>
      </c>
      <c r="C3569" s="4" t="n">
        <f aca="false">YEAR(B3569)</f>
        <v>2026</v>
      </c>
      <c r="D3569" s="49" t="s">
        <v>278</v>
      </c>
      <c r="E3569" s="49" t="s">
        <v>7376</v>
      </c>
      <c r="F3569" s="50" t="n">
        <v>2</v>
      </c>
      <c r="G3569" s="49" t="s">
        <v>280</v>
      </c>
      <c r="H3569" s="51" t="n">
        <v>0.7128</v>
      </c>
      <c r="I3569" s="51" t="n">
        <v>0.2709</v>
      </c>
      <c r="J3569" s="51" t="n">
        <v>0.0163</v>
      </c>
      <c r="K3569" s="49"/>
      <c r="L3569" s="49"/>
      <c r="M3569" s="49"/>
      <c r="N3569" s="49"/>
      <c r="O3569" s="49"/>
      <c r="P3569" s="49"/>
      <c r="Q3569" s="49" t="s">
        <v>281</v>
      </c>
      <c r="R3569" s="49"/>
      <c r="S3569" s="49" t="n">
        <v>0</v>
      </c>
      <c r="T3569" s="49" t="n">
        <v>0</v>
      </c>
      <c r="U3569" s="49" t="s">
        <v>7377</v>
      </c>
    </row>
    <row r="3570" customFormat="false" ht="15" hidden="false" customHeight="false" outlineLevel="0" collapsed="false">
      <c r="B3570" s="48" t="n">
        <v>46165.5080787037</v>
      </c>
      <c r="C3570" s="4" t="n">
        <f aca="false">YEAR(B3570)</f>
        <v>2026</v>
      </c>
      <c r="D3570" s="49" t="s">
        <v>278</v>
      </c>
      <c r="E3570" s="49" t="s">
        <v>7378</v>
      </c>
      <c r="F3570" s="50" t="n">
        <v>8</v>
      </c>
      <c r="G3570" s="49" t="s">
        <v>290</v>
      </c>
      <c r="H3570" s="51" t="n">
        <v>0.3052</v>
      </c>
      <c r="I3570" s="51" t="n">
        <v>0.6074</v>
      </c>
      <c r="J3570" s="51" t="n">
        <v>0.0875</v>
      </c>
      <c r="K3570" s="49"/>
      <c r="L3570" s="49"/>
      <c r="M3570" s="49"/>
      <c r="N3570" s="49"/>
      <c r="O3570" s="49"/>
      <c r="P3570" s="49"/>
      <c r="Q3570" s="49"/>
      <c r="R3570" s="49"/>
      <c r="S3570" s="49" t="n">
        <v>0</v>
      </c>
      <c r="T3570" s="49" t="n">
        <v>0</v>
      </c>
      <c r="U3570" s="49" t="s">
        <v>7379</v>
      </c>
    </row>
    <row r="3571" customFormat="false" ht="15" hidden="false" customHeight="false" outlineLevel="0" collapsed="false">
      <c r="B3571" s="48" t="n">
        <v>46165.6168402778</v>
      </c>
      <c r="C3571" s="4" t="n">
        <f aca="false">YEAR(B3571)</f>
        <v>2026</v>
      </c>
      <c r="D3571" s="49" t="s">
        <v>283</v>
      </c>
      <c r="E3571" s="49" t="s">
        <v>7380</v>
      </c>
      <c r="F3571" s="50" t="n">
        <v>3</v>
      </c>
      <c r="G3571" s="49" t="s">
        <v>287</v>
      </c>
      <c r="H3571" s="51" t="n">
        <v>0.0036</v>
      </c>
      <c r="I3571" s="51" t="n">
        <v>0.4584</v>
      </c>
      <c r="J3571" s="51" t="n">
        <v>0.538</v>
      </c>
      <c r="K3571" s="49"/>
      <c r="L3571" s="49"/>
      <c r="M3571" s="49"/>
      <c r="N3571" s="49"/>
      <c r="O3571" s="49"/>
      <c r="P3571" s="49"/>
      <c r="Q3571" s="49"/>
      <c r="R3571" s="49"/>
      <c r="S3571" s="49" t="n">
        <v>0</v>
      </c>
      <c r="T3571" s="49" t="n">
        <v>0</v>
      </c>
      <c r="U3571" s="49" t="s">
        <v>7381</v>
      </c>
    </row>
    <row r="3572" customFormat="false" ht="15" hidden="false" customHeight="false" outlineLevel="0" collapsed="false">
      <c r="B3572" s="48" t="n">
        <v>46165.8175462963</v>
      </c>
      <c r="C3572" s="4" t="n">
        <f aca="false">YEAR(B3572)</f>
        <v>2026</v>
      </c>
      <c r="D3572" s="49" t="s">
        <v>278</v>
      </c>
      <c r="E3572" s="49" t="s">
        <v>7382</v>
      </c>
      <c r="F3572" s="50" t="n">
        <v>1</v>
      </c>
      <c r="G3572" s="49" t="s">
        <v>280</v>
      </c>
      <c r="H3572" s="51" t="n">
        <v>0.9349</v>
      </c>
      <c r="I3572" s="51" t="n">
        <v>0.061</v>
      </c>
      <c r="J3572" s="51" t="n">
        <v>0.0041</v>
      </c>
      <c r="K3572" s="49"/>
      <c r="L3572" s="49"/>
      <c r="M3572" s="49"/>
      <c r="N3572" s="49"/>
      <c r="O3572" s="49"/>
      <c r="P3572" s="49"/>
      <c r="Q3572" s="49"/>
      <c r="R3572" s="49" t="s">
        <v>281</v>
      </c>
      <c r="S3572" s="49" t="n">
        <v>0</v>
      </c>
      <c r="T3572" s="49" t="n">
        <v>0</v>
      </c>
      <c r="U3572" s="49" t="s">
        <v>7383</v>
      </c>
    </row>
    <row r="3573" customFormat="false" ht="15" hidden="false" customHeight="false" outlineLevel="0" collapsed="false">
      <c r="B3573" s="48" t="n">
        <v>46165.8416087963</v>
      </c>
      <c r="C3573" s="4" t="n">
        <f aca="false">YEAR(B3573)</f>
        <v>2026</v>
      </c>
      <c r="D3573" s="49" t="s">
        <v>278</v>
      </c>
      <c r="E3573" s="49" t="s">
        <v>7384</v>
      </c>
      <c r="F3573" s="50" t="n">
        <v>1</v>
      </c>
      <c r="G3573" s="49" t="s">
        <v>280</v>
      </c>
      <c r="H3573" s="51" t="n">
        <v>0.6396</v>
      </c>
      <c r="I3573" s="51" t="n">
        <v>0.2802</v>
      </c>
      <c r="J3573" s="51" t="n">
        <v>0.0802</v>
      </c>
      <c r="K3573" s="49"/>
      <c r="L3573" s="49"/>
      <c r="M3573" s="49"/>
      <c r="N3573" s="49"/>
      <c r="O3573" s="49"/>
      <c r="P3573" s="49"/>
      <c r="Q3573" s="49"/>
      <c r="R3573" s="49" t="s">
        <v>281</v>
      </c>
      <c r="S3573" s="49" t="n">
        <v>0</v>
      </c>
      <c r="T3573" s="49" t="n">
        <v>0</v>
      </c>
      <c r="U3573" s="49" t="s">
        <v>7385</v>
      </c>
    </row>
    <row r="3574" customFormat="false" ht="15" hidden="false" customHeight="false" outlineLevel="0" collapsed="false">
      <c r="B3574" s="48" t="n">
        <v>46165.8681018519</v>
      </c>
      <c r="C3574" s="4" t="n">
        <f aca="false">YEAR(B3574)</f>
        <v>2026</v>
      </c>
      <c r="D3574" s="49" t="s">
        <v>278</v>
      </c>
      <c r="E3574" s="49" t="s">
        <v>7386</v>
      </c>
      <c r="F3574" s="50" t="n">
        <v>29</v>
      </c>
      <c r="G3574" s="49" t="s">
        <v>280</v>
      </c>
      <c r="H3574" s="51" t="n">
        <v>0.9298</v>
      </c>
      <c r="I3574" s="51" t="n">
        <v>0.0654</v>
      </c>
      <c r="J3574" s="51" t="n">
        <v>0.0049</v>
      </c>
      <c r="K3574" s="49"/>
      <c r="L3574" s="49"/>
      <c r="M3574" s="49"/>
      <c r="N3574" s="49"/>
      <c r="O3574" s="49"/>
      <c r="P3574" s="49"/>
      <c r="Q3574" s="49" t="s">
        <v>281</v>
      </c>
      <c r="R3574" s="49"/>
      <c r="S3574" s="49" t="n">
        <v>0</v>
      </c>
      <c r="T3574" s="49" t="n">
        <v>0</v>
      </c>
      <c r="U3574" s="49" t="s">
        <v>7387</v>
      </c>
    </row>
    <row r="3575" customFormat="false" ht="15" hidden="false" customHeight="false" outlineLevel="0" collapsed="false">
      <c r="B3575" s="48" t="n">
        <v>46166.1465625</v>
      </c>
      <c r="C3575" s="4" t="n">
        <f aca="false">YEAR(B3575)</f>
        <v>2026</v>
      </c>
      <c r="D3575" s="49" t="s">
        <v>278</v>
      </c>
      <c r="E3575" s="49" t="s">
        <v>7388</v>
      </c>
      <c r="F3575" s="50" t="n">
        <v>1</v>
      </c>
      <c r="G3575" s="49" t="s">
        <v>290</v>
      </c>
      <c r="H3575" s="51" t="n">
        <v>0.0217</v>
      </c>
      <c r="I3575" s="51" t="n">
        <v>0.8103</v>
      </c>
      <c r="J3575" s="51" t="n">
        <v>0.168</v>
      </c>
      <c r="K3575" s="49"/>
      <c r="L3575" s="49"/>
      <c r="M3575" s="49"/>
      <c r="N3575" s="49"/>
      <c r="O3575" s="49"/>
      <c r="P3575" s="49"/>
      <c r="Q3575" s="49"/>
      <c r="R3575" s="49"/>
      <c r="S3575" s="49" t="n">
        <v>1</v>
      </c>
      <c r="T3575" s="49" t="n">
        <v>0</v>
      </c>
      <c r="U3575" s="49" t="s">
        <v>7389</v>
      </c>
    </row>
    <row r="3576" customFormat="false" ht="15" hidden="false" customHeight="false" outlineLevel="0" collapsed="false">
      <c r="B3576" s="48" t="n">
        <v>46166.1466550926</v>
      </c>
      <c r="C3576" s="4" t="n">
        <f aca="false">YEAR(B3576)</f>
        <v>2026</v>
      </c>
      <c r="D3576" s="49" t="s">
        <v>278</v>
      </c>
      <c r="E3576" s="49" t="s">
        <v>7390</v>
      </c>
      <c r="F3576" s="50" t="n">
        <v>1</v>
      </c>
      <c r="G3576" s="49" t="s">
        <v>280</v>
      </c>
      <c r="H3576" s="51" t="n">
        <v>0.6966</v>
      </c>
      <c r="I3576" s="51" t="n">
        <v>0.2888</v>
      </c>
      <c r="J3576" s="51" t="n">
        <v>0.0146</v>
      </c>
      <c r="K3576" s="49"/>
      <c r="L3576" s="49"/>
      <c r="M3576" s="49"/>
      <c r="N3576" s="49"/>
      <c r="O3576" s="49"/>
      <c r="P3576" s="49"/>
      <c r="Q3576" s="49"/>
      <c r="R3576" s="49"/>
      <c r="S3576" s="49" t="n">
        <v>0</v>
      </c>
      <c r="T3576" s="49" t="n">
        <v>0</v>
      </c>
      <c r="U3576" s="49" t="s">
        <v>7391</v>
      </c>
    </row>
    <row r="3577" customFormat="false" ht="15" hidden="false" customHeight="false" outlineLevel="0" collapsed="false">
      <c r="B3577" s="48" t="n">
        <v>46166.5057407407</v>
      </c>
      <c r="C3577" s="4" t="n">
        <f aca="false">YEAR(B3577)</f>
        <v>2026</v>
      </c>
      <c r="D3577" s="49" t="s">
        <v>278</v>
      </c>
      <c r="E3577" s="49" t="s">
        <v>7392</v>
      </c>
      <c r="F3577" s="50" t="n">
        <v>2</v>
      </c>
      <c r="G3577" s="49" t="s">
        <v>280</v>
      </c>
      <c r="H3577" s="51" t="n">
        <v>0.5188</v>
      </c>
      <c r="I3577" s="51" t="n">
        <v>0.4418</v>
      </c>
      <c r="J3577" s="51" t="n">
        <v>0.0395</v>
      </c>
      <c r="K3577" s="49"/>
      <c r="L3577" s="49"/>
      <c r="M3577" s="49"/>
      <c r="N3577" s="49"/>
      <c r="O3577" s="49"/>
      <c r="P3577" s="49"/>
      <c r="Q3577" s="49"/>
      <c r="R3577" s="49"/>
      <c r="S3577" s="49" t="n">
        <v>0</v>
      </c>
      <c r="T3577" s="49" t="n">
        <v>0</v>
      </c>
      <c r="U3577" s="49" t="s">
        <v>7393</v>
      </c>
    </row>
    <row r="3578" customFormat="false" ht="15" hidden="false" customHeight="false" outlineLevel="0" collapsed="false">
      <c r="B3578" s="48" t="n">
        <v>46166.5783796296</v>
      </c>
      <c r="C3578" s="4" t="n">
        <f aca="false">YEAR(B3578)</f>
        <v>2026</v>
      </c>
      <c r="D3578" s="49" t="s">
        <v>278</v>
      </c>
      <c r="E3578" s="49" t="s">
        <v>7394</v>
      </c>
      <c r="F3578" s="50" t="n">
        <v>0</v>
      </c>
      <c r="G3578" s="49" t="s">
        <v>280</v>
      </c>
      <c r="H3578" s="51" t="n">
        <v>0.5991</v>
      </c>
      <c r="I3578" s="51" t="n">
        <v>0.3876</v>
      </c>
      <c r="J3578" s="51" t="n">
        <v>0.0133</v>
      </c>
      <c r="K3578" s="49"/>
      <c r="L3578" s="49" t="s">
        <v>281</v>
      </c>
      <c r="M3578" s="49"/>
      <c r="N3578" s="49"/>
      <c r="O3578" s="49"/>
      <c r="P3578" s="49"/>
      <c r="Q3578" s="49"/>
      <c r="R3578" s="49"/>
      <c r="S3578" s="49" t="n">
        <v>0</v>
      </c>
      <c r="T3578" s="49" t="n">
        <v>0</v>
      </c>
      <c r="U3578" s="49" t="s">
        <v>7395</v>
      </c>
    </row>
    <row r="3579" customFormat="false" ht="15" hidden="false" customHeight="false" outlineLevel="0" collapsed="false">
      <c r="B3579" s="48" t="n">
        <v>46166.6208680556</v>
      </c>
      <c r="C3579" s="4" t="n">
        <f aca="false">YEAR(B3579)</f>
        <v>2026</v>
      </c>
      <c r="D3579" s="49" t="s">
        <v>283</v>
      </c>
      <c r="E3579" s="49" t="s">
        <v>7396</v>
      </c>
      <c r="F3579" s="50" t="n">
        <v>1</v>
      </c>
      <c r="G3579" s="49" t="s">
        <v>287</v>
      </c>
      <c r="H3579" s="51" t="n">
        <v>0.0063</v>
      </c>
      <c r="I3579" s="51" t="n">
        <v>0.0239</v>
      </c>
      <c r="J3579" s="51" t="n">
        <v>0.9699</v>
      </c>
      <c r="K3579" s="49"/>
      <c r="L3579" s="49"/>
      <c r="M3579" s="49"/>
      <c r="N3579" s="49"/>
      <c r="O3579" s="49"/>
      <c r="P3579" s="49"/>
      <c r="Q3579" s="49"/>
      <c r="R3579" s="49"/>
      <c r="S3579" s="49" t="n">
        <v>0</v>
      </c>
      <c r="T3579" s="49" t="n">
        <v>0</v>
      </c>
      <c r="U3579" s="49" t="s">
        <v>7397</v>
      </c>
    </row>
    <row r="3580" customFormat="false" ht="15" hidden="false" customHeight="false" outlineLevel="0" collapsed="false">
      <c r="B3580" s="48" t="n">
        <v>46167.1577777778</v>
      </c>
      <c r="C3580" s="4" t="n">
        <f aca="false">YEAR(B3580)</f>
        <v>2026</v>
      </c>
      <c r="D3580" s="49" t="s">
        <v>278</v>
      </c>
      <c r="E3580" s="49" t="s">
        <v>7398</v>
      </c>
      <c r="F3580" s="50" t="n">
        <v>1</v>
      </c>
      <c r="G3580" s="49" t="s">
        <v>280</v>
      </c>
      <c r="H3580" s="51" t="n">
        <v>0.786</v>
      </c>
      <c r="I3580" s="51" t="n">
        <v>0.2025</v>
      </c>
      <c r="J3580" s="51" t="n">
        <v>0.0115</v>
      </c>
      <c r="K3580" s="49"/>
      <c r="L3580" s="49"/>
      <c r="M3580" s="49"/>
      <c r="N3580" s="49"/>
      <c r="O3580" s="49"/>
      <c r="P3580" s="49"/>
      <c r="Q3580" s="49"/>
      <c r="R3580" s="49" t="s">
        <v>281</v>
      </c>
      <c r="S3580" s="49" t="n">
        <v>0</v>
      </c>
      <c r="T3580" s="49" t="n">
        <v>0</v>
      </c>
      <c r="U3580" s="49" t="s">
        <v>7399</v>
      </c>
    </row>
    <row r="3581" customFormat="false" ht="15" hidden="false" customHeight="false" outlineLevel="0" collapsed="false">
      <c r="B3581" s="48" t="n">
        <v>46167.1983796296</v>
      </c>
      <c r="C3581" s="4" t="n">
        <f aca="false">YEAR(B3581)</f>
        <v>2026</v>
      </c>
      <c r="D3581" s="49" t="s">
        <v>283</v>
      </c>
      <c r="E3581" s="49" t="s">
        <v>7400</v>
      </c>
      <c r="F3581" s="50" t="n">
        <v>9</v>
      </c>
      <c r="G3581" s="49" t="s">
        <v>287</v>
      </c>
      <c r="H3581" s="51" t="n">
        <v>0.0075</v>
      </c>
      <c r="I3581" s="51" t="n">
        <v>0.2381</v>
      </c>
      <c r="J3581" s="51" t="n">
        <v>0.7544</v>
      </c>
      <c r="K3581" s="49"/>
      <c r="L3581" s="49"/>
      <c r="M3581" s="49"/>
      <c r="N3581" s="49"/>
      <c r="O3581" s="49"/>
      <c r="P3581" s="49"/>
      <c r="Q3581" s="49"/>
      <c r="R3581" s="49"/>
      <c r="S3581" s="49" t="n">
        <v>0</v>
      </c>
      <c r="T3581" s="49" t="n">
        <v>0</v>
      </c>
      <c r="U3581" s="49" t="s">
        <v>7401</v>
      </c>
    </row>
    <row r="3582" customFormat="false" ht="15" hidden="false" customHeight="false" outlineLevel="0" collapsed="false">
      <c r="B3582" s="48" t="n">
        <v>46167.9892708333</v>
      </c>
      <c r="C3582" s="4" t="n">
        <f aca="false">YEAR(B3582)</f>
        <v>2026</v>
      </c>
      <c r="D3582" s="49" t="s">
        <v>283</v>
      </c>
      <c r="E3582" s="49" t="s">
        <v>7402</v>
      </c>
      <c r="F3582" s="50" t="n">
        <v>1</v>
      </c>
      <c r="G3582" s="49" t="s">
        <v>290</v>
      </c>
      <c r="H3582" s="51" t="n">
        <v>0.0675</v>
      </c>
      <c r="I3582" s="51" t="n">
        <v>0.8899</v>
      </c>
      <c r="J3582" s="51" t="n">
        <v>0.0426</v>
      </c>
      <c r="K3582" s="49"/>
      <c r="L3582" s="49"/>
      <c r="M3582" s="49"/>
      <c r="N3582" s="49"/>
      <c r="O3582" s="49"/>
      <c r="P3582" s="49"/>
      <c r="Q3582" s="49"/>
      <c r="R3582" s="49"/>
      <c r="S3582" s="49" t="n">
        <v>1</v>
      </c>
      <c r="T3582" s="49" t="n">
        <v>0</v>
      </c>
      <c r="U3582" s="49" t="s">
        <v>7403</v>
      </c>
    </row>
    <row r="3583" customFormat="false" ht="15" hidden="false" customHeight="false" outlineLevel="0" collapsed="false">
      <c r="B3583" s="48" t="n">
        <v>46168.5283449074</v>
      </c>
      <c r="C3583" s="4" t="n">
        <f aca="false">YEAR(B3583)</f>
        <v>2026</v>
      </c>
      <c r="D3583" s="49" t="s">
        <v>278</v>
      </c>
      <c r="E3583" s="49" t="s">
        <v>7404</v>
      </c>
      <c r="F3583" s="50" t="n">
        <v>12</v>
      </c>
      <c r="G3583" s="49" t="s">
        <v>290</v>
      </c>
      <c r="H3583" s="51" t="n">
        <v>0.2971</v>
      </c>
      <c r="I3583" s="51" t="n">
        <v>0.5641</v>
      </c>
      <c r="J3583" s="51" t="n">
        <v>0.1388</v>
      </c>
      <c r="K3583" s="49" t="s">
        <v>281</v>
      </c>
      <c r="L3583" s="49"/>
      <c r="M3583" s="49"/>
      <c r="N3583" s="49"/>
      <c r="O3583" s="49"/>
      <c r="P3583" s="49"/>
      <c r="Q3583" s="49"/>
      <c r="R3583" s="49"/>
      <c r="S3583" s="49" t="n">
        <v>0</v>
      </c>
      <c r="T3583" s="49" t="n">
        <v>0</v>
      </c>
      <c r="U3583" s="49" t="s">
        <v>7405</v>
      </c>
    </row>
    <row r="3584" customFormat="false" ht="15" hidden="false" customHeight="false" outlineLevel="0" collapsed="false">
      <c r="B3584" s="48" t="n">
        <v>46168.5590740741</v>
      </c>
      <c r="C3584" s="4" t="n">
        <f aca="false">YEAR(B3584)</f>
        <v>2026</v>
      </c>
      <c r="D3584" s="49" t="s">
        <v>278</v>
      </c>
      <c r="E3584" s="49" t="s">
        <v>7406</v>
      </c>
      <c r="F3584" s="50" t="n">
        <v>28</v>
      </c>
      <c r="G3584" s="49" t="s">
        <v>280</v>
      </c>
      <c r="H3584" s="51" t="n">
        <v>0.7584</v>
      </c>
      <c r="I3584" s="51" t="n">
        <v>0.2079</v>
      </c>
      <c r="J3584" s="51" t="n">
        <v>0.0337</v>
      </c>
      <c r="K3584" s="49" t="s">
        <v>281</v>
      </c>
      <c r="L3584" s="49"/>
      <c r="M3584" s="49"/>
      <c r="N3584" s="49"/>
      <c r="O3584" s="49"/>
      <c r="P3584" s="49"/>
      <c r="Q3584" s="49" t="s">
        <v>281</v>
      </c>
      <c r="R3584" s="49"/>
      <c r="S3584" s="49" t="n">
        <v>0</v>
      </c>
      <c r="T3584" s="49" t="n">
        <v>0</v>
      </c>
      <c r="U3584" s="49" t="s">
        <v>7407</v>
      </c>
    </row>
    <row r="3585" customFormat="false" ht="15" hidden="false" customHeight="false" outlineLevel="0" collapsed="false">
      <c r="B3585" s="48" t="n">
        <v>46168.9217939815</v>
      </c>
      <c r="C3585" s="4" t="n">
        <f aca="false">YEAR(B3585)</f>
        <v>2026</v>
      </c>
      <c r="D3585" s="49" t="s">
        <v>283</v>
      </c>
      <c r="E3585" s="49" t="s">
        <v>7408</v>
      </c>
      <c r="F3585" s="50" t="n">
        <v>1</v>
      </c>
      <c r="G3585" s="49" t="s">
        <v>290</v>
      </c>
      <c r="H3585" s="51" t="n">
        <v>0.0151</v>
      </c>
      <c r="I3585" s="51" t="n">
        <v>0.9317</v>
      </c>
      <c r="J3585" s="51" t="n">
        <v>0.0532</v>
      </c>
      <c r="K3585" s="49"/>
      <c r="L3585" s="49"/>
      <c r="M3585" s="49"/>
      <c r="N3585" s="49"/>
      <c r="O3585" s="49"/>
      <c r="P3585" s="49"/>
      <c r="Q3585" s="49"/>
      <c r="R3585" s="49"/>
      <c r="S3585" s="49" t="n">
        <v>0</v>
      </c>
      <c r="T3585" s="49" t="n">
        <v>0</v>
      </c>
      <c r="U3585" s="49" t="s">
        <v>7409</v>
      </c>
    </row>
    <row r="3586" customFormat="false" ht="15" hidden="false" customHeight="false" outlineLevel="0" collapsed="false">
      <c r="B3586" s="48" t="n">
        <v>46169.2161574074</v>
      </c>
      <c r="C3586" s="4" t="n">
        <f aca="false">YEAR(B3586)</f>
        <v>2026</v>
      </c>
      <c r="D3586" s="49" t="s">
        <v>278</v>
      </c>
      <c r="E3586" s="49" t="s">
        <v>7410</v>
      </c>
      <c r="F3586" s="50" t="n">
        <v>5</v>
      </c>
      <c r="G3586" s="49" t="s">
        <v>290</v>
      </c>
      <c r="H3586" s="51" t="n">
        <v>0.0207</v>
      </c>
      <c r="I3586" s="51" t="n">
        <v>0.5702</v>
      </c>
      <c r="J3586" s="51" t="n">
        <v>0.409</v>
      </c>
      <c r="K3586" s="49"/>
      <c r="L3586" s="49"/>
      <c r="M3586" s="49"/>
      <c r="N3586" s="49"/>
      <c r="O3586" s="49"/>
      <c r="P3586" s="49"/>
      <c r="Q3586" s="49"/>
      <c r="R3586" s="49"/>
      <c r="S3586" s="49" t="n">
        <v>0</v>
      </c>
      <c r="T3586" s="49" t="n">
        <v>0</v>
      </c>
      <c r="U3586" s="49" t="s">
        <v>7411</v>
      </c>
    </row>
    <row r="3587" customFormat="false" ht="15" hidden="false" customHeight="false" outlineLevel="0" collapsed="false">
      <c r="B3587" s="48" t="n">
        <v>46169.2243287037</v>
      </c>
      <c r="C3587" s="4" t="n">
        <f aca="false">YEAR(B3587)</f>
        <v>2026</v>
      </c>
      <c r="D3587" s="49" t="s">
        <v>283</v>
      </c>
      <c r="E3587" s="49" t="s">
        <v>7412</v>
      </c>
      <c r="F3587" s="50" t="n">
        <v>1</v>
      </c>
      <c r="G3587" s="49" t="s">
        <v>290</v>
      </c>
      <c r="H3587" s="51" t="n">
        <v>0.0082</v>
      </c>
      <c r="I3587" s="51" t="n">
        <v>0.928</v>
      </c>
      <c r="J3587" s="51" t="n">
        <v>0.0638</v>
      </c>
      <c r="K3587" s="49"/>
      <c r="L3587" s="49"/>
      <c r="M3587" s="49"/>
      <c r="N3587" s="49"/>
      <c r="O3587" s="49"/>
      <c r="P3587" s="49"/>
      <c r="Q3587" s="49"/>
      <c r="R3587" s="49"/>
      <c r="S3587" s="49" t="n">
        <v>0</v>
      </c>
      <c r="T3587" s="49" t="n">
        <v>0</v>
      </c>
      <c r="U3587" s="49" t="s">
        <v>7413</v>
      </c>
    </row>
    <row r="3588" customFormat="false" ht="15" hidden="false" customHeight="false" outlineLevel="0" collapsed="false">
      <c r="B3588" s="48" t="n">
        <v>46169.2871412037</v>
      </c>
      <c r="C3588" s="4" t="n">
        <f aca="false">YEAR(B3588)</f>
        <v>2026</v>
      </c>
      <c r="D3588" s="49" t="s">
        <v>278</v>
      </c>
      <c r="E3588" s="49" t="s">
        <v>7414</v>
      </c>
      <c r="F3588" s="50" t="n">
        <v>1</v>
      </c>
      <c r="G3588" s="49" t="s">
        <v>280</v>
      </c>
      <c r="H3588" s="51" t="n">
        <v>0.5919</v>
      </c>
      <c r="I3588" s="51" t="n">
        <v>0.3709</v>
      </c>
      <c r="J3588" s="51" t="n">
        <v>0.0372</v>
      </c>
      <c r="K3588" s="49"/>
      <c r="L3588" s="49"/>
      <c r="M3588" s="49"/>
      <c r="N3588" s="49"/>
      <c r="O3588" s="49"/>
      <c r="P3588" s="49"/>
      <c r="Q3588" s="49"/>
      <c r="R3588" s="49"/>
      <c r="S3588" s="49" t="n">
        <v>0</v>
      </c>
      <c r="T3588" s="49" t="n">
        <v>0</v>
      </c>
      <c r="U3588" s="49" t="s">
        <v>7415</v>
      </c>
    </row>
    <row r="3589" customFormat="false" ht="15" hidden="false" customHeight="false" outlineLevel="0" collapsed="false">
      <c r="B3589" s="48" t="n">
        <v>46169.9761689815</v>
      </c>
      <c r="C3589" s="4" t="n">
        <f aca="false">YEAR(B3589)</f>
        <v>2026</v>
      </c>
      <c r="D3589" s="49" t="s">
        <v>278</v>
      </c>
      <c r="E3589" s="49" t="s">
        <v>7416</v>
      </c>
      <c r="F3589" s="50" t="n">
        <v>88</v>
      </c>
      <c r="G3589" s="49" t="s">
        <v>280</v>
      </c>
      <c r="H3589" s="51" t="n">
        <v>0.6912</v>
      </c>
      <c r="I3589" s="51" t="n">
        <v>0.2931</v>
      </c>
      <c r="J3589" s="51" t="n">
        <v>0.0157</v>
      </c>
      <c r="K3589" s="49"/>
      <c r="L3589" s="49"/>
      <c r="M3589" s="49"/>
      <c r="N3589" s="49"/>
      <c r="O3589" s="49"/>
      <c r="P3589" s="49"/>
      <c r="Q3589" s="49"/>
      <c r="R3589" s="49" t="s">
        <v>281</v>
      </c>
      <c r="S3589" s="49" t="n">
        <v>0</v>
      </c>
      <c r="T3589" s="49" t="n">
        <v>0</v>
      </c>
      <c r="U3589" s="49" t="s">
        <v>7417</v>
      </c>
    </row>
    <row r="3590" customFormat="false" ht="15" hidden="false" customHeight="false" outlineLevel="0" collapsed="false">
      <c r="B3590" s="48" t="n">
        <v>46170.0541319445</v>
      </c>
      <c r="C3590" s="4" t="n">
        <f aca="false">YEAR(B3590)</f>
        <v>2026</v>
      </c>
      <c r="D3590" s="49" t="s">
        <v>278</v>
      </c>
      <c r="E3590" s="49" t="s">
        <v>7418</v>
      </c>
      <c r="F3590" s="50" t="n">
        <v>4</v>
      </c>
      <c r="G3590" s="49" t="s">
        <v>280</v>
      </c>
      <c r="H3590" s="51" t="n">
        <v>0.6227</v>
      </c>
      <c r="I3590" s="51" t="n">
        <v>0.3513</v>
      </c>
      <c r="J3590" s="51" t="n">
        <v>0.026</v>
      </c>
      <c r="K3590" s="49"/>
      <c r="L3590" s="49"/>
      <c r="M3590" s="49"/>
      <c r="N3590" s="49"/>
      <c r="O3590" s="49"/>
      <c r="P3590" s="49"/>
      <c r="Q3590" s="49"/>
      <c r="R3590" s="49"/>
      <c r="S3590" s="49" t="n">
        <v>0</v>
      </c>
      <c r="T3590" s="49" t="n">
        <v>0</v>
      </c>
      <c r="U3590" s="49" t="s">
        <v>7419</v>
      </c>
    </row>
    <row r="3591" customFormat="false" ht="15" hidden="false" customHeight="false" outlineLevel="0" collapsed="false">
      <c r="B3591" s="48" t="n">
        <v>46170.3917708333</v>
      </c>
      <c r="C3591" s="4" t="n">
        <f aca="false">YEAR(B3591)</f>
        <v>2026</v>
      </c>
      <c r="D3591" s="49" t="s">
        <v>278</v>
      </c>
      <c r="E3591" s="49" t="s">
        <v>7420</v>
      </c>
      <c r="F3591" s="50" t="n">
        <v>9</v>
      </c>
      <c r="G3591" s="49" t="s">
        <v>280</v>
      </c>
      <c r="H3591" s="51" t="n">
        <v>0.7061</v>
      </c>
      <c r="I3591" s="51" t="n">
        <v>0.281</v>
      </c>
      <c r="J3591" s="51" t="n">
        <v>0.0129</v>
      </c>
      <c r="K3591" s="49" t="s">
        <v>281</v>
      </c>
      <c r="L3591" s="49"/>
      <c r="M3591" s="49"/>
      <c r="N3591" s="49"/>
      <c r="O3591" s="49"/>
      <c r="P3591" s="49"/>
      <c r="Q3591" s="49"/>
      <c r="R3591" s="49"/>
      <c r="S3591" s="49" t="n">
        <v>0</v>
      </c>
      <c r="T3591" s="49" t="n">
        <v>0</v>
      </c>
      <c r="U3591" s="49" t="s">
        <v>7421</v>
      </c>
    </row>
    <row r="3592" customFormat="false" ht="15" hidden="false" customHeight="false" outlineLevel="0" collapsed="false">
      <c r="B3592" s="48" t="n">
        <v>46170.4586805556</v>
      </c>
      <c r="C3592" s="4" t="n">
        <f aca="false">YEAR(B3592)</f>
        <v>2026</v>
      </c>
      <c r="D3592" s="49" t="s">
        <v>278</v>
      </c>
      <c r="E3592" s="49" t="s">
        <v>7422</v>
      </c>
      <c r="F3592" s="50" t="n">
        <v>1</v>
      </c>
      <c r="G3592" s="49" t="s">
        <v>280</v>
      </c>
      <c r="H3592" s="51" t="n">
        <v>0.8042</v>
      </c>
      <c r="I3592" s="51" t="n">
        <v>0.1799</v>
      </c>
      <c r="J3592" s="51" t="n">
        <v>0.0159</v>
      </c>
      <c r="K3592" s="49"/>
      <c r="L3592" s="49"/>
      <c r="M3592" s="49"/>
      <c r="N3592" s="49"/>
      <c r="O3592" s="49"/>
      <c r="P3592" s="49"/>
      <c r="Q3592" s="49"/>
      <c r="R3592" s="49" t="s">
        <v>281</v>
      </c>
      <c r="S3592" s="49" t="n">
        <v>0</v>
      </c>
      <c r="T3592" s="49" t="n">
        <v>0</v>
      </c>
      <c r="U3592" s="49" t="s">
        <v>7423</v>
      </c>
    </row>
    <row r="3593" customFormat="false" ht="15" hidden="false" customHeight="false" outlineLevel="0" collapsed="false">
      <c r="B3593" s="48" t="n">
        <v>46170.5100925926</v>
      </c>
      <c r="C3593" s="4" t="n">
        <f aca="false">YEAR(B3593)</f>
        <v>2026</v>
      </c>
      <c r="D3593" s="49" t="s">
        <v>278</v>
      </c>
      <c r="E3593" s="49" t="s">
        <v>7424</v>
      </c>
      <c r="F3593" s="50" t="n">
        <v>2</v>
      </c>
      <c r="G3593" s="49" t="s">
        <v>280</v>
      </c>
      <c r="H3593" s="51" t="n">
        <v>0.893</v>
      </c>
      <c r="I3593" s="51" t="n">
        <v>0.1004</v>
      </c>
      <c r="J3593" s="51" t="n">
        <v>0.0066</v>
      </c>
      <c r="K3593" s="49"/>
      <c r="L3593" s="49"/>
      <c r="M3593" s="49"/>
      <c r="N3593" s="49"/>
      <c r="O3593" s="49"/>
      <c r="P3593" s="49"/>
      <c r="Q3593" s="49"/>
      <c r="R3593" s="49"/>
      <c r="S3593" s="49" t="n">
        <v>0</v>
      </c>
      <c r="T3593" s="49" t="n">
        <v>0</v>
      </c>
      <c r="U3593" s="49" t="s">
        <v>7425</v>
      </c>
    </row>
    <row r="3594" customFormat="false" ht="15" hidden="false" customHeight="false" outlineLevel="0" collapsed="false">
      <c r="B3594" s="48" t="n">
        <v>46170.5810069444</v>
      </c>
      <c r="C3594" s="4" t="n">
        <f aca="false">YEAR(B3594)</f>
        <v>2026</v>
      </c>
      <c r="D3594" s="49" t="s">
        <v>278</v>
      </c>
      <c r="E3594" s="49" t="s">
        <v>7426</v>
      </c>
      <c r="F3594" s="50" t="n">
        <v>0</v>
      </c>
      <c r="G3594" s="49" t="s">
        <v>290</v>
      </c>
      <c r="H3594" s="51" t="n">
        <v>0.1908</v>
      </c>
      <c r="I3594" s="51" t="n">
        <v>0.5498</v>
      </c>
      <c r="J3594" s="51" t="n">
        <v>0.2594</v>
      </c>
      <c r="K3594" s="49"/>
      <c r="L3594" s="49"/>
      <c r="M3594" s="49"/>
      <c r="N3594" s="49"/>
      <c r="O3594" s="49"/>
      <c r="P3594" s="49"/>
      <c r="Q3594" s="49"/>
      <c r="R3594" s="49"/>
      <c r="S3594" s="49" t="n">
        <v>0</v>
      </c>
      <c r="T3594" s="49" t="n">
        <v>1</v>
      </c>
      <c r="U3594" s="49" t="s">
        <v>7427</v>
      </c>
    </row>
    <row r="3595" customFormat="false" ht="15" hidden="false" customHeight="false" outlineLevel="0" collapsed="false">
      <c r="B3595" s="48" t="n">
        <v>46171.1708333333</v>
      </c>
      <c r="C3595" s="4" t="n">
        <f aca="false">YEAR(B3595)</f>
        <v>2026</v>
      </c>
      <c r="D3595" s="49" t="s">
        <v>283</v>
      </c>
      <c r="E3595" s="49" t="s">
        <v>7428</v>
      </c>
      <c r="F3595" s="50" t="n">
        <v>3</v>
      </c>
      <c r="G3595" s="49" t="s">
        <v>287</v>
      </c>
      <c r="H3595" s="51" t="n">
        <v>0.0069</v>
      </c>
      <c r="I3595" s="51" t="n">
        <v>0.4718</v>
      </c>
      <c r="J3595" s="51" t="n">
        <v>0.5214</v>
      </c>
      <c r="K3595" s="49"/>
      <c r="L3595" s="49"/>
      <c r="M3595" s="49"/>
      <c r="N3595" s="49"/>
      <c r="O3595" s="49"/>
      <c r="P3595" s="49"/>
      <c r="Q3595" s="49"/>
      <c r="R3595" s="49"/>
      <c r="S3595" s="49" t="n">
        <v>0</v>
      </c>
      <c r="T3595" s="49" t="n">
        <v>0</v>
      </c>
      <c r="U3595" s="49" t="s">
        <v>7429</v>
      </c>
    </row>
    <row r="3596" customFormat="false" ht="15" hidden="false" customHeight="false" outlineLevel="0" collapsed="false">
      <c r="B3596" s="48" t="n">
        <v>46171.4051851852</v>
      </c>
      <c r="C3596" s="4" t="n">
        <f aca="false">YEAR(B3596)</f>
        <v>2026</v>
      </c>
      <c r="D3596" s="49" t="s">
        <v>283</v>
      </c>
      <c r="E3596" s="49" t="s">
        <v>7430</v>
      </c>
      <c r="F3596" s="50" t="n">
        <v>1</v>
      </c>
      <c r="G3596" s="49" t="s">
        <v>287</v>
      </c>
      <c r="H3596" s="51" t="n">
        <v>0.0117</v>
      </c>
      <c r="I3596" s="51" t="n">
        <v>0.1202</v>
      </c>
      <c r="J3596" s="51" t="n">
        <v>0.8681</v>
      </c>
      <c r="K3596" s="49"/>
      <c r="L3596" s="49"/>
      <c r="M3596" s="49"/>
      <c r="N3596" s="49"/>
      <c r="O3596" s="49"/>
      <c r="P3596" s="49"/>
      <c r="Q3596" s="49"/>
      <c r="R3596" s="49"/>
      <c r="S3596" s="49" t="n">
        <v>0</v>
      </c>
      <c r="T3596" s="49" t="n">
        <v>0</v>
      </c>
      <c r="U3596" s="49" t="s">
        <v>7431</v>
      </c>
    </row>
    <row r="3597" customFormat="false" ht="15" hidden="false" customHeight="false" outlineLevel="0" collapsed="false">
      <c r="B3597" s="48" t="n">
        <v>46171.4951388889</v>
      </c>
      <c r="C3597" s="4" t="n">
        <f aca="false">YEAR(B3597)</f>
        <v>2026</v>
      </c>
      <c r="D3597" s="49" t="s">
        <v>278</v>
      </c>
      <c r="E3597" s="49" t="s">
        <v>7432</v>
      </c>
      <c r="F3597" s="50" t="n">
        <v>0</v>
      </c>
      <c r="G3597" s="49" t="s">
        <v>287</v>
      </c>
      <c r="H3597" s="51" t="n">
        <v>0.0167</v>
      </c>
      <c r="I3597" s="51" t="n">
        <v>0.285</v>
      </c>
      <c r="J3597" s="51" t="n">
        <v>0.6982</v>
      </c>
      <c r="K3597" s="49"/>
      <c r="L3597" s="49"/>
      <c r="M3597" s="49"/>
      <c r="N3597" s="49"/>
      <c r="O3597" s="49"/>
      <c r="P3597" s="49"/>
      <c r="Q3597" s="49"/>
      <c r="R3597" s="49"/>
      <c r="S3597" s="49" t="n">
        <v>0</v>
      </c>
      <c r="T3597" s="49" t="n">
        <v>0</v>
      </c>
      <c r="U3597" s="49" t="s">
        <v>7433</v>
      </c>
    </row>
    <row r="3598" customFormat="false" ht="15" hidden="false" customHeight="false" outlineLevel="0" collapsed="false">
      <c r="B3598" s="48" t="n">
        <v>46171.5621759259</v>
      </c>
      <c r="C3598" s="4" t="n">
        <f aca="false">YEAR(B3598)</f>
        <v>2026</v>
      </c>
      <c r="D3598" s="49" t="s">
        <v>278</v>
      </c>
      <c r="E3598" s="49" t="s">
        <v>7434</v>
      </c>
      <c r="F3598" s="50" t="n">
        <v>0</v>
      </c>
      <c r="G3598" s="49" t="s">
        <v>290</v>
      </c>
      <c r="H3598" s="51" t="n">
        <v>0.437</v>
      </c>
      <c r="I3598" s="51" t="n">
        <v>0.4868</v>
      </c>
      <c r="J3598" s="51" t="n">
        <v>0.0763</v>
      </c>
      <c r="K3598" s="49" t="s">
        <v>281</v>
      </c>
      <c r="L3598" s="49"/>
      <c r="M3598" s="49"/>
      <c r="N3598" s="49"/>
      <c r="O3598" s="49"/>
      <c r="P3598" s="49"/>
      <c r="Q3598" s="49"/>
      <c r="R3598" s="49"/>
      <c r="S3598" s="49" t="n">
        <v>0</v>
      </c>
      <c r="T3598" s="49" t="n">
        <v>0</v>
      </c>
      <c r="U3598" s="49" t="s">
        <v>7435</v>
      </c>
    </row>
    <row r="3599" customFormat="false" ht="15" hidden="false" customHeight="false" outlineLevel="0" collapsed="false">
      <c r="B3599" s="48" t="n">
        <v>46171.5864814815</v>
      </c>
      <c r="C3599" s="4" t="n">
        <f aca="false">YEAR(B3599)</f>
        <v>2026</v>
      </c>
      <c r="D3599" s="49" t="s">
        <v>283</v>
      </c>
      <c r="E3599" s="49" t="s">
        <v>7436</v>
      </c>
      <c r="F3599" s="50" t="n">
        <v>1</v>
      </c>
      <c r="G3599" s="49" t="s">
        <v>287</v>
      </c>
      <c r="H3599" s="51" t="n">
        <v>0.0102</v>
      </c>
      <c r="I3599" s="51" t="n">
        <v>0.2841</v>
      </c>
      <c r="J3599" s="51" t="n">
        <v>0.7056</v>
      </c>
      <c r="K3599" s="49"/>
      <c r="L3599" s="49"/>
      <c r="M3599" s="49"/>
      <c r="N3599" s="49"/>
      <c r="O3599" s="49"/>
      <c r="P3599" s="49"/>
      <c r="Q3599" s="49"/>
      <c r="R3599" s="49"/>
      <c r="S3599" s="49" t="n">
        <v>0</v>
      </c>
      <c r="T3599" s="49" t="n">
        <v>0</v>
      </c>
      <c r="U3599" s="49" t="s">
        <v>7437</v>
      </c>
    </row>
    <row r="3600" customFormat="false" ht="15" hidden="false" customHeight="false" outlineLevel="0" collapsed="false">
      <c r="B3600" s="48" t="n">
        <v>46171.8443055556</v>
      </c>
      <c r="C3600" s="4" t="n">
        <f aca="false">YEAR(B3600)</f>
        <v>2026</v>
      </c>
      <c r="D3600" s="49" t="s">
        <v>278</v>
      </c>
      <c r="E3600" s="49" t="s">
        <v>7438</v>
      </c>
      <c r="F3600" s="50" t="n">
        <v>0</v>
      </c>
      <c r="G3600" s="49" t="s">
        <v>290</v>
      </c>
      <c r="H3600" s="51" t="n">
        <v>0.2089</v>
      </c>
      <c r="I3600" s="51" t="n">
        <v>0.7193</v>
      </c>
      <c r="J3600" s="51" t="n">
        <v>0.0718</v>
      </c>
      <c r="K3600" s="49"/>
      <c r="L3600" s="49"/>
      <c r="M3600" s="49"/>
      <c r="N3600" s="49"/>
      <c r="O3600" s="49"/>
      <c r="P3600" s="49"/>
      <c r="Q3600" s="49"/>
      <c r="R3600" s="49"/>
      <c r="S3600" s="49" t="n">
        <v>0</v>
      </c>
      <c r="T3600" s="49" t="n">
        <v>0</v>
      </c>
      <c r="U3600" s="49" t="s">
        <v>7439</v>
      </c>
    </row>
    <row r="3601" customFormat="false" ht="15" hidden="false" customHeight="false" outlineLevel="0" collapsed="false">
      <c r="B3601" s="48" t="n">
        <v>46171.9066782407</v>
      </c>
      <c r="C3601" s="4" t="n">
        <f aca="false">YEAR(B3601)</f>
        <v>2026</v>
      </c>
      <c r="D3601" s="49" t="s">
        <v>278</v>
      </c>
      <c r="E3601" s="49" t="s">
        <v>7440</v>
      </c>
      <c r="F3601" s="50" t="n">
        <v>0</v>
      </c>
      <c r="G3601" s="49" t="s">
        <v>287</v>
      </c>
      <c r="H3601" s="51" t="n">
        <v>0.0071</v>
      </c>
      <c r="I3601" s="51" t="n">
        <v>0.352</v>
      </c>
      <c r="J3601" s="51" t="n">
        <v>0.6409</v>
      </c>
      <c r="K3601" s="49"/>
      <c r="L3601" s="49"/>
      <c r="M3601" s="49"/>
      <c r="N3601" s="49"/>
      <c r="O3601" s="49"/>
      <c r="P3601" s="49"/>
      <c r="Q3601" s="49"/>
      <c r="R3601" s="49"/>
      <c r="S3601" s="49" t="n">
        <v>0</v>
      </c>
      <c r="T3601" s="49" t="n">
        <v>0</v>
      </c>
      <c r="U3601" s="49" t="s">
        <v>7441</v>
      </c>
    </row>
    <row r="3602" customFormat="false" ht="15" hidden="false" customHeight="false" outlineLevel="0" collapsed="false">
      <c r="B3602" s="48" t="n">
        <v>46172.3427083333</v>
      </c>
      <c r="C3602" s="4" t="n">
        <f aca="false">YEAR(B3602)</f>
        <v>2026</v>
      </c>
      <c r="D3602" s="49" t="s">
        <v>278</v>
      </c>
      <c r="E3602" s="49" t="s">
        <v>7442</v>
      </c>
      <c r="F3602" s="50" t="n">
        <v>1</v>
      </c>
      <c r="G3602" s="49" t="s">
        <v>287</v>
      </c>
      <c r="H3602" s="51" t="n">
        <v>0.0146</v>
      </c>
      <c r="I3602" s="51" t="n">
        <v>0.1792</v>
      </c>
      <c r="J3602" s="51" t="n">
        <v>0.8062</v>
      </c>
      <c r="K3602" s="49"/>
      <c r="L3602" s="49"/>
      <c r="M3602" s="49"/>
      <c r="N3602" s="49"/>
      <c r="O3602" s="49"/>
      <c r="P3602" s="49"/>
      <c r="Q3602" s="49"/>
      <c r="R3602" s="49"/>
      <c r="S3602" s="49" t="n">
        <v>0</v>
      </c>
      <c r="T3602" s="49" t="n">
        <v>0</v>
      </c>
      <c r="U3602" s="49" t="s">
        <v>7443</v>
      </c>
    </row>
    <row r="3603" customFormat="false" ht="15" hidden="false" customHeight="false" outlineLevel="0" collapsed="false">
      <c r="B3603" s="48" t="n">
        <v>46172.8394444444</v>
      </c>
      <c r="C3603" s="4" t="n">
        <f aca="false">YEAR(B3603)</f>
        <v>2026</v>
      </c>
      <c r="D3603" s="49" t="s">
        <v>283</v>
      </c>
      <c r="E3603" s="49" t="s">
        <v>7444</v>
      </c>
      <c r="F3603" s="50" t="n">
        <v>1</v>
      </c>
      <c r="G3603" s="49" t="s">
        <v>290</v>
      </c>
      <c r="H3603" s="51" t="n">
        <v>0.0103</v>
      </c>
      <c r="I3603" s="51" t="n">
        <v>0.9398</v>
      </c>
      <c r="J3603" s="51" t="n">
        <v>0.0498</v>
      </c>
      <c r="K3603" s="49"/>
      <c r="L3603" s="49"/>
      <c r="M3603" s="49"/>
      <c r="N3603" s="49"/>
      <c r="O3603" s="49"/>
      <c r="P3603" s="49"/>
      <c r="Q3603" s="49"/>
      <c r="R3603" s="49"/>
      <c r="S3603" s="49" t="n">
        <v>1</v>
      </c>
      <c r="T3603" s="49" t="n">
        <v>0</v>
      </c>
      <c r="U3603" s="49" t="s">
        <v>7445</v>
      </c>
    </row>
    <row r="3604" customFormat="false" ht="15" hidden="false" customHeight="false" outlineLevel="0" collapsed="false">
      <c r="B3604" s="48" t="n">
        <v>46173.0662037037</v>
      </c>
      <c r="C3604" s="4" t="n">
        <f aca="false">YEAR(B3604)</f>
        <v>2026</v>
      </c>
      <c r="D3604" s="49" t="s">
        <v>283</v>
      </c>
      <c r="E3604" s="49" t="s">
        <v>7446</v>
      </c>
      <c r="F3604" s="50" t="n">
        <v>2</v>
      </c>
      <c r="G3604" s="49" t="s">
        <v>287</v>
      </c>
      <c r="H3604" s="51" t="n">
        <v>0.0053</v>
      </c>
      <c r="I3604" s="51" t="n">
        <v>0.147</v>
      </c>
      <c r="J3604" s="51" t="n">
        <v>0.8477</v>
      </c>
      <c r="K3604" s="49"/>
      <c r="L3604" s="49"/>
      <c r="M3604" s="49"/>
      <c r="N3604" s="49"/>
      <c r="O3604" s="49"/>
      <c r="P3604" s="49"/>
      <c r="Q3604" s="49"/>
      <c r="R3604" s="49"/>
      <c r="S3604" s="49" t="n">
        <v>0</v>
      </c>
      <c r="T3604" s="49" t="n">
        <v>0</v>
      </c>
      <c r="U3604" s="49" t="s">
        <v>7447</v>
      </c>
    </row>
    <row r="3605" customFormat="false" ht="15" hidden="false" customHeight="false" outlineLevel="0" collapsed="false">
      <c r="B3605" s="48" t="n">
        <v>46173.1650925926</v>
      </c>
      <c r="C3605" s="4" t="n">
        <f aca="false">YEAR(B3605)</f>
        <v>2026</v>
      </c>
      <c r="D3605" s="49" t="s">
        <v>283</v>
      </c>
      <c r="E3605" s="49" t="s">
        <v>7448</v>
      </c>
      <c r="F3605" s="50" t="n">
        <v>1</v>
      </c>
      <c r="G3605" s="49" t="s">
        <v>290</v>
      </c>
      <c r="H3605" s="51" t="n">
        <v>0.0261</v>
      </c>
      <c r="I3605" s="51" t="n">
        <v>0.8249</v>
      </c>
      <c r="J3605" s="51" t="n">
        <v>0.149</v>
      </c>
      <c r="K3605" s="49"/>
      <c r="L3605" s="49"/>
      <c r="M3605" s="49"/>
      <c r="N3605" s="49"/>
      <c r="O3605" s="49"/>
      <c r="P3605" s="49"/>
      <c r="Q3605" s="49"/>
      <c r="R3605" s="49"/>
      <c r="S3605" s="49" t="n">
        <v>0</v>
      </c>
      <c r="T3605" s="49" t="n">
        <v>0</v>
      </c>
      <c r="U3605" s="49" t="s">
        <v>7449</v>
      </c>
    </row>
    <row r="3606" customFormat="false" ht="15" hidden="false" customHeight="false" outlineLevel="0" collapsed="false">
      <c r="B3606" s="48" t="n">
        <v>46173.178287037</v>
      </c>
      <c r="C3606" s="4" t="n">
        <f aca="false">YEAR(B3606)</f>
        <v>2026</v>
      </c>
      <c r="D3606" s="49" t="s">
        <v>278</v>
      </c>
      <c r="E3606" s="49" t="s">
        <v>7450</v>
      </c>
      <c r="F3606" s="50" t="n">
        <v>0</v>
      </c>
      <c r="G3606" s="49" t="s">
        <v>290</v>
      </c>
      <c r="H3606" s="51" t="n">
        <v>0.0066</v>
      </c>
      <c r="I3606" s="51" t="n">
        <v>0.6055</v>
      </c>
      <c r="J3606" s="51" t="n">
        <v>0.3879</v>
      </c>
      <c r="K3606" s="49"/>
      <c r="L3606" s="49"/>
      <c r="M3606" s="49"/>
      <c r="N3606" s="49"/>
      <c r="O3606" s="49"/>
      <c r="P3606" s="49"/>
      <c r="Q3606" s="49"/>
      <c r="R3606" s="49"/>
      <c r="S3606" s="49" t="n">
        <v>0</v>
      </c>
      <c r="T3606" s="49" t="n">
        <v>0</v>
      </c>
      <c r="U3606" s="49" t="s">
        <v>7451</v>
      </c>
    </row>
    <row r="3607" customFormat="false" ht="15" hidden="false" customHeight="false" outlineLevel="0" collapsed="false">
      <c r="B3607" s="48" t="n">
        <v>46173.3396180556</v>
      </c>
      <c r="C3607" s="4" t="n">
        <f aca="false">YEAR(B3607)</f>
        <v>2026</v>
      </c>
      <c r="D3607" s="49" t="s">
        <v>278</v>
      </c>
      <c r="E3607" s="49" t="s">
        <v>7452</v>
      </c>
      <c r="F3607" s="50" t="n">
        <v>2</v>
      </c>
      <c r="G3607" s="49" t="s">
        <v>290</v>
      </c>
      <c r="H3607" s="51" t="n">
        <v>0.4253</v>
      </c>
      <c r="I3607" s="51" t="n">
        <v>0.4748</v>
      </c>
      <c r="J3607" s="51" t="n">
        <v>0.0999</v>
      </c>
      <c r="K3607" s="49"/>
      <c r="L3607" s="49"/>
      <c r="M3607" s="49"/>
      <c r="N3607" s="49"/>
      <c r="O3607" s="49"/>
      <c r="P3607" s="49"/>
      <c r="Q3607" s="49"/>
      <c r="R3607" s="49"/>
      <c r="S3607" s="49" t="n">
        <v>0</v>
      </c>
      <c r="T3607" s="49" t="n">
        <v>0</v>
      </c>
      <c r="U3607" s="49" t="s">
        <v>7453</v>
      </c>
    </row>
    <row r="3608" customFormat="false" ht="15" hidden="false" customHeight="false" outlineLevel="0" collapsed="false">
      <c r="B3608" s="48" t="n">
        <v>46173.3756134259</v>
      </c>
      <c r="C3608" s="4" t="n">
        <f aca="false">YEAR(B3608)</f>
        <v>2026</v>
      </c>
      <c r="D3608" s="49" t="s">
        <v>278</v>
      </c>
      <c r="E3608" s="49" t="s">
        <v>7454</v>
      </c>
      <c r="F3608" s="50" t="n">
        <v>4</v>
      </c>
      <c r="G3608" s="49" t="s">
        <v>290</v>
      </c>
      <c r="H3608" s="51" t="n">
        <v>0.0288</v>
      </c>
      <c r="I3608" s="51" t="n">
        <v>0.7528</v>
      </c>
      <c r="J3608" s="51" t="n">
        <v>0.2184</v>
      </c>
      <c r="K3608" s="49" t="s">
        <v>281</v>
      </c>
      <c r="L3608" s="49"/>
      <c r="M3608" s="49"/>
      <c r="N3608" s="49"/>
      <c r="O3608" s="49"/>
      <c r="P3608" s="49"/>
      <c r="Q3608" s="49"/>
      <c r="R3608" s="49"/>
      <c r="S3608" s="49" t="n">
        <v>0</v>
      </c>
      <c r="T3608" s="49" t="n">
        <v>0</v>
      </c>
      <c r="U3608" s="49" t="s">
        <v>7455</v>
      </c>
    </row>
    <row r="3609" customFormat="false" ht="15" hidden="false" customHeight="false" outlineLevel="0" collapsed="false">
      <c r="B3609" s="48" t="n">
        <v>46173.7090740741</v>
      </c>
      <c r="C3609" s="4" t="n">
        <f aca="false">YEAR(B3609)</f>
        <v>2026</v>
      </c>
      <c r="D3609" s="49" t="s">
        <v>278</v>
      </c>
      <c r="E3609" s="49" t="s">
        <v>7456</v>
      </c>
      <c r="F3609" s="50" t="n">
        <v>9</v>
      </c>
      <c r="G3609" s="49" t="s">
        <v>280</v>
      </c>
      <c r="H3609" s="51" t="n">
        <v>0.9375</v>
      </c>
      <c r="I3609" s="51" t="n">
        <v>0.0569</v>
      </c>
      <c r="J3609" s="51" t="n">
        <v>0.0056</v>
      </c>
      <c r="K3609" s="49"/>
      <c r="L3609" s="49"/>
      <c r="M3609" s="49"/>
      <c r="N3609" s="49"/>
      <c r="O3609" s="49"/>
      <c r="P3609" s="49"/>
      <c r="Q3609" s="49"/>
      <c r="R3609" s="49"/>
      <c r="S3609" s="49" t="n">
        <v>0</v>
      </c>
      <c r="T3609" s="49" t="n">
        <v>0</v>
      </c>
      <c r="U3609" s="49" t="s">
        <v>7457</v>
      </c>
    </row>
    <row r="3610" customFormat="false" ht="15" hidden="false" customHeight="false" outlineLevel="0" collapsed="false">
      <c r="B3610" s="48" t="n">
        <v>46173.9625694445</v>
      </c>
      <c r="C3610" s="4" t="n">
        <f aca="false">YEAR(B3610)</f>
        <v>2026</v>
      </c>
      <c r="D3610" s="49" t="s">
        <v>283</v>
      </c>
      <c r="E3610" s="49" t="s">
        <v>7458</v>
      </c>
      <c r="F3610" s="50" t="n">
        <v>1</v>
      </c>
      <c r="G3610" s="49" t="s">
        <v>287</v>
      </c>
      <c r="H3610" s="51" t="n">
        <v>0.0142</v>
      </c>
      <c r="I3610" s="51" t="n">
        <v>0.146</v>
      </c>
      <c r="J3610" s="51" t="n">
        <v>0.8398</v>
      </c>
      <c r="K3610" s="49"/>
      <c r="L3610" s="49"/>
      <c r="M3610" s="49"/>
      <c r="N3610" s="49"/>
      <c r="O3610" s="49"/>
      <c r="P3610" s="49"/>
      <c r="Q3610" s="49"/>
      <c r="R3610" s="49"/>
      <c r="S3610" s="49" t="n">
        <v>0</v>
      </c>
      <c r="T3610" s="49" t="n">
        <v>0</v>
      </c>
      <c r="U3610" s="49" t="s">
        <v>7459</v>
      </c>
    </row>
    <row r="3611" customFormat="false" ht="15" hidden="false" customHeight="false" outlineLevel="0" collapsed="false">
      <c r="B3611" s="48" t="n">
        <v>46174.6084490741</v>
      </c>
      <c r="C3611" s="4" t="n">
        <f aca="false">YEAR(B3611)</f>
        <v>2026</v>
      </c>
      <c r="D3611" s="49" t="s">
        <v>278</v>
      </c>
      <c r="E3611" s="49" t="s">
        <v>7460</v>
      </c>
      <c r="F3611" s="50" t="n">
        <v>0</v>
      </c>
      <c r="G3611" s="49" t="s">
        <v>280</v>
      </c>
      <c r="H3611" s="51" t="n">
        <v>0.6747</v>
      </c>
      <c r="I3611" s="51" t="n">
        <v>0.3147</v>
      </c>
      <c r="J3611" s="51" t="n">
        <v>0.0106</v>
      </c>
      <c r="K3611" s="49"/>
      <c r="L3611" s="49"/>
      <c r="M3611" s="49"/>
      <c r="N3611" s="49"/>
      <c r="O3611" s="49"/>
      <c r="P3611" s="49"/>
      <c r="Q3611" s="49"/>
      <c r="R3611" s="49"/>
      <c r="S3611" s="49" t="n">
        <v>0</v>
      </c>
      <c r="T3611" s="49" t="n">
        <v>0</v>
      </c>
      <c r="U3611" s="49" t="s">
        <v>7461</v>
      </c>
    </row>
    <row r="3612" customFormat="false" ht="15" hidden="false" customHeight="false" outlineLevel="0" collapsed="false">
      <c r="B3612" s="48" t="n">
        <v>46174.8728935185</v>
      </c>
      <c r="C3612" s="4" t="n">
        <f aca="false">YEAR(B3612)</f>
        <v>2026</v>
      </c>
      <c r="D3612" s="49" t="s">
        <v>278</v>
      </c>
      <c r="E3612" s="49" t="s">
        <v>7462</v>
      </c>
      <c r="F3612" s="50" t="n">
        <v>1</v>
      </c>
      <c r="G3612" s="49" t="s">
        <v>280</v>
      </c>
      <c r="H3612" s="51" t="n">
        <v>0.8733</v>
      </c>
      <c r="I3612" s="51" t="n">
        <v>0.1152</v>
      </c>
      <c r="J3612" s="51" t="n">
        <v>0.0115</v>
      </c>
      <c r="K3612" s="49"/>
      <c r="L3612" s="49"/>
      <c r="M3612" s="49"/>
      <c r="N3612" s="49"/>
      <c r="O3612" s="49"/>
      <c r="P3612" s="49"/>
      <c r="Q3612" s="49" t="s">
        <v>281</v>
      </c>
      <c r="R3612" s="49"/>
      <c r="S3612" s="49" t="n">
        <v>0</v>
      </c>
      <c r="T3612" s="49" t="n">
        <v>0</v>
      </c>
      <c r="U3612" s="49" t="s">
        <v>7463</v>
      </c>
    </row>
    <row r="3613" customFormat="false" ht="15" hidden="false" customHeight="false" outlineLevel="0" collapsed="false">
      <c r="B3613" s="48" t="n">
        <v>46174.928125</v>
      </c>
      <c r="C3613" s="4" t="n">
        <f aca="false">YEAR(B3613)</f>
        <v>2026</v>
      </c>
      <c r="D3613" s="49" t="s">
        <v>278</v>
      </c>
      <c r="E3613" s="49" t="s">
        <v>7464</v>
      </c>
      <c r="F3613" s="50" t="n">
        <v>38</v>
      </c>
      <c r="G3613" s="49" t="s">
        <v>280</v>
      </c>
      <c r="H3613" s="51" t="n">
        <v>0.9282</v>
      </c>
      <c r="I3613" s="51" t="n">
        <v>0.0658</v>
      </c>
      <c r="J3613" s="51" t="n">
        <v>0.0059</v>
      </c>
      <c r="K3613" s="49"/>
      <c r="L3613" s="49" t="s">
        <v>281</v>
      </c>
      <c r="M3613" s="49"/>
      <c r="N3613" s="49"/>
      <c r="O3613" s="49"/>
      <c r="P3613" s="49"/>
      <c r="Q3613" s="49"/>
      <c r="R3613" s="49"/>
      <c r="S3613" s="49" t="n">
        <v>0</v>
      </c>
      <c r="T3613" s="49" t="n">
        <v>0</v>
      </c>
      <c r="U3613" s="49" t="s">
        <v>7465</v>
      </c>
    </row>
    <row r="3614" customFormat="false" ht="15" hidden="false" customHeight="false" outlineLevel="0" collapsed="false">
      <c r="B3614" s="48" t="n">
        <v>46175.0659027778</v>
      </c>
      <c r="C3614" s="4" t="n">
        <f aca="false">YEAR(B3614)</f>
        <v>2026</v>
      </c>
      <c r="D3614" s="49" t="s">
        <v>283</v>
      </c>
      <c r="E3614" s="49" t="s">
        <v>7466</v>
      </c>
      <c r="F3614" s="50" t="n">
        <v>0</v>
      </c>
      <c r="G3614" s="49" t="s">
        <v>287</v>
      </c>
      <c r="H3614" s="51" t="n">
        <v>0.0018</v>
      </c>
      <c r="I3614" s="51" t="n">
        <v>0.0655</v>
      </c>
      <c r="J3614" s="51" t="n">
        <v>0.9327</v>
      </c>
      <c r="K3614" s="49"/>
      <c r="L3614" s="49"/>
      <c r="M3614" s="49"/>
      <c r="N3614" s="49"/>
      <c r="O3614" s="49"/>
      <c r="P3614" s="49"/>
      <c r="Q3614" s="49"/>
      <c r="R3614" s="49"/>
      <c r="S3614" s="49" t="n">
        <v>0</v>
      </c>
      <c r="T3614" s="49" t="n">
        <v>0</v>
      </c>
      <c r="U3614" s="49" t="s">
        <v>7467</v>
      </c>
    </row>
    <row r="3615" customFormat="false" ht="15" hidden="false" customHeight="false" outlineLevel="0" collapsed="false">
      <c r="B3615" s="48" t="n">
        <v>46175.0775</v>
      </c>
      <c r="C3615" s="4" t="n">
        <f aca="false">YEAR(B3615)</f>
        <v>2026</v>
      </c>
      <c r="D3615" s="49" t="s">
        <v>278</v>
      </c>
      <c r="E3615" s="49" t="s">
        <v>7468</v>
      </c>
      <c r="F3615" s="50" t="n">
        <v>2</v>
      </c>
      <c r="G3615" s="49" t="s">
        <v>280</v>
      </c>
      <c r="H3615" s="51" t="n">
        <v>0.6752</v>
      </c>
      <c r="I3615" s="51" t="n">
        <v>0.2998</v>
      </c>
      <c r="J3615" s="51" t="n">
        <v>0.025</v>
      </c>
      <c r="K3615" s="49"/>
      <c r="L3615" s="49"/>
      <c r="M3615" s="49"/>
      <c r="N3615" s="49"/>
      <c r="O3615" s="49"/>
      <c r="P3615" s="49"/>
      <c r="Q3615" s="49"/>
      <c r="R3615" s="49" t="s">
        <v>281</v>
      </c>
      <c r="S3615" s="49" t="n">
        <v>0</v>
      </c>
      <c r="T3615" s="49" t="n">
        <v>0</v>
      </c>
      <c r="U3615" s="49" t="s">
        <v>7469</v>
      </c>
    </row>
    <row r="3616" customFormat="false" ht="15" hidden="false" customHeight="false" outlineLevel="0" collapsed="false">
      <c r="B3616" s="48" t="n">
        <v>46175.2214351852</v>
      </c>
      <c r="C3616" s="4" t="n">
        <f aca="false">YEAR(B3616)</f>
        <v>2026</v>
      </c>
      <c r="D3616" s="49" t="s">
        <v>278</v>
      </c>
      <c r="E3616" s="49" t="s">
        <v>7470</v>
      </c>
      <c r="F3616" s="50" t="n">
        <v>0</v>
      </c>
      <c r="G3616" s="49" t="s">
        <v>290</v>
      </c>
      <c r="H3616" s="51" t="n">
        <v>0.4148</v>
      </c>
      <c r="I3616" s="51" t="n">
        <v>0.5629</v>
      </c>
      <c r="J3616" s="51" t="n">
        <v>0.0223</v>
      </c>
      <c r="K3616" s="49"/>
      <c r="L3616" s="49"/>
      <c r="M3616" s="49"/>
      <c r="N3616" s="49"/>
      <c r="O3616" s="49"/>
      <c r="P3616" s="49"/>
      <c r="Q3616" s="49"/>
      <c r="R3616" s="49"/>
      <c r="S3616" s="49" t="n">
        <v>0</v>
      </c>
      <c r="T3616" s="49" t="n">
        <v>0</v>
      </c>
      <c r="U3616" s="49" t="s">
        <v>7471</v>
      </c>
    </row>
    <row r="3617" customFormat="false" ht="15" hidden="false" customHeight="false" outlineLevel="0" collapsed="false">
      <c r="B3617" s="48" t="n">
        <v>46175.9368171296</v>
      </c>
      <c r="C3617" s="4" t="n">
        <f aca="false">YEAR(B3617)</f>
        <v>2026</v>
      </c>
      <c r="D3617" s="49" t="s">
        <v>278</v>
      </c>
      <c r="E3617" s="49" t="s">
        <v>7472</v>
      </c>
      <c r="F3617" s="50" t="n">
        <v>41</v>
      </c>
      <c r="G3617" s="49" t="s">
        <v>290</v>
      </c>
      <c r="H3617" s="51" t="n">
        <v>0.2841</v>
      </c>
      <c r="I3617" s="51" t="n">
        <v>0.5425</v>
      </c>
      <c r="J3617" s="51" t="n">
        <v>0.1734</v>
      </c>
      <c r="K3617" s="49"/>
      <c r="L3617" s="49"/>
      <c r="M3617" s="49"/>
      <c r="N3617" s="49"/>
      <c r="O3617" s="49"/>
      <c r="P3617" s="49"/>
      <c r="Q3617" s="49"/>
      <c r="R3617" s="49"/>
      <c r="S3617" s="49" t="n">
        <v>0</v>
      </c>
      <c r="T3617" s="49" t="n">
        <v>0</v>
      </c>
      <c r="U3617" s="49" t="s">
        <v>7473</v>
      </c>
    </row>
    <row r="3618" customFormat="false" ht="15" hidden="false" customHeight="false" outlineLevel="0" collapsed="false">
      <c r="B3618" s="48" t="n">
        <v>46176.0065625</v>
      </c>
      <c r="C3618" s="4" t="n">
        <f aca="false">YEAR(B3618)</f>
        <v>2026</v>
      </c>
      <c r="D3618" s="49" t="s">
        <v>278</v>
      </c>
      <c r="E3618" s="49" t="s">
        <v>7474</v>
      </c>
      <c r="F3618" s="50" t="n">
        <v>1</v>
      </c>
      <c r="G3618" s="49" t="s">
        <v>290</v>
      </c>
      <c r="H3618" s="51" t="n">
        <v>0.2154</v>
      </c>
      <c r="I3618" s="51" t="n">
        <v>0.6129</v>
      </c>
      <c r="J3618" s="51" t="n">
        <v>0.1717</v>
      </c>
      <c r="K3618" s="49"/>
      <c r="L3618" s="49"/>
      <c r="M3618" s="49"/>
      <c r="N3618" s="49"/>
      <c r="O3618" s="49"/>
      <c r="P3618" s="49"/>
      <c r="Q3618" s="49"/>
      <c r="R3618" s="49"/>
      <c r="S3618" s="49" t="n">
        <v>1</v>
      </c>
      <c r="T3618" s="49" t="n">
        <v>0</v>
      </c>
      <c r="U3618" s="49" t="s">
        <v>7475</v>
      </c>
    </row>
    <row r="3619" customFormat="false" ht="15" hidden="false" customHeight="false" outlineLevel="0" collapsed="false">
      <c r="B3619" s="48" t="n">
        <v>46176.3110185185</v>
      </c>
      <c r="C3619" s="4" t="n">
        <f aca="false">YEAR(B3619)</f>
        <v>2026</v>
      </c>
      <c r="D3619" s="49" t="s">
        <v>278</v>
      </c>
      <c r="E3619" s="49" t="s">
        <v>7476</v>
      </c>
      <c r="F3619" s="50" t="n">
        <v>1</v>
      </c>
      <c r="G3619" s="49" t="s">
        <v>280</v>
      </c>
      <c r="H3619" s="51" t="n">
        <v>0.85</v>
      </c>
      <c r="I3619" s="51" t="n">
        <v>0.1415</v>
      </c>
      <c r="J3619" s="51" t="n">
        <v>0.0085</v>
      </c>
      <c r="K3619" s="49" t="s">
        <v>281</v>
      </c>
      <c r="L3619" s="49"/>
      <c r="M3619" s="49"/>
      <c r="N3619" s="49"/>
      <c r="O3619" s="49"/>
      <c r="P3619" s="49"/>
      <c r="Q3619" s="49"/>
      <c r="R3619" s="49" t="s">
        <v>281</v>
      </c>
      <c r="S3619" s="49" t="n">
        <v>0</v>
      </c>
      <c r="T3619" s="49" t="n">
        <v>0</v>
      </c>
      <c r="U3619" s="49" t="s">
        <v>7477</v>
      </c>
    </row>
    <row r="3620" customFormat="false" ht="15" hidden="false" customHeight="false" outlineLevel="0" collapsed="false">
      <c r="B3620" s="48" t="n">
        <v>46176.4802546296</v>
      </c>
      <c r="C3620" s="4" t="n">
        <f aca="false">YEAR(B3620)</f>
        <v>2026</v>
      </c>
      <c r="D3620" s="49" t="s">
        <v>278</v>
      </c>
      <c r="E3620" s="49" t="s">
        <v>7478</v>
      </c>
      <c r="F3620" s="50" t="n">
        <v>3</v>
      </c>
      <c r="G3620" s="49" t="s">
        <v>280</v>
      </c>
      <c r="H3620" s="51" t="n">
        <v>0.7028</v>
      </c>
      <c r="I3620" s="51" t="n">
        <v>0.2819</v>
      </c>
      <c r="J3620" s="51" t="n">
        <v>0.0153</v>
      </c>
      <c r="K3620" s="49" t="s">
        <v>281</v>
      </c>
      <c r="L3620" s="49"/>
      <c r="M3620" s="49"/>
      <c r="N3620" s="49"/>
      <c r="O3620" s="49"/>
      <c r="P3620" s="49"/>
      <c r="Q3620" s="49"/>
      <c r="R3620" s="49" t="s">
        <v>281</v>
      </c>
      <c r="S3620" s="49" t="n">
        <v>0</v>
      </c>
      <c r="T3620" s="49" t="n">
        <v>0</v>
      </c>
      <c r="U3620" s="49" t="s">
        <v>7479</v>
      </c>
    </row>
    <row r="3621" customFormat="false" ht="15" hidden="false" customHeight="false" outlineLevel="0" collapsed="false">
      <c r="B3621" s="48" t="n">
        <v>46176.515150463</v>
      </c>
      <c r="C3621" s="4" t="n">
        <f aca="false">YEAR(B3621)</f>
        <v>2026</v>
      </c>
      <c r="D3621" s="49" t="s">
        <v>278</v>
      </c>
      <c r="E3621" s="49" t="s">
        <v>7480</v>
      </c>
      <c r="F3621" s="50" t="n">
        <v>0</v>
      </c>
      <c r="G3621" s="49" t="s">
        <v>290</v>
      </c>
      <c r="H3621" s="51" t="n">
        <v>0.1851</v>
      </c>
      <c r="I3621" s="51" t="n">
        <v>0.4808</v>
      </c>
      <c r="J3621" s="51" t="n">
        <v>0.3341</v>
      </c>
      <c r="K3621" s="49"/>
      <c r="L3621" s="49"/>
      <c r="M3621" s="49"/>
      <c r="N3621" s="49"/>
      <c r="O3621" s="49"/>
      <c r="P3621" s="49"/>
      <c r="Q3621" s="49"/>
      <c r="R3621" s="49" t="s">
        <v>281</v>
      </c>
      <c r="S3621" s="49" t="n">
        <v>0</v>
      </c>
      <c r="T3621" s="49" t="n">
        <v>1</v>
      </c>
      <c r="U3621" s="49" t="s">
        <v>7481</v>
      </c>
    </row>
    <row r="3622" customFormat="false" ht="15" hidden="false" customHeight="false" outlineLevel="0" collapsed="false">
      <c r="B3622" s="48" t="n">
        <v>46176.6539930556</v>
      </c>
      <c r="C3622" s="4" t="n">
        <f aca="false">YEAR(B3622)</f>
        <v>2026</v>
      </c>
      <c r="D3622" s="49" t="s">
        <v>283</v>
      </c>
      <c r="E3622" s="49" t="s">
        <v>7482</v>
      </c>
      <c r="F3622" s="50" t="n">
        <v>1</v>
      </c>
      <c r="G3622" s="49" t="s">
        <v>287</v>
      </c>
      <c r="H3622" s="51" t="n">
        <v>0.0097</v>
      </c>
      <c r="I3622" s="51" t="n">
        <v>0.0675</v>
      </c>
      <c r="J3622" s="51" t="n">
        <v>0.9227</v>
      </c>
      <c r="K3622" s="49"/>
      <c r="L3622" s="49"/>
      <c r="M3622" s="49"/>
      <c r="N3622" s="49"/>
      <c r="O3622" s="49"/>
      <c r="P3622" s="49"/>
      <c r="Q3622" s="49"/>
      <c r="R3622" s="49"/>
      <c r="S3622" s="49" t="n">
        <v>0</v>
      </c>
      <c r="T3622" s="49" t="n">
        <v>0</v>
      </c>
      <c r="U3622" s="49" t="s">
        <v>7483</v>
      </c>
    </row>
    <row r="3623" customFormat="false" ht="15" hidden="false" customHeight="false" outlineLevel="0" collapsed="false">
      <c r="B3623" s="48" t="n">
        <v>46176.7287615741</v>
      </c>
      <c r="C3623" s="4" t="n">
        <f aca="false">YEAR(B3623)</f>
        <v>2026</v>
      </c>
      <c r="D3623" s="49" t="s">
        <v>278</v>
      </c>
      <c r="E3623" s="49" t="s">
        <v>7484</v>
      </c>
      <c r="F3623" s="50" t="n">
        <v>0</v>
      </c>
      <c r="G3623" s="49" t="s">
        <v>287</v>
      </c>
      <c r="H3623" s="51" t="n">
        <v>0.0462</v>
      </c>
      <c r="I3623" s="51" t="n">
        <v>0.3409</v>
      </c>
      <c r="J3623" s="51" t="n">
        <v>0.6129</v>
      </c>
      <c r="K3623" s="49"/>
      <c r="L3623" s="49"/>
      <c r="M3623" s="49" t="s">
        <v>281</v>
      </c>
      <c r="N3623" s="49"/>
      <c r="O3623" s="49"/>
      <c r="P3623" s="49"/>
      <c r="Q3623" s="49" t="s">
        <v>281</v>
      </c>
      <c r="R3623" s="49"/>
      <c r="S3623" s="49" t="n">
        <v>0</v>
      </c>
      <c r="T3623" s="49" t="n">
        <v>0</v>
      </c>
      <c r="U3623" s="49" t="s">
        <v>7485</v>
      </c>
    </row>
    <row r="3624" customFormat="false" ht="15" hidden="false" customHeight="false" outlineLevel="0" collapsed="false">
      <c r="B3624" s="48" t="n">
        <v>46176.8049884259</v>
      </c>
      <c r="C3624" s="4" t="n">
        <f aca="false">YEAR(B3624)</f>
        <v>2026</v>
      </c>
      <c r="D3624" s="49" t="s">
        <v>278</v>
      </c>
      <c r="E3624" s="49" t="s">
        <v>7486</v>
      </c>
      <c r="F3624" s="50" t="n">
        <v>0</v>
      </c>
      <c r="G3624" s="49" t="s">
        <v>290</v>
      </c>
      <c r="H3624" s="51" t="n">
        <v>0.3006</v>
      </c>
      <c r="I3624" s="51" t="n">
        <v>0.643</v>
      </c>
      <c r="J3624" s="51" t="n">
        <v>0.0563</v>
      </c>
      <c r="K3624" s="49"/>
      <c r="L3624" s="49"/>
      <c r="M3624" s="49"/>
      <c r="N3624" s="49"/>
      <c r="O3624" s="49"/>
      <c r="P3624" s="49"/>
      <c r="Q3624" s="49" t="s">
        <v>281</v>
      </c>
      <c r="R3624" s="49"/>
      <c r="S3624" s="49" t="n">
        <v>0</v>
      </c>
      <c r="T3624" s="49" t="n">
        <v>0</v>
      </c>
      <c r="U3624" s="49" t="s">
        <v>7487</v>
      </c>
    </row>
    <row r="3625" customFormat="false" ht="15" hidden="false" customHeight="false" outlineLevel="0" collapsed="false">
      <c r="B3625" s="48" t="n">
        <v>46176.9471064815</v>
      </c>
      <c r="C3625" s="4" t="n">
        <f aca="false">YEAR(B3625)</f>
        <v>2026</v>
      </c>
      <c r="D3625" s="49" t="s">
        <v>283</v>
      </c>
      <c r="E3625" s="49" t="s">
        <v>7488</v>
      </c>
      <c r="F3625" s="50" t="n">
        <v>1</v>
      </c>
      <c r="G3625" s="49" t="s">
        <v>287</v>
      </c>
      <c r="H3625" s="51" t="n">
        <v>0.0027</v>
      </c>
      <c r="I3625" s="51" t="n">
        <v>0.2449</v>
      </c>
      <c r="J3625" s="51" t="n">
        <v>0.7524</v>
      </c>
      <c r="K3625" s="49"/>
      <c r="L3625" s="49"/>
      <c r="M3625" s="49"/>
      <c r="N3625" s="49"/>
      <c r="O3625" s="49"/>
      <c r="P3625" s="49"/>
      <c r="Q3625" s="49"/>
      <c r="R3625" s="49"/>
      <c r="S3625" s="49" t="n">
        <v>0</v>
      </c>
      <c r="T3625" s="49" t="n">
        <v>0</v>
      </c>
      <c r="U3625" s="49" t="s">
        <v>7489</v>
      </c>
    </row>
    <row r="3626" customFormat="false" ht="15" hidden="false" customHeight="false" outlineLevel="0" collapsed="false">
      <c r="B3626" s="48" t="n">
        <v>46177.4842476852</v>
      </c>
      <c r="C3626" s="4" t="n">
        <f aca="false">YEAR(B3626)</f>
        <v>2026</v>
      </c>
      <c r="D3626" s="49" t="s">
        <v>278</v>
      </c>
      <c r="E3626" s="49" t="s">
        <v>7490</v>
      </c>
      <c r="F3626" s="50" t="n">
        <v>1</v>
      </c>
      <c r="G3626" s="49" t="s">
        <v>290</v>
      </c>
      <c r="H3626" s="51" t="n">
        <v>0.0166</v>
      </c>
      <c r="I3626" s="51" t="n">
        <v>0.8325</v>
      </c>
      <c r="J3626" s="51" t="n">
        <v>0.1509</v>
      </c>
      <c r="K3626" s="49"/>
      <c r="L3626" s="49"/>
      <c r="M3626" s="49"/>
      <c r="N3626" s="49"/>
      <c r="O3626" s="49"/>
      <c r="P3626" s="49"/>
      <c r="Q3626" s="49"/>
      <c r="R3626" s="49"/>
      <c r="S3626" s="49" t="n">
        <v>0</v>
      </c>
      <c r="T3626" s="49" t="n">
        <v>0</v>
      </c>
      <c r="U3626" s="49" t="s">
        <v>7491</v>
      </c>
    </row>
    <row r="3627" customFormat="false" ht="15" hidden="false" customHeight="false" outlineLevel="0" collapsed="false">
      <c r="B3627" s="48" t="n">
        <v>46177.7351967593</v>
      </c>
      <c r="C3627" s="4" t="n">
        <f aca="false">YEAR(B3627)</f>
        <v>2026</v>
      </c>
      <c r="D3627" s="49" t="s">
        <v>278</v>
      </c>
      <c r="E3627" s="49" t="s">
        <v>7492</v>
      </c>
      <c r="F3627" s="50" t="n">
        <v>1</v>
      </c>
      <c r="G3627" s="49" t="s">
        <v>280</v>
      </c>
      <c r="H3627" s="51" t="n">
        <v>0.5923</v>
      </c>
      <c r="I3627" s="51" t="n">
        <v>0.3827</v>
      </c>
      <c r="J3627" s="51" t="n">
        <v>0.0249</v>
      </c>
      <c r="K3627" s="49"/>
      <c r="L3627" s="49"/>
      <c r="M3627" s="49"/>
      <c r="N3627" s="49"/>
      <c r="O3627" s="49"/>
      <c r="P3627" s="49"/>
      <c r="Q3627" s="49"/>
      <c r="R3627" s="49"/>
      <c r="S3627" s="49" t="n">
        <v>0</v>
      </c>
      <c r="T3627" s="49" t="n">
        <v>0</v>
      </c>
      <c r="U3627" s="49" t="s">
        <v>7493</v>
      </c>
    </row>
    <row r="3628" customFormat="false" ht="15" hidden="false" customHeight="false" outlineLevel="0" collapsed="false">
      <c r="B3628" s="48" t="n">
        <v>46177.8371643519</v>
      </c>
      <c r="C3628" s="4" t="n">
        <f aca="false">YEAR(B3628)</f>
        <v>2026</v>
      </c>
      <c r="D3628" s="49" t="s">
        <v>278</v>
      </c>
      <c r="E3628" s="49" t="s">
        <v>7494</v>
      </c>
      <c r="F3628" s="50" t="n">
        <v>4</v>
      </c>
      <c r="G3628" s="49" t="s">
        <v>280</v>
      </c>
      <c r="H3628" s="51" t="n">
        <v>0.7768</v>
      </c>
      <c r="I3628" s="51" t="n">
        <v>0.2111</v>
      </c>
      <c r="J3628" s="51" t="n">
        <v>0.012</v>
      </c>
      <c r="K3628" s="49"/>
      <c r="L3628" s="49"/>
      <c r="M3628" s="49"/>
      <c r="N3628" s="49"/>
      <c r="O3628" s="49"/>
      <c r="P3628" s="49"/>
      <c r="Q3628" s="49" t="s">
        <v>281</v>
      </c>
      <c r="R3628" s="49"/>
      <c r="S3628" s="49" t="n">
        <v>0</v>
      </c>
      <c r="T3628" s="49" t="n">
        <v>0</v>
      </c>
      <c r="U3628" s="49" t="s">
        <v>7495</v>
      </c>
    </row>
    <row r="3629" customFormat="false" ht="15" hidden="false" customHeight="false" outlineLevel="0" collapsed="false">
      <c r="B3629" s="48" t="n">
        <v>46178.1746412037</v>
      </c>
      <c r="C3629" s="4" t="n">
        <f aca="false">YEAR(B3629)</f>
        <v>2026</v>
      </c>
      <c r="D3629" s="49" t="s">
        <v>278</v>
      </c>
      <c r="E3629" s="49" t="s">
        <v>7496</v>
      </c>
      <c r="F3629" s="50" t="n">
        <v>0</v>
      </c>
      <c r="G3629" s="49" t="s">
        <v>290</v>
      </c>
      <c r="H3629" s="51" t="n">
        <v>0.0104</v>
      </c>
      <c r="I3629" s="51" t="n">
        <v>0.8269</v>
      </c>
      <c r="J3629" s="51" t="n">
        <v>0.1627</v>
      </c>
      <c r="K3629" s="49"/>
      <c r="L3629" s="49"/>
      <c r="M3629" s="49"/>
      <c r="N3629" s="49"/>
      <c r="O3629" s="49"/>
      <c r="P3629" s="49"/>
      <c r="Q3629" s="49"/>
      <c r="R3629" s="49"/>
      <c r="S3629" s="49" t="n">
        <v>0</v>
      </c>
      <c r="T3629" s="49" t="n">
        <v>0</v>
      </c>
      <c r="U3629" s="49" t="s">
        <v>7497</v>
      </c>
    </row>
    <row r="3630" customFormat="false" ht="15" hidden="false" customHeight="false" outlineLevel="0" collapsed="false">
      <c r="B3630" s="48" t="n">
        <v>46178.2392708333</v>
      </c>
      <c r="C3630" s="4" t="n">
        <f aca="false">YEAR(B3630)</f>
        <v>2026</v>
      </c>
      <c r="D3630" s="49" t="s">
        <v>283</v>
      </c>
      <c r="E3630" s="49" t="s">
        <v>7498</v>
      </c>
      <c r="F3630" s="50" t="n">
        <v>1</v>
      </c>
      <c r="G3630" s="49" t="s">
        <v>290</v>
      </c>
      <c r="H3630" s="51" t="n">
        <v>0.0048</v>
      </c>
      <c r="I3630" s="51" t="n">
        <v>0.8347</v>
      </c>
      <c r="J3630" s="51" t="n">
        <v>0.1605</v>
      </c>
      <c r="K3630" s="49"/>
      <c r="L3630" s="49"/>
      <c r="M3630" s="49"/>
      <c r="N3630" s="49"/>
      <c r="O3630" s="49"/>
      <c r="P3630" s="49"/>
      <c r="Q3630" s="49"/>
      <c r="R3630" s="49"/>
      <c r="S3630" s="49" t="n">
        <v>0</v>
      </c>
      <c r="T3630" s="49" t="n">
        <v>0</v>
      </c>
      <c r="U3630" s="49" t="s">
        <v>7499</v>
      </c>
    </row>
    <row r="3631" customFormat="false" ht="15" hidden="false" customHeight="false" outlineLevel="0" collapsed="false">
      <c r="B3631" s="48" t="n">
        <v>46178.4512152778</v>
      </c>
      <c r="C3631" s="4" t="n">
        <f aca="false">YEAR(B3631)</f>
        <v>2026</v>
      </c>
      <c r="D3631" s="49" t="s">
        <v>283</v>
      </c>
      <c r="E3631" s="49" t="s">
        <v>7500</v>
      </c>
      <c r="F3631" s="50" t="n">
        <v>23</v>
      </c>
      <c r="G3631" s="49" t="s">
        <v>287</v>
      </c>
      <c r="H3631" s="51" t="n">
        <v>0.0493</v>
      </c>
      <c r="I3631" s="51" t="n">
        <v>0.2117</v>
      </c>
      <c r="J3631" s="51" t="n">
        <v>0.739</v>
      </c>
      <c r="K3631" s="49"/>
      <c r="L3631" s="49"/>
      <c r="M3631" s="49"/>
      <c r="N3631" s="49"/>
      <c r="O3631" s="49"/>
      <c r="P3631" s="49"/>
      <c r="Q3631" s="49"/>
      <c r="R3631" s="49"/>
      <c r="S3631" s="49" t="n">
        <v>0</v>
      </c>
      <c r="T3631" s="49" t="n">
        <v>0</v>
      </c>
      <c r="U3631" s="49" t="s">
        <v>7501</v>
      </c>
    </row>
    <row r="3632" customFormat="false" ht="15" hidden="false" customHeight="false" outlineLevel="0" collapsed="false">
      <c r="B3632" s="48" t="n">
        <v>46178.5183333333</v>
      </c>
      <c r="C3632" s="4" t="n">
        <f aca="false">YEAR(B3632)</f>
        <v>2026</v>
      </c>
      <c r="D3632" s="49" t="s">
        <v>278</v>
      </c>
      <c r="E3632" s="49" t="s">
        <v>7502</v>
      </c>
      <c r="F3632" s="50" t="n">
        <v>2</v>
      </c>
      <c r="G3632" s="49" t="s">
        <v>280</v>
      </c>
      <c r="H3632" s="51" t="n">
        <v>0.5357</v>
      </c>
      <c r="I3632" s="51" t="n">
        <v>0.4459</v>
      </c>
      <c r="J3632" s="51" t="n">
        <v>0.0185</v>
      </c>
      <c r="K3632" s="49"/>
      <c r="L3632" s="49"/>
      <c r="M3632" s="49"/>
      <c r="N3632" s="49"/>
      <c r="O3632" s="49"/>
      <c r="P3632" s="49"/>
      <c r="Q3632" s="49"/>
      <c r="R3632" s="49"/>
      <c r="S3632" s="49" t="n">
        <v>0</v>
      </c>
      <c r="T3632" s="49" t="n">
        <v>0</v>
      </c>
      <c r="U3632" s="49" t="s">
        <v>7503</v>
      </c>
    </row>
    <row r="3633" customFormat="false" ht="15" hidden="false" customHeight="false" outlineLevel="0" collapsed="false">
      <c r="B3633" s="48" t="n">
        <v>46178.7553472222</v>
      </c>
      <c r="C3633" s="4" t="n">
        <f aca="false">YEAR(B3633)</f>
        <v>2026</v>
      </c>
      <c r="D3633" s="49" t="s">
        <v>283</v>
      </c>
      <c r="E3633" s="49" t="s">
        <v>7504</v>
      </c>
      <c r="F3633" s="50" t="n">
        <v>2</v>
      </c>
      <c r="G3633" s="49" t="s">
        <v>287</v>
      </c>
      <c r="H3633" s="51" t="n">
        <v>0.0019</v>
      </c>
      <c r="I3633" s="51" t="n">
        <v>0.0313</v>
      </c>
      <c r="J3633" s="51" t="n">
        <v>0.9668</v>
      </c>
      <c r="K3633" s="49"/>
      <c r="L3633" s="49"/>
      <c r="M3633" s="49"/>
      <c r="N3633" s="49"/>
      <c r="O3633" s="49"/>
      <c r="P3633" s="49"/>
      <c r="Q3633" s="49"/>
      <c r="R3633" s="49"/>
      <c r="S3633" s="49" t="n">
        <v>0</v>
      </c>
      <c r="T3633" s="49" t="n">
        <v>0</v>
      </c>
      <c r="U3633" s="49" t="s">
        <v>7505</v>
      </c>
    </row>
    <row r="3634" customFormat="false" ht="15" hidden="false" customHeight="false" outlineLevel="0" collapsed="false">
      <c r="B3634" s="48" t="n">
        <v>46178.9101041667</v>
      </c>
      <c r="C3634" s="4" t="n">
        <f aca="false">YEAR(B3634)</f>
        <v>2026</v>
      </c>
      <c r="D3634" s="49" t="s">
        <v>278</v>
      </c>
      <c r="E3634" s="49" t="s">
        <v>7506</v>
      </c>
      <c r="F3634" s="50" t="n">
        <v>0</v>
      </c>
      <c r="G3634" s="49" t="s">
        <v>287</v>
      </c>
      <c r="H3634" s="51" t="n">
        <v>0.0038</v>
      </c>
      <c r="I3634" s="51" t="n">
        <v>0.3214</v>
      </c>
      <c r="J3634" s="51" t="n">
        <v>0.6748</v>
      </c>
      <c r="K3634" s="49" t="s">
        <v>281</v>
      </c>
      <c r="L3634" s="49"/>
      <c r="M3634" s="49"/>
      <c r="N3634" s="49"/>
      <c r="O3634" s="49"/>
      <c r="P3634" s="49"/>
      <c r="Q3634" s="49"/>
      <c r="R3634" s="49"/>
      <c r="S3634" s="49" t="n">
        <v>0</v>
      </c>
      <c r="T3634" s="49" t="n">
        <v>0</v>
      </c>
      <c r="U3634" s="49" t="s">
        <v>7507</v>
      </c>
    </row>
    <row r="3635" customFormat="false" ht="15" hidden="false" customHeight="false" outlineLevel="0" collapsed="false">
      <c r="B3635" s="48" t="n">
        <v>46179.5127083333</v>
      </c>
      <c r="C3635" s="4" t="n">
        <f aca="false">YEAR(B3635)</f>
        <v>2026</v>
      </c>
      <c r="D3635" s="49" t="s">
        <v>283</v>
      </c>
      <c r="E3635" s="49" t="s">
        <v>7508</v>
      </c>
      <c r="F3635" s="50" t="n">
        <v>15</v>
      </c>
      <c r="G3635" s="49" t="s">
        <v>287</v>
      </c>
      <c r="H3635" s="51" t="n">
        <v>0.0023</v>
      </c>
      <c r="I3635" s="51" t="n">
        <v>0.124</v>
      </c>
      <c r="J3635" s="51" t="n">
        <v>0.8736</v>
      </c>
      <c r="K3635" s="49"/>
      <c r="L3635" s="49"/>
      <c r="M3635" s="49"/>
      <c r="N3635" s="49"/>
      <c r="O3635" s="49"/>
      <c r="P3635" s="49"/>
      <c r="Q3635" s="49"/>
      <c r="R3635" s="49"/>
      <c r="S3635" s="49" t="n">
        <v>0</v>
      </c>
      <c r="T3635" s="49" t="n">
        <v>0</v>
      </c>
      <c r="U3635" s="49" t="s">
        <v>7509</v>
      </c>
    </row>
    <row r="3636" customFormat="false" ht="15" hidden="false" customHeight="false" outlineLevel="0" collapsed="false">
      <c r="B3636" s="48" t="n">
        <v>46179.7290972222</v>
      </c>
      <c r="C3636" s="4" t="n">
        <f aca="false">YEAR(B3636)</f>
        <v>2026</v>
      </c>
      <c r="D3636" s="49" t="s">
        <v>278</v>
      </c>
      <c r="E3636" s="49" t="s">
        <v>7510</v>
      </c>
      <c r="F3636" s="50" t="n">
        <v>2</v>
      </c>
      <c r="G3636" s="49" t="s">
        <v>290</v>
      </c>
      <c r="H3636" s="51" t="n">
        <v>0.4412</v>
      </c>
      <c r="I3636" s="51" t="n">
        <v>0.526</v>
      </c>
      <c r="J3636" s="51" t="n">
        <v>0.0328</v>
      </c>
      <c r="K3636" s="49"/>
      <c r="L3636" s="49"/>
      <c r="M3636" s="49"/>
      <c r="N3636" s="49"/>
      <c r="O3636" s="49"/>
      <c r="P3636" s="49"/>
      <c r="Q3636" s="49"/>
      <c r="R3636" s="49"/>
      <c r="S3636" s="49" t="n">
        <v>0</v>
      </c>
      <c r="T3636" s="49" t="n">
        <v>0</v>
      </c>
      <c r="U3636" s="49" t="s">
        <v>7511</v>
      </c>
    </row>
    <row r="3637" customFormat="false" ht="15" hidden="false" customHeight="false" outlineLevel="0" collapsed="false">
      <c r="B3637" s="48" t="n">
        <v>46180.0721990741</v>
      </c>
      <c r="C3637" s="4" t="n">
        <f aca="false">YEAR(B3637)</f>
        <v>2026</v>
      </c>
      <c r="D3637" s="49" t="s">
        <v>283</v>
      </c>
      <c r="E3637" s="49" t="s">
        <v>7512</v>
      </c>
      <c r="F3637" s="50" t="n">
        <v>18</v>
      </c>
      <c r="G3637" s="49" t="s">
        <v>290</v>
      </c>
      <c r="H3637" s="51" t="n">
        <v>0.0892</v>
      </c>
      <c r="I3637" s="51" t="n">
        <v>0.6235</v>
      </c>
      <c r="J3637" s="51" t="n">
        <v>0.2873</v>
      </c>
      <c r="K3637" s="49"/>
      <c r="L3637" s="49"/>
      <c r="M3637" s="49"/>
      <c r="N3637" s="49"/>
      <c r="O3637" s="49"/>
      <c r="P3637" s="49"/>
      <c r="Q3637" s="49"/>
      <c r="R3637" s="49"/>
      <c r="S3637" s="49" t="n">
        <v>0</v>
      </c>
      <c r="T3637" s="49" t="n">
        <v>0</v>
      </c>
      <c r="U3637" s="49" t="s">
        <v>7513</v>
      </c>
    </row>
    <row r="3638" customFormat="false" ht="15" hidden="false" customHeight="false" outlineLevel="0" collapsed="false">
      <c r="B3638" s="48" t="n">
        <v>46180.1036458333</v>
      </c>
      <c r="C3638" s="4" t="n">
        <f aca="false">YEAR(B3638)</f>
        <v>2026</v>
      </c>
      <c r="D3638" s="49" t="s">
        <v>278</v>
      </c>
      <c r="E3638" s="49" t="s">
        <v>7514</v>
      </c>
      <c r="F3638" s="50" t="n">
        <v>21</v>
      </c>
      <c r="G3638" s="49" t="s">
        <v>280</v>
      </c>
      <c r="H3638" s="51" t="n">
        <v>0.757</v>
      </c>
      <c r="I3638" s="51" t="n">
        <v>0.2211</v>
      </c>
      <c r="J3638" s="51" t="n">
        <v>0.0218</v>
      </c>
      <c r="K3638" s="49"/>
      <c r="L3638" s="49"/>
      <c r="M3638" s="49" t="s">
        <v>281</v>
      </c>
      <c r="N3638" s="49"/>
      <c r="O3638" s="49"/>
      <c r="P3638" s="49"/>
      <c r="Q3638" s="49" t="s">
        <v>281</v>
      </c>
      <c r="R3638" s="49"/>
      <c r="S3638" s="49" t="n">
        <v>0</v>
      </c>
      <c r="T3638" s="49" t="n">
        <v>0</v>
      </c>
      <c r="U3638" s="49" t="s">
        <v>7515</v>
      </c>
    </row>
    <row r="3639" customFormat="false" ht="15" hidden="false" customHeight="false" outlineLevel="0" collapsed="false">
      <c r="B3639" s="48" t="n">
        <v>46180.2265740741</v>
      </c>
      <c r="C3639" s="4" t="n">
        <f aca="false">YEAR(B3639)</f>
        <v>2026</v>
      </c>
      <c r="D3639" s="49" t="s">
        <v>278</v>
      </c>
      <c r="E3639" s="49" t="s">
        <v>7516</v>
      </c>
      <c r="F3639" s="50" t="n">
        <v>1</v>
      </c>
      <c r="G3639" s="49" t="s">
        <v>290</v>
      </c>
      <c r="H3639" s="51" t="n">
        <v>0.0201</v>
      </c>
      <c r="I3639" s="51" t="n">
        <v>0.7955</v>
      </c>
      <c r="J3639" s="51" t="n">
        <v>0.1845</v>
      </c>
      <c r="K3639" s="49"/>
      <c r="L3639" s="49"/>
      <c r="M3639" s="49"/>
      <c r="N3639" s="49"/>
      <c r="O3639" s="49"/>
      <c r="P3639" s="49"/>
      <c r="Q3639" s="49"/>
      <c r="R3639" s="49"/>
      <c r="S3639" s="49" t="n">
        <v>0</v>
      </c>
      <c r="T3639" s="49" t="n">
        <v>0</v>
      </c>
      <c r="U3639" s="49" t="s">
        <v>7517</v>
      </c>
    </row>
    <row r="3640" customFormat="false" ht="15" hidden="false" customHeight="false" outlineLevel="0" collapsed="false">
      <c r="B3640" s="48" t="n">
        <v>46180.4530324074</v>
      </c>
      <c r="C3640" s="4" t="n">
        <f aca="false">YEAR(B3640)</f>
        <v>2026</v>
      </c>
      <c r="D3640" s="49" t="s">
        <v>283</v>
      </c>
      <c r="E3640" s="49" t="s">
        <v>7518</v>
      </c>
      <c r="F3640" s="50" t="n">
        <v>23</v>
      </c>
      <c r="G3640" s="49" t="s">
        <v>287</v>
      </c>
      <c r="H3640" s="51" t="n">
        <v>0.0043</v>
      </c>
      <c r="I3640" s="51" t="n">
        <v>0.1266</v>
      </c>
      <c r="J3640" s="51" t="n">
        <v>0.8691</v>
      </c>
      <c r="K3640" s="49"/>
      <c r="L3640" s="49"/>
      <c r="M3640" s="49"/>
      <c r="N3640" s="49"/>
      <c r="O3640" s="49"/>
      <c r="P3640" s="49"/>
      <c r="Q3640" s="49"/>
      <c r="R3640" s="49"/>
      <c r="S3640" s="49" t="n">
        <v>0</v>
      </c>
      <c r="T3640" s="49" t="n">
        <v>0</v>
      </c>
      <c r="U3640" s="49" t="s">
        <v>7519</v>
      </c>
    </row>
    <row r="3641" customFormat="false" ht="15" hidden="false" customHeight="false" outlineLevel="0" collapsed="false">
      <c r="B3641" s="48" t="n">
        <v>46180.4701736111</v>
      </c>
      <c r="C3641" s="4" t="n">
        <f aca="false">YEAR(B3641)</f>
        <v>2026</v>
      </c>
      <c r="D3641" s="49" t="s">
        <v>278</v>
      </c>
      <c r="E3641" s="49" t="s">
        <v>7520</v>
      </c>
      <c r="F3641" s="50" t="n">
        <v>0</v>
      </c>
      <c r="G3641" s="49" t="s">
        <v>290</v>
      </c>
      <c r="H3641" s="51" t="n">
        <v>0.4035</v>
      </c>
      <c r="I3641" s="51" t="n">
        <v>0.5771</v>
      </c>
      <c r="J3641" s="51" t="n">
        <v>0.0194</v>
      </c>
      <c r="K3641" s="49"/>
      <c r="L3641" s="49"/>
      <c r="M3641" s="49"/>
      <c r="N3641" s="49"/>
      <c r="O3641" s="49"/>
      <c r="P3641" s="49"/>
      <c r="Q3641" s="49"/>
      <c r="R3641" s="49" t="s">
        <v>281</v>
      </c>
      <c r="S3641" s="49" t="n">
        <v>0</v>
      </c>
      <c r="T3641" s="49" t="n">
        <v>0</v>
      </c>
      <c r="U3641" s="49" t="s">
        <v>7521</v>
      </c>
    </row>
    <row r="3642" customFormat="false" ht="15" hidden="false" customHeight="false" outlineLevel="0" collapsed="false">
      <c r="B3642" s="48" t="n">
        <v>46180.6425347222</v>
      </c>
      <c r="C3642" s="4" t="n">
        <f aca="false">YEAR(B3642)</f>
        <v>2026</v>
      </c>
      <c r="D3642" s="49" t="s">
        <v>278</v>
      </c>
      <c r="E3642" s="49" t="s">
        <v>7522</v>
      </c>
      <c r="F3642" s="50" t="n">
        <v>0</v>
      </c>
      <c r="G3642" s="49" t="s">
        <v>290</v>
      </c>
      <c r="H3642" s="51" t="n">
        <v>0.0923</v>
      </c>
      <c r="I3642" s="51" t="n">
        <v>0.849</v>
      </c>
      <c r="J3642" s="51" t="n">
        <v>0.0587</v>
      </c>
      <c r="K3642" s="49"/>
      <c r="L3642" s="49"/>
      <c r="M3642" s="49"/>
      <c r="N3642" s="49"/>
      <c r="O3642" s="49"/>
      <c r="P3642" s="49"/>
      <c r="Q3642" s="49"/>
      <c r="R3642" s="49" t="s">
        <v>281</v>
      </c>
      <c r="S3642" s="49" t="n">
        <v>0</v>
      </c>
      <c r="T3642" s="49" t="n">
        <v>0</v>
      </c>
      <c r="U3642" s="49" t="s">
        <v>7523</v>
      </c>
    </row>
    <row r="3643" customFormat="false" ht="15" hidden="false" customHeight="false" outlineLevel="0" collapsed="false">
      <c r="B3643" s="48" t="n">
        <v>46180.7722222222</v>
      </c>
      <c r="C3643" s="4" t="n">
        <f aca="false">YEAR(B3643)</f>
        <v>2026</v>
      </c>
      <c r="D3643" s="49" t="s">
        <v>283</v>
      </c>
      <c r="E3643" s="49" t="s">
        <v>7524</v>
      </c>
      <c r="F3643" s="50" t="n">
        <v>10</v>
      </c>
      <c r="G3643" s="49" t="s">
        <v>287</v>
      </c>
      <c r="H3643" s="51" t="n">
        <v>0.0239</v>
      </c>
      <c r="I3643" s="51" t="n">
        <v>0.3832</v>
      </c>
      <c r="J3643" s="51" t="n">
        <v>0.5928</v>
      </c>
      <c r="K3643" s="49"/>
      <c r="L3643" s="49"/>
      <c r="M3643" s="49"/>
      <c r="N3643" s="49"/>
      <c r="O3643" s="49"/>
      <c r="P3643" s="49"/>
      <c r="Q3643" s="49"/>
      <c r="R3643" s="49"/>
      <c r="S3643" s="49" t="n">
        <v>0</v>
      </c>
      <c r="T3643" s="49" t="n">
        <v>0</v>
      </c>
      <c r="U3643" s="49" t="s">
        <v>7525</v>
      </c>
    </row>
    <row r="3644" customFormat="false" ht="15" hidden="false" customHeight="false" outlineLevel="0" collapsed="false">
      <c r="B3644" s="48" t="n">
        <v>46180.9400694444</v>
      </c>
      <c r="C3644" s="4" t="n">
        <f aca="false">YEAR(B3644)</f>
        <v>2026</v>
      </c>
      <c r="D3644" s="49" t="s">
        <v>278</v>
      </c>
      <c r="E3644" s="49" t="s">
        <v>7526</v>
      </c>
      <c r="F3644" s="50" t="n">
        <v>1</v>
      </c>
      <c r="G3644" s="49" t="s">
        <v>280</v>
      </c>
      <c r="H3644" s="51" t="n">
        <v>0.8929</v>
      </c>
      <c r="I3644" s="51" t="n">
        <v>0.0969</v>
      </c>
      <c r="J3644" s="51" t="n">
        <v>0.0102</v>
      </c>
      <c r="K3644" s="49"/>
      <c r="L3644" s="49"/>
      <c r="M3644" s="49" t="s">
        <v>281</v>
      </c>
      <c r="N3644" s="49"/>
      <c r="O3644" s="49"/>
      <c r="P3644" s="49"/>
      <c r="Q3644" s="49"/>
      <c r="R3644" s="49"/>
      <c r="S3644" s="49" t="n">
        <v>0</v>
      </c>
      <c r="T3644" s="49" t="n">
        <v>0</v>
      </c>
      <c r="U3644" s="49" t="s">
        <v>7527</v>
      </c>
    </row>
    <row r="3645" customFormat="false" ht="15" hidden="false" customHeight="false" outlineLevel="0" collapsed="false">
      <c r="B3645" s="48" t="n">
        <v>46181.6686342593</v>
      </c>
      <c r="C3645" s="4" t="n">
        <f aca="false">YEAR(B3645)</f>
        <v>2026</v>
      </c>
      <c r="D3645" s="49" t="s">
        <v>278</v>
      </c>
      <c r="E3645" s="49" t="s">
        <v>7528</v>
      </c>
      <c r="F3645" s="50" t="n">
        <v>2</v>
      </c>
      <c r="G3645" s="49" t="s">
        <v>290</v>
      </c>
      <c r="H3645" s="51" t="n">
        <v>0.4115</v>
      </c>
      <c r="I3645" s="51" t="n">
        <v>0.5479</v>
      </c>
      <c r="J3645" s="51" t="n">
        <v>0.0406</v>
      </c>
      <c r="K3645" s="49"/>
      <c r="L3645" s="49"/>
      <c r="M3645" s="49"/>
      <c r="N3645" s="49"/>
      <c r="O3645" s="49" t="s">
        <v>281</v>
      </c>
      <c r="P3645" s="49"/>
      <c r="Q3645" s="49"/>
      <c r="R3645" s="49" t="s">
        <v>281</v>
      </c>
      <c r="S3645" s="49" t="n">
        <v>0</v>
      </c>
      <c r="T3645" s="49" t="n">
        <v>0</v>
      </c>
      <c r="U3645" s="49" t="s">
        <v>7529</v>
      </c>
    </row>
    <row r="3646" customFormat="false" ht="15" hidden="false" customHeight="false" outlineLevel="0" collapsed="false">
      <c r="B3646" s="48" t="n">
        <v>46181.8460532407</v>
      </c>
      <c r="C3646" s="4" t="n">
        <f aca="false">YEAR(B3646)</f>
        <v>2026</v>
      </c>
      <c r="D3646" s="49" t="s">
        <v>283</v>
      </c>
      <c r="E3646" s="49" t="s">
        <v>7530</v>
      </c>
      <c r="F3646" s="50" t="n">
        <v>0</v>
      </c>
      <c r="G3646" s="49" t="s">
        <v>287</v>
      </c>
      <c r="H3646" s="51" t="n">
        <v>0.0023</v>
      </c>
      <c r="I3646" s="51" t="n">
        <v>0.0288</v>
      </c>
      <c r="J3646" s="51" t="n">
        <v>0.9689</v>
      </c>
      <c r="K3646" s="49"/>
      <c r="L3646" s="49"/>
      <c r="M3646" s="49"/>
      <c r="N3646" s="49"/>
      <c r="O3646" s="49"/>
      <c r="P3646" s="49"/>
      <c r="Q3646" s="49"/>
      <c r="R3646" s="49"/>
      <c r="S3646" s="49" t="n">
        <v>0</v>
      </c>
      <c r="T3646" s="49" t="n">
        <v>0</v>
      </c>
      <c r="U3646" s="49" t="s">
        <v>7531</v>
      </c>
    </row>
    <row r="3647" customFormat="false" ht="15" hidden="false" customHeight="false" outlineLevel="0" collapsed="false">
      <c r="B3647" s="48" t="n">
        <v>46181.8725347222</v>
      </c>
      <c r="C3647" s="4" t="n">
        <f aca="false">YEAR(B3647)</f>
        <v>2026</v>
      </c>
      <c r="D3647" s="49" t="s">
        <v>278</v>
      </c>
      <c r="E3647" s="49" t="s">
        <v>7532</v>
      </c>
      <c r="F3647" s="50" t="n">
        <v>6</v>
      </c>
      <c r="G3647" s="49" t="s">
        <v>287</v>
      </c>
      <c r="H3647" s="51" t="n">
        <v>0.0035</v>
      </c>
      <c r="I3647" s="51" t="n">
        <v>0.1108</v>
      </c>
      <c r="J3647" s="51" t="n">
        <v>0.8857</v>
      </c>
      <c r="K3647" s="49"/>
      <c r="L3647" s="49"/>
      <c r="M3647" s="49"/>
      <c r="N3647" s="49"/>
      <c r="O3647" s="49"/>
      <c r="P3647" s="49"/>
      <c r="Q3647" s="49"/>
      <c r="R3647" s="49"/>
      <c r="S3647" s="49" t="n">
        <v>0</v>
      </c>
      <c r="T3647" s="49" t="n">
        <v>0</v>
      </c>
      <c r="U3647" s="49" t="s">
        <v>7533</v>
      </c>
    </row>
    <row r="3648" customFormat="false" ht="15" hidden="false" customHeight="false" outlineLevel="0" collapsed="false">
      <c r="B3648" s="48" t="n">
        <v>46181.9335648148</v>
      </c>
      <c r="C3648" s="4" t="n">
        <f aca="false">YEAR(B3648)</f>
        <v>2026</v>
      </c>
      <c r="D3648" s="49" t="s">
        <v>283</v>
      </c>
      <c r="E3648" s="49" t="s">
        <v>7534</v>
      </c>
      <c r="F3648" s="50" t="n">
        <v>2</v>
      </c>
      <c r="G3648" s="49" t="s">
        <v>290</v>
      </c>
      <c r="H3648" s="51" t="n">
        <v>0.041</v>
      </c>
      <c r="I3648" s="51" t="n">
        <v>0.8802</v>
      </c>
      <c r="J3648" s="51" t="n">
        <v>0.0788</v>
      </c>
      <c r="K3648" s="49"/>
      <c r="L3648" s="49"/>
      <c r="M3648" s="49"/>
      <c r="N3648" s="49"/>
      <c r="O3648" s="49"/>
      <c r="P3648" s="49"/>
      <c r="Q3648" s="49"/>
      <c r="R3648" s="49"/>
      <c r="S3648" s="49" t="n">
        <v>0</v>
      </c>
      <c r="T3648" s="49" t="n">
        <v>0</v>
      </c>
      <c r="U3648" s="49" t="s">
        <v>7535</v>
      </c>
    </row>
    <row r="3649" customFormat="false" ht="15" hidden="false" customHeight="false" outlineLevel="0" collapsed="false">
      <c r="B3649" s="48" t="n">
        <v>46182.1776157407</v>
      </c>
      <c r="C3649" s="4" t="n">
        <f aca="false">YEAR(B3649)</f>
        <v>2026</v>
      </c>
      <c r="D3649" s="49" t="s">
        <v>283</v>
      </c>
      <c r="E3649" s="49" t="s">
        <v>7536</v>
      </c>
      <c r="F3649" s="50" t="n">
        <v>1</v>
      </c>
      <c r="G3649" s="49" t="s">
        <v>290</v>
      </c>
      <c r="H3649" s="51" t="n">
        <v>0.0085</v>
      </c>
      <c r="I3649" s="51" t="n">
        <v>0.9309</v>
      </c>
      <c r="J3649" s="51" t="n">
        <v>0.0606</v>
      </c>
      <c r="K3649" s="49"/>
      <c r="L3649" s="49"/>
      <c r="M3649" s="49"/>
      <c r="N3649" s="49"/>
      <c r="O3649" s="49"/>
      <c r="P3649" s="49"/>
      <c r="Q3649" s="49"/>
      <c r="R3649" s="49"/>
      <c r="S3649" s="49" t="n">
        <v>1</v>
      </c>
      <c r="T3649" s="49" t="n">
        <v>0</v>
      </c>
      <c r="U3649" s="49" t="s">
        <v>7537</v>
      </c>
    </row>
    <row r="3650" customFormat="false" ht="15" hidden="false" customHeight="false" outlineLevel="0" collapsed="false">
      <c r="B3650" s="48" t="n">
        <v>46182.4726273148</v>
      </c>
      <c r="C3650" s="4" t="n">
        <f aca="false">YEAR(B3650)</f>
        <v>2026</v>
      </c>
      <c r="D3650" s="49" t="s">
        <v>283</v>
      </c>
      <c r="E3650" s="49" t="s">
        <v>7538</v>
      </c>
      <c r="F3650" s="50" t="n">
        <v>0</v>
      </c>
      <c r="G3650" s="49" t="s">
        <v>287</v>
      </c>
      <c r="H3650" s="51" t="n">
        <v>0.007</v>
      </c>
      <c r="I3650" s="51" t="n">
        <v>0.3577</v>
      </c>
      <c r="J3650" s="51" t="n">
        <v>0.6353</v>
      </c>
      <c r="K3650" s="49"/>
      <c r="L3650" s="49"/>
      <c r="M3650" s="49"/>
      <c r="N3650" s="49"/>
      <c r="O3650" s="49"/>
      <c r="P3650" s="49"/>
      <c r="Q3650" s="49"/>
      <c r="R3650" s="49"/>
      <c r="S3650" s="49" t="n">
        <v>0</v>
      </c>
      <c r="T3650" s="49" t="n">
        <v>0</v>
      </c>
      <c r="U3650" s="49" t="s">
        <v>7539</v>
      </c>
    </row>
    <row r="3651" customFormat="false" ht="15" hidden="false" customHeight="false" outlineLevel="0" collapsed="false">
      <c r="B3651" s="48" t="n">
        <v>46182.5278009259</v>
      </c>
      <c r="C3651" s="4" t="n">
        <f aca="false">YEAR(B3651)</f>
        <v>2026</v>
      </c>
      <c r="D3651" s="49" t="s">
        <v>278</v>
      </c>
      <c r="E3651" s="49" t="s">
        <v>7540</v>
      </c>
      <c r="F3651" s="50" t="n">
        <v>5</v>
      </c>
      <c r="G3651" s="49" t="s">
        <v>280</v>
      </c>
      <c r="H3651" s="51" t="n">
        <v>0.6489</v>
      </c>
      <c r="I3651" s="51" t="n">
        <v>0.3329</v>
      </c>
      <c r="J3651" s="51" t="n">
        <v>0.0182</v>
      </c>
      <c r="K3651" s="49"/>
      <c r="L3651" s="49"/>
      <c r="M3651" s="49" t="s">
        <v>281</v>
      </c>
      <c r="N3651" s="49"/>
      <c r="O3651" s="49"/>
      <c r="P3651" s="49"/>
      <c r="Q3651" s="49" t="s">
        <v>281</v>
      </c>
      <c r="R3651" s="49" t="s">
        <v>281</v>
      </c>
      <c r="S3651" s="49" t="n">
        <v>0</v>
      </c>
      <c r="T3651" s="49" t="n">
        <v>0</v>
      </c>
      <c r="U3651" s="49" t="s">
        <v>7541</v>
      </c>
    </row>
    <row r="3652" customFormat="false" ht="15" hidden="false" customHeight="false" outlineLevel="0" collapsed="false">
      <c r="B3652" s="48" t="n">
        <v>46182.5710416667</v>
      </c>
      <c r="C3652" s="4" t="n">
        <f aca="false">YEAR(B3652)</f>
        <v>2026</v>
      </c>
      <c r="D3652" s="49" t="s">
        <v>278</v>
      </c>
      <c r="E3652" s="49" t="s">
        <v>7542</v>
      </c>
      <c r="F3652" s="50" t="n">
        <v>1</v>
      </c>
      <c r="G3652" s="49" t="s">
        <v>280</v>
      </c>
      <c r="H3652" s="51" t="n">
        <v>0.54</v>
      </c>
      <c r="I3652" s="51" t="n">
        <v>0.3954</v>
      </c>
      <c r="J3652" s="51" t="n">
        <v>0.0646</v>
      </c>
      <c r="K3652" s="49"/>
      <c r="L3652" s="49"/>
      <c r="M3652" s="49"/>
      <c r="N3652" s="49"/>
      <c r="O3652" s="49"/>
      <c r="P3652" s="49"/>
      <c r="Q3652" s="49"/>
      <c r="R3652" s="49"/>
      <c r="S3652" s="49" t="n">
        <v>0</v>
      </c>
      <c r="T3652" s="49" t="n">
        <v>0</v>
      </c>
      <c r="U3652" s="49" t="s">
        <v>7543</v>
      </c>
    </row>
    <row r="3653" customFormat="false" ht="15" hidden="false" customHeight="false" outlineLevel="0" collapsed="false">
      <c r="B3653" s="48" t="n">
        <v>46182.8507060185</v>
      </c>
      <c r="C3653" s="4" t="n">
        <f aca="false">YEAR(B3653)</f>
        <v>2026</v>
      </c>
      <c r="D3653" s="49" t="s">
        <v>278</v>
      </c>
      <c r="E3653" s="49" t="s">
        <v>7544</v>
      </c>
      <c r="F3653" s="50" t="n">
        <v>4</v>
      </c>
      <c r="G3653" s="49" t="s">
        <v>290</v>
      </c>
      <c r="H3653" s="51" t="n">
        <v>0.4601</v>
      </c>
      <c r="I3653" s="51" t="n">
        <v>0.4631</v>
      </c>
      <c r="J3653" s="51" t="n">
        <v>0.0768</v>
      </c>
      <c r="K3653" s="49"/>
      <c r="L3653" s="49"/>
      <c r="M3653" s="49"/>
      <c r="N3653" s="49"/>
      <c r="O3653" s="49"/>
      <c r="P3653" s="49" t="s">
        <v>281</v>
      </c>
      <c r="Q3653" s="49"/>
      <c r="R3653" s="49" t="s">
        <v>281</v>
      </c>
      <c r="S3653" s="49" t="n">
        <v>0</v>
      </c>
      <c r="T3653" s="49" t="n">
        <v>0</v>
      </c>
      <c r="U3653" s="49" t="s">
        <v>7545</v>
      </c>
    </row>
    <row r="3654" customFormat="false" ht="15" hidden="false" customHeight="false" outlineLevel="0" collapsed="false">
      <c r="B3654" s="48" t="n">
        <v>46182.8811574074</v>
      </c>
      <c r="C3654" s="4" t="n">
        <f aca="false">YEAR(B3654)</f>
        <v>2026</v>
      </c>
      <c r="D3654" s="49" t="s">
        <v>278</v>
      </c>
      <c r="E3654" s="49" t="s">
        <v>7546</v>
      </c>
      <c r="F3654" s="50" t="n">
        <v>0</v>
      </c>
      <c r="G3654" s="49" t="s">
        <v>290</v>
      </c>
      <c r="H3654" s="51" t="n">
        <v>0.1374</v>
      </c>
      <c r="I3654" s="51" t="n">
        <v>0.5306</v>
      </c>
      <c r="J3654" s="51" t="n">
        <v>0.332</v>
      </c>
      <c r="K3654" s="49"/>
      <c r="L3654" s="49"/>
      <c r="M3654" s="49"/>
      <c r="N3654" s="49"/>
      <c r="O3654" s="49"/>
      <c r="P3654" s="49"/>
      <c r="Q3654" s="49"/>
      <c r="R3654" s="49"/>
      <c r="S3654" s="49" t="n">
        <v>0</v>
      </c>
      <c r="T3654" s="49" t="n">
        <v>0</v>
      </c>
      <c r="U3654" s="49" t="s">
        <v>7547</v>
      </c>
    </row>
    <row r="3655" customFormat="false" ht="15" hidden="false" customHeight="false" outlineLevel="0" collapsed="false">
      <c r="B3655" s="48" t="n">
        <v>46183.2672106482</v>
      </c>
      <c r="C3655" s="4" t="n">
        <f aca="false">YEAR(B3655)</f>
        <v>2026</v>
      </c>
      <c r="D3655" s="49" t="s">
        <v>278</v>
      </c>
      <c r="E3655" s="49" t="s">
        <v>7548</v>
      </c>
      <c r="F3655" s="50" t="n">
        <v>503</v>
      </c>
      <c r="G3655" s="49" t="s">
        <v>280</v>
      </c>
      <c r="H3655" s="51" t="n">
        <v>0.8395</v>
      </c>
      <c r="I3655" s="51" t="n">
        <v>0.1513</v>
      </c>
      <c r="J3655" s="51" t="n">
        <v>0.0093</v>
      </c>
      <c r="K3655" s="49"/>
      <c r="L3655" s="49"/>
      <c r="M3655" s="49" t="s">
        <v>281</v>
      </c>
      <c r="N3655" s="49"/>
      <c r="O3655" s="49"/>
      <c r="P3655" s="49"/>
      <c r="Q3655" s="49"/>
      <c r="R3655" s="49"/>
      <c r="S3655" s="49" t="n">
        <v>0</v>
      </c>
      <c r="T3655" s="49" t="n">
        <v>0</v>
      </c>
      <c r="U3655" s="49" t="s">
        <v>7549</v>
      </c>
    </row>
    <row r="3656" customFormat="false" ht="15" hidden="false" customHeight="false" outlineLevel="0" collapsed="false">
      <c r="B3656" s="48" t="n">
        <v>46183.3035185185</v>
      </c>
      <c r="C3656" s="4" t="n">
        <f aca="false">YEAR(B3656)</f>
        <v>2026</v>
      </c>
      <c r="D3656" s="49" t="s">
        <v>283</v>
      </c>
      <c r="E3656" s="49" t="s">
        <v>7550</v>
      </c>
      <c r="F3656" s="50" t="n">
        <v>1</v>
      </c>
      <c r="G3656" s="49" t="s">
        <v>290</v>
      </c>
      <c r="H3656" s="51" t="n">
        <v>0.0162</v>
      </c>
      <c r="I3656" s="51" t="n">
        <v>0.6765</v>
      </c>
      <c r="J3656" s="51" t="n">
        <v>0.3074</v>
      </c>
      <c r="K3656" s="49"/>
      <c r="L3656" s="49"/>
      <c r="M3656" s="49"/>
      <c r="N3656" s="49"/>
      <c r="O3656" s="49"/>
      <c r="P3656" s="49"/>
      <c r="Q3656" s="49"/>
      <c r="R3656" s="49"/>
      <c r="S3656" s="49" t="n">
        <v>0</v>
      </c>
      <c r="T3656" s="49" t="n">
        <v>0</v>
      </c>
      <c r="U3656" s="49" t="s">
        <v>7551</v>
      </c>
    </row>
    <row r="3657" customFormat="false" ht="15" hidden="false" customHeight="false" outlineLevel="0" collapsed="false">
      <c r="B3657" s="48" t="n">
        <v>46183.4501736111</v>
      </c>
      <c r="C3657" s="4" t="n">
        <f aca="false">YEAR(B3657)</f>
        <v>2026</v>
      </c>
      <c r="D3657" s="49" t="s">
        <v>278</v>
      </c>
      <c r="E3657" s="49" t="s">
        <v>7552</v>
      </c>
      <c r="F3657" s="50" t="n">
        <v>0</v>
      </c>
      <c r="G3657" s="49" t="s">
        <v>280</v>
      </c>
      <c r="H3657" s="51" t="n">
        <v>0.6829</v>
      </c>
      <c r="I3657" s="51" t="n">
        <v>0.2909</v>
      </c>
      <c r="J3657" s="51" t="n">
        <v>0.0262</v>
      </c>
      <c r="K3657" s="49"/>
      <c r="L3657" s="49"/>
      <c r="M3657" s="49"/>
      <c r="N3657" s="49"/>
      <c r="O3657" s="49"/>
      <c r="P3657" s="49"/>
      <c r="Q3657" s="49"/>
      <c r="R3657" s="49" t="s">
        <v>281</v>
      </c>
      <c r="S3657" s="49" t="n">
        <v>0</v>
      </c>
      <c r="T3657" s="49" t="n">
        <v>0</v>
      </c>
      <c r="U3657" s="49" t="s">
        <v>7553</v>
      </c>
    </row>
    <row r="3658" customFormat="false" ht="15" hidden="false" customHeight="false" outlineLevel="0" collapsed="false">
      <c r="B3658" s="48" t="n">
        <v>46183.5901388889</v>
      </c>
      <c r="C3658" s="4" t="n">
        <f aca="false">YEAR(B3658)</f>
        <v>2026</v>
      </c>
      <c r="D3658" s="49" t="s">
        <v>283</v>
      </c>
      <c r="E3658" s="49" t="s">
        <v>7554</v>
      </c>
      <c r="F3658" s="50" t="n">
        <v>2</v>
      </c>
      <c r="G3658" s="49" t="s">
        <v>287</v>
      </c>
      <c r="H3658" s="51" t="n">
        <v>0.0076</v>
      </c>
      <c r="I3658" s="51" t="n">
        <v>0.1855</v>
      </c>
      <c r="J3658" s="51" t="n">
        <v>0.8069</v>
      </c>
      <c r="K3658" s="49"/>
      <c r="L3658" s="49"/>
      <c r="M3658" s="49"/>
      <c r="N3658" s="49"/>
      <c r="O3658" s="49"/>
      <c r="P3658" s="49"/>
      <c r="Q3658" s="49"/>
      <c r="R3658" s="49"/>
      <c r="S3658" s="49" t="n">
        <v>0</v>
      </c>
      <c r="T3658" s="49" t="n">
        <v>0</v>
      </c>
      <c r="U3658" s="49" t="s">
        <v>7555</v>
      </c>
    </row>
    <row r="3659" customFormat="false" ht="15" hidden="false" customHeight="false" outlineLevel="0" collapsed="false">
      <c r="B3659" s="48" t="n">
        <v>46183.7385416667</v>
      </c>
      <c r="C3659" s="4" t="n">
        <f aca="false">YEAR(B3659)</f>
        <v>2026</v>
      </c>
      <c r="D3659" s="49" t="s">
        <v>278</v>
      </c>
      <c r="E3659" s="49" t="s">
        <v>7556</v>
      </c>
      <c r="F3659" s="50" t="n">
        <v>0</v>
      </c>
      <c r="G3659" s="49" t="s">
        <v>280</v>
      </c>
      <c r="H3659" s="51" t="n">
        <v>0.6324</v>
      </c>
      <c r="I3659" s="51" t="n">
        <v>0.2897</v>
      </c>
      <c r="J3659" s="51" t="n">
        <v>0.078</v>
      </c>
      <c r="K3659" s="49"/>
      <c r="L3659" s="49"/>
      <c r="M3659" s="49"/>
      <c r="N3659" s="49"/>
      <c r="O3659" s="49"/>
      <c r="P3659" s="49"/>
      <c r="Q3659" s="49"/>
      <c r="R3659" s="49"/>
      <c r="S3659" s="49" t="n">
        <v>0</v>
      </c>
      <c r="T3659" s="49" t="n">
        <v>0</v>
      </c>
      <c r="U3659" s="49" t="s">
        <v>7557</v>
      </c>
    </row>
    <row r="3660" customFormat="false" ht="15" hidden="false" customHeight="false" outlineLevel="0" collapsed="false">
      <c r="B3660" s="48" t="n">
        <v>46183.7673958333</v>
      </c>
      <c r="C3660" s="4" t="n">
        <f aca="false">YEAR(B3660)</f>
        <v>2026</v>
      </c>
      <c r="D3660" s="49" t="s">
        <v>283</v>
      </c>
      <c r="E3660" s="49" t="s">
        <v>7558</v>
      </c>
      <c r="F3660" s="50" t="n">
        <v>1</v>
      </c>
      <c r="G3660" s="49" t="s">
        <v>287</v>
      </c>
      <c r="H3660" s="51" t="n">
        <v>0.0045</v>
      </c>
      <c r="I3660" s="51" t="n">
        <v>0.0275</v>
      </c>
      <c r="J3660" s="51" t="n">
        <v>0.968</v>
      </c>
      <c r="K3660" s="49"/>
      <c r="L3660" s="49"/>
      <c r="M3660" s="49"/>
      <c r="N3660" s="49"/>
      <c r="O3660" s="49"/>
      <c r="P3660" s="49"/>
      <c r="Q3660" s="49"/>
      <c r="R3660" s="49"/>
      <c r="S3660" s="49" t="n">
        <v>0</v>
      </c>
      <c r="T3660" s="49" t="n">
        <v>0</v>
      </c>
      <c r="U3660" s="49" t="s">
        <v>7559</v>
      </c>
    </row>
    <row r="3661" customFormat="false" ht="15" hidden="false" customHeight="false" outlineLevel="0" collapsed="false">
      <c r="B3661" s="48" t="n">
        <v>46183.8162384259</v>
      </c>
      <c r="C3661" s="4" t="n">
        <f aca="false">YEAR(B3661)</f>
        <v>2026</v>
      </c>
      <c r="D3661" s="49" t="s">
        <v>278</v>
      </c>
      <c r="E3661" s="49" t="s">
        <v>7560</v>
      </c>
      <c r="F3661" s="50" t="n">
        <v>0</v>
      </c>
      <c r="G3661" s="49" t="s">
        <v>280</v>
      </c>
      <c r="H3661" s="51" t="n">
        <v>0.9434</v>
      </c>
      <c r="I3661" s="51" t="n">
        <v>0.0509</v>
      </c>
      <c r="J3661" s="51" t="n">
        <v>0.0056</v>
      </c>
      <c r="K3661" s="49"/>
      <c r="L3661" s="49"/>
      <c r="M3661" s="49"/>
      <c r="N3661" s="49"/>
      <c r="O3661" s="49"/>
      <c r="P3661" s="49"/>
      <c r="Q3661" s="49"/>
      <c r="R3661" s="49" t="s">
        <v>281</v>
      </c>
      <c r="S3661" s="49" t="n">
        <v>0</v>
      </c>
      <c r="T3661" s="49" t="n">
        <v>0</v>
      </c>
      <c r="U3661" s="49" t="s">
        <v>7561</v>
      </c>
    </row>
    <row r="3662" customFormat="false" ht="15" hidden="false" customHeight="false" outlineLevel="0" collapsed="false">
      <c r="B3662" s="48" t="n">
        <v>46183.8592939815</v>
      </c>
      <c r="C3662" s="4" t="n">
        <f aca="false">YEAR(B3662)</f>
        <v>2026</v>
      </c>
      <c r="D3662" s="49" t="s">
        <v>278</v>
      </c>
      <c r="E3662" s="49" t="s">
        <v>7562</v>
      </c>
      <c r="F3662" s="50" t="n">
        <v>3</v>
      </c>
      <c r="G3662" s="49" t="s">
        <v>280</v>
      </c>
      <c r="H3662" s="51" t="n">
        <v>0.7701</v>
      </c>
      <c r="I3662" s="51" t="n">
        <v>0.211</v>
      </c>
      <c r="J3662" s="51" t="n">
        <v>0.0189</v>
      </c>
      <c r="K3662" s="49" t="s">
        <v>281</v>
      </c>
      <c r="L3662" s="49"/>
      <c r="M3662" s="49"/>
      <c r="N3662" s="49"/>
      <c r="O3662" s="49"/>
      <c r="P3662" s="49"/>
      <c r="Q3662" s="49"/>
      <c r="R3662" s="49" t="s">
        <v>281</v>
      </c>
      <c r="S3662" s="49" t="n">
        <v>0</v>
      </c>
      <c r="T3662" s="49" t="n">
        <v>0</v>
      </c>
      <c r="U3662" s="49" t="s">
        <v>7563</v>
      </c>
    </row>
    <row r="3663" customFormat="false" ht="15" hidden="false" customHeight="false" outlineLevel="0" collapsed="false">
      <c r="B3663" s="48" t="n">
        <v>46183.9454398148</v>
      </c>
      <c r="C3663" s="4" t="n">
        <f aca="false">YEAR(B3663)</f>
        <v>2026</v>
      </c>
      <c r="D3663" s="49" t="s">
        <v>283</v>
      </c>
      <c r="E3663" s="49" t="s">
        <v>7564</v>
      </c>
      <c r="F3663" s="50" t="n">
        <v>0</v>
      </c>
      <c r="G3663" s="49" t="s">
        <v>290</v>
      </c>
      <c r="H3663" s="51" t="n">
        <v>0.0986</v>
      </c>
      <c r="I3663" s="51" t="n">
        <v>0.7986</v>
      </c>
      <c r="J3663" s="51" t="n">
        <v>0.1028</v>
      </c>
      <c r="K3663" s="49"/>
      <c r="L3663" s="49"/>
      <c r="M3663" s="49"/>
      <c r="N3663" s="49"/>
      <c r="O3663" s="49"/>
      <c r="P3663" s="49"/>
      <c r="Q3663" s="49"/>
      <c r="R3663" s="49"/>
      <c r="S3663" s="49" t="n">
        <v>0</v>
      </c>
      <c r="T3663" s="49" t="n">
        <v>0</v>
      </c>
      <c r="U3663" s="49" t="s">
        <v>7565</v>
      </c>
    </row>
    <row r="3664" customFormat="false" ht="15" hidden="false" customHeight="false" outlineLevel="0" collapsed="false">
      <c r="B3664" s="48" t="n">
        <v>46184.1140046296</v>
      </c>
      <c r="C3664" s="4" t="n">
        <f aca="false">YEAR(B3664)</f>
        <v>2026</v>
      </c>
      <c r="D3664" s="49" t="s">
        <v>278</v>
      </c>
      <c r="E3664" s="49" t="s">
        <v>7566</v>
      </c>
      <c r="F3664" s="50" t="n">
        <v>0</v>
      </c>
      <c r="G3664" s="49" t="s">
        <v>290</v>
      </c>
      <c r="H3664" s="51" t="n">
        <v>0.0101</v>
      </c>
      <c r="I3664" s="51" t="n">
        <v>0.8793</v>
      </c>
      <c r="J3664" s="51" t="n">
        <v>0.1106</v>
      </c>
      <c r="K3664" s="49"/>
      <c r="L3664" s="49"/>
      <c r="M3664" s="49"/>
      <c r="N3664" s="49"/>
      <c r="O3664" s="49"/>
      <c r="P3664" s="49"/>
      <c r="Q3664" s="49"/>
      <c r="R3664" s="49"/>
      <c r="S3664" s="49" t="n">
        <v>0</v>
      </c>
      <c r="T3664" s="49" t="n">
        <v>0</v>
      </c>
      <c r="U3664" s="49" t="s">
        <v>7567</v>
      </c>
    </row>
    <row r="3665" customFormat="false" ht="15" hidden="false" customHeight="false" outlineLevel="0" collapsed="false">
      <c r="B3665" s="48" t="n">
        <v>46184.1769907407</v>
      </c>
      <c r="C3665" s="4" t="n">
        <f aca="false">YEAR(B3665)</f>
        <v>2026</v>
      </c>
      <c r="D3665" s="49" t="s">
        <v>278</v>
      </c>
      <c r="E3665" s="49" t="s">
        <v>7568</v>
      </c>
      <c r="F3665" s="50" t="n">
        <v>116</v>
      </c>
      <c r="G3665" s="49" t="s">
        <v>280</v>
      </c>
      <c r="H3665" s="51" t="n">
        <v>0.8959</v>
      </c>
      <c r="I3665" s="51" t="n">
        <v>0.0962</v>
      </c>
      <c r="J3665" s="51" t="n">
        <v>0.0079</v>
      </c>
      <c r="K3665" s="49"/>
      <c r="L3665" s="49"/>
      <c r="M3665" s="49"/>
      <c r="N3665" s="49"/>
      <c r="O3665" s="49"/>
      <c r="P3665" s="49"/>
      <c r="Q3665" s="49"/>
      <c r="R3665" s="49"/>
      <c r="S3665" s="49" t="n">
        <v>0</v>
      </c>
      <c r="T3665" s="49" t="n">
        <v>0</v>
      </c>
      <c r="U3665" s="49" t="s">
        <v>7569</v>
      </c>
    </row>
    <row r="3666" customFormat="false" ht="15" hidden="false" customHeight="false" outlineLevel="0" collapsed="false">
      <c r="B3666" s="48" t="n">
        <v>46184.3045023148</v>
      </c>
      <c r="C3666" s="4" t="n">
        <f aca="false">YEAR(B3666)</f>
        <v>2026</v>
      </c>
      <c r="D3666" s="49" t="s">
        <v>278</v>
      </c>
      <c r="E3666" s="49" t="s">
        <v>7570</v>
      </c>
      <c r="F3666" s="50" t="n">
        <v>1</v>
      </c>
      <c r="G3666" s="49" t="s">
        <v>280</v>
      </c>
      <c r="H3666" s="51" t="n">
        <v>0.8202</v>
      </c>
      <c r="I3666" s="51" t="n">
        <v>0.1687</v>
      </c>
      <c r="J3666" s="51" t="n">
        <v>0.0111</v>
      </c>
      <c r="K3666" s="49" t="s">
        <v>281</v>
      </c>
      <c r="L3666" s="49"/>
      <c r="M3666" s="49"/>
      <c r="N3666" s="49"/>
      <c r="O3666" s="49"/>
      <c r="P3666" s="49"/>
      <c r="Q3666" s="49"/>
      <c r="R3666" s="49"/>
      <c r="S3666" s="49" t="n">
        <v>0</v>
      </c>
      <c r="T3666" s="49" t="n">
        <v>0</v>
      </c>
      <c r="U3666" s="49" t="s">
        <v>7571</v>
      </c>
    </row>
    <row r="3667" customFormat="false" ht="15" hidden="false" customHeight="false" outlineLevel="0" collapsed="false">
      <c r="B3667" s="48" t="n">
        <v>46186.4337615741</v>
      </c>
      <c r="C3667" s="4" t="n">
        <f aca="false">YEAR(B3667)</f>
        <v>2026</v>
      </c>
      <c r="D3667" s="49" t="s">
        <v>283</v>
      </c>
      <c r="E3667" s="49" t="s">
        <v>7572</v>
      </c>
      <c r="F3667" s="50" t="n">
        <v>7</v>
      </c>
      <c r="G3667" s="49" t="s">
        <v>287</v>
      </c>
      <c r="H3667" s="51" t="n">
        <v>0.0074</v>
      </c>
      <c r="I3667" s="51" t="n">
        <v>0.183</v>
      </c>
      <c r="J3667" s="51" t="n">
        <v>0.8096</v>
      </c>
      <c r="K3667" s="49"/>
      <c r="L3667" s="49"/>
      <c r="M3667" s="49"/>
      <c r="N3667" s="49"/>
      <c r="O3667" s="49"/>
      <c r="P3667" s="49"/>
      <c r="Q3667" s="49"/>
      <c r="R3667" s="49" t="s">
        <v>281</v>
      </c>
      <c r="S3667" s="49" t="n">
        <v>0</v>
      </c>
      <c r="T3667" s="49" t="n">
        <v>0</v>
      </c>
      <c r="U3667" s="49" t="s">
        <v>7573</v>
      </c>
    </row>
    <row r="3668" customFormat="false" ht="15" hidden="false" customHeight="false" outlineLevel="0" collapsed="false">
      <c r="B3668" s="48" t="n">
        <v>46186.4841898148</v>
      </c>
      <c r="C3668" s="4" t="n">
        <f aca="false">YEAR(B3668)</f>
        <v>2026</v>
      </c>
      <c r="D3668" s="49" t="s">
        <v>278</v>
      </c>
      <c r="E3668" s="49" t="s">
        <v>7574</v>
      </c>
      <c r="F3668" s="50" t="n">
        <v>2</v>
      </c>
      <c r="G3668" s="49" t="s">
        <v>280</v>
      </c>
      <c r="H3668" s="51" t="n">
        <v>0.7294</v>
      </c>
      <c r="I3668" s="51" t="n">
        <v>0.2585</v>
      </c>
      <c r="J3668" s="51" t="n">
        <v>0.0122</v>
      </c>
      <c r="K3668" s="49"/>
      <c r="L3668" s="49"/>
      <c r="M3668" s="49"/>
      <c r="N3668" s="49"/>
      <c r="O3668" s="49"/>
      <c r="P3668" s="49"/>
      <c r="Q3668" s="49"/>
      <c r="R3668" s="49"/>
      <c r="S3668" s="49" t="n">
        <v>0</v>
      </c>
      <c r="T3668" s="49" t="n">
        <v>0</v>
      </c>
      <c r="U3668" s="49" t="s">
        <v>7575</v>
      </c>
    </row>
    <row r="3669" customFormat="false" ht="15" hidden="false" customHeight="false" outlineLevel="0" collapsed="false">
      <c r="B3669" s="48" t="n">
        <v>46186.8076736111</v>
      </c>
      <c r="C3669" s="4" t="n">
        <f aca="false">YEAR(B3669)</f>
        <v>2026</v>
      </c>
      <c r="D3669" s="49" t="s">
        <v>283</v>
      </c>
      <c r="E3669" s="49" t="s">
        <v>7576</v>
      </c>
      <c r="F3669" s="50" t="n">
        <v>2</v>
      </c>
      <c r="G3669" s="49" t="s">
        <v>287</v>
      </c>
      <c r="H3669" s="51" t="n">
        <v>0.0062</v>
      </c>
      <c r="I3669" s="51" t="n">
        <v>0.3071</v>
      </c>
      <c r="J3669" s="51" t="n">
        <v>0.6867</v>
      </c>
      <c r="K3669" s="49"/>
      <c r="L3669" s="49"/>
      <c r="M3669" s="49"/>
      <c r="N3669" s="49"/>
      <c r="O3669" s="49"/>
      <c r="P3669" s="49"/>
      <c r="Q3669" s="49"/>
      <c r="R3669" s="49"/>
      <c r="S3669" s="49" t="n">
        <v>0</v>
      </c>
      <c r="T3669" s="49" t="n">
        <v>0</v>
      </c>
      <c r="U3669" s="49" t="s">
        <v>7577</v>
      </c>
    </row>
    <row r="3670" customFormat="false" ht="15" hidden="false" customHeight="false" outlineLevel="0" collapsed="false">
      <c r="B3670" s="48" t="n">
        <v>46187.1240625</v>
      </c>
      <c r="C3670" s="4" t="n">
        <f aca="false">YEAR(B3670)</f>
        <v>2026</v>
      </c>
      <c r="D3670" s="49" t="s">
        <v>278</v>
      </c>
      <c r="E3670" s="49" t="s">
        <v>7578</v>
      </c>
      <c r="F3670" s="50" t="n">
        <v>1</v>
      </c>
      <c r="G3670" s="49" t="s">
        <v>280</v>
      </c>
      <c r="H3670" s="51" t="n">
        <v>0.8705</v>
      </c>
      <c r="I3670" s="51" t="n">
        <v>0.1186</v>
      </c>
      <c r="J3670" s="51" t="n">
        <v>0.0109</v>
      </c>
      <c r="K3670" s="49"/>
      <c r="L3670" s="49"/>
      <c r="M3670" s="49"/>
      <c r="N3670" s="49"/>
      <c r="O3670" s="49"/>
      <c r="P3670" s="49"/>
      <c r="Q3670" s="49"/>
      <c r="R3670" s="49" t="s">
        <v>281</v>
      </c>
      <c r="S3670" s="49" t="n">
        <v>0</v>
      </c>
      <c r="T3670" s="49" t="n">
        <v>0</v>
      </c>
      <c r="U3670" s="49" t="s">
        <v>7579</v>
      </c>
    </row>
    <row r="3671" customFormat="false" ht="15" hidden="false" customHeight="false" outlineLevel="0" collapsed="false">
      <c r="B3671" s="48" t="n">
        <v>46187.6442013889</v>
      </c>
      <c r="C3671" s="4" t="n">
        <f aca="false">YEAR(B3671)</f>
        <v>2026</v>
      </c>
      <c r="D3671" s="49" t="s">
        <v>283</v>
      </c>
      <c r="E3671" s="49" t="s">
        <v>7580</v>
      </c>
      <c r="F3671" s="50" t="n">
        <v>9</v>
      </c>
      <c r="G3671" s="49" t="s">
        <v>287</v>
      </c>
      <c r="H3671" s="51" t="n">
        <v>0.0021</v>
      </c>
      <c r="I3671" s="51" t="n">
        <v>0.0632</v>
      </c>
      <c r="J3671" s="51" t="n">
        <v>0.9347</v>
      </c>
      <c r="K3671" s="49"/>
      <c r="L3671" s="49"/>
      <c r="M3671" s="49"/>
      <c r="N3671" s="49"/>
      <c r="O3671" s="49"/>
      <c r="P3671" s="49"/>
      <c r="Q3671" s="49"/>
      <c r="R3671" s="49"/>
      <c r="S3671" s="49" t="n">
        <v>0</v>
      </c>
      <c r="T3671" s="49" t="n">
        <v>0</v>
      </c>
      <c r="U3671" s="49" t="s">
        <v>7581</v>
      </c>
    </row>
    <row r="3672" customFormat="false" ht="15" hidden="false" customHeight="false" outlineLevel="0" collapsed="false">
      <c r="B3672" s="48" t="n">
        <v>46187.7996296296</v>
      </c>
      <c r="C3672" s="4" t="n">
        <f aca="false">YEAR(B3672)</f>
        <v>2026</v>
      </c>
      <c r="D3672" s="49" t="s">
        <v>278</v>
      </c>
      <c r="E3672" s="49" t="s">
        <v>7582</v>
      </c>
      <c r="F3672" s="50" t="n">
        <v>0</v>
      </c>
      <c r="G3672" s="49" t="s">
        <v>280</v>
      </c>
      <c r="H3672" s="51" t="n">
        <v>0.8856</v>
      </c>
      <c r="I3672" s="51" t="n">
        <v>0.1005</v>
      </c>
      <c r="J3672" s="51" t="n">
        <v>0.0139</v>
      </c>
      <c r="K3672" s="49"/>
      <c r="L3672" s="49"/>
      <c r="M3672" s="49"/>
      <c r="N3672" s="49"/>
      <c r="O3672" s="49"/>
      <c r="P3672" s="49"/>
      <c r="Q3672" s="49"/>
      <c r="R3672" s="49"/>
      <c r="S3672" s="49" t="n">
        <v>0</v>
      </c>
      <c r="T3672" s="49" t="n">
        <v>0</v>
      </c>
      <c r="U3672" s="49" t="s">
        <v>7583</v>
      </c>
    </row>
    <row r="3673" customFormat="false" ht="15" hidden="false" customHeight="false" outlineLevel="0" collapsed="false">
      <c r="B3673" s="48" t="n">
        <v>46188.342974537</v>
      </c>
      <c r="C3673" s="4" t="n">
        <f aca="false">YEAR(B3673)</f>
        <v>2026</v>
      </c>
      <c r="D3673" s="49" t="s">
        <v>278</v>
      </c>
      <c r="E3673" s="49" t="s">
        <v>7584</v>
      </c>
      <c r="F3673" s="50" t="n">
        <v>0</v>
      </c>
      <c r="G3673" s="49" t="s">
        <v>290</v>
      </c>
      <c r="H3673" s="51" t="n">
        <v>0.0739</v>
      </c>
      <c r="I3673" s="51" t="n">
        <v>0.7138</v>
      </c>
      <c r="J3673" s="51" t="n">
        <v>0.2123</v>
      </c>
      <c r="K3673" s="49"/>
      <c r="L3673" s="49"/>
      <c r="M3673" s="49"/>
      <c r="N3673" s="49"/>
      <c r="O3673" s="49"/>
      <c r="P3673" s="49"/>
      <c r="Q3673" s="49"/>
      <c r="R3673" s="49"/>
      <c r="S3673" s="49" t="n">
        <v>0</v>
      </c>
      <c r="T3673" s="49" t="n">
        <v>0</v>
      </c>
      <c r="U3673" s="49" t="s">
        <v>7585</v>
      </c>
    </row>
    <row r="3674" customFormat="false" ht="15" hidden="false" customHeight="false" outlineLevel="0" collapsed="false">
      <c r="B3674" s="48" t="n">
        <v>46188.4637384259</v>
      </c>
      <c r="C3674" s="4" t="n">
        <f aca="false">YEAR(B3674)</f>
        <v>2026</v>
      </c>
      <c r="D3674" s="49" t="s">
        <v>283</v>
      </c>
      <c r="E3674" s="49" t="s">
        <v>7586</v>
      </c>
      <c r="F3674" s="50" t="n">
        <v>104</v>
      </c>
      <c r="G3674" s="49" t="s">
        <v>280</v>
      </c>
      <c r="H3674" s="51" t="n">
        <v>0.8535</v>
      </c>
      <c r="I3674" s="51" t="n">
        <v>0.1266</v>
      </c>
      <c r="J3674" s="51" t="n">
        <v>0.02</v>
      </c>
      <c r="K3674" s="49" t="s">
        <v>281</v>
      </c>
      <c r="L3674" s="49"/>
      <c r="M3674" s="49"/>
      <c r="N3674" s="49"/>
      <c r="O3674" s="49"/>
      <c r="P3674" s="49"/>
      <c r="Q3674" s="49"/>
      <c r="R3674" s="49" t="s">
        <v>281</v>
      </c>
      <c r="S3674" s="49" t="n">
        <v>0</v>
      </c>
      <c r="T3674" s="49" t="n">
        <v>0</v>
      </c>
      <c r="U3674" s="49" t="s">
        <v>7587</v>
      </c>
    </row>
    <row r="3675" customFormat="false" ht="15" hidden="false" customHeight="false" outlineLevel="0" collapsed="false">
      <c r="B3675" s="48" t="n">
        <v>46188.5050578704</v>
      </c>
      <c r="C3675" s="4" t="n">
        <f aca="false">YEAR(B3675)</f>
        <v>2026</v>
      </c>
      <c r="D3675" s="49" t="s">
        <v>278</v>
      </c>
      <c r="E3675" s="49" t="s">
        <v>7588</v>
      </c>
      <c r="F3675" s="50" t="n">
        <v>1</v>
      </c>
      <c r="G3675" s="49" t="s">
        <v>280</v>
      </c>
      <c r="H3675" s="51" t="n">
        <v>0.4558</v>
      </c>
      <c r="I3675" s="51" t="n">
        <v>0.2506</v>
      </c>
      <c r="J3675" s="51" t="n">
        <v>0.2936</v>
      </c>
      <c r="K3675" s="49" t="s">
        <v>281</v>
      </c>
      <c r="L3675" s="49"/>
      <c r="M3675" s="49"/>
      <c r="N3675" s="49"/>
      <c r="O3675" s="49"/>
      <c r="P3675" s="49"/>
      <c r="Q3675" s="49"/>
      <c r="R3675" s="49"/>
      <c r="S3675" s="49" t="n">
        <v>0</v>
      </c>
      <c r="T3675" s="49" t="n">
        <v>0</v>
      </c>
      <c r="U3675" s="49" t="s">
        <v>7589</v>
      </c>
    </row>
    <row r="3676" customFormat="false" ht="15" hidden="false" customHeight="false" outlineLevel="0" collapsed="false">
      <c r="B3676" s="48" t="n">
        <v>46188.5055555556</v>
      </c>
      <c r="C3676" s="4" t="n">
        <f aca="false">YEAR(B3676)</f>
        <v>2026</v>
      </c>
      <c r="D3676" s="49" t="s">
        <v>278</v>
      </c>
      <c r="E3676" s="49" t="s">
        <v>7588</v>
      </c>
      <c r="F3676" s="50" t="n">
        <v>41</v>
      </c>
      <c r="G3676" s="49" t="s">
        <v>280</v>
      </c>
      <c r="H3676" s="51" t="n">
        <v>0.3747</v>
      </c>
      <c r="I3676" s="51" t="n">
        <v>0.2932</v>
      </c>
      <c r="J3676" s="51" t="n">
        <v>0.332</v>
      </c>
      <c r="K3676" s="49" t="s">
        <v>281</v>
      </c>
      <c r="L3676" s="49"/>
      <c r="M3676" s="49"/>
      <c r="N3676" s="49"/>
      <c r="O3676" s="49"/>
      <c r="P3676" s="49"/>
      <c r="Q3676" s="49"/>
      <c r="R3676" s="49"/>
      <c r="S3676" s="49" t="n">
        <v>0</v>
      </c>
      <c r="T3676" s="49" t="n">
        <v>0</v>
      </c>
      <c r="U3676" s="49" t="s">
        <v>7590</v>
      </c>
    </row>
    <row r="3677" customFormat="false" ht="15" hidden="false" customHeight="false" outlineLevel="0" collapsed="false">
      <c r="B3677" s="48" t="n">
        <v>46188.6802662037</v>
      </c>
      <c r="C3677" s="4" t="n">
        <f aca="false">YEAR(B3677)</f>
        <v>2026</v>
      </c>
      <c r="D3677" s="49" t="s">
        <v>278</v>
      </c>
      <c r="E3677" s="49" t="s">
        <v>7591</v>
      </c>
      <c r="F3677" s="50" t="n">
        <v>0</v>
      </c>
      <c r="G3677" s="49" t="s">
        <v>290</v>
      </c>
      <c r="H3677" s="51" t="n">
        <v>0.2659</v>
      </c>
      <c r="I3677" s="51" t="n">
        <v>0.3846</v>
      </c>
      <c r="J3677" s="51" t="n">
        <v>0.3495</v>
      </c>
      <c r="K3677" s="49"/>
      <c r="L3677" s="49"/>
      <c r="M3677" s="49"/>
      <c r="N3677" s="49"/>
      <c r="O3677" s="49"/>
      <c r="P3677" s="49"/>
      <c r="Q3677" s="49"/>
      <c r="R3677" s="49"/>
      <c r="S3677" s="49" t="n">
        <v>0</v>
      </c>
      <c r="T3677" s="49" t="n">
        <v>0</v>
      </c>
      <c r="U3677" s="49" t="s">
        <v>7592</v>
      </c>
    </row>
    <row r="3678" customFormat="false" ht="15" hidden="false" customHeight="false" outlineLevel="0" collapsed="false">
      <c r="B3678" s="48" t="n">
        <v>46189.0740856482</v>
      </c>
      <c r="C3678" s="4" t="n">
        <f aca="false">YEAR(B3678)</f>
        <v>2026</v>
      </c>
      <c r="D3678" s="49" t="s">
        <v>278</v>
      </c>
      <c r="E3678" s="49" t="s">
        <v>7593</v>
      </c>
      <c r="F3678" s="50" t="n">
        <v>1</v>
      </c>
      <c r="G3678" s="49" t="s">
        <v>280</v>
      </c>
      <c r="H3678" s="51" t="n">
        <v>0.56</v>
      </c>
      <c r="I3678" s="51" t="n">
        <v>0.4154</v>
      </c>
      <c r="J3678" s="51" t="n">
        <v>0.0246</v>
      </c>
      <c r="K3678" s="49"/>
      <c r="L3678" s="49"/>
      <c r="M3678" s="49"/>
      <c r="N3678" s="49"/>
      <c r="O3678" s="49"/>
      <c r="P3678" s="49"/>
      <c r="Q3678" s="49"/>
      <c r="R3678" s="49"/>
      <c r="S3678" s="49" t="n">
        <v>0</v>
      </c>
      <c r="T3678" s="49" t="n">
        <v>0</v>
      </c>
      <c r="U3678" s="49" t="s">
        <v>7594</v>
      </c>
    </row>
    <row r="3679" customFormat="false" ht="15" hidden="false" customHeight="false" outlineLevel="0" collapsed="false">
      <c r="B3679" s="48" t="n">
        <v>46189.3358680556</v>
      </c>
      <c r="C3679" s="4" t="n">
        <f aca="false">YEAR(B3679)</f>
        <v>2026</v>
      </c>
      <c r="D3679" s="49" t="s">
        <v>278</v>
      </c>
      <c r="E3679" s="49" t="s">
        <v>7595</v>
      </c>
      <c r="F3679" s="50" t="n">
        <v>1</v>
      </c>
      <c r="G3679" s="49" t="s">
        <v>280</v>
      </c>
      <c r="H3679" s="51" t="n">
        <v>0.6359</v>
      </c>
      <c r="I3679" s="51" t="n">
        <v>0.2788</v>
      </c>
      <c r="J3679" s="51" t="n">
        <v>0.0853</v>
      </c>
      <c r="K3679" s="49"/>
      <c r="L3679" s="49"/>
      <c r="M3679" s="49"/>
      <c r="N3679" s="49"/>
      <c r="O3679" s="49"/>
      <c r="P3679" s="49"/>
      <c r="Q3679" s="49"/>
      <c r="R3679" s="49" t="s">
        <v>281</v>
      </c>
      <c r="S3679" s="49" t="n">
        <v>0</v>
      </c>
      <c r="T3679" s="49" t="n">
        <v>0</v>
      </c>
      <c r="U3679" s="49" t="s">
        <v>7596</v>
      </c>
    </row>
    <row r="3680" customFormat="false" ht="15" hidden="false" customHeight="false" outlineLevel="0" collapsed="false">
      <c r="B3680" s="48" t="n">
        <v>46189.3392939815</v>
      </c>
      <c r="C3680" s="4" t="n">
        <f aca="false">YEAR(B3680)</f>
        <v>2026</v>
      </c>
      <c r="D3680" s="49" t="s">
        <v>278</v>
      </c>
      <c r="E3680" s="49" t="s">
        <v>7597</v>
      </c>
      <c r="F3680" s="50" t="n">
        <v>0</v>
      </c>
      <c r="G3680" s="49" t="s">
        <v>280</v>
      </c>
      <c r="H3680" s="51" t="n">
        <v>0.7459</v>
      </c>
      <c r="I3680" s="51" t="n">
        <v>0.234</v>
      </c>
      <c r="J3680" s="51" t="n">
        <v>0.0202</v>
      </c>
      <c r="K3680" s="49"/>
      <c r="L3680" s="49"/>
      <c r="M3680" s="49"/>
      <c r="N3680" s="49"/>
      <c r="O3680" s="49"/>
      <c r="P3680" s="49"/>
      <c r="Q3680" s="49"/>
      <c r="R3680" s="49" t="s">
        <v>281</v>
      </c>
      <c r="S3680" s="49" t="n">
        <v>0</v>
      </c>
      <c r="T3680" s="49" t="n">
        <v>0</v>
      </c>
      <c r="U3680" s="49" t="s">
        <v>7598</v>
      </c>
    </row>
    <row r="3681" customFormat="false" ht="15" hidden="false" customHeight="false" outlineLevel="0" collapsed="false">
      <c r="B3681" s="48" t="n">
        <v>46189.4002777778</v>
      </c>
      <c r="C3681" s="4" t="n">
        <f aca="false">YEAR(B3681)</f>
        <v>2026</v>
      </c>
      <c r="D3681" s="49" t="s">
        <v>283</v>
      </c>
      <c r="E3681" s="49" t="s">
        <v>7599</v>
      </c>
      <c r="F3681" s="50" t="n">
        <v>10</v>
      </c>
      <c r="G3681" s="49" t="s">
        <v>287</v>
      </c>
      <c r="H3681" s="51" t="n">
        <v>0.0079</v>
      </c>
      <c r="I3681" s="51" t="n">
        <v>0.0254</v>
      </c>
      <c r="J3681" s="51" t="n">
        <v>0.9667</v>
      </c>
      <c r="K3681" s="49"/>
      <c r="L3681" s="49"/>
      <c r="M3681" s="49"/>
      <c r="N3681" s="49"/>
      <c r="O3681" s="49"/>
      <c r="P3681" s="49"/>
      <c r="Q3681" s="49"/>
      <c r="R3681" s="49"/>
      <c r="S3681" s="49" t="n">
        <v>0</v>
      </c>
      <c r="T3681" s="49" t="n">
        <v>0</v>
      </c>
      <c r="U3681" s="49" t="s">
        <v>7600</v>
      </c>
    </row>
    <row r="3682" customFormat="false" ht="15" hidden="false" customHeight="false" outlineLevel="0" collapsed="false">
      <c r="B3682" s="48" t="n">
        <v>46189.491087963</v>
      </c>
      <c r="C3682" s="4" t="n">
        <f aca="false">YEAR(B3682)</f>
        <v>2026</v>
      </c>
      <c r="D3682" s="49" t="s">
        <v>283</v>
      </c>
      <c r="E3682" s="49" t="s">
        <v>7601</v>
      </c>
      <c r="F3682" s="50" t="n">
        <v>5</v>
      </c>
      <c r="G3682" s="49" t="s">
        <v>290</v>
      </c>
      <c r="H3682" s="51" t="n">
        <v>0.1691</v>
      </c>
      <c r="I3682" s="51" t="n">
        <v>0.4241</v>
      </c>
      <c r="J3682" s="51" t="n">
        <v>0.4068</v>
      </c>
      <c r="K3682" s="49"/>
      <c r="L3682" s="49"/>
      <c r="M3682" s="49"/>
      <c r="N3682" s="49"/>
      <c r="O3682" s="49"/>
      <c r="P3682" s="49"/>
      <c r="Q3682" s="49"/>
      <c r="R3682" s="49"/>
      <c r="S3682" s="49" t="n">
        <v>0</v>
      </c>
      <c r="T3682" s="49" t="n">
        <v>0</v>
      </c>
      <c r="U3682" s="49" t="s">
        <v>7602</v>
      </c>
    </row>
    <row r="3683" customFormat="false" ht="15" hidden="false" customHeight="false" outlineLevel="0" collapsed="false">
      <c r="B3683" s="48" t="n">
        <v>46189.6263425926</v>
      </c>
      <c r="C3683" s="4" t="n">
        <f aca="false">YEAR(B3683)</f>
        <v>2026</v>
      </c>
      <c r="D3683" s="49" t="s">
        <v>278</v>
      </c>
      <c r="E3683" s="49" t="s">
        <v>7603</v>
      </c>
      <c r="F3683" s="50" t="n">
        <v>2</v>
      </c>
      <c r="G3683" s="49" t="s">
        <v>280</v>
      </c>
      <c r="H3683" s="51" t="n">
        <v>0.9463</v>
      </c>
      <c r="I3683" s="51" t="n">
        <v>0.0483</v>
      </c>
      <c r="J3683" s="51" t="n">
        <v>0.0054</v>
      </c>
      <c r="K3683" s="49"/>
      <c r="L3683" s="49"/>
      <c r="M3683" s="49"/>
      <c r="N3683" s="49"/>
      <c r="O3683" s="49"/>
      <c r="P3683" s="49"/>
      <c r="Q3683" s="49"/>
      <c r="R3683" s="49" t="s">
        <v>281</v>
      </c>
      <c r="S3683" s="49" t="n">
        <v>0</v>
      </c>
      <c r="T3683" s="49" t="n">
        <v>0</v>
      </c>
      <c r="U3683" s="49" t="s">
        <v>7604</v>
      </c>
    </row>
    <row r="3684" customFormat="false" ht="15" hidden="false" customHeight="false" outlineLevel="0" collapsed="false">
      <c r="B3684" s="48" t="n">
        <v>46189.6911226852</v>
      </c>
      <c r="C3684" s="4" t="n">
        <f aca="false">YEAR(B3684)</f>
        <v>2026</v>
      </c>
      <c r="D3684" s="49" t="s">
        <v>278</v>
      </c>
      <c r="E3684" s="49" t="s">
        <v>7605</v>
      </c>
      <c r="F3684" s="50" t="n">
        <v>6</v>
      </c>
      <c r="G3684" s="49" t="s">
        <v>280</v>
      </c>
      <c r="H3684" s="51" t="n">
        <v>0.5565</v>
      </c>
      <c r="I3684" s="51" t="n">
        <v>0.4115</v>
      </c>
      <c r="J3684" s="51" t="n">
        <v>0.032</v>
      </c>
      <c r="K3684" s="49"/>
      <c r="L3684" s="49"/>
      <c r="M3684" s="49"/>
      <c r="N3684" s="49"/>
      <c r="O3684" s="49"/>
      <c r="P3684" s="49"/>
      <c r="Q3684" s="49"/>
      <c r="R3684" s="49"/>
      <c r="S3684" s="49" t="n">
        <v>0</v>
      </c>
      <c r="T3684" s="49" t="n">
        <v>0</v>
      </c>
      <c r="U3684" s="49" t="s">
        <v>7606</v>
      </c>
    </row>
    <row r="3685" customFormat="false" ht="15" hidden="false" customHeight="false" outlineLevel="0" collapsed="false">
      <c r="B3685" s="48" t="n">
        <v>46189.7056134259</v>
      </c>
      <c r="C3685" s="4" t="n">
        <f aca="false">YEAR(B3685)</f>
        <v>2026</v>
      </c>
      <c r="D3685" s="49" t="s">
        <v>278</v>
      </c>
      <c r="E3685" s="49" t="s">
        <v>7607</v>
      </c>
      <c r="F3685" s="50" t="n">
        <v>2</v>
      </c>
      <c r="G3685" s="49" t="s">
        <v>280</v>
      </c>
      <c r="H3685" s="51" t="n">
        <v>0.4908</v>
      </c>
      <c r="I3685" s="51" t="n">
        <v>0.4902</v>
      </c>
      <c r="J3685" s="51" t="n">
        <v>0.019</v>
      </c>
      <c r="K3685" s="49"/>
      <c r="L3685" s="49"/>
      <c r="M3685" s="49"/>
      <c r="N3685" s="49"/>
      <c r="O3685" s="49"/>
      <c r="P3685" s="49"/>
      <c r="Q3685" s="49"/>
      <c r="R3685" s="49"/>
      <c r="S3685" s="49" t="n">
        <v>0</v>
      </c>
      <c r="T3685" s="49" t="n">
        <v>0</v>
      </c>
      <c r="U3685" s="49" t="s">
        <v>7608</v>
      </c>
    </row>
    <row r="3686" customFormat="false" ht="15" hidden="false" customHeight="false" outlineLevel="0" collapsed="false">
      <c r="B3686" s="48" t="n">
        <v>46189.7663773148</v>
      </c>
      <c r="C3686" s="4" t="n">
        <f aca="false">YEAR(B3686)</f>
        <v>2026</v>
      </c>
      <c r="D3686" s="49" t="s">
        <v>283</v>
      </c>
      <c r="E3686" s="49" t="s">
        <v>7609</v>
      </c>
      <c r="F3686" s="50" t="n">
        <v>7</v>
      </c>
      <c r="G3686" s="49" t="s">
        <v>287</v>
      </c>
      <c r="H3686" s="51" t="n">
        <v>0.0158</v>
      </c>
      <c r="I3686" s="51" t="n">
        <v>0.1713</v>
      </c>
      <c r="J3686" s="51" t="n">
        <v>0.8129</v>
      </c>
      <c r="K3686" s="49"/>
      <c r="L3686" s="49"/>
      <c r="M3686" s="49"/>
      <c r="N3686" s="49"/>
      <c r="O3686" s="49"/>
      <c r="P3686" s="49"/>
      <c r="Q3686" s="49"/>
      <c r="R3686" s="49"/>
      <c r="S3686" s="49" t="n">
        <v>0</v>
      </c>
      <c r="T3686" s="49" t="n">
        <v>0</v>
      </c>
      <c r="U3686" s="49" t="s">
        <v>7610</v>
      </c>
    </row>
    <row r="3687" customFormat="false" ht="15" hidden="false" customHeight="false" outlineLevel="0" collapsed="false">
      <c r="B3687" s="48" t="n">
        <v>46190.0783912037</v>
      </c>
      <c r="C3687" s="4" t="n">
        <f aca="false">YEAR(B3687)</f>
        <v>2026</v>
      </c>
      <c r="D3687" s="49" t="s">
        <v>283</v>
      </c>
      <c r="E3687" s="49" t="s">
        <v>7611</v>
      </c>
      <c r="F3687" s="50" t="n">
        <v>1</v>
      </c>
      <c r="G3687" s="49" t="s">
        <v>287</v>
      </c>
      <c r="H3687" s="51" t="n">
        <v>0.0017</v>
      </c>
      <c r="I3687" s="51" t="n">
        <v>0.011</v>
      </c>
      <c r="J3687" s="51" t="n">
        <v>0.9873</v>
      </c>
      <c r="K3687" s="49"/>
      <c r="L3687" s="49"/>
      <c r="M3687" s="49"/>
      <c r="N3687" s="49"/>
      <c r="O3687" s="49"/>
      <c r="P3687" s="49"/>
      <c r="Q3687" s="49"/>
      <c r="R3687" s="49"/>
      <c r="S3687" s="49" t="n">
        <v>0</v>
      </c>
      <c r="T3687" s="49" t="n">
        <v>0</v>
      </c>
      <c r="U3687" s="49" t="s">
        <v>7612</v>
      </c>
    </row>
    <row r="3688" customFormat="false" ht="15" hidden="false" customHeight="false" outlineLevel="0" collapsed="false">
      <c r="B3688" s="48" t="n">
        <v>46190.1405902778</v>
      </c>
      <c r="C3688" s="4" t="n">
        <f aca="false">YEAR(B3688)</f>
        <v>2026</v>
      </c>
      <c r="D3688" s="49" t="s">
        <v>278</v>
      </c>
      <c r="E3688" s="49" t="s">
        <v>7613</v>
      </c>
      <c r="F3688" s="50" t="n">
        <v>6</v>
      </c>
      <c r="G3688" s="49" t="s">
        <v>280</v>
      </c>
      <c r="H3688" s="51" t="n">
        <v>0.7514</v>
      </c>
      <c r="I3688" s="51" t="n">
        <v>0.224</v>
      </c>
      <c r="J3688" s="51" t="n">
        <v>0.0246</v>
      </c>
      <c r="K3688" s="49"/>
      <c r="L3688" s="49"/>
      <c r="M3688" s="49"/>
      <c r="N3688" s="49"/>
      <c r="O3688" s="49"/>
      <c r="P3688" s="49"/>
      <c r="Q3688" s="49"/>
      <c r="R3688" s="49"/>
      <c r="S3688" s="49" t="n">
        <v>0</v>
      </c>
      <c r="T3688" s="49" t="n">
        <v>0</v>
      </c>
      <c r="U3688" s="49" t="s">
        <v>7614</v>
      </c>
    </row>
    <row r="3689" customFormat="false" ht="15" hidden="false" customHeight="false" outlineLevel="0" collapsed="false">
      <c r="B3689" s="48" t="n">
        <v>46190.7694907407</v>
      </c>
      <c r="C3689" s="4" t="n">
        <f aca="false">YEAR(B3689)</f>
        <v>2026</v>
      </c>
      <c r="D3689" s="49" t="s">
        <v>278</v>
      </c>
      <c r="E3689" s="49" t="s">
        <v>7615</v>
      </c>
      <c r="F3689" s="50" t="n">
        <v>2</v>
      </c>
      <c r="G3689" s="49" t="s">
        <v>290</v>
      </c>
      <c r="H3689" s="51" t="n">
        <v>0.0863</v>
      </c>
      <c r="I3689" s="51" t="n">
        <v>0.83</v>
      </c>
      <c r="J3689" s="51" t="n">
        <v>0.0836</v>
      </c>
      <c r="K3689" s="49"/>
      <c r="L3689" s="49"/>
      <c r="M3689" s="49"/>
      <c r="N3689" s="49"/>
      <c r="O3689" s="49"/>
      <c r="P3689" s="49"/>
      <c r="Q3689" s="49"/>
      <c r="R3689" s="49"/>
      <c r="S3689" s="49" t="n">
        <v>0</v>
      </c>
      <c r="T3689" s="49" t="n">
        <v>0</v>
      </c>
      <c r="U3689" s="49" t="s">
        <v>7616</v>
      </c>
    </row>
    <row r="3690" customFormat="false" ht="15" hidden="false" customHeight="false" outlineLevel="0" collapsed="false">
      <c r="B3690" s="48" t="n">
        <v>46191.1250694445</v>
      </c>
      <c r="C3690" s="4" t="n">
        <f aca="false">YEAR(B3690)</f>
        <v>2026</v>
      </c>
      <c r="D3690" s="49" t="s">
        <v>278</v>
      </c>
      <c r="E3690" s="49" t="s">
        <v>7617</v>
      </c>
      <c r="F3690" s="50" t="n">
        <v>1</v>
      </c>
      <c r="G3690" s="49" t="s">
        <v>280</v>
      </c>
      <c r="H3690" s="51" t="n">
        <v>0.7982</v>
      </c>
      <c r="I3690" s="51" t="n">
        <v>0.1861</v>
      </c>
      <c r="J3690" s="51" t="n">
        <v>0.0157</v>
      </c>
      <c r="K3690" s="49"/>
      <c r="L3690" s="49"/>
      <c r="M3690" s="49"/>
      <c r="N3690" s="49"/>
      <c r="O3690" s="49"/>
      <c r="P3690" s="49"/>
      <c r="Q3690" s="49"/>
      <c r="R3690" s="49"/>
      <c r="S3690" s="49" t="n">
        <v>0</v>
      </c>
      <c r="T3690" s="49" t="n">
        <v>0</v>
      </c>
      <c r="U3690" s="49" t="s">
        <v>7618</v>
      </c>
    </row>
    <row r="3691" customFormat="false" ht="15" hidden="false" customHeight="false" outlineLevel="0" collapsed="false">
      <c r="B3691" s="48" t="n">
        <v>46191.2784722222</v>
      </c>
      <c r="C3691" s="4" t="n">
        <f aca="false">YEAR(B3691)</f>
        <v>2026</v>
      </c>
      <c r="D3691" s="49" t="s">
        <v>278</v>
      </c>
      <c r="E3691" s="49" t="s">
        <v>7619</v>
      </c>
      <c r="F3691" s="50" t="n">
        <v>0</v>
      </c>
      <c r="G3691" s="49" t="s">
        <v>280</v>
      </c>
      <c r="H3691" s="51" t="n">
        <v>0.8804</v>
      </c>
      <c r="I3691" s="51" t="n">
        <v>0.1088</v>
      </c>
      <c r="J3691" s="51" t="n">
        <v>0.0108</v>
      </c>
      <c r="K3691" s="49"/>
      <c r="L3691" s="49"/>
      <c r="M3691" s="49"/>
      <c r="N3691" s="49"/>
      <c r="O3691" s="49"/>
      <c r="P3691" s="49"/>
      <c r="Q3691" s="49"/>
      <c r="R3691" s="49"/>
      <c r="S3691" s="49" t="n">
        <v>0</v>
      </c>
      <c r="T3691" s="49" t="n">
        <v>0</v>
      </c>
      <c r="U3691" s="49" t="s">
        <v>7620</v>
      </c>
    </row>
    <row r="3692" customFormat="false" ht="15" hidden="false" customHeight="false" outlineLevel="0" collapsed="false">
      <c r="B3692" s="48" t="n">
        <v>46191.6240046296</v>
      </c>
      <c r="C3692" s="4" t="n">
        <f aca="false">YEAR(B3692)</f>
        <v>2026</v>
      </c>
      <c r="D3692" s="49" t="s">
        <v>283</v>
      </c>
      <c r="E3692" s="49" t="s">
        <v>7621</v>
      </c>
      <c r="F3692" s="50" t="n">
        <v>6</v>
      </c>
      <c r="G3692" s="49" t="s">
        <v>290</v>
      </c>
      <c r="H3692" s="51" t="n">
        <v>0.0055</v>
      </c>
      <c r="I3692" s="51" t="n">
        <v>0.5406</v>
      </c>
      <c r="J3692" s="51" t="n">
        <v>0.4539</v>
      </c>
      <c r="K3692" s="49"/>
      <c r="L3692" s="49"/>
      <c r="M3692" s="49"/>
      <c r="N3692" s="49"/>
      <c r="O3692" s="49"/>
      <c r="P3692" s="49"/>
      <c r="Q3692" s="49"/>
      <c r="R3692" s="49"/>
      <c r="S3692" s="49" t="n">
        <v>0</v>
      </c>
      <c r="T3692" s="49" t="n">
        <v>0</v>
      </c>
      <c r="U3692" s="49" t="s">
        <v>7622</v>
      </c>
    </row>
    <row r="3693" customFormat="false" ht="15" hidden="false" customHeight="false" outlineLevel="0" collapsed="false">
      <c r="B3693" s="48" t="n">
        <v>46192.1922800926</v>
      </c>
      <c r="C3693" s="4" t="n">
        <f aca="false">YEAR(B3693)</f>
        <v>2026</v>
      </c>
      <c r="D3693" s="49" t="s">
        <v>278</v>
      </c>
      <c r="E3693" s="49" t="s">
        <v>7623</v>
      </c>
      <c r="F3693" s="50" t="n">
        <v>6</v>
      </c>
      <c r="G3693" s="49" t="s">
        <v>280</v>
      </c>
      <c r="H3693" s="51" t="n">
        <v>0.4622</v>
      </c>
      <c r="I3693" s="51" t="n">
        <v>0.4212</v>
      </c>
      <c r="J3693" s="51" t="n">
        <v>0.1165</v>
      </c>
      <c r="K3693" s="49"/>
      <c r="L3693" s="49"/>
      <c r="M3693" s="49"/>
      <c r="N3693" s="49"/>
      <c r="O3693" s="49"/>
      <c r="P3693" s="49"/>
      <c r="Q3693" s="49"/>
      <c r="R3693" s="49"/>
      <c r="S3693" s="49" t="n">
        <v>0</v>
      </c>
      <c r="T3693" s="49" t="n">
        <v>0</v>
      </c>
      <c r="U3693" s="49" t="s">
        <v>7624</v>
      </c>
    </row>
    <row r="3694" customFormat="false" ht="15" hidden="false" customHeight="false" outlineLevel="0" collapsed="false">
      <c r="B3694" s="48" t="n">
        <v>46192.7330439815</v>
      </c>
      <c r="C3694" s="4" t="n">
        <f aca="false">YEAR(B3694)</f>
        <v>2026</v>
      </c>
      <c r="D3694" s="49" t="s">
        <v>278</v>
      </c>
      <c r="E3694" s="49" t="s">
        <v>7625</v>
      </c>
      <c r="F3694" s="50" t="n">
        <v>8</v>
      </c>
      <c r="G3694" s="49" t="s">
        <v>290</v>
      </c>
      <c r="H3694" s="51" t="n">
        <v>0.1427</v>
      </c>
      <c r="I3694" s="51" t="n">
        <v>0.7943</v>
      </c>
      <c r="J3694" s="51" t="n">
        <v>0.063</v>
      </c>
      <c r="K3694" s="49"/>
      <c r="L3694" s="49"/>
      <c r="M3694" s="49" t="s">
        <v>281</v>
      </c>
      <c r="N3694" s="49"/>
      <c r="O3694" s="49"/>
      <c r="P3694" s="49"/>
      <c r="Q3694" s="49"/>
      <c r="R3694" s="49"/>
      <c r="S3694" s="49" t="n">
        <v>0</v>
      </c>
      <c r="T3694" s="49" t="n">
        <v>0</v>
      </c>
      <c r="U3694" s="49" t="s">
        <v>7626</v>
      </c>
    </row>
    <row r="3695" customFormat="false" ht="15" hidden="false" customHeight="false" outlineLevel="0" collapsed="false">
      <c r="B3695" s="48" t="n">
        <v>46192.7351967593</v>
      </c>
      <c r="C3695" s="4" t="n">
        <f aca="false">YEAR(B3695)</f>
        <v>2026</v>
      </c>
      <c r="D3695" s="49" t="s">
        <v>283</v>
      </c>
      <c r="E3695" s="49" t="s">
        <v>7627</v>
      </c>
      <c r="F3695" s="50" t="n">
        <v>1</v>
      </c>
      <c r="G3695" s="49" t="s">
        <v>290</v>
      </c>
      <c r="H3695" s="51" t="n">
        <v>0.0061</v>
      </c>
      <c r="I3695" s="51" t="n">
        <v>0.691</v>
      </c>
      <c r="J3695" s="51" t="n">
        <v>0.303</v>
      </c>
      <c r="K3695" s="49"/>
      <c r="L3695" s="49"/>
      <c r="M3695" s="49"/>
      <c r="N3695" s="49"/>
      <c r="O3695" s="49"/>
      <c r="P3695" s="49"/>
      <c r="Q3695" s="49"/>
      <c r="R3695" s="49"/>
      <c r="S3695" s="49" t="n">
        <v>0</v>
      </c>
      <c r="T3695" s="49" t="n">
        <v>0</v>
      </c>
      <c r="U3695" s="49" t="s">
        <v>7628</v>
      </c>
    </row>
    <row r="3696" customFormat="false" ht="15" hidden="false" customHeight="false" outlineLevel="0" collapsed="false">
      <c r="B3696" s="48" t="n">
        <v>46193.2638194444</v>
      </c>
      <c r="C3696" s="4" t="n">
        <f aca="false">YEAR(B3696)</f>
        <v>2026</v>
      </c>
      <c r="D3696" s="49" t="s">
        <v>278</v>
      </c>
      <c r="E3696" s="49" t="s">
        <v>7629</v>
      </c>
      <c r="F3696" s="50" t="n">
        <v>1</v>
      </c>
      <c r="G3696" s="49" t="s">
        <v>287</v>
      </c>
      <c r="H3696" s="51" t="n">
        <v>0.0404</v>
      </c>
      <c r="I3696" s="51" t="n">
        <v>0.424</v>
      </c>
      <c r="J3696" s="51" t="n">
        <v>0.5357</v>
      </c>
      <c r="K3696" s="49"/>
      <c r="L3696" s="49"/>
      <c r="M3696" s="49"/>
      <c r="N3696" s="49"/>
      <c r="O3696" s="49"/>
      <c r="P3696" s="49"/>
      <c r="Q3696" s="49"/>
      <c r="R3696" s="49"/>
      <c r="S3696" s="49" t="n">
        <v>0</v>
      </c>
      <c r="T3696" s="49" t="n">
        <v>0</v>
      </c>
      <c r="U3696" s="49" t="s">
        <v>7630</v>
      </c>
    </row>
    <row r="3697" customFormat="false" ht="15" hidden="false" customHeight="false" outlineLevel="0" collapsed="false">
      <c r="B3697" s="48" t="n">
        <v>46193.4671412037</v>
      </c>
      <c r="C3697" s="4" t="n">
        <f aca="false">YEAR(B3697)</f>
        <v>2026</v>
      </c>
      <c r="D3697" s="49" t="s">
        <v>278</v>
      </c>
      <c r="E3697" s="49" t="s">
        <v>7631</v>
      </c>
      <c r="F3697" s="50" t="n">
        <v>1</v>
      </c>
      <c r="G3697" s="49" t="s">
        <v>280</v>
      </c>
      <c r="H3697" s="51" t="n">
        <v>0.6928</v>
      </c>
      <c r="I3697" s="51" t="n">
        <v>0.2901</v>
      </c>
      <c r="J3697" s="51" t="n">
        <v>0.0171</v>
      </c>
      <c r="K3697" s="49"/>
      <c r="L3697" s="49"/>
      <c r="M3697" s="49"/>
      <c r="N3697" s="49"/>
      <c r="O3697" s="49"/>
      <c r="P3697" s="49"/>
      <c r="Q3697" s="49"/>
      <c r="R3697" s="49" t="s">
        <v>281</v>
      </c>
      <c r="S3697" s="49" t="n">
        <v>0</v>
      </c>
      <c r="T3697" s="49" t="n">
        <v>0</v>
      </c>
      <c r="U3697" s="49" t="s">
        <v>7632</v>
      </c>
    </row>
    <row r="3698" customFormat="false" ht="15" hidden="false" customHeight="false" outlineLevel="0" collapsed="false">
      <c r="B3698" s="48" t="n">
        <v>46194.3560416667</v>
      </c>
      <c r="C3698" s="4" t="n">
        <f aca="false">YEAR(B3698)</f>
        <v>2026</v>
      </c>
      <c r="D3698" s="49" t="s">
        <v>278</v>
      </c>
      <c r="E3698" s="49" t="s">
        <v>7633</v>
      </c>
      <c r="F3698" s="50" t="n">
        <v>3</v>
      </c>
      <c r="G3698" s="49" t="s">
        <v>287</v>
      </c>
      <c r="H3698" s="51" t="n">
        <v>0.023</v>
      </c>
      <c r="I3698" s="51" t="n">
        <v>0.0954</v>
      </c>
      <c r="J3698" s="51" t="n">
        <v>0.8816</v>
      </c>
      <c r="K3698" s="49"/>
      <c r="L3698" s="49"/>
      <c r="M3698" s="49"/>
      <c r="N3698" s="49"/>
      <c r="O3698" s="49"/>
      <c r="P3698" s="49"/>
      <c r="Q3698" s="49"/>
      <c r="R3698" s="49"/>
      <c r="S3698" s="49" t="n">
        <v>0</v>
      </c>
      <c r="T3698" s="49" t="n">
        <v>0</v>
      </c>
      <c r="U3698" s="49" t="s">
        <v>7634</v>
      </c>
    </row>
    <row r="3699" customFormat="false" ht="15" hidden="false" customHeight="false" outlineLevel="0" collapsed="false">
      <c r="B3699" s="48" t="n">
        <v>46194.7327662037</v>
      </c>
      <c r="C3699" s="4" t="n">
        <f aca="false">YEAR(B3699)</f>
        <v>2026</v>
      </c>
      <c r="D3699" s="49" t="s">
        <v>278</v>
      </c>
      <c r="E3699" s="49" t="s">
        <v>7635</v>
      </c>
      <c r="F3699" s="50" t="n">
        <v>0</v>
      </c>
      <c r="G3699" s="49" t="s">
        <v>280</v>
      </c>
      <c r="H3699" s="51" t="n">
        <v>0.8755</v>
      </c>
      <c r="I3699" s="51" t="n">
        <v>0.1166</v>
      </c>
      <c r="J3699" s="51" t="n">
        <v>0.0079</v>
      </c>
      <c r="K3699" s="49"/>
      <c r="L3699" s="49"/>
      <c r="M3699" s="49"/>
      <c r="N3699" s="49"/>
      <c r="O3699" s="49"/>
      <c r="P3699" s="49"/>
      <c r="Q3699" s="49"/>
      <c r="R3699" s="49"/>
      <c r="S3699" s="49" t="n">
        <v>0</v>
      </c>
      <c r="T3699" s="49" t="n">
        <v>0</v>
      </c>
      <c r="U3699" s="49" t="s">
        <v>7636</v>
      </c>
    </row>
    <row r="3700" customFormat="false" ht="15" hidden="false" customHeight="false" outlineLevel="0" collapsed="false">
      <c r="B3700" s="48" t="n">
        <v>46194.9541782407</v>
      </c>
      <c r="C3700" s="4" t="n">
        <f aca="false">YEAR(B3700)</f>
        <v>2026</v>
      </c>
      <c r="D3700" s="49" t="s">
        <v>278</v>
      </c>
      <c r="E3700" s="49" t="s">
        <v>7637</v>
      </c>
      <c r="F3700" s="50" t="n">
        <v>1</v>
      </c>
      <c r="G3700" s="49" t="s">
        <v>290</v>
      </c>
      <c r="H3700" s="51" t="n">
        <v>0.014</v>
      </c>
      <c r="I3700" s="51" t="n">
        <v>0.9356</v>
      </c>
      <c r="J3700" s="51" t="n">
        <v>0.0503</v>
      </c>
      <c r="K3700" s="49"/>
      <c r="L3700" s="49"/>
      <c r="M3700" s="49"/>
      <c r="N3700" s="49"/>
      <c r="O3700" s="49"/>
      <c r="P3700" s="49"/>
      <c r="Q3700" s="49"/>
      <c r="R3700" s="49"/>
      <c r="S3700" s="49" t="n">
        <v>0</v>
      </c>
      <c r="T3700" s="49" t="n">
        <v>0</v>
      </c>
      <c r="U3700" s="49" t="s">
        <v>7638</v>
      </c>
    </row>
    <row r="3701" customFormat="false" ht="15" hidden="false" customHeight="false" outlineLevel="0" collapsed="false">
      <c r="B3701" s="48" t="n">
        <v>46195.765</v>
      </c>
      <c r="C3701" s="4" t="n">
        <f aca="false">YEAR(B3701)</f>
        <v>2026</v>
      </c>
      <c r="D3701" s="49" t="s">
        <v>283</v>
      </c>
      <c r="E3701" s="49" t="s">
        <v>7639</v>
      </c>
      <c r="F3701" s="50" t="n">
        <v>0</v>
      </c>
      <c r="G3701" s="49" t="s">
        <v>287</v>
      </c>
      <c r="H3701" s="51" t="n">
        <v>0.0024</v>
      </c>
      <c r="I3701" s="51" t="n">
        <v>0.0122</v>
      </c>
      <c r="J3701" s="51" t="n">
        <v>0.9855</v>
      </c>
      <c r="K3701" s="49"/>
      <c r="L3701" s="49"/>
      <c r="M3701" s="49"/>
      <c r="N3701" s="49"/>
      <c r="O3701" s="49"/>
      <c r="P3701" s="49"/>
      <c r="Q3701" s="49"/>
      <c r="R3701" s="49"/>
      <c r="S3701" s="49" t="n">
        <v>0</v>
      </c>
      <c r="T3701" s="49" t="n">
        <v>0</v>
      </c>
      <c r="U3701" s="49" t="s">
        <v>7640</v>
      </c>
    </row>
    <row r="3702" customFormat="false" ht="15" hidden="false" customHeight="false" outlineLevel="0" collapsed="false">
      <c r="B3702" s="48" t="n">
        <v>46195.8204398148</v>
      </c>
      <c r="C3702" s="4" t="n">
        <f aca="false">YEAR(B3702)</f>
        <v>2026</v>
      </c>
      <c r="D3702" s="49" t="s">
        <v>278</v>
      </c>
      <c r="E3702" s="49" t="s">
        <v>7641</v>
      </c>
      <c r="F3702" s="50" t="n">
        <v>0</v>
      </c>
      <c r="G3702" s="49" t="s">
        <v>280</v>
      </c>
      <c r="H3702" s="51" t="n">
        <v>0.8625</v>
      </c>
      <c r="I3702" s="51" t="n">
        <v>0.1219</v>
      </c>
      <c r="J3702" s="51" t="n">
        <v>0.0156</v>
      </c>
      <c r="K3702" s="49"/>
      <c r="L3702" s="49"/>
      <c r="M3702" s="49"/>
      <c r="N3702" s="49"/>
      <c r="O3702" s="49"/>
      <c r="P3702" s="49"/>
      <c r="Q3702" s="49"/>
      <c r="R3702" s="49" t="s">
        <v>281</v>
      </c>
      <c r="S3702" s="49" t="n">
        <v>0</v>
      </c>
      <c r="T3702" s="49" t="n">
        <v>0</v>
      </c>
      <c r="U3702" s="49" t="s">
        <v>7642</v>
      </c>
    </row>
    <row r="3703" customFormat="false" ht="15" hidden="false" customHeight="false" outlineLevel="0" collapsed="false">
      <c r="B3703" s="48" t="n">
        <v>46196.0445601852</v>
      </c>
      <c r="C3703" s="4" t="n">
        <f aca="false">YEAR(B3703)</f>
        <v>2026</v>
      </c>
      <c r="D3703" s="49" t="s">
        <v>278</v>
      </c>
      <c r="E3703" s="49" t="s">
        <v>7643</v>
      </c>
      <c r="F3703" s="50" t="n">
        <v>0</v>
      </c>
      <c r="G3703" s="49" t="s">
        <v>280</v>
      </c>
      <c r="H3703" s="51" t="n">
        <v>0.8844</v>
      </c>
      <c r="I3703" s="51" t="n">
        <v>0.105</v>
      </c>
      <c r="J3703" s="51" t="n">
        <v>0.0106</v>
      </c>
      <c r="K3703" s="49"/>
      <c r="L3703" s="49"/>
      <c r="M3703" s="49"/>
      <c r="N3703" s="49"/>
      <c r="O3703" s="49"/>
      <c r="P3703" s="49"/>
      <c r="Q3703" s="49"/>
      <c r="R3703" s="49"/>
      <c r="S3703" s="49" t="n">
        <v>0</v>
      </c>
      <c r="T3703" s="49" t="n">
        <v>0</v>
      </c>
      <c r="U3703" s="49" t="s">
        <v>7644</v>
      </c>
    </row>
    <row r="3704" customFormat="false" ht="15" hidden="false" customHeight="false" outlineLevel="0" collapsed="false">
      <c r="B3704" s="48" t="n">
        <v>46196.3465625</v>
      </c>
      <c r="C3704" s="4" t="n">
        <f aca="false">YEAR(B3704)</f>
        <v>2026</v>
      </c>
      <c r="D3704" s="49" t="s">
        <v>283</v>
      </c>
      <c r="E3704" s="49" t="s">
        <v>7645</v>
      </c>
      <c r="F3704" s="50" t="n">
        <v>0</v>
      </c>
      <c r="G3704" s="49" t="s">
        <v>287</v>
      </c>
      <c r="H3704" s="51" t="n">
        <v>0.0088</v>
      </c>
      <c r="I3704" s="51" t="n">
        <v>0.4459</v>
      </c>
      <c r="J3704" s="51" t="n">
        <v>0.5453</v>
      </c>
      <c r="K3704" s="49"/>
      <c r="L3704" s="49"/>
      <c r="M3704" s="49"/>
      <c r="N3704" s="49"/>
      <c r="O3704" s="49"/>
      <c r="P3704" s="49"/>
      <c r="Q3704" s="49"/>
      <c r="R3704" s="49"/>
      <c r="S3704" s="49" t="n">
        <v>0</v>
      </c>
      <c r="T3704" s="49" t="n">
        <v>0</v>
      </c>
      <c r="U3704" s="49" t="s">
        <v>7646</v>
      </c>
    </row>
    <row r="3705" customFormat="false" ht="15" hidden="false" customHeight="false" outlineLevel="0" collapsed="false">
      <c r="B3705" s="48" t="n">
        <v>46196.463275463</v>
      </c>
      <c r="C3705" s="4" t="n">
        <f aca="false">YEAR(B3705)</f>
        <v>2026</v>
      </c>
      <c r="D3705" s="49" t="s">
        <v>278</v>
      </c>
      <c r="E3705" s="49" t="s">
        <v>7647</v>
      </c>
      <c r="F3705" s="50" t="n">
        <v>2</v>
      </c>
      <c r="G3705" s="49" t="s">
        <v>280</v>
      </c>
      <c r="H3705" s="51" t="n">
        <v>0.7018</v>
      </c>
      <c r="I3705" s="51" t="n">
        <v>0.2643</v>
      </c>
      <c r="J3705" s="51" t="n">
        <v>0.034</v>
      </c>
      <c r="K3705" s="49"/>
      <c r="L3705" s="49"/>
      <c r="M3705" s="49"/>
      <c r="N3705" s="49"/>
      <c r="O3705" s="49"/>
      <c r="P3705" s="49"/>
      <c r="Q3705" s="49"/>
      <c r="R3705" s="49" t="s">
        <v>281</v>
      </c>
      <c r="S3705" s="49" t="n">
        <v>0</v>
      </c>
      <c r="T3705" s="49" t="n">
        <v>0</v>
      </c>
      <c r="U3705" s="49" t="s">
        <v>7648</v>
      </c>
    </row>
    <row r="3706" customFormat="false" ht="15" hidden="false" customHeight="false" outlineLevel="0" collapsed="false">
      <c r="B3706" s="48" t="n">
        <v>46196.5785185185</v>
      </c>
      <c r="C3706" s="4" t="n">
        <f aca="false">YEAR(B3706)</f>
        <v>2026</v>
      </c>
      <c r="D3706" s="49" t="s">
        <v>278</v>
      </c>
      <c r="E3706" s="49" t="s">
        <v>7649</v>
      </c>
      <c r="F3706" s="50" t="n">
        <v>4</v>
      </c>
      <c r="G3706" s="49" t="s">
        <v>280</v>
      </c>
      <c r="H3706" s="51" t="n">
        <v>0.834</v>
      </c>
      <c r="I3706" s="51" t="n">
        <v>0.1565</v>
      </c>
      <c r="J3706" s="51" t="n">
        <v>0.0095</v>
      </c>
      <c r="K3706" s="49"/>
      <c r="L3706" s="49"/>
      <c r="M3706" s="49"/>
      <c r="N3706" s="49"/>
      <c r="O3706" s="49"/>
      <c r="P3706" s="49"/>
      <c r="Q3706" s="49"/>
      <c r="R3706" s="49"/>
      <c r="S3706" s="49" t="n">
        <v>0</v>
      </c>
      <c r="T3706" s="49" t="n">
        <v>0</v>
      </c>
      <c r="U3706" s="49" t="s">
        <v>7650</v>
      </c>
    </row>
    <row r="3707" customFormat="false" ht="15" hidden="false" customHeight="false" outlineLevel="0" collapsed="false">
      <c r="B3707" s="48" t="n">
        <v>46196.7899421296</v>
      </c>
      <c r="C3707" s="4" t="n">
        <f aca="false">YEAR(B3707)</f>
        <v>2026</v>
      </c>
      <c r="D3707" s="49" t="s">
        <v>283</v>
      </c>
      <c r="E3707" s="49" t="s">
        <v>7651</v>
      </c>
      <c r="F3707" s="50" t="n">
        <v>1</v>
      </c>
      <c r="G3707" s="49" t="s">
        <v>290</v>
      </c>
      <c r="H3707" s="51" t="n">
        <v>0.0137</v>
      </c>
      <c r="I3707" s="51" t="n">
        <v>0.7424</v>
      </c>
      <c r="J3707" s="51" t="n">
        <v>0.2439</v>
      </c>
      <c r="K3707" s="49"/>
      <c r="L3707" s="49"/>
      <c r="M3707" s="49"/>
      <c r="N3707" s="49"/>
      <c r="O3707" s="49"/>
      <c r="P3707" s="49"/>
      <c r="Q3707" s="49"/>
      <c r="R3707" s="49"/>
      <c r="S3707" s="49" t="n">
        <v>1</v>
      </c>
      <c r="T3707" s="49" t="n">
        <v>0</v>
      </c>
      <c r="U3707" s="49" t="s">
        <v>7652</v>
      </c>
    </row>
    <row r="3708" customFormat="false" ht="15" hidden="false" customHeight="false" outlineLevel="0" collapsed="false">
      <c r="B3708" s="48" t="n">
        <v>46196.8975</v>
      </c>
      <c r="C3708" s="4" t="n">
        <f aca="false">YEAR(B3708)</f>
        <v>2026</v>
      </c>
      <c r="D3708" s="49" t="s">
        <v>283</v>
      </c>
      <c r="E3708" s="49" t="s">
        <v>7653</v>
      </c>
      <c r="F3708" s="50" t="n">
        <v>1</v>
      </c>
      <c r="G3708" s="49" t="s">
        <v>290</v>
      </c>
      <c r="H3708" s="51" t="n">
        <v>0.0171</v>
      </c>
      <c r="I3708" s="51" t="n">
        <v>0.9271</v>
      </c>
      <c r="J3708" s="51" t="n">
        <v>0.0558</v>
      </c>
      <c r="K3708" s="49"/>
      <c r="L3708" s="49"/>
      <c r="M3708" s="49"/>
      <c r="N3708" s="49"/>
      <c r="O3708" s="49"/>
      <c r="P3708" s="49"/>
      <c r="Q3708" s="49"/>
      <c r="R3708" s="49"/>
      <c r="S3708" s="49" t="n">
        <v>1</v>
      </c>
      <c r="T3708" s="49" t="n">
        <v>0</v>
      </c>
      <c r="U3708" s="49" t="s">
        <v>7654</v>
      </c>
    </row>
    <row r="3709" customFormat="false" ht="15" hidden="false" customHeight="false" outlineLevel="0" collapsed="false">
      <c r="B3709" s="48" t="n">
        <v>46196.9033217593</v>
      </c>
      <c r="C3709" s="4" t="n">
        <f aca="false">YEAR(B3709)</f>
        <v>2026</v>
      </c>
      <c r="D3709" s="49" t="s">
        <v>278</v>
      </c>
      <c r="E3709" s="49" t="s">
        <v>7655</v>
      </c>
      <c r="F3709" s="50" t="n">
        <v>1</v>
      </c>
      <c r="G3709" s="49" t="s">
        <v>290</v>
      </c>
      <c r="H3709" s="51" t="n">
        <v>0.1555</v>
      </c>
      <c r="I3709" s="51" t="n">
        <v>0.6954</v>
      </c>
      <c r="J3709" s="51" t="n">
        <v>0.1491</v>
      </c>
      <c r="K3709" s="49"/>
      <c r="L3709" s="49"/>
      <c r="M3709" s="49"/>
      <c r="N3709" s="49"/>
      <c r="O3709" s="49"/>
      <c r="P3709" s="49"/>
      <c r="Q3709" s="49"/>
      <c r="R3709" s="49"/>
      <c r="S3709" s="49" t="n">
        <v>0</v>
      </c>
      <c r="T3709" s="49" t="n">
        <v>0</v>
      </c>
      <c r="U3709" s="49" t="s">
        <v>7656</v>
      </c>
    </row>
    <row r="3710" customFormat="false" ht="15" hidden="false" customHeight="false" outlineLevel="0" collapsed="false">
      <c r="B3710" s="48" t="n">
        <v>46197.1439699074</v>
      </c>
      <c r="C3710" s="4" t="n">
        <f aca="false">YEAR(B3710)</f>
        <v>2026</v>
      </c>
      <c r="D3710" s="49" t="s">
        <v>278</v>
      </c>
      <c r="E3710" s="49" t="s">
        <v>7657</v>
      </c>
      <c r="F3710" s="50" t="n">
        <v>6</v>
      </c>
      <c r="G3710" s="49" t="s">
        <v>280</v>
      </c>
      <c r="H3710" s="51" t="n">
        <v>0.6162</v>
      </c>
      <c r="I3710" s="51" t="n">
        <v>0.3096</v>
      </c>
      <c r="J3710" s="51" t="n">
        <v>0.0742</v>
      </c>
      <c r="K3710" s="49"/>
      <c r="L3710" s="49"/>
      <c r="M3710" s="49"/>
      <c r="N3710" s="49"/>
      <c r="O3710" s="49"/>
      <c r="P3710" s="49"/>
      <c r="Q3710" s="49"/>
      <c r="R3710" s="49"/>
      <c r="S3710" s="49" t="n">
        <v>0</v>
      </c>
      <c r="T3710" s="49" t="n">
        <v>0</v>
      </c>
      <c r="U3710" s="49" t="s">
        <v>7658</v>
      </c>
    </row>
    <row r="3711" customFormat="false" ht="15" hidden="false" customHeight="false" outlineLevel="0" collapsed="false">
      <c r="B3711" s="48" t="n">
        <v>46197.247037037</v>
      </c>
      <c r="C3711" s="4" t="n">
        <f aca="false">YEAR(B3711)</f>
        <v>2026</v>
      </c>
      <c r="D3711" s="49" t="s">
        <v>278</v>
      </c>
      <c r="E3711" s="49" t="s">
        <v>7659</v>
      </c>
      <c r="F3711" s="50" t="n">
        <v>60</v>
      </c>
      <c r="G3711" s="49" t="s">
        <v>287</v>
      </c>
      <c r="H3711" s="51" t="n">
        <v>0.0071</v>
      </c>
      <c r="I3711" s="51" t="n">
        <v>0.0231</v>
      </c>
      <c r="J3711" s="51" t="n">
        <v>0.9698</v>
      </c>
      <c r="K3711" s="49"/>
      <c r="L3711" s="49"/>
      <c r="M3711" s="49"/>
      <c r="N3711" s="49"/>
      <c r="O3711" s="49"/>
      <c r="P3711" s="49"/>
      <c r="Q3711" s="49"/>
      <c r="R3711" s="49" t="s">
        <v>281</v>
      </c>
      <c r="S3711" s="49" t="n">
        <v>0</v>
      </c>
      <c r="T3711" s="49" t="n">
        <v>0</v>
      </c>
      <c r="U3711" s="49" t="s">
        <v>7660</v>
      </c>
    </row>
    <row r="3712" customFormat="false" ht="15" hidden="false" customHeight="false" outlineLevel="0" collapsed="false">
      <c r="B3712" s="48" t="n">
        <v>46197.4042824074</v>
      </c>
      <c r="C3712" s="4" t="n">
        <f aca="false">YEAR(B3712)</f>
        <v>2026</v>
      </c>
      <c r="D3712" s="49" t="s">
        <v>278</v>
      </c>
      <c r="E3712" s="49" t="s">
        <v>7661</v>
      </c>
      <c r="F3712" s="50" t="n">
        <v>2</v>
      </c>
      <c r="G3712" s="49" t="s">
        <v>280</v>
      </c>
      <c r="H3712" s="51" t="n">
        <v>0.6831</v>
      </c>
      <c r="I3712" s="51" t="n">
        <v>0.291</v>
      </c>
      <c r="J3712" s="51" t="n">
        <v>0.0259</v>
      </c>
      <c r="K3712" s="49"/>
      <c r="L3712" s="49"/>
      <c r="M3712" s="49"/>
      <c r="N3712" s="49"/>
      <c r="O3712" s="49"/>
      <c r="P3712" s="49"/>
      <c r="Q3712" s="49"/>
      <c r="R3712" s="49"/>
      <c r="S3712" s="49" t="n">
        <v>0</v>
      </c>
      <c r="T3712" s="49" t="n">
        <v>0</v>
      </c>
      <c r="U3712" s="49" t="s">
        <v>7662</v>
      </c>
    </row>
    <row r="3713" customFormat="false" ht="15" hidden="false" customHeight="false" outlineLevel="0" collapsed="false">
      <c r="B3713" s="48" t="n">
        <v>46197.4151967593</v>
      </c>
      <c r="C3713" s="4" t="n">
        <f aca="false">YEAR(B3713)</f>
        <v>2026</v>
      </c>
      <c r="D3713" s="49" t="s">
        <v>283</v>
      </c>
      <c r="E3713" s="49" t="s">
        <v>7663</v>
      </c>
      <c r="F3713" s="50" t="n">
        <v>4</v>
      </c>
      <c r="G3713" s="49" t="s">
        <v>290</v>
      </c>
      <c r="H3713" s="51" t="n">
        <v>0.0248</v>
      </c>
      <c r="I3713" s="51" t="n">
        <v>0.7333</v>
      </c>
      <c r="J3713" s="51" t="n">
        <v>0.2419</v>
      </c>
      <c r="K3713" s="49"/>
      <c r="L3713" s="49"/>
      <c r="M3713" s="49"/>
      <c r="N3713" s="49"/>
      <c r="O3713" s="49"/>
      <c r="P3713" s="49"/>
      <c r="Q3713" s="49"/>
      <c r="R3713" s="49"/>
      <c r="S3713" s="49" t="n">
        <v>0</v>
      </c>
      <c r="T3713" s="49" t="n">
        <v>0</v>
      </c>
      <c r="U3713" s="49" t="s">
        <v>7664</v>
      </c>
    </row>
    <row r="3714" customFormat="false" ht="15" hidden="false" customHeight="false" outlineLevel="0" collapsed="false">
      <c r="B3714" s="48" t="n">
        <v>46197.9220138889</v>
      </c>
      <c r="C3714" s="4" t="n">
        <f aca="false">YEAR(B3714)</f>
        <v>2026</v>
      </c>
      <c r="D3714" s="49" t="s">
        <v>283</v>
      </c>
      <c r="E3714" s="49" t="s">
        <v>7665</v>
      </c>
      <c r="F3714" s="50" t="n">
        <v>9</v>
      </c>
      <c r="G3714" s="49" t="s">
        <v>280</v>
      </c>
      <c r="H3714" s="51" t="n">
        <v>0.8462</v>
      </c>
      <c r="I3714" s="51" t="n">
        <v>0.1385</v>
      </c>
      <c r="J3714" s="51" t="n">
        <v>0.0153</v>
      </c>
      <c r="K3714" s="49" t="s">
        <v>281</v>
      </c>
      <c r="L3714" s="49"/>
      <c r="M3714" s="49"/>
      <c r="N3714" s="49"/>
      <c r="O3714" s="49"/>
      <c r="P3714" s="49"/>
      <c r="Q3714" s="49" t="s">
        <v>281</v>
      </c>
      <c r="R3714" s="49"/>
      <c r="S3714" s="49" t="n">
        <v>0</v>
      </c>
      <c r="T3714" s="49" t="n">
        <v>0</v>
      </c>
      <c r="U3714" s="49" t="s">
        <v>7666</v>
      </c>
    </row>
    <row r="3715" customFormat="false" ht="15" hidden="false" customHeight="false" outlineLevel="0" collapsed="false">
      <c r="B3715" s="48" t="n">
        <v>46198.6090856482</v>
      </c>
      <c r="C3715" s="4" t="n">
        <f aca="false">YEAR(B3715)</f>
        <v>2026</v>
      </c>
      <c r="D3715" s="49" t="s">
        <v>283</v>
      </c>
      <c r="E3715" s="49" t="s">
        <v>7667</v>
      </c>
      <c r="F3715" s="50" t="n">
        <v>1</v>
      </c>
      <c r="G3715" s="49" t="s">
        <v>290</v>
      </c>
      <c r="H3715" s="51" t="n">
        <v>0.0037</v>
      </c>
      <c r="I3715" s="51" t="n">
        <v>0.5224</v>
      </c>
      <c r="J3715" s="51" t="n">
        <v>0.4739</v>
      </c>
      <c r="K3715" s="49"/>
      <c r="L3715" s="49"/>
      <c r="M3715" s="49"/>
      <c r="N3715" s="49"/>
      <c r="O3715" s="49"/>
      <c r="P3715" s="49"/>
      <c r="Q3715" s="49"/>
      <c r="R3715" s="49"/>
      <c r="S3715" s="49" t="n">
        <v>0</v>
      </c>
      <c r="T3715" s="49" t="n">
        <v>0</v>
      </c>
      <c r="U3715" s="49" t="s">
        <v>7668</v>
      </c>
    </row>
    <row r="3716" customFormat="false" ht="15" hidden="false" customHeight="false" outlineLevel="0" collapsed="false">
      <c r="B3716" s="48" t="n">
        <v>46198.6219907407</v>
      </c>
      <c r="C3716" s="4" t="n">
        <f aca="false">YEAR(B3716)</f>
        <v>2026</v>
      </c>
      <c r="D3716" s="49" t="s">
        <v>278</v>
      </c>
      <c r="E3716" s="49" t="s">
        <v>7669</v>
      </c>
      <c r="F3716" s="50" t="n">
        <v>2</v>
      </c>
      <c r="G3716" s="49" t="s">
        <v>290</v>
      </c>
      <c r="H3716" s="51" t="n">
        <v>0.1784</v>
      </c>
      <c r="I3716" s="51" t="n">
        <v>0.6924</v>
      </c>
      <c r="J3716" s="51" t="n">
        <v>0.1292</v>
      </c>
      <c r="K3716" s="49"/>
      <c r="L3716" s="49"/>
      <c r="M3716" s="49"/>
      <c r="N3716" s="49"/>
      <c r="O3716" s="49"/>
      <c r="P3716" s="49"/>
      <c r="Q3716" s="49"/>
      <c r="R3716" s="49" t="s">
        <v>281</v>
      </c>
      <c r="S3716" s="49" t="n">
        <v>0</v>
      </c>
      <c r="T3716" s="49" t="n">
        <v>0</v>
      </c>
      <c r="U3716" s="49" t="s">
        <v>7670</v>
      </c>
    </row>
    <row r="3717" customFormat="false" ht="15" hidden="false" customHeight="false" outlineLevel="0" collapsed="false">
      <c r="B3717" s="48" t="n">
        <v>46198.708599537</v>
      </c>
      <c r="C3717" s="4" t="n">
        <f aca="false">YEAR(B3717)</f>
        <v>2026</v>
      </c>
      <c r="D3717" s="49" t="s">
        <v>278</v>
      </c>
      <c r="E3717" s="49" t="s">
        <v>7671</v>
      </c>
      <c r="F3717" s="50" t="n">
        <v>0</v>
      </c>
      <c r="G3717" s="49" t="s">
        <v>280</v>
      </c>
      <c r="H3717" s="51" t="n">
        <v>0.7588</v>
      </c>
      <c r="I3717" s="51" t="n">
        <v>0.227</v>
      </c>
      <c r="J3717" s="51" t="n">
        <v>0.0142</v>
      </c>
      <c r="K3717" s="49"/>
      <c r="L3717" s="49"/>
      <c r="M3717" s="49"/>
      <c r="N3717" s="49"/>
      <c r="O3717" s="49"/>
      <c r="P3717" s="49"/>
      <c r="Q3717" s="49"/>
      <c r="R3717" s="49"/>
      <c r="S3717" s="49" t="n">
        <v>0</v>
      </c>
      <c r="T3717" s="49" t="n">
        <v>0</v>
      </c>
      <c r="U3717" s="49" t="s">
        <v>7672</v>
      </c>
    </row>
    <row r="3718" customFormat="false" ht="15" hidden="false" customHeight="false" outlineLevel="0" collapsed="false">
      <c r="B3718" s="48" t="n">
        <v>46198.9333912037</v>
      </c>
      <c r="C3718" s="4" t="n">
        <f aca="false">YEAR(B3718)</f>
        <v>2026</v>
      </c>
      <c r="D3718" s="49" t="s">
        <v>278</v>
      </c>
      <c r="E3718" s="49" t="s">
        <v>7673</v>
      </c>
      <c r="F3718" s="50" t="n">
        <v>0</v>
      </c>
      <c r="G3718" s="49" t="s">
        <v>280</v>
      </c>
      <c r="H3718" s="51" t="n">
        <v>0.8847</v>
      </c>
      <c r="I3718" s="51" t="n">
        <v>0.1057</v>
      </c>
      <c r="J3718" s="51" t="n">
        <v>0.0097</v>
      </c>
      <c r="K3718" s="49"/>
      <c r="L3718" s="49"/>
      <c r="M3718" s="49"/>
      <c r="N3718" s="49"/>
      <c r="O3718" s="49"/>
      <c r="P3718" s="49"/>
      <c r="Q3718" s="49"/>
      <c r="R3718" s="49"/>
      <c r="S3718" s="49" t="n">
        <v>0</v>
      </c>
      <c r="T3718" s="49" t="n">
        <v>0</v>
      </c>
      <c r="U3718" s="49" t="s">
        <v>7674</v>
      </c>
    </row>
    <row r="3719" customFormat="false" ht="15" hidden="false" customHeight="false" outlineLevel="0" collapsed="false">
      <c r="B3719" s="48" t="n">
        <v>46198.9469675926</v>
      </c>
      <c r="C3719" s="4" t="n">
        <f aca="false">YEAR(B3719)</f>
        <v>2026</v>
      </c>
      <c r="D3719" s="49" t="s">
        <v>278</v>
      </c>
      <c r="E3719" s="49" t="s">
        <v>7675</v>
      </c>
      <c r="F3719" s="50" t="n">
        <v>0</v>
      </c>
      <c r="G3719" s="49" t="s">
        <v>280</v>
      </c>
      <c r="H3719" s="51" t="n">
        <v>0.6817</v>
      </c>
      <c r="I3719" s="51" t="n">
        <v>0.2986</v>
      </c>
      <c r="J3719" s="51" t="n">
        <v>0.0197</v>
      </c>
      <c r="K3719" s="49"/>
      <c r="L3719" s="49"/>
      <c r="M3719" s="49"/>
      <c r="N3719" s="49"/>
      <c r="O3719" s="49"/>
      <c r="P3719" s="49"/>
      <c r="Q3719" s="49"/>
      <c r="R3719" s="49" t="s">
        <v>281</v>
      </c>
      <c r="S3719" s="49" t="n">
        <v>0</v>
      </c>
      <c r="T3719" s="49" t="n">
        <v>0</v>
      </c>
      <c r="U3719" s="49" t="s">
        <v>7676</v>
      </c>
    </row>
    <row r="3720" customFormat="false" ht="15" hidden="false" customHeight="false" outlineLevel="0" collapsed="false">
      <c r="B3720" s="48" t="n">
        <v>46198.9654050926</v>
      </c>
      <c r="C3720" s="4" t="n">
        <f aca="false">YEAR(B3720)</f>
        <v>2026</v>
      </c>
      <c r="D3720" s="49" t="s">
        <v>283</v>
      </c>
      <c r="E3720" s="49" t="s">
        <v>4656</v>
      </c>
      <c r="F3720" s="50" t="n">
        <v>12</v>
      </c>
      <c r="G3720" s="49" t="s">
        <v>287</v>
      </c>
      <c r="H3720" s="51" t="n">
        <v>0.0033</v>
      </c>
      <c r="I3720" s="51" t="n">
        <v>0.0723</v>
      </c>
      <c r="J3720" s="51" t="n">
        <v>0.9244</v>
      </c>
      <c r="K3720" s="49"/>
      <c r="L3720" s="49"/>
      <c r="M3720" s="49"/>
      <c r="N3720" s="49"/>
      <c r="O3720" s="49"/>
      <c r="P3720" s="49" t="s">
        <v>281</v>
      </c>
      <c r="Q3720" s="49"/>
      <c r="R3720" s="49"/>
      <c r="S3720" s="49" t="n">
        <v>0</v>
      </c>
      <c r="T3720" s="49" t="n">
        <v>0</v>
      </c>
      <c r="U3720" s="49" t="s">
        <v>7677</v>
      </c>
    </row>
    <row r="3721" customFormat="false" ht="15" hidden="false" customHeight="false" outlineLevel="0" collapsed="false">
      <c r="B3721" s="48" t="n">
        <v>46199.2143865741</v>
      </c>
      <c r="C3721" s="4" t="n">
        <f aca="false">YEAR(B3721)</f>
        <v>2026</v>
      </c>
      <c r="D3721" s="49" t="s">
        <v>283</v>
      </c>
      <c r="E3721" s="49" t="s">
        <v>7678</v>
      </c>
      <c r="F3721" s="50" t="n">
        <v>176</v>
      </c>
      <c r="G3721" s="49" t="s">
        <v>280</v>
      </c>
      <c r="H3721" s="51" t="n">
        <v>0.7323</v>
      </c>
      <c r="I3721" s="51" t="n">
        <v>0.1766</v>
      </c>
      <c r="J3721" s="51" t="n">
        <v>0.0911</v>
      </c>
      <c r="K3721" s="49"/>
      <c r="L3721" s="49"/>
      <c r="M3721" s="49"/>
      <c r="N3721" s="49"/>
      <c r="O3721" s="49"/>
      <c r="P3721" s="49"/>
      <c r="Q3721" s="49"/>
      <c r="R3721" s="49"/>
      <c r="S3721" s="49" t="n">
        <v>0</v>
      </c>
      <c r="T3721" s="49" t="n">
        <v>0</v>
      </c>
      <c r="U3721" s="49" t="s">
        <v>7679</v>
      </c>
    </row>
    <row r="3722" customFormat="false" ht="15" hidden="false" customHeight="false" outlineLevel="0" collapsed="false">
      <c r="B3722" s="48" t="n">
        <v>46199.8998611111</v>
      </c>
      <c r="C3722" s="4" t="n">
        <f aca="false">YEAR(B3722)</f>
        <v>2026</v>
      </c>
      <c r="D3722" s="49" t="s">
        <v>283</v>
      </c>
      <c r="E3722" s="49" t="s">
        <v>7680</v>
      </c>
      <c r="F3722" s="50" t="n">
        <v>1</v>
      </c>
      <c r="G3722" s="49" t="s">
        <v>287</v>
      </c>
      <c r="H3722" s="51" t="n">
        <v>0.0038</v>
      </c>
      <c r="I3722" s="51" t="n">
        <v>0.0645</v>
      </c>
      <c r="J3722" s="51" t="n">
        <v>0.9317</v>
      </c>
      <c r="K3722" s="49"/>
      <c r="L3722" s="49"/>
      <c r="M3722" s="49"/>
      <c r="N3722" s="49"/>
      <c r="O3722" s="49"/>
      <c r="P3722" s="49"/>
      <c r="Q3722" s="49"/>
      <c r="R3722" s="49"/>
      <c r="S3722" s="49" t="n">
        <v>0</v>
      </c>
      <c r="T3722" s="49" t="n">
        <v>0</v>
      </c>
      <c r="U3722" s="49" t="s">
        <v>7681</v>
      </c>
    </row>
    <row r="3723" customFormat="false" ht="15" hidden="false" customHeight="false" outlineLevel="0" collapsed="false">
      <c r="B3723" s="48" t="n">
        <v>46200.5373958333</v>
      </c>
      <c r="C3723" s="4" t="n">
        <f aca="false">YEAR(B3723)</f>
        <v>2026</v>
      </c>
      <c r="D3723" s="49" t="s">
        <v>278</v>
      </c>
      <c r="E3723" s="49" t="s">
        <v>7682</v>
      </c>
      <c r="F3723" s="50" t="n">
        <v>3</v>
      </c>
      <c r="G3723" s="49" t="s">
        <v>280</v>
      </c>
      <c r="H3723" s="51" t="n">
        <v>0.7416</v>
      </c>
      <c r="I3723" s="51" t="n">
        <v>0.2454</v>
      </c>
      <c r="J3723" s="51" t="n">
        <v>0.013</v>
      </c>
      <c r="K3723" s="49"/>
      <c r="L3723" s="49"/>
      <c r="M3723" s="49"/>
      <c r="N3723" s="49"/>
      <c r="O3723" s="49"/>
      <c r="P3723" s="49"/>
      <c r="Q3723" s="49"/>
      <c r="R3723" s="49"/>
      <c r="S3723" s="49" t="n">
        <v>0</v>
      </c>
      <c r="T3723" s="49" t="n">
        <v>0</v>
      </c>
      <c r="U3723" s="49" t="s">
        <v>7683</v>
      </c>
    </row>
    <row r="3724" customFormat="false" ht="15" hidden="false" customHeight="false" outlineLevel="0" collapsed="false">
      <c r="B3724" s="48" t="n">
        <v>46200.8691087963</v>
      </c>
      <c r="C3724" s="4" t="n">
        <f aca="false">YEAR(B3724)</f>
        <v>2026</v>
      </c>
      <c r="D3724" s="49" t="s">
        <v>283</v>
      </c>
      <c r="E3724" s="49" t="s">
        <v>7684</v>
      </c>
      <c r="F3724" s="50" t="n">
        <v>1</v>
      </c>
      <c r="G3724" s="49" t="s">
        <v>290</v>
      </c>
      <c r="H3724" s="51" t="n">
        <v>0.045</v>
      </c>
      <c r="I3724" s="51" t="n">
        <v>0.7418</v>
      </c>
      <c r="J3724" s="51" t="n">
        <v>0.2132</v>
      </c>
      <c r="K3724" s="49"/>
      <c r="L3724" s="49"/>
      <c r="M3724" s="49"/>
      <c r="N3724" s="49"/>
      <c r="O3724" s="49"/>
      <c r="P3724" s="49"/>
      <c r="Q3724" s="49"/>
      <c r="R3724" s="49"/>
      <c r="S3724" s="49" t="n">
        <v>0</v>
      </c>
      <c r="T3724" s="49" t="n">
        <v>0</v>
      </c>
      <c r="U3724" s="49" t="s">
        <v>7685</v>
      </c>
    </row>
    <row r="3725" customFormat="false" ht="15" hidden="false" customHeight="false" outlineLevel="0" collapsed="false">
      <c r="B3725" s="48" t="n">
        <v>46200.9663541667</v>
      </c>
      <c r="C3725" s="4" t="n">
        <f aca="false">YEAR(B3725)</f>
        <v>2026</v>
      </c>
      <c r="D3725" s="49" t="s">
        <v>278</v>
      </c>
      <c r="E3725" s="49" t="s">
        <v>7686</v>
      </c>
      <c r="F3725" s="50" t="n">
        <v>29</v>
      </c>
      <c r="G3725" s="49" t="s">
        <v>280</v>
      </c>
      <c r="H3725" s="51" t="n">
        <v>0.8616</v>
      </c>
      <c r="I3725" s="51" t="n">
        <v>0.1261</v>
      </c>
      <c r="J3725" s="51" t="n">
        <v>0.0123</v>
      </c>
      <c r="K3725" s="49"/>
      <c r="L3725" s="49"/>
      <c r="M3725" s="49"/>
      <c r="N3725" s="49"/>
      <c r="O3725" s="49"/>
      <c r="P3725" s="49"/>
      <c r="Q3725" s="49"/>
      <c r="R3725" s="49" t="s">
        <v>281</v>
      </c>
      <c r="S3725" s="49" t="n">
        <v>0</v>
      </c>
      <c r="T3725" s="49" t="n">
        <v>0</v>
      </c>
      <c r="U3725" s="49" t="s">
        <v>7687</v>
      </c>
    </row>
    <row r="3726" customFormat="false" ht="15" hidden="false" customHeight="false" outlineLevel="0" collapsed="false">
      <c r="B3726" s="48" t="n">
        <v>46200.9928472222</v>
      </c>
      <c r="C3726" s="4" t="n">
        <f aca="false">YEAR(B3726)</f>
        <v>2026</v>
      </c>
      <c r="D3726" s="49" t="s">
        <v>283</v>
      </c>
      <c r="E3726" s="49" t="s">
        <v>7458</v>
      </c>
      <c r="F3726" s="50" t="n">
        <v>1</v>
      </c>
      <c r="G3726" s="49" t="s">
        <v>287</v>
      </c>
      <c r="H3726" s="51" t="n">
        <v>0.0142</v>
      </c>
      <c r="I3726" s="51" t="n">
        <v>0.146</v>
      </c>
      <c r="J3726" s="51" t="n">
        <v>0.8398</v>
      </c>
      <c r="K3726" s="49"/>
      <c r="L3726" s="49"/>
      <c r="M3726" s="49"/>
      <c r="N3726" s="49"/>
      <c r="O3726" s="49"/>
      <c r="P3726" s="49"/>
      <c r="Q3726" s="49"/>
      <c r="R3726" s="49"/>
      <c r="S3726" s="49" t="n">
        <v>0</v>
      </c>
      <c r="T3726" s="49" t="n">
        <v>0</v>
      </c>
      <c r="U3726" s="49" t="s">
        <v>7688</v>
      </c>
    </row>
    <row r="3727" customFormat="false" ht="15" hidden="false" customHeight="false" outlineLevel="0" collapsed="false">
      <c r="B3727" s="48" t="n">
        <v>46201.4846759259</v>
      </c>
      <c r="C3727" s="4" t="n">
        <f aca="false">YEAR(B3727)</f>
        <v>2026</v>
      </c>
      <c r="D3727" s="49" t="s">
        <v>278</v>
      </c>
      <c r="E3727" s="49" t="s">
        <v>7689</v>
      </c>
      <c r="F3727" s="50" t="n">
        <v>21</v>
      </c>
      <c r="G3727" s="49" t="s">
        <v>280</v>
      </c>
      <c r="H3727" s="51" t="n">
        <v>0.7648</v>
      </c>
      <c r="I3727" s="51" t="n">
        <v>0.2039</v>
      </c>
      <c r="J3727" s="51" t="n">
        <v>0.0312</v>
      </c>
      <c r="K3727" s="49" t="s">
        <v>281</v>
      </c>
      <c r="L3727" s="49"/>
      <c r="M3727" s="49"/>
      <c r="N3727" s="49"/>
      <c r="O3727" s="49"/>
      <c r="P3727" s="49"/>
      <c r="Q3727" s="49"/>
      <c r="R3727" s="49" t="s">
        <v>281</v>
      </c>
      <c r="S3727" s="49" t="n">
        <v>0</v>
      </c>
      <c r="T3727" s="49" t="n">
        <v>0</v>
      </c>
      <c r="U3727" s="49" t="s">
        <v>7690</v>
      </c>
    </row>
    <row r="3728" customFormat="false" ht="15" hidden="false" customHeight="false" outlineLevel="0" collapsed="false">
      <c r="B3728" s="48" t="n">
        <v>46201.4880902778</v>
      </c>
      <c r="C3728" s="4" t="n">
        <f aca="false">YEAR(B3728)</f>
        <v>2026</v>
      </c>
      <c r="D3728" s="49" t="s">
        <v>278</v>
      </c>
      <c r="E3728" s="49" t="s">
        <v>7691</v>
      </c>
      <c r="F3728" s="50" t="n">
        <v>4</v>
      </c>
      <c r="G3728" s="49" t="s">
        <v>280</v>
      </c>
      <c r="H3728" s="51" t="n">
        <v>0.8437</v>
      </c>
      <c r="I3728" s="51" t="n">
        <v>0.1467</v>
      </c>
      <c r="J3728" s="51" t="n">
        <v>0.0096</v>
      </c>
      <c r="K3728" s="49"/>
      <c r="L3728" s="49"/>
      <c r="M3728" s="49"/>
      <c r="N3728" s="49"/>
      <c r="O3728" s="49"/>
      <c r="P3728" s="49"/>
      <c r="Q3728" s="49"/>
      <c r="R3728" s="49" t="s">
        <v>281</v>
      </c>
      <c r="S3728" s="49" t="n">
        <v>0</v>
      </c>
      <c r="T3728" s="49" t="n">
        <v>0</v>
      </c>
      <c r="U3728" s="49" t="s">
        <v>7692</v>
      </c>
    </row>
    <row r="3729" customFormat="false" ht="15" hidden="false" customHeight="false" outlineLevel="0" collapsed="false">
      <c r="B3729" s="48" t="n">
        <v>46201.8262384259</v>
      </c>
      <c r="C3729" s="4" t="n">
        <f aca="false">YEAR(B3729)</f>
        <v>2026</v>
      </c>
      <c r="D3729" s="49" t="s">
        <v>278</v>
      </c>
      <c r="E3729" s="49" t="s">
        <v>7693</v>
      </c>
      <c r="F3729" s="50" t="n">
        <v>3</v>
      </c>
      <c r="G3729" s="49" t="s">
        <v>280</v>
      </c>
      <c r="H3729" s="51" t="n">
        <v>0.4843</v>
      </c>
      <c r="I3729" s="51" t="n">
        <v>0.464</v>
      </c>
      <c r="J3729" s="51" t="n">
        <v>0.0517</v>
      </c>
      <c r="K3729" s="49"/>
      <c r="L3729" s="49"/>
      <c r="M3729" s="49"/>
      <c r="N3729" s="49"/>
      <c r="O3729" s="49"/>
      <c r="P3729" s="49"/>
      <c r="Q3729" s="49"/>
      <c r="R3729" s="49" t="s">
        <v>281</v>
      </c>
      <c r="S3729" s="49" t="n">
        <v>0</v>
      </c>
      <c r="T3729" s="49" t="n">
        <v>0</v>
      </c>
      <c r="U3729" s="49" t="s">
        <v>7694</v>
      </c>
    </row>
    <row r="3730" customFormat="false" ht="15" hidden="false" customHeight="false" outlineLevel="0" collapsed="false">
      <c r="B3730" s="48" t="n">
        <v>46201.9121875</v>
      </c>
      <c r="C3730" s="4" t="n">
        <f aca="false">YEAR(B3730)</f>
        <v>2026</v>
      </c>
      <c r="D3730" s="49" t="s">
        <v>278</v>
      </c>
      <c r="E3730" s="49" t="s">
        <v>7695</v>
      </c>
      <c r="F3730" s="50" t="n">
        <v>3</v>
      </c>
      <c r="G3730" s="49" t="s">
        <v>290</v>
      </c>
      <c r="H3730" s="51" t="n">
        <v>0.1898</v>
      </c>
      <c r="I3730" s="51" t="n">
        <v>0.7117</v>
      </c>
      <c r="J3730" s="51" t="n">
        <v>0.0985</v>
      </c>
      <c r="K3730" s="49"/>
      <c r="L3730" s="49"/>
      <c r="M3730" s="49"/>
      <c r="N3730" s="49"/>
      <c r="O3730" s="49"/>
      <c r="P3730" s="49"/>
      <c r="Q3730" s="49"/>
      <c r="R3730" s="49"/>
      <c r="S3730" s="49" t="n">
        <v>0</v>
      </c>
      <c r="T3730" s="49" t="n">
        <v>0</v>
      </c>
      <c r="U3730" s="49" t="s">
        <v>7696</v>
      </c>
    </row>
    <row r="3731" customFormat="false" ht="15" hidden="false" customHeight="false" outlineLevel="0" collapsed="false">
      <c r="B3731" s="48" t="n">
        <v>46202.6425347222</v>
      </c>
      <c r="C3731" s="4" t="n">
        <f aca="false">YEAR(B3731)</f>
        <v>2026</v>
      </c>
      <c r="D3731" s="49" t="s">
        <v>278</v>
      </c>
      <c r="E3731" s="49" t="s">
        <v>7697</v>
      </c>
      <c r="F3731" s="50" t="n">
        <v>0</v>
      </c>
      <c r="G3731" s="49" t="s">
        <v>280</v>
      </c>
      <c r="H3731" s="51" t="n">
        <v>0.7324</v>
      </c>
      <c r="I3731" s="51" t="n">
        <v>0.2454</v>
      </c>
      <c r="J3731" s="51" t="n">
        <v>0.0222</v>
      </c>
      <c r="K3731" s="49"/>
      <c r="L3731" s="49"/>
      <c r="M3731" s="49"/>
      <c r="N3731" s="49"/>
      <c r="O3731" s="49"/>
      <c r="P3731" s="49"/>
      <c r="Q3731" s="49"/>
      <c r="R3731" s="49"/>
      <c r="S3731" s="49" t="n">
        <v>0</v>
      </c>
      <c r="T3731" s="49" t="n">
        <v>0</v>
      </c>
      <c r="U3731" s="49" t="s">
        <v>7698</v>
      </c>
    </row>
    <row r="3732" customFormat="false" ht="15" hidden="false" customHeight="false" outlineLevel="0" collapsed="false">
      <c r="B3732" s="48" t="n">
        <v>46202.7198726852</v>
      </c>
      <c r="C3732" s="4" t="n">
        <f aca="false">YEAR(B3732)</f>
        <v>2026</v>
      </c>
      <c r="D3732" s="49" t="s">
        <v>283</v>
      </c>
      <c r="E3732" s="49" t="s">
        <v>7699</v>
      </c>
      <c r="F3732" s="50" t="n">
        <v>1</v>
      </c>
      <c r="G3732" s="49" t="s">
        <v>290</v>
      </c>
      <c r="H3732" s="51" t="n">
        <v>0.0105</v>
      </c>
      <c r="I3732" s="51" t="n">
        <v>0.8677</v>
      </c>
      <c r="J3732" s="51" t="n">
        <v>0.1218</v>
      </c>
      <c r="K3732" s="49"/>
      <c r="L3732" s="49"/>
      <c r="M3732" s="49"/>
      <c r="N3732" s="49"/>
      <c r="O3732" s="49"/>
      <c r="P3732" s="49"/>
      <c r="Q3732" s="49"/>
      <c r="R3732" s="49"/>
      <c r="S3732" s="49" t="n">
        <v>1</v>
      </c>
      <c r="T3732" s="49" t="n">
        <v>0</v>
      </c>
      <c r="U3732" s="49" t="s">
        <v>7700</v>
      </c>
    </row>
    <row r="3733" customFormat="false" ht="15" hidden="false" customHeight="false" outlineLevel="0" collapsed="false">
      <c r="B3733" s="48" t="n">
        <v>46202.8110763889</v>
      </c>
      <c r="C3733" s="4" t="n">
        <f aca="false">YEAR(B3733)</f>
        <v>2026</v>
      </c>
      <c r="D3733" s="49" t="s">
        <v>283</v>
      </c>
      <c r="E3733" s="49" t="s">
        <v>7701</v>
      </c>
      <c r="F3733" s="50" t="n">
        <v>1</v>
      </c>
      <c r="G3733" s="49" t="s">
        <v>290</v>
      </c>
      <c r="H3733" s="51" t="n">
        <v>0.0067</v>
      </c>
      <c r="I3733" s="51" t="n">
        <v>0.9304</v>
      </c>
      <c r="J3733" s="51" t="n">
        <v>0.0629</v>
      </c>
      <c r="K3733" s="49"/>
      <c r="L3733" s="49"/>
      <c r="M3733" s="49"/>
      <c r="N3733" s="49"/>
      <c r="O3733" s="49"/>
      <c r="P3733" s="49"/>
      <c r="Q3733" s="49"/>
      <c r="R3733" s="49"/>
      <c r="S3733" s="49" t="n">
        <v>1</v>
      </c>
      <c r="T3733" s="49" t="n">
        <v>0</v>
      </c>
      <c r="U3733" s="49" t="s">
        <v>7702</v>
      </c>
    </row>
    <row r="3734" customFormat="false" ht="15" hidden="false" customHeight="false" outlineLevel="0" collapsed="false">
      <c r="B3734" s="48" t="n">
        <v>46202.8958796296</v>
      </c>
      <c r="C3734" s="4" t="n">
        <f aca="false">YEAR(B3734)</f>
        <v>2026</v>
      </c>
      <c r="D3734" s="49" t="s">
        <v>283</v>
      </c>
      <c r="E3734" s="49" t="s">
        <v>7703</v>
      </c>
      <c r="F3734" s="50" t="n">
        <v>2</v>
      </c>
      <c r="G3734" s="49" t="s">
        <v>290</v>
      </c>
      <c r="H3734" s="51" t="n">
        <v>0.0164</v>
      </c>
      <c r="I3734" s="51" t="n">
        <v>0.6241</v>
      </c>
      <c r="J3734" s="51" t="n">
        <v>0.3594</v>
      </c>
      <c r="K3734" s="49"/>
      <c r="L3734" s="49"/>
      <c r="M3734" s="49"/>
      <c r="N3734" s="49"/>
      <c r="O3734" s="49"/>
      <c r="P3734" s="49"/>
      <c r="Q3734" s="49"/>
      <c r="R3734" s="49"/>
      <c r="S3734" s="49" t="n">
        <v>0</v>
      </c>
      <c r="T3734" s="49" t="n">
        <v>0</v>
      </c>
      <c r="U3734" s="49" t="s">
        <v>7704</v>
      </c>
    </row>
    <row r="3735" customFormat="false" ht="15" hidden="false" customHeight="false" outlineLevel="0" collapsed="false">
      <c r="B3735" s="48" t="n">
        <v>46203.3734722222</v>
      </c>
      <c r="C3735" s="4" t="n">
        <f aca="false">YEAR(B3735)</f>
        <v>2026</v>
      </c>
      <c r="D3735" s="49" t="s">
        <v>283</v>
      </c>
      <c r="E3735" s="49" t="s">
        <v>7705</v>
      </c>
      <c r="F3735" s="50" t="n">
        <v>15</v>
      </c>
      <c r="G3735" s="49" t="s">
        <v>280</v>
      </c>
      <c r="H3735" s="51" t="n">
        <v>0.6269</v>
      </c>
      <c r="I3735" s="51" t="n">
        <v>0.3346</v>
      </c>
      <c r="J3735" s="51" t="n">
        <v>0.0385</v>
      </c>
      <c r="K3735" s="49" t="s">
        <v>281</v>
      </c>
      <c r="L3735" s="49"/>
      <c r="M3735" s="49"/>
      <c r="N3735" s="49"/>
      <c r="O3735" s="49"/>
      <c r="P3735" s="49"/>
      <c r="Q3735" s="49"/>
      <c r="R3735" s="49"/>
      <c r="S3735" s="49" t="n">
        <v>0</v>
      </c>
      <c r="T3735" s="49" t="n">
        <v>0</v>
      </c>
      <c r="U3735" s="49" t="s">
        <v>7706</v>
      </c>
    </row>
    <row r="3736" customFormat="false" ht="15" hidden="false" customHeight="false" outlineLevel="0" collapsed="false">
      <c r="B3736" s="48" t="n">
        <v>46203.6714814815</v>
      </c>
      <c r="C3736" s="4" t="n">
        <f aca="false">YEAR(B3736)</f>
        <v>2026</v>
      </c>
      <c r="D3736" s="49" t="s">
        <v>278</v>
      </c>
      <c r="E3736" s="49" t="s">
        <v>7707</v>
      </c>
      <c r="F3736" s="50" t="n">
        <v>1</v>
      </c>
      <c r="G3736" s="49" t="s">
        <v>290</v>
      </c>
      <c r="H3736" s="51" t="n">
        <v>0.1318</v>
      </c>
      <c r="I3736" s="51" t="n">
        <v>0.6539</v>
      </c>
      <c r="J3736" s="51" t="n">
        <v>0.2143</v>
      </c>
      <c r="K3736" s="49"/>
      <c r="L3736" s="49"/>
      <c r="M3736" s="49"/>
      <c r="N3736" s="49"/>
      <c r="O3736" s="49"/>
      <c r="P3736" s="49"/>
      <c r="Q3736" s="49"/>
      <c r="R3736" s="49"/>
      <c r="S3736" s="49" t="n">
        <v>0</v>
      </c>
      <c r="T3736" s="49" t="n">
        <v>0</v>
      </c>
      <c r="U3736" s="49" t="s">
        <v>7708</v>
      </c>
    </row>
    <row r="3737" customFormat="false" ht="15" hidden="false" customHeight="false" outlineLevel="0" collapsed="false">
      <c r="B3737" s="48" t="n">
        <v>46203.701087963</v>
      </c>
      <c r="C3737" s="4" t="n">
        <f aca="false">YEAR(B3737)</f>
        <v>2026</v>
      </c>
      <c r="D3737" s="49" t="s">
        <v>278</v>
      </c>
      <c r="E3737" s="49" t="s">
        <v>7709</v>
      </c>
      <c r="F3737" s="50" t="n">
        <v>0</v>
      </c>
      <c r="G3737" s="49" t="s">
        <v>290</v>
      </c>
      <c r="H3737" s="51" t="n">
        <v>0.0386</v>
      </c>
      <c r="I3737" s="51" t="n">
        <v>0.9257</v>
      </c>
      <c r="J3737" s="51" t="n">
        <v>0.0357</v>
      </c>
      <c r="K3737" s="49"/>
      <c r="L3737" s="49"/>
      <c r="M3737" s="49"/>
      <c r="N3737" s="49"/>
      <c r="O3737" s="49"/>
      <c r="P3737" s="49"/>
      <c r="Q3737" s="49"/>
      <c r="R3737" s="49" t="s">
        <v>281</v>
      </c>
      <c r="S3737" s="49" t="n">
        <v>0</v>
      </c>
      <c r="T3737" s="49" t="n">
        <v>0</v>
      </c>
      <c r="U3737" s="49" t="s">
        <v>7710</v>
      </c>
    </row>
    <row r="3738" customFormat="false" ht="15" hidden="false" customHeight="false" outlineLevel="0" collapsed="false">
      <c r="B3738" s="48" t="n">
        <v>46204.1127083333</v>
      </c>
      <c r="C3738" s="4" t="n">
        <f aca="false">YEAR(B3738)</f>
        <v>2026</v>
      </c>
      <c r="D3738" s="49" t="s">
        <v>283</v>
      </c>
      <c r="E3738" s="49" t="s">
        <v>7711</v>
      </c>
      <c r="F3738" s="50" t="n">
        <v>1</v>
      </c>
      <c r="G3738" s="49" t="s">
        <v>290</v>
      </c>
      <c r="H3738" s="51" t="n">
        <v>0.0044</v>
      </c>
      <c r="I3738" s="51" t="n">
        <v>0.5316</v>
      </c>
      <c r="J3738" s="51" t="n">
        <v>0.464</v>
      </c>
      <c r="K3738" s="49"/>
      <c r="L3738" s="49"/>
      <c r="M3738" s="49"/>
      <c r="N3738" s="49"/>
      <c r="O3738" s="49"/>
      <c r="P3738" s="49"/>
      <c r="Q3738" s="49"/>
      <c r="R3738" s="49"/>
      <c r="S3738" s="49" t="n">
        <v>1</v>
      </c>
      <c r="T3738" s="49" t="n">
        <v>0</v>
      </c>
      <c r="U3738" s="49" t="s">
        <v>7712</v>
      </c>
    </row>
    <row r="3739" customFormat="false" ht="15" hidden="false" customHeight="false" outlineLevel="0" collapsed="false">
      <c r="B3739" s="48" t="n">
        <v>46204.4619444445</v>
      </c>
      <c r="C3739" s="4" t="n">
        <f aca="false">YEAR(B3739)</f>
        <v>2026</v>
      </c>
      <c r="D3739" s="49" t="s">
        <v>278</v>
      </c>
      <c r="E3739" s="49" t="s">
        <v>7713</v>
      </c>
      <c r="F3739" s="50" t="n">
        <v>0</v>
      </c>
      <c r="G3739" s="49" t="s">
        <v>280</v>
      </c>
      <c r="H3739" s="51" t="n">
        <v>0.7837</v>
      </c>
      <c r="I3739" s="51" t="n">
        <v>0.2027</v>
      </c>
      <c r="J3739" s="51" t="n">
        <v>0.0135</v>
      </c>
      <c r="K3739" s="49"/>
      <c r="L3739" s="49"/>
      <c r="M3739" s="49"/>
      <c r="N3739" s="49"/>
      <c r="O3739" s="49"/>
      <c r="P3739" s="49"/>
      <c r="Q3739" s="49"/>
      <c r="R3739" s="49" t="s">
        <v>281</v>
      </c>
      <c r="S3739" s="49" t="n">
        <v>0</v>
      </c>
      <c r="T3739" s="49" t="n">
        <v>0</v>
      </c>
      <c r="U3739" s="49" t="s">
        <v>7714</v>
      </c>
    </row>
    <row r="3740" customFormat="false" ht="15" hidden="false" customHeight="false" outlineLevel="0" collapsed="false">
      <c r="B3740" s="48" t="n">
        <v>46204.6163888889</v>
      </c>
      <c r="C3740" s="4" t="n">
        <f aca="false">YEAR(B3740)</f>
        <v>2026</v>
      </c>
      <c r="D3740" s="49" t="s">
        <v>278</v>
      </c>
      <c r="E3740" s="49" t="s">
        <v>7715</v>
      </c>
      <c r="F3740" s="50" t="n">
        <v>2</v>
      </c>
      <c r="G3740" s="49" t="s">
        <v>280</v>
      </c>
      <c r="H3740" s="51" t="n">
        <v>0.8162</v>
      </c>
      <c r="I3740" s="51" t="n">
        <v>0.166</v>
      </c>
      <c r="J3740" s="51" t="n">
        <v>0.0178</v>
      </c>
      <c r="K3740" s="49"/>
      <c r="L3740" s="49"/>
      <c r="M3740" s="49"/>
      <c r="N3740" s="49"/>
      <c r="O3740" s="49"/>
      <c r="P3740" s="49"/>
      <c r="Q3740" s="49"/>
      <c r="R3740" s="49"/>
      <c r="S3740" s="49" t="n">
        <v>0</v>
      </c>
      <c r="T3740" s="49" t="n">
        <v>0</v>
      </c>
      <c r="U3740" s="49" t="s">
        <v>7716</v>
      </c>
    </row>
    <row r="3741" customFormat="false" ht="15" hidden="false" customHeight="false" outlineLevel="0" collapsed="false">
      <c r="B3741" s="48" t="n">
        <v>46205.1306365741</v>
      </c>
      <c r="C3741" s="4" t="n">
        <f aca="false">YEAR(B3741)</f>
        <v>2026</v>
      </c>
      <c r="D3741" s="49" t="s">
        <v>278</v>
      </c>
      <c r="E3741" s="49" t="s">
        <v>7717</v>
      </c>
      <c r="F3741" s="50" t="n">
        <v>0</v>
      </c>
      <c r="G3741" s="49" t="s">
        <v>280</v>
      </c>
      <c r="H3741" s="51" t="n">
        <v>0.5303</v>
      </c>
      <c r="I3741" s="51" t="n">
        <v>0.4239</v>
      </c>
      <c r="J3741" s="51" t="n">
        <v>0.0458</v>
      </c>
      <c r="K3741" s="49"/>
      <c r="L3741" s="49"/>
      <c r="M3741" s="49"/>
      <c r="N3741" s="49"/>
      <c r="O3741" s="49"/>
      <c r="P3741" s="49"/>
      <c r="Q3741" s="49"/>
      <c r="R3741" s="49"/>
      <c r="S3741" s="49" t="n">
        <v>0</v>
      </c>
      <c r="T3741" s="49" t="n">
        <v>0</v>
      </c>
      <c r="U3741" s="49" t="s">
        <v>7718</v>
      </c>
    </row>
    <row r="3742" customFormat="false" ht="15" hidden="false" customHeight="false" outlineLevel="0" collapsed="false">
      <c r="B3742" s="48" t="n">
        <v>46205.4662037037</v>
      </c>
      <c r="C3742" s="4" t="n">
        <f aca="false">YEAR(B3742)</f>
        <v>2026</v>
      </c>
      <c r="D3742" s="49" t="s">
        <v>278</v>
      </c>
      <c r="E3742" s="49" t="s">
        <v>7719</v>
      </c>
      <c r="F3742" s="50" t="n">
        <v>0</v>
      </c>
      <c r="G3742" s="49" t="s">
        <v>280</v>
      </c>
      <c r="H3742" s="51" t="n">
        <v>0.8425</v>
      </c>
      <c r="I3742" s="51" t="n">
        <v>0.1488</v>
      </c>
      <c r="J3742" s="51" t="n">
        <v>0.0087</v>
      </c>
      <c r="K3742" s="49"/>
      <c r="L3742" s="49"/>
      <c r="M3742" s="49"/>
      <c r="N3742" s="49"/>
      <c r="O3742" s="49"/>
      <c r="P3742" s="49"/>
      <c r="Q3742" s="49"/>
      <c r="R3742" s="49"/>
      <c r="S3742" s="49" t="n">
        <v>0</v>
      </c>
      <c r="T3742" s="49" t="n">
        <v>0</v>
      </c>
      <c r="U3742" s="49" t="s">
        <v>7720</v>
      </c>
    </row>
    <row r="3743" customFormat="false" ht="15" hidden="false" customHeight="false" outlineLevel="0" collapsed="false">
      <c r="B3743" s="48" t="n">
        <v>46205.8319675926</v>
      </c>
      <c r="C3743" s="4" t="n">
        <f aca="false">YEAR(B3743)</f>
        <v>2026</v>
      </c>
      <c r="D3743" s="49" t="s">
        <v>283</v>
      </c>
      <c r="E3743" s="49" t="s">
        <v>7721</v>
      </c>
      <c r="F3743" s="50" t="n">
        <v>1</v>
      </c>
      <c r="G3743" s="49" t="s">
        <v>290</v>
      </c>
      <c r="H3743" s="51" t="n">
        <v>0.0105</v>
      </c>
      <c r="I3743" s="51" t="n">
        <v>0.8889</v>
      </c>
      <c r="J3743" s="51" t="n">
        <v>0.1007</v>
      </c>
      <c r="K3743" s="49"/>
      <c r="L3743" s="49"/>
      <c r="M3743" s="49"/>
      <c r="N3743" s="49"/>
      <c r="O3743" s="49"/>
      <c r="P3743" s="49"/>
      <c r="Q3743" s="49"/>
      <c r="R3743" s="49"/>
      <c r="S3743" s="49" t="n">
        <v>1</v>
      </c>
      <c r="T3743" s="49" t="n">
        <v>0</v>
      </c>
      <c r="U3743" s="49" t="s">
        <v>7722</v>
      </c>
    </row>
    <row r="3744" customFormat="false" ht="15" hidden="false" customHeight="false" outlineLevel="0" collapsed="false">
      <c r="B3744" s="48" t="n">
        <v>46206.3690046296</v>
      </c>
      <c r="C3744" s="4" t="n">
        <f aca="false">YEAR(B3744)</f>
        <v>2026</v>
      </c>
      <c r="D3744" s="49" t="s">
        <v>278</v>
      </c>
      <c r="E3744" s="49" t="s">
        <v>7723</v>
      </c>
      <c r="F3744" s="50" t="n">
        <v>8</v>
      </c>
      <c r="G3744" s="49" t="s">
        <v>280</v>
      </c>
      <c r="H3744" s="51" t="n">
        <v>0.4738</v>
      </c>
      <c r="I3744" s="51" t="n">
        <v>0.4522</v>
      </c>
      <c r="J3744" s="51" t="n">
        <v>0.0741</v>
      </c>
      <c r="K3744" s="49"/>
      <c r="L3744" s="49"/>
      <c r="M3744" s="49"/>
      <c r="N3744" s="49"/>
      <c r="O3744" s="49"/>
      <c r="P3744" s="49"/>
      <c r="Q3744" s="49"/>
      <c r="R3744" s="49"/>
      <c r="S3744" s="49" t="n">
        <v>0</v>
      </c>
      <c r="T3744" s="49" t="n">
        <v>0</v>
      </c>
      <c r="U3744" s="49" t="s">
        <v>7724</v>
      </c>
    </row>
    <row r="3745" customFormat="false" ht="15" hidden="false" customHeight="false" outlineLevel="0" collapsed="false">
      <c r="B3745" s="48" t="n">
        <v>46206.5539930556</v>
      </c>
      <c r="C3745" s="4" t="n">
        <f aca="false">YEAR(B3745)</f>
        <v>2026</v>
      </c>
      <c r="D3745" s="49" t="s">
        <v>278</v>
      </c>
      <c r="E3745" s="49" t="s">
        <v>7725</v>
      </c>
      <c r="F3745" s="50" t="n">
        <v>0</v>
      </c>
      <c r="G3745" s="49" t="s">
        <v>290</v>
      </c>
      <c r="H3745" s="51" t="n">
        <v>0.3913</v>
      </c>
      <c r="I3745" s="51" t="n">
        <v>0.512</v>
      </c>
      <c r="J3745" s="51" t="n">
        <v>0.0967</v>
      </c>
      <c r="K3745" s="49"/>
      <c r="L3745" s="49"/>
      <c r="M3745" s="49"/>
      <c r="N3745" s="49"/>
      <c r="O3745" s="49"/>
      <c r="P3745" s="49"/>
      <c r="Q3745" s="49"/>
      <c r="R3745" s="49"/>
      <c r="S3745" s="49" t="n">
        <v>0</v>
      </c>
      <c r="T3745" s="49" t="n">
        <v>0</v>
      </c>
      <c r="U3745" s="49" t="s">
        <v>7726</v>
      </c>
    </row>
    <row r="3746" customFormat="false" ht="15" hidden="false" customHeight="false" outlineLevel="0" collapsed="false">
      <c r="B3746" s="48" t="n">
        <v>46206.5866087963</v>
      </c>
      <c r="C3746" s="4" t="n">
        <f aca="false">YEAR(B3746)</f>
        <v>2026</v>
      </c>
      <c r="D3746" s="49" t="s">
        <v>278</v>
      </c>
      <c r="E3746" s="49" t="s">
        <v>7727</v>
      </c>
      <c r="F3746" s="50" t="n">
        <v>0</v>
      </c>
      <c r="G3746" s="49" t="s">
        <v>280</v>
      </c>
      <c r="H3746" s="51" t="n">
        <v>0.5853</v>
      </c>
      <c r="I3746" s="51" t="n">
        <v>0.389</v>
      </c>
      <c r="J3746" s="51" t="n">
        <v>0.0257</v>
      </c>
      <c r="K3746" s="49"/>
      <c r="L3746" s="49"/>
      <c r="M3746" s="49"/>
      <c r="N3746" s="49"/>
      <c r="O3746" s="49"/>
      <c r="P3746" s="49"/>
      <c r="Q3746" s="49" t="s">
        <v>281</v>
      </c>
      <c r="R3746" s="49"/>
      <c r="S3746" s="49" t="n">
        <v>0</v>
      </c>
      <c r="T3746" s="49" t="n">
        <v>0</v>
      </c>
      <c r="U3746" s="49" t="s">
        <v>7728</v>
      </c>
    </row>
    <row r="3747" customFormat="false" ht="15" hidden="false" customHeight="false" outlineLevel="0" collapsed="false">
      <c r="B3747" s="48" t="n">
        <v>46206.7132175926</v>
      </c>
      <c r="C3747" s="4" t="n">
        <f aca="false">YEAR(B3747)</f>
        <v>2026</v>
      </c>
      <c r="D3747" s="49" t="s">
        <v>278</v>
      </c>
      <c r="E3747" s="49" t="s">
        <v>7729</v>
      </c>
      <c r="F3747" s="50" t="n">
        <v>2</v>
      </c>
      <c r="G3747" s="49" t="s">
        <v>280</v>
      </c>
      <c r="H3747" s="51" t="n">
        <v>0.7824</v>
      </c>
      <c r="I3747" s="51" t="n">
        <v>0.1812</v>
      </c>
      <c r="J3747" s="51" t="n">
        <v>0.0364</v>
      </c>
      <c r="K3747" s="49"/>
      <c r="L3747" s="49"/>
      <c r="M3747" s="49"/>
      <c r="N3747" s="49"/>
      <c r="O3747" s="49"/>
      <c r="P3747" s="49"/>
      <c r="Q3747" s="49"/>
      <c r="R3747" s="49" t="s">
        <v>281</v>
      </c>
      <c r="S3747" s="49" t="n">
        <v>0</v>
      </c>
      <c r="T3747" s="49" t="n">
        <v>0</v>
      </c>
      <c r="U3747" s="49" t="s">
        <v>7730</v>
      </c>
    </row>
    <row r="3748" customFormat="false" ht="15" hidden="false" customHeight="false" outlineLevel="0" collapsed="false">
      <c r="B3748" s="48" t="n">
        <v>46206.8731828704</v>
      </c>
      <c r="C3748" s="4" t="n">
        <f aca="false">YEAR(B3748)</f>
        <v>2026</v>
      </c>
      <c r="D3748" s="49" t="s">
        <v>278</v>
      </c>
      <c r="E3748" s="49" t="s">
        <v>7731</v>
      </c>
      <c r="F3748" s="50" t="n">
        <v>5</v>
      </c>
      <c r="G3748" s="49" t="s">
        <v>280</v>
      </c>
      <c r="H3748" s="51" t="n">
        <v>0.7875</v>
      </c>
      <c r="I3748" s="51" t="n">
        <v>0.1777</v>
      </c>
      <c r="J3748" s="51" t="n">
        <v>0.0348</v>
      </c>
      <c r="K3748" s="49"/>
      <c r="L3748" s="49" t="s">
        <v>281</v>
      </c>
      <c r="M3748" s="49"/>
      <c r="N3748" s="49"/>
      <c r="O3748" s="49"/>
      <c r="P3748" s="49"/>
      <c r="Q3748" s="49" t="s">
        <v>281</v>
      </c>
      <c r="R3748" s="49"/>
      <c r="S3748" s="49" t="n">
        <v>0</v>
      </c>
      <c r="T3748" s="49" t="n">
        <v>0</v>
      </c>
      <c r="U3748" s="49" t="s">
        <v>7732</v>
      </c>
    </row>
    <row r="3749" customFormat="false" ht="15" hidden="false" customHeight="false" outlineLevel="0" collapsed="false">
      <c r="B3749" s="48" t="n">
        <v>46206.9915625</v>
      </c>
      <c r="C3749" s="4" t="n">
        <f aca="false">YEAR(B3749)</f>
        <v>2026</v>
      </c>
      <c r="D3749" s="49" t="s">
        <v>283</v>
      </c>
      <c r="E3749" s="49" t="s">
        <v>7733</v>
      </c>
      <c r="F3749" s="50" t="n">
        <v>6</v>
      </c>
      <c r="G3749" s="49" t="s">
        <v>280</v>
      </c>
      <c r="H3749" s="51" t="n">
        <v>0.5084</v>
      </c>
      <c r="I3749" s="51" t="n">
        <v>0.4389</v>
      </c>
      <c r="J3749" s="51" t="n">
        <v>0.0527</v>
      </c>
      <c r="K3749" s="49"/>
      <c r="L3749" s="49"/>
      <c r="M3749" s="49"/>
      <c r="N3749" s="49"/>
      <c r="O3749" s="49"/>
      <c r="P3749" s="49"/>
      <c r="Q3749" s="49"/>
      <c r="R3749" s="49"/>
      <c r="S3749" s="49" t="n">
        <v>0</v>
      </c>
      <c r="T3749" s="49" t="n">
        <v>0</v>
      </c>
      <c r="U3749" s="49" t="s">
        <v>7734</v>
      </c>
    </row>
    <row r="3750" customFormat="false" ht="15" hidden="false" customHeight="false" outlineLevel="0" collapsed="false">
      <c r="B3750" s="48" t="n">
        <v>46207.6311574074</v>
      </c>
      <c r="C3750" s="4" t="n">
        <f aca="false">YEAR(B3750)</f>
        <v>2026</v>
      </c>
      <c r="D3750" s="49" t="s">
        <v>278</v>
      </c>
      <c r="E3750" s="49" t="s">
        <v>7735</v>
      </c>
      <c r="F3750" s="50" t="n">
        <v>0</v>
      </c>
      <c r="G3750" s="49" t="s">
        <v>290</v>
      </c>
      <c r="H3750" s="51" t="n">
        <v>0.2294</v>
      </c>
      <c r="I3750" s="51" t="n">
        <v>0.3861</v>
      </c>
      <c r="J3750" s="51" t="n">
        <v>0.3845</v>
      </c>
      <c r="K3750" s="49"/>
      <c r="L3750" s="49"/>
      <c r="M3750" s="49"/>
      <c r="N3750" s="49"/>
      <c r="O3750" s="49"/>
      <c r="P3750" s="49"/>
      <c r="Q3750" s="49"/>
      <c r="R3750" s="49"/>
      <c r="S3750" s="49" t="n">
        <v>0</v>
      </c>
      <c r="T3750" s="49" t="n">
        <v>0</v>
      </c>
      <c r="U3750" s="49" t="s">
        <v>7736</v>
      </c>
    </row>
    <row r="3751" customFormat="false" ht="15" hidden="false" customHeight="false" outlineLevel="0" collapsed="false">
      <c r="B3751" s="48" t="n">
        <v>46207.6805555556</v>
      </c>
      <c r="C3751" s="4" t="n">
        <f aca="false">YEAR(B3751)</f>
        <v>2026</v>
      </c>
      <c r="D3751" s="49" t="s">
        <v>283</v>
      </c>
      <c r="E3751" s="49" t="s">
        <v>7737</v>
      </c>
      <c r="F3751" s="50" t="n">
        <v>1</v>
      </c>
      <c r="G3751" s="49" t="s">
        <v>290</v>
      </c>
      <c r="H3751" s="51" t="n">
        <v>0.0218</v>
      </c>
      <c r="I3751" s="51" t="n">
        <v>0.7132</v>
      </c>
      <c r="J3751" s="51" t="n">
        <v>0.265</v>
      </c>
      <c r="K3751" s="49"/>
      <c r="L3751" s="49"/>
      <c r="M3751" s="49"/>
      <c r="N3751" s="49"/>
      <c r="O3751" s="49"/>
      <c r="P3751" s="49"/>
      <c r="Q3751" s="49"/>
      <c r="R3751" s="49"/>
      <c r="S3751" s="49" t="n">
        <v>0</v>
      </c>
      <c r="T3751" s="49" t="n">
        <v>0</v>
      </c>
      <c r="U3751" s="49" t="s">
        <v>7738</v>
      </c>
    </row>
    <row r="3752" customFormat="false" ht="15" hidden="false" customHeight="false" outlineLevel="0" collapsed="false">
      <c r="B3752" s="48" t="n">
        <v>46207.697349537</v>
      </c>
      <c r="C3752" s="4" t="n">
        <f aca="false">YEAR(B3752)</f>
        <v>2026</v>
      </c>
      <c r="D3752" s="49" t="s">
        <v>283</v>
      </c>
      <c r="E3752" s="49" t="s">
        <v>7739</v>
      </c>
      <c r="F3752" s="50" t="n">
        <v>0</v>
      </c>
      <c r="G3752" s="49" t="s">
        <v>290</v>
      </c>
      <c r="H3752" s="51" t="n">
        <v>0.0181</v>
      </c>
      <c r="I3752" s="51" t="n">
        <v>0.5396</v>
      </c>
      <c r="J3752" s="51" t="n">
        <v>0.4423</v>
      </c>
      <c r="K3752" s="49"/>
      <c r="L3752" s="49"/>
      <c r="M3752" s="49"/>
      <c r="N3752" s="49"/>
      <c r="O3752" s="49"/>
      <c r="P3752" s="49"/>
      <c r="Q3752" s="49"/>
      <c r="R3752" s="49"/>
      <c r="S3752" s="49" t="n">
        <v>0</v>
      </c>
      <c r="T3752" s="49" t="n">
        <v>0</v>
      </c>
      <c r="U3752" s="49" t="s">
        <v>7740</v>
      </c>
    </row>
    <row r="3753" customFormat="false" ht="15" hidden="false" customHeight="false" outlineLevel="0" collapsed="false">
      <c r="B3753" s="48" t="n">
        <v>46207.989849537</v>
      </c>
      <c r="C3753" s="4" t="n">
        <f aca="false">YEAR(B3753)</f>
        <v>2026</v>
      </c>
      <c r="D3753" s="49" t="s">
        <v>283</v>
      </c>
      <c r="E3753" s="49" t="s">
        <v>7741</v>
      </c>
      <c r="F3753" s="50" t="n">
        <v>11</v>
      </c>
      <c r="G3753" s="49" t="s">
        <v>280</v>
      </c>
      <c r="H3753" s="51" t="n">
        <v>0.5054</v>
      </c>
      <c r="I3753" s="51" t="n">
        <v>0.3085</v>
      </c>
      <c r="J3753" s="51" t="n">
        <v>0.1861</v>
      </c>
      <c r="K3753" s="49"/>
      <c r="L3753" s="49"/>
      <c r="M3753" s="49"/>
      <c r="N3753" s="49"/>
      <c r="O3753" s="49"/>
      <c r="P3753" s="49"/>
      <c r="Q3753" s="49"/>
      <c r="R3753" s="49"/>
      <c r="S3753" s="49" t="n">
        <v>0</v>
      </c>
      <c r="T3753" s="49" t="n">
        <v>0</v>
      </c>
      <c r="U3753" s="49" t="s">
        <v>7742</v>
      </c>
    </row>
    <row r="3754" customFormat="false" ht="15" hidden="false" customHeight="false" outlineLevel="0" collapsed="false">
      <c r="B3754" s="48" t="n">
        <v>46208.1027199074</v>
      </c>
      <c r="C3754" s="4" t="n">
        <f aca="false">YEAR(B3754)</f>
        <v>2026</v>
      </c>
      <c r="D3754" s="49" t="s">
        <v>278</v>
      </c>
      <c r="E3754" s="49" t="s">
        <v>7743</v>
      </c>
      <c r="F3754" s="50" t="n">
        <v>0</v>
      </c>
      <c r="G3754" s="49" t="s">
        <v>280</v>
      </c>
      <c r="H3754" s="51" t="n">
        <v>0.9194</v>
      </c>
      <c r="I3754" s="51" t="n">
        <v>0.0736</v>
      </c>
      <c r="J3754" s="51" t="n">
        <v>0.007</v>
      </c>
      <c r="K3754" s="49"/>
      <c r="L3754" s="49"/>
      <c r="M3754" s="49"/>
      <c r="N3754" s="49"/>
      <c r="O3754" s="49"/>
      <c r="P3754" s="49"/>
      <c r="Q3754" s="49"/>
      <c r="R3754" s="49"/>
      <c r="S3754" s="49" t="n">
        <v>0</v>
      </c>
      <c r="T3754" s="49" t="n">
        <v>0</v>
      </c>
      <c r="U3754" s="49" t="s">
        <v>7744</v>
      </c>
    </row>
    <row r="3755" customFormat="false" ht="15" hidden="false" customHeight="false" outlineLevel="0" collapsed="false">
      <c r="B3755" s="48" t="n">
        <v>46208.176400463</v>
      </c>
      <c r="C3755" s="4" t="n">
        <f aca="false">YEAR(B3755)</f>
        <v>2026</v>
      </c>
      <c r="D3755" s="49" t="s">
        <v>278</v>
      </c>
      <c r="E3755" s="49" t="s">
        <v>7745</v>
      </c>
      <c r="F3755" s="50" t="n">
        <v>0</v>
      </c>
      <c r="G3755" s="49" t="s">
        <v>290</v>
      </c>
      <c r="H3755" s="51" t="n">
        <v>0.4166</v>
      </c>
      <c r="I3755" s="51" t="n">
        <v>0.5533</v>
      </c>
      <c r="J3755" s="51" t="n">
        <v>0.0301</v>
      </c>
      <c r="K3755" s="49"/>
      <c r="L3755" s="49"/>
      <c r="M3755" s="49"/>
      <c r="N3755" s="49"/>
      <c r="O3755" s="49"/>
      <c r="P3755" s="49"/>
      <c r="Q3755" s="49"/>
      <c r="R3755" s="49"/>
      <c r="S3755" s="49" t="n">
        <v>0</v>
      </c>
      <c r="T3755" s="49" t="n">
        <v>0</v>
      </c>
      <c r="U3755" s="49" t="s">
        <v>7746</v>
      </c>
    </row>
    <row r="3756" customFormat="false" ht="15" hidden="false" customHeight="false" outlineLevel="0" collapsed="false">
      <c r="B3756" s="48" t="n">
        <v>46208.3882523148</v>
      </c>
      <c r="C3756" s="4" t="n">
        <f aca="false">YEAR(B3756)</f>
        <v>2026</v>
      </c>
      <c r="D3756" s="49" t="s">
        <v>283</v>
      </c>
      <c r="E3756" s="49" t="s">
        <v>7747</v>
      </c>
      <c r="F3756" s="50" t="n">
        <v>0</v>
      </c>
      <c r="G3756" s="49" t="s">
        <v>290</v>
      </c>
      <c r="H3756" s="51" t="n">
        <v>0.0467</v>
      </c>
      <c r="I3756" s="51" t="n">
        <v>0.5502</v>
      </c>
      <c r="J3756" s="51" t="n">
        <v>0.4031</v>
      </c>
      <c r="K3756" s="49"/>
      <c r="L3756" s="49"/>
      <c r="M3756" s="49"/>
      <c r="N3756" s="49"/>
      <c r="O3756" s="49"/>
      <c r="P3756" s="49"/>
      <c r="Q3756" s="49"/>
      <c r="R3756" s="49"/>
      <c r="S3756" s="49" t="n">
        <v>0</v>
      </c>
      <c r="T3756" s="49" t="n">
        <v>0</v>
      </c>
      <c r="U3756" s="49" t="s">
        <v>7748</v>
      </c>
    </row>
    <row r="3757" customFormat="false" ht="15" hidden="false" customHeight="false" outlineLevel="0" collapsed="false">
      <c r="B3757" s="48" t="n">
        <v>46208.6059490741</v>
      </c>
      <c r="C3757" s="4" t="n">
        <f aca="false">YEAR(B3757)</f>
        <v>2026</v>
      </c>
      <c r="D3757" s="49" t="s">
        <v>278</v>
      </c>
      <c r="E3757" s="49" t="s">
        <v>7749</v>
      </c>
      <c r="F3757" s="50" t="n">
        <v>0</v>
      </c>
      <c r="G3757" s="49" t="s">
        <v>280</v>
      </c>
      <c r="H3757" s="51" t="n">
        <v>0.8307</v>
      </c>
      <c r="I3757" s="51" t="n">
        <v>0.1622</v>
      </c>
      <c r="J3757" s="51" t="n">
        <v>0.0071</v>
      </c>
      <c r="K3757" s="49"/>
      <c r="L3757" s="49"/>
      <c r="M3757" s="49"/>
      <c r="N3757" s="49"/>
      <c r="O3757" s="49"/>
      <c r="P3757" s="49"/>
      <c r="Q3757" s="49"/>
      <c r="R3757" s="49"/>
      <c r="S3757" s="49" t="n">
        <v>0</v>
      </c>
      <c r="T3757" s="49" t="n">
        <v>1</v>
      </c>
      <c r="U3757" s="49" t="s">
        <v>7750</v>
      </c>
    </row>
    <row r="3758" customFormat="false" ht="15" hidden="false" customHeight="false" outlineLevel="0" collapsed="false">
      <c r="B3758" s="48" t="n">
        <v>46209.7312037037</v>
      </c>
      <c r="C3758" s="4" t="n">
        <f aca="false">YEAR(B3758)</f>
        <v>2026</v>
      </c>
      <c r="D3758" s="49" t="s">
        <v>278</v>
      </c>
      <c r="E3758" s="49" t="s">
        <v>7751</v>
      </c>
      <c r="F3758" s="50" t="n">
        <v>1</v>
      </c>
      <c r="G3758" s="49" t="s">
        <v>290</v>
      </c>
      <c r="H3758" s="51" t="n">
        <v>0.0502</v>
      </c>
      <c r="I3758" s="51" t="n">
        <v>0.8823</v>
      </c>
      <c r="J3758" s="51" t="n">
        <v>0.0675</v>
      </c>
      <c r="K3758" s="49"/>
      <c r="L3758" s="49"/>
      <c r="M3758" s="49"/>
      <c r="N3758" s="49"/>
      <c r="O3758" s="49"/>
      <c r="P3758" s="49"/>
      <c r="Q3758" s="49"/>
      <c r="R3758" s="49" t="s">
        <v>281</v>
      </c>
      <c r="S3758" s="49" t="n">
        <v>0</v>
      </c>
      <c r="T3758" s="49" t="n">
        <v>0</v>
      </c>
      <c r="U3758" s="49" t="s">
        <v>7752</v>
      </c>
    </row>
    <row r="3759" customFormat="false" ht="15" hidden="false" customHeight="false" outlineLevel="0" collapsed="false">
      <c r="B3759" s="48" t="n">
        <v>46209.919837963</v>
      </c>
      <c r="C3759" s="4" t="n">
        <f aca="false">YEAR(B3759)</f>
        <v>2026</v>
      </c>
      <c r="D3759" s="49" t="s">
        <v>283</v>
      </c>
      <c r="E3759" s="49" t="s">
        <v>7753</v>
      </c>
      <c r="F3759" s="50" t="n">
        <v>1</v>
      </c>
      <c r="G3759" s="49" t="s">
        <v>290</v>
      </c>
      <c r="H3759" s="51" t="n">
        <v>0.2748</v>
      </c>
      <c r="I3759" s="51" t="n">
        <v>0.6088</v>
      </c>
      <c r="J3759" s="51" t="n">
        <v>0.1164</v>
      </c>
      <c r="K3759" s="49"/>
      <c r="L3759" s="49"/>
      <c r="M3759" s="49"/>
      <c r="N3759" s="49"/>
      <c r="O3759" s="49"/>
      <c r="P3759" s="49"/>
      <c r="Q3759" s="49"/>
      <c r="R3759" s="49" t="s">
        <v>281</v>
      </c>
      <c r="S3759" s="49" t="n">
        <v>0</v>
      </c>
      <c r="T3759" s="49" t="n">
        <v>0</v>
      </c>
      <c r="U3759" s="49" t="s">
        <v>7754</v>
      </c>
    </row>
    <row r="3760" customFormat="false" ht="15" hidden="false" customHeight="false" outlineLevel="0" collapsed="false">
      <c r="B3760" s="48" t="n">
        <v>46209.9655208333</v>
      </c>
      <c r="C3760" s="4" t="n">
        <f aca="false">YEAR(B3760)</f>
        <v>2026</v>
      </c>
      <c r="D3760" s="49" t="s">
        <v>283</v>
      </c>
      <c r="E3760" s="49" t="s">
        <v>7755</v>
      </c>
      <c r="F3760" s="50" t="n">
        <v>1</v>
      </c>
      <c r="G3760" s="49" t="s">
        <v>287</v>
      </c>
      <c r="H3760" s="51" t="n">
        <v>0.0038</v>
      </c>
      <c r="I3760" s="51" t="n">
        <v>0.051</v>
      </c>
      <c r="J3760" s="51" t="n">
        <v>0.9452</v>
      </c>
      <c r="K3760" s="49"/>
      <c r="L3760" s="49"/>
      <c r="M3760" s="49"/>
      <c r="N3760" s="49"/>
      <c r="O3760" s="49"/>
      <c r="P3760" s="49"/>
      <c r="Q3760" s="49"/>
      <c r="R3760" s="49"/>
      <c r="S3760" s="49" t="n">
        <v>0</v>
      </c>
      <c r="T3760" s="49" t="n">
        <v>0</v>
      </c>
      <c r="U3760" s="49" t="s">
        <v>7756</v>
      </c>
    </row>
    <row r="3761" customFormat="false" ht="15" hidden="false" customHeight="false" outlineLevel="0" collapsed="false">
      <c r="B3761" s="48" t="n">
        <v>46210.6155787037</v>
      </c>
      <c r="C3761" s="4" t="n">
        <f aca="false">YEAR(B3761)</f>
        <v>2026</v>
      </c>
      <c r="D3761" s="49" t="s">
        <v>278</v>
      </c>
      <c r="E3761" s="49" t="s">
        <v>7757</v>
      </c>
      <c r="F3761" s="50" t="n">
        <v>13</v>
      </c>
      <c r="G3761" s="49" t="s">
        <v>280</v>
      </c>
      <c r="H3761" s="51" t="n">
        <v>0.9421</v>
      </c>
      <c r="I3761" s="51" t="n">
        <v>0.0529</v>
      </c>
      <c r="J3761" s="51" t="n">
        <v>0.005</v>
      </c>
      <c r="K3761" s="49"/>
      <c r="L3761" s="49"/>
      <c r="M3761" s="49"/>
      <c r="N3761" s="49"/>
      <c r="O3761" s="49"/>
      <c r="P3761" s="49"/>
      <c r="Q3761" s="49"/>
      <c r="R3761" s="49"/>
      <c r="S3761" s="49" t="n">
        <v>0</v>
      </c>
      <c r="T3761" s="49" t="n">
        <v>0</v>
      </c>
      <c r="U3761" s="49" t="s">
        <v>7758</v>
      </c>
    </row>
    <row r="3762" customFormat="false" ht="15" hidden="false" customHeight="false" outlineLevel="0" collapsed="false">
      <c r="B3762" s="48" t="n">
        <v>46210.703125</v>
      </c>
      <c r="C3762" s="4" t="n">
        <f aca="false">YEAR(B3762)</f>
        <v>2026</v>
      </c>
      <c r="D3762" s="49" t="s">
        <v>278</v>
      </c>
      <c r="E3762" s="49" t="s">
        <v>7759</v>
      </c>
      <c r="F3762" s="50" t="n">
        <v>2</v>
      </c>
      <c r="G3762" s="49" t="s">
        <v>290</v>
      </c>
      <c r="H3762" s="51" t="n">
        <v>0.0575</v>
      </c>
      <c r="I3762" s="51" t="n">
        <v>0.6116</v>
      </c>
      <c r="J3762" s="51" t="n">
        <v>0.3308</v>
      </c>
      <c r="K3762" s="49"/>
      <c r="L3762" s="49"/>
      <c r="M3762" s="49"/>
      <c r="N3762" s="49"/>
      <c r="O3762" s="49"/>
      <c r="P3762" s="49"/>
      <c r="Q3762" s="49"/>
      <c r="R3762" s="49"/>
      <c r="S3762" s="49" t="n">
        <v>0</v>
      </c>
      <c r="T3762" s="49" t="n">
        <v>0</v>
      </c>
      <c r="U3762" s="49" t="s">
        <v>7760</v>
      </c>
    </row>
    <row r="3763" customFormat="false" ht="15" hidden="false" customHeight="false" outlineLevel="0" collapsed="false">
      <c r="B3763" s="48" t="n">
        <v>46211.1146064815</v>
      </c>
      <c r="C3763" s="4" t="n">
        <f aca="false">YEAR(B3763)</f>
        <v>2026</v>
      </c>
      <c r="D3763" s="49" t="s">
        <v>278</v>
      </c>
      <c r="E3763" s="49" t="s">
        <v>7761</v>
      </c>
      <c r="F3763" s="50" t="n">
        <v>1</v>
      </c>
      <c r="G3763" s="49" t="s">
        <v>280</v>
      </c>
      <c r="H3763" s="51" t="n">
        <v>0.7442</v>
      </c>
      <c r="I3763" s="51" t="n">
        <v>0.2445</v>
      </c>
      <c r="J3763" s="51" t="n">
        <v>0.0113</v>
      </c>
      <c r="K3763" s="49"/>
      <c r="L3763" s="49"/>
      <c r="M3763" s="49"/>
      <c r="N3763" s="49"/>
      <c r="O3763" s="49"/>
      <c r="P3763" s="49"/>
      <c r="Q3763" s="49"/>
      <c r="R3763" s="49"/>
      <c r="S3763" s="49" t="n">
        <v>0</v>
      </c>
      <c r="T3763" s="49" t="n">
        <v>0</v>
      </c>
      <c r="U3763" s="49" t="s">
        <v>7762</v>
      </c>
    </row>
    <row r="3764" customFormat="false" ht="15" hidden="false" customHeight="false" outlineLevel="0" collapsed="false">
      <c r="B3764" s="48" t="n">
        <v>46211.5894675926</v>
      </c>
      <c r="C3764" s="4" t="n">
        <f aca="false">YEAR(B3764)</f>
        <v>2026</v>
      </c>
      <c r="D3764" s="49" t="s">
        <v>278</v>
      </c>
      <c r="E3764" s="49" t="s">
        <v>7763</v>
      </c>
      <c r="F3764" s="50" t="n">
        <v>0</v>
      </c>
      <c r="G3764" s="49" t="s">
        <v>280</v>
      </c>
      <c r="H3764" s="51" t="n">
        <v>0.6209</v>
      </c>
      <c r="I3764" s="51" t="n">
        <v>0.3544</v>
      </c>
      <c r="J3764" s="51" t="n">
        <v>0.0247</v>
      </c>
      <c r="K3764" s="49"/>
      <c r="L3764" s="49"/>
      <c r="M3764" s="49"/>
      <c r="N3764" s="49"/>
      <c r="O3764" s="49"/>
      <c r="P3764" s="49"/>
      <c r="Q3764" s="49"/>
      <c r="R3764" s="49"/>
      <c r="S3764" s="49" t="n">
        <v>0</v>
      </c>
      <c r="T3764" s="49" t="n">
        <v>0</v>
      </c>
      <c r="U3764" s="49" t="s">
        <v>7764</v>
      </c>
    </row>
    <row r="3765" customFormat="false" ht="15" hidden="false" customHeight="false" outlineLevel="0" collapsed="false">
      <c r="B3765" s="48" t="n">
        <v>46212.651099537</v>
      </c>
      <c r="C3765" s="4" t="n">
        <f aca="false">YEAR(B3765)</f>
        <v>2026</v>
      </c>
      <c r="D3765" s="49" t="s">
        <v>278</v>
      </c>
      <c r="E3765" s="49" t="s">
        <v>7765</v>
      </c>
      <c r="F3765" s="50" t="n">
        <v>1</v>
      </c>
      <c r="G3765" s="49" t="s">
        <v>280</v>
      </c>
      <c r="H3765" s="51" t="n">
        <v>0.5641</v>
      </c>
      <c r="I3765" s="51" t="n">
        <v>0.4177</v>
      </c>
      <c r="J3765" s="51" t="n">
        <v>0.0182</v>
      </c>
      <c r="K3765" s="49"/>
      <c r="L3765" s="49"/>
      <c r="M3765" s="49"/>
      <c r="N3765" s="49"/>
      <c r="O3765" s="49"/>
      <c r="P3765" s="49"/>
      <c r="Q3765" s="49"/>
      <c r="R3765" s="49"/>
      <c r="S3765" s="49" t="n">
        <v>0</v>
      </c>
      <c r="T3765" s="49" t="n">
        <v>0</v>
      </c>
      <c r="U3765" s="49" t="s">
        <v>7766</v>
      </c>
    </row>
    <row r="3766" customFormat="false" ht="15" hidden="false" customHeight="false" outlineLevel="0" collapsed="false">
      <c r="B3766" s="48" t="n">
        <v>46212.8762384259</v>
      </c>
      <c r="C3766" s="4" t="n">
        <f aca="false">YEAR(B3766)</f>
        <v>2026</v>
      </c>
      <c r="D3766" s="49" t="s">
        <v>283</v>
      </c>
      <c r="E3766" s="49" t="s">
        <v>7767</v>
      </c>
      <c r="F3766" s="50" t="n">
        <v>6</v>
      </c>
      <c r="G3766" s="49" t="s">
        <v>290</v>
      </c>
      <c r="H3766" s="51" t="n">
        <v>0.0365</v>
      </c>
      <c r="I3766" s="51" t="n">
        <v>0.5634</v>
      </c>
      <c r="J3766" s="51" t="n">
        <v>0.4001</v>
      </c>
      <c r="K3766" s="49" t="s">
        <v>281</v>
      </c>
      <c r="L3766" s="49"/>
      <c r="M3766" s="49"/>
      <c r="N3766" s="49"/>
      <c r="O3766" s="49"/>
      <c r="P3766" s="49"/>
      <c r="Q3766" s="49"/>
      <c r="R3766" s="49"/>
      <c r="S3766" s="49" t="n">
        <v>0</v>
      </c>
      <c r="T3766" s="49" t="n">
        <v>0</v>
      </c>
      <c r="U3766" s="49" t="s">
        <v>7768</v>
      </c>
    </row>
    <row r="3767" customFormat="false" ht="15" hidden="false" customHeight="false" outlineLevel="0" collapsed="false">
      <c r="B3767" s="48" t="n">
        <v>46213.2038310185</v>
      </c>
      <c r="C3767" s="4" t="n">
        <f aca="false">YEAR(B3767)</f>
        <v>2026</v>
      </c>
      <c r="D3767" s="49" t="s">
        <v>283</v>
      </c>
      <c r="E3767" s="49" t="s">
        <v>7769</v>
      </c>
      <c r="F3767" s="50" t="n">
        <v>1</v>
      </c>
      <c r="G3767" s="49" t="s">
        <v>287</v>
      </c>
      <c r="H3767" s="51" t="n">
        <v>0.0027</v>
      </c>
      <c r="I3767" s="51" t="n">
        <v>0.0467</v>
      </c>
      <c r="J3767" s="51" t="n">
        <v>0.9506</v>
      </c>
      <c r="K3767" s="49"/>
      <c r="L3767" s="49"/>
      <c r="M3767" s="49"/>
      <c r="N3767" s="49"/>
      <c r="O3767" s="49"/>
      <c r="P3767" s="49"/>
      <c r="Q3767" s="49"/>
      <c r="R3767" s="49"/>
      <c r="S3767" s="49" t="n">
        <v>0</v>
      </c>
      <c r="T3767" s="49" t="n">
        <v>0</v>
      </c>
      <c r="U3767" s="49" t="s">
        <v>7770</v>
      </c>
    </row>
    <row r="3768" customFormat="false" ht="15" hidden="false" customHeight="false" outlineLevel="0" collapsed="false">
      <c r="B3768" s="48" t="n">
        <v>46213.6822569444</v>
      </c>
      <c r="C3768" s="4" t="n">
        <f aca="false">YEAR(B3768)</f>
        <v>2026</v>
      </c>
      <c r="D3768" s="49" t="s">
        <v>278</v>
      </c>
      <c r="E3768" s="49" t="s">
        <v>7771</v>
      </c>
      <c r="F3768" s="50" t="n">
        <v>1</v>
      </c>
      <c r="G3768" s="49" t="s">
        <v>280</v>
      </c>
      <c r="H3768" s="51" t="n">
        <v>0.6369</v>
      </c>
      <c r="I3768" s="51" t="n">
        <v>0.3519</v>
      </c>
      <c r="J3768" s="51" t="n">
        <v>0.0112</v>
      </c>
      <c r="K3768" s="49"/>
      <c r="L3768" s="49"/>
      <c r="M3768" s="49"/>
      <c r="N3768" s="49"/>
      <c r="O3768" s="49"/>
      <c r="P3768" s="49"/>
      <c r="Q3768" s="49" t="s">
        <v>281</v>
      </c>
      <c r="R3768" s="49"/>
      <c r="S3768" s="49" t="n">
        <v>0</v>
      </c>
      <c r="T3768" s="49" t="n">
        <v>0</v>
      </c>
      <c r="U3768" s="49" t="s">
        <v>7772</v>
      </c>
    </row>
    <row r="3769" customFormat="false" ht="15" hidden="false" customHeight="false" outlineLevel="0" collapsed="false">
      <c r="B3769" s="48" t="n">
        <v>46213.7567476852</v>
      </c>
      <c r="C3769" s="4" t="n">
        <f aca="false">YEAR(B3769)</f>
        <v>2026</v>
      </c>
      <c r="D3769" s="49" t="s">
        <v>278</v>
      </c>
      <c r="E3769" s="49" t="s">
        <v>7773</v>
      </c>
      <c r="F3769" s="50" t="n">
        <v>1</v>
      </c>
      <c r="G3769" s="49" t="s">
        <v>287</v>
      </c>
      <c r="H3769" s="51" t="n">
        <v>0.0112</v>
      </c>
      <c r="I3769" s="51" t="n">
        <v>0.262</v>
      </c>
      <c r="J3769" s="51" t="n">
        <v>0.7268</v>
      </c>
      <c r="K3769" s="49" t="s">
        <v>281</v>
      </c>
      <c r="L3769" s="49"/>
      <c r="M3769" s="49"/>
      <c r="N3769" s="49"/>
      <c r="O3769" s="49"/>
      <c r="P3769" s="49"/>
      <c r="Q3769" s="49"/>
      <c r="R3769" s="49"/>
      <c r="S3769" s="49" t="n">
        <v>0</v>
      </c>
      <c r="T3769" s="49" t="n">
        <v>0</v>
      </c>
      <c r="U3769" s="49" t="s">
        <v>7774</v>
      </c>
    </row>
    <row r="3770" customFormat="false" ht="15" hidden="false" customHeight="false" outlineLevel="0" collapsed="false">
      <c r="B3770" s="48" t="n">
        <v>46214.239525463</v>
      </c>
      <c r="C3770" s="4" t="n">
        <f aca="false">YEAR(B3770)</f>
        <v>2026</v>
      </c>
      <c r="D3770" s="49" t="s">
        <v>278</v>
      </c>
      <c r="E3770" s="49" t="s">
        <v>7775</v>
      </c>
      <c r="F3770" s="50" t="n">
        <v>1</v>
      </c>
      <c r="G3770" s="49" t="s">
        <v>280</v>
      </c>
      <c r="H3770" s="51" t="n">
        <v>0.7474</v>
      </c>
      <c r="I3770" s="51" t="n">
        <v>0.2408</v>
      </c>
      <c r="J3770" s="51" t="n">
        <v>0.0118</v>
      </c>
      <c r="K3770" s="49"/>
      <c r="L3770" s="49"/>
      <c r="M3770" s="49"/>
      <c r="N3770" s="49"/>
      <c r="O3770" s="49"/>
      <c r="P3770" s="49"/>
      <c r="Q3770" s="49"/>
      <c r="R3770" s="49"/>
      <c r="S3770" s="49" t="n">
        <v>0</v>
      </c>
      <c r="T3770" s="49" t="n">
        <v>0</v>
      </c>
      <c r="U3770" s="49" t="s">
        <v>7776</v>
      </c>
    </row>
    <row r="3771" customFormat="false" ht="15" hidden="false" customHeight="false" outlineLevel="0" collapsed="false">
      <c r="B3771" s="48" t="n">
        <v>46214.4265509259</v>
      </c>
      <c r="C3771" s="4" t="n">
        <f aca="false">YEAR(B3771)</f>
        <v>2026</v>
      </c>
      <c r="D3771" s="49" t="s">
        <v>278</v>
      </c>
      <c r="E3771" s="49" t="s">
        <v>7777</v>
      </c>
      <c r="F3771" s="50" t="n">
        <v>30</v>
      </c>
      <c r="G3771" s="49" t="s">
        <v>280</v>
      </c>
      <c r="H3771" s="51" t="n">
        <v>0.7639</v>
      </c>
      <c r="I3771" s="51" t="n">
        <v>0.226</v>
      </c>
      <c r="J3771" s="51" t="n">
        <v>0.01</v>
      </c>
      <c r="K3771" s="49"/>
      <c r="L3771" s="49"/>
      <c r="M3771" s="49"/>
      <c r="N3771" s="49"/>
      <c r="O3771" s="49"/>
      <c r="P3771" s="49"/>
      <c r="Q3771" s="49"/>
      <c r="R3771" s="49"/>
      <c r="S3771" s="49" t="n">
        <v>0</v>
      </c>
      <c r="T3771" s="49" t="n">
        <v>0</v>
      </c>
      <c r="U3771" s="49" t="s">
        <v>7778</v>
      </c>
    </row>
    <row r="3772" customFormat="false" ht="15" hidden="false" customHeight="false" outlineLevel="0" collapsed="false">
      <c r="B3772" s="48" t="n">
        <v>46214.9410532407</v>
      </c>
      <c r="C3772" s="4" t="n">
        <f aca="false">YEAR(B3772)</f>
        <v>2026</v>
      </c>
      <c r="D3772" s="49" t="s">
        <v>278</v>
      </c>
      <c r="E3772" s="49" t="s">
        <v>7779</v>
      </c>
      <c r="F3772" s="50" t="n">
        <v>1</v>
      </c>
      <c r="G3772" s="49" t="s">
        <v>280</v>
      </c>
      <c r="H3772" s="51" t="n">
        <v>0.5457</v>
      </c>
      <c r="I3772" s="51" t="n">
        <v>0.4211</v>
      </c>
      <c r="J3772" s="51" t="n">
        <v>0.0332</v>
      </c>
      <c r="K3772" s="49"/>
      <c r="L3772" s="49"/>
      <c r="M3772" s="49"/>
      <c r="N3772" s="49"/>
      <c r="O3772" s="49"/>
      <c r="P3772" s="49"/>
      <c r="Q3772" s="49"/>
      <c r="R3772" s="49"/>
      <c r="S3772" s="49" t="n">
        <v>0</v>
      </c>
      <c r="T3772" s="49" t="n">
        <v>0</v>
      </c>
      <c r="U3772" s="49" t="s">
        <v>7780</v>
      </c>
    </row>
    <row r="3773" customFormat="false" ht="15" hidden="false" customHeight="false" outlineLevel="0" collapsed="false">
      <c r="B3773" s="48" t="n">
        <v>46216.2294444444</v>
      </c>
      <c r="C3773" s="4" t="n">
        <f aca="false">YEAR(B3773)</f>
        <v>2026</v>
      </c>
      <c r="D3773" s="49" t="s">
        <v>283</v>
      </c>
      <c r="E3773" s="49" t="s">
        <v>7781</v>
      </c>
      <c r="F3773" s="50" t="n">
        <v>5</v>
      </c>
      <c r="G3773" s="49" t="s">
        <v>287</v>
      </c>
      <c r="H3773" s="51" t="n">
        <v>0.0023</v>
      </c>
      <c r="I3773" s="51" t="n">
        <v>0.0447</v>
      </c>
      <c r="J3773" s="51" t="n">
        <v>0.9531</v>
      </c>
      <c r="K3773" s="49"/>
      <c r="L3773" s="49"/>
      <c r="M3773" s="49"/>
      <c r="N3773" s="49"/>
      <c r="O3773" s="49"/>
      <c r="P3773" s="49"/>
      <c r="Q3773" s="49"/>
      <c r="R3773" s="49"/>
      <c r="S3773" s="49" t="n">
        <v>0</v>
      </c>
      <c r="T3773" s="49" t="n">
        <v>0</v>
      </c>
      <c r="U3773" s="49" t="s">
        <v>7782</v>
      </c>
    </row>
    <row r="3774" customFormat="false" ht="15" hidden="false" customHeight="false" outlineLevel="0" collapsed="false">
      <c r="B3774" s="48" t="n">
        <v>46216.318275463</v>
      </c>
      <c r="C3774" s="4" t="n">
        <f aca="false">YEAR(B3774)</f>
        <v>2026</v>
      </c>
      <c r="D3774" s="49" t="s">
        <v>278</v>
      </c>
      <c r="E3774" s="49" t="s">
        <v>7783</v>
      </c>
      <c r="F3774" s="50" t="n">
        <v>17</v>
      </c>
      <c r="G3774" s="49" t="s">
        <v>280</v>
      </c>
      <c r="H3774" s="51" t="n">
        <v>0.845</v>
      </c>
      <c r="I3774" s="51" t="n">
        <v>0.1282</v>
      </c>
      <c r="J3774" s="51" t="n">
        <v>0.0268</v>
      </c>
      <c r="K3774" s="49" t="s">
        <v>281</v>
      </c>
      <c r="L3774" s="49"/>
      <c r="M3774" s="49"/>
      <c r="N3774" s="49"/>
      <c r="O3774" s="49"/>
      <c r="P3774" s="49"/>
      <c r="Q3774" s="49" t="s">
        <v>281</v>
      </c>
      <c r="R3774" s="49"/>
      <c r="S3774" s="49" t="n">
        <v>0</v>
      </c>
      <c r="T3774" s="49" t="n">
        <v>0</v>
      </c>
      <c r="U3774" s="49" t="s">
        <v>7784</v>
      </c>
    </row>
    <row r="3775" customFormat="false" ht="15" hidden="false" customHeight="false" outlineLevel="0" collapsed="false">
      <c r="B3775" s="48" t="n">
        <v>46216.6813310185</v>
      </c>
      <c r="C3775" s="4" t="n">
        <f aca="false">YEAR(B3775)</f>
        <v>2026</v>
      </c>
      <c r="D3775" s="49" t="s">
        <v>283</v>
      </c>
      <c r="E3775" s="49" t="s">
        <v>7785</v>
      </c>
      <c r="F3775" s="50" t="n">
        <v>21</v>
      </c>
      <c r="G3775" s="49" t="s">
        <v>287</v>
      </c>
      <c r="H3775" s="51" t="n">
        <v>0.0045</v>
      </c>
      <c r="I3775" s="51" t="n">
        <v>0.2413</v>
      </c>
      <c r="J3775" s="51" t="n">
        <v>0.7542</v>
      </c>
      <c r="K3775" s="49"/>
      <c r="L3775" s="49"/>
      <c r="M3775" s="49"/>
      <c r="N3775" s="49"/>
      <c r="O3775" s="49"/>
      <c r="P3775" s="49"/>
      <c r="Q3775" s="49"/>
      <c r="R3775" s="49"/>
      <c r="S3775" s="49" t="n">
        <v>0</v>
      </c>
      <c r="T3775" s="49" t="n">
        <v>0</v>
      </c>
      <c r="U3775" s="49" t="s">
        <v>7786</v>
      </c>
    </row>
    <row r="3776" customFormat="false" ht="15" hidden="false" customHeight="false" outlineLevel="0" collapsed="false">
      <c r="B3776" s="48" t="n">
        <v>46217.149525463</v>
      </c>
      <c r="C3776" s="4" t="n">
        <f aca="false">YEAR(B3776)</f>
        <v>2026</v>
      </c>
      <c r="D3776" s="49" t="s">
        <v>278</v>
      </c>
      <c r="E3776" s="49" t="s">
        <v>7787</v>
      </c>
      <c r="F3776" s="50" t="n">
        <v>7</v>
      </c>
      <c r="G3776" s="49" t="s">
        <v>290</v>
      </c>
      <c r="H3776" s="51" t="n">
        <v>0.0961</v>
      </c>
      <c r="I3776" s="51" t="n">
        <v>0.6557</v>
      </c>
      <c r="J3776" s="51" t="n">
        <v>0.2482</v>
      </c>
      <c r="K3776" s="49"/>
      <c r="L3776" s="49"/>
      <c r="M3776" s="49"/>
      <c r="N3776" s="49"/>
      <c r="O3776" s="49"/>
      <c r="P3776" s="49"/>
      <c r="Q3776" s="49" t="s">
        <v>281</v>
      </c>
      <c r="R3776" s="49"/>
      <c r="S3776" s="49" t="n">
        <v>0</v>
      </c>
      <c r="T3776" s="49" t="n">
        <v>0</v>
      </c>
      <c r="U3776" s="49" t="s">
        <v>7788</v>
      </c>
    </row>
    <row r="3777" customFormat="false" ht="15" hidden="false" customHeight="false" outlineLevel="0" collapsed="false">
      <c r="B3777" s="48" t="n">
        <v>46217.546099537</v>
      </c>
      <c r="C3777" s="4" t="n">
        <f aca="false">YEAR(B3777)</f>
        <v>2026</v>
      </c>
      <c r="D3777" s="49" t="s">
        <v>278</v>
      </c>
      <c r="E3777" s="49" t="s">
        <v>7789</v>
      </c>
      <c r="F3777" s="50" t="n">
        <v>107</v>
      </c>
      <c r="G3777" s="49" t="s">
        <v>280</v>
      </c>
      <c r="H3777" s="51" t="n">
        <v>0.8329</v>
      </c>
      <c r="I3777" s="51" t="n">
        <v>0.1425</v>
      </c>
      <c r="J3777" s="51" t="n">
        <v>0.0246</v>
      </c>
      <c r="K3777" s="49"/>
      <c r="L3777" s="49"/>
      <c r="M3777" s="49" t="s">
        <v>281</v>
      </c>
      <c r="N3777" s="49"/>
      <c r="O3777" s="49"/>
      <c r="P3777" s="49"/>
      <c r="Q3777" s="49"/>
      <c r="R3777" s="49"/>
      <c r="S3777" s="49" t="n">
        <v>0</v>
      </c>
      <c r="T3777" s="49" t="n">
        <v>0</v>
      </c>
      <c r="U3777" s="49" t="s">
        <v>7790</v>
      </c>
    </row>
    <row r="3778" customFormat="false" ht="15" hidden="false" customHeight="false" outlineLevel="0" collapsed="false">
      <c r="B3778" s="48" t="n">
        <v>46217.6315046296</v>
      </c>
      <c r="C3778" s="4" t="n">
        <f aca="false">YEAR(B3778)</f>
        <v>2026</v>
      </c>
      <c r="D3778" s="49" t="s">
        <v>283</v>
      </c>
      <c r="E3778" s="49" t="s">
        <v>7791</v>
      </c>
      <c r="F3778" s="50" t="n">
        <v>0</v>
      </c>
      <c r="G3778" s="49" t="s">
        <v>287</v>
      </c>
      <c r="H3778" s="51" t="n">
        <v>0.002</v>
      </c>
      <c r="I3778" s="51" t="n">
        <v>0.0244</v>
      </c>
      <c r="J3778" s="51" t="n">
        <v>0.9736</v>
      </c>
      <c r="K3778" s="49"/>
      <c r="L3778" s="49"/>
      <c r="M3778" s="49"/>
      <c r="N3778" s="49"/>
      <c r="O3778" s="49"/>
      <c r="P3778" s="49"/>
      <c r="Q3778" s="49"/>
      <c r="R3778" s="49"/>
      <c r="S3778" s="49" t="n">
        <v>0</v>
      </c>
      <c r="T3778" s="49" t="n">
        <v>0</v>
      </c>
      <c r="U3778" s="49" t="s">
        <v>7792</v>
      </c>
    </row>
    <row r="3779" customFormat="false" ht="15" hidden="false" customHeight="false" outlineLevel="0" collapsed="false">
      <c r="B3779" s="48" t="n">
        <v>46217.716724537</v>
      </c>
      <c r="C3779" s="4" t="n">
        <f aca="false">YEAR(B3779)</f>
        <v>2026</v>
      </c>
      <c r="D3779" s="49" t="s">
        <v>278</v>
      </c>
      <c r="E3779" s="49" t="s">
        <v>7793</v>
      </c>
      <c r="F3779" s="50" t="n">
        <v>4</v>
      </c>
      <c r="G3779" s="49" t="s">
        <v>280</v>
      </c>
      <c r="H3779" s="51" t="n">
        <v>0.4969</v>
      </c>
      <c r="I3779" s="51" t="n">
        <v>0.4839</v>
      </c>
      <c r="J3779" s="51" t="n">
        <v>0.0193</v>
      </c>
      <c r="K3779" s="49"/>
      <c r="L3779" s="49"/>
      <c r="M3779" s="49"/>
      <c r="N3779" s="49"/>
      <c r="O3779" s="49"/>
      <c r="P3779" s="49"/>
      <c r="Q3779" s="49"/>
      <c r="R3779" s="49" t="s">
        <v>281</v>
      </c>
      <c r="S3779" s="49" t="n">
        <v>0</v>
      </c>
      <c r="T3779" s="49" t="n">
        <v>0</v>
      </c>
      <c r="U3779" s="49" t="s">
        <v>7794</v>
      </c>
    </row>
    <row r="3780" customFormat="false" ht="15" hidden="false" customHeight="false" outlineLevel="0" collapsed="false">
      <c r="B3780" s="48" t="n">
        <v>46217.7290625</v>
      </c>
      <c r="C3780" s="4" t="n">
        <f aca="false">YEAR(B3780)</f>
        <v>2026</v>
      </c>
      <c r="D3780" s="49" t="s">
        <v>278</v>
      </c>
      <c r="E3780" s="49" t="s">
        <v>7795</v>
      </c>
      <c r="F3780" s="50" t="n">
        <v>1</v>
      </c>
      <c r="G3780" s="49" t="s">
        <v>280</v>
      </c>
      <c r="H3780" s="51" t="n">
        <v>0.7042</v>
      </c>
      <c r="I3780" s="51" t="n">
        <v>0.2812</v>
      </c>
      <c r="J3780" s="51" t="n">
        <v>0.0147</v>
      </c>
      <c r="K3780" s="49"/>
      <c r="L3780" s="49"/>
      <c r="M3780" s="49"/>
      <c r="N3780" s="49"/>
      <c r="O3780" s="49"/>
      <c r="P3780" s="49"/>
      <c r="Q3780" s="49"/>
      <c r="R3780" s="49"/>
      <c r="S3780" s="49" t="n">
        <v>0</v>
      </c>
      <c r="T3780" s="49" t="n">
        <v>0</v>
      </c>
      <c r="U3780" s="49" t="s">
        <v>7796</v>
      </c>
    </row>
    <row r="3781" customFormat="false" ht="15" hidden="false" customHeight="false" outlineLevel="0" collapsed="false">
      <c r="B3781" s="48" t="n">
        <v>46217.7398958333</v>
      </c>
      <c r="C3781" s="4" t="n">
        <f aca="false">YEAR(B3781)</f>
        <v>2026</v>
      </c>
      <c r="D3781" s="49" t="s">
        <v>278</v>
      </c>
      <c r="E3781" s="49" t="s">
        <v>7797</v>
      </c>
      <c r="F3781" s="50" t="n">
        <v>0</v>
      </c>
      <c r="G3781" s="49" t="s">
        <v>280</v>
      </c>
      <c r="H3781" s="51" t="n">
        <v>0.7869</v>
      </c>
      <c r="I3781" s="51" t="n">
        <v>0.1959</v>
      </c>
      <c r="J3781" s="51" t="n">
        <v>0.0172</v>
      </c>
      <c r="K3781" s="49" t="s">
        <v>281</v>
      </c>
      <c r="L3781" s="49"/>
      <c r="M3781" s="49"/>
      <c r="N3781" s="49"/>
      <c r="O3781" s="49"/>
      <c r="P3781" s="49"/>
      <c r="Q3781" s="49"/>
      <c r="R3781" s="49"/>
      <c r="S3781" s="49" t="n">
        <v>0</v>
      </c>
      <c r="T3781" s="49" t="n">
        <v>0</v>
      </c>
      <c r="U3781" s="49" t="s">
        <v>7798</v>
      </c>
    </row>
    <row r="3782" customFormat="false" ht="15" hidden="false" customHeight="false" outlineLevel="0" collapsed="false">
      <c r="B3782" s="48" t="n">
        <v>46218.0717476852</v>
      </c>
      <c r="C3782" s="4" t="n">
        <f aca="false">YEAR(B3782)</f>
        <v>2026</v>
      </c>
      <c r="D3782" s="49" t="s">
        <v>278</v>
      </c>
      <c r="E3782" s="49" t="s">
        <v>7799</v>
      </c>
      <c r="F3782" s="50" t="n">
        <v>2</v>
      </c>
      <c r="G3782" s="49" t="s">
        <v>290</v>
      </c>
      <c r="H3782" s="51" t="n">
        <v>0.1059</v>
      </c>
      <c r="I3782" s="51" t="n">
        <v>0.7874</v>
      </c>
      <c r="J3782" s="51" t="n">
        <v>0.1067</v>
      </c>
      <c r="K3782" s="49"/>
      <c r="L3782" s="49"/>
      <c r="M3782" s="49"/>
      <c r="N3782" s="49"/>
      <c r="O3782" s="49"/>
      <c r="P3782" s="49"/>
      <c r="Q3782" s="49"/>
      <c r="R3782" s="49" t="s">
        <v>281</v>
      </c>
      <c r="S3782" s="49" t="n">
        <v>0</v>
      </c>
      <c r="T3782" s="49" t="n">
        <v>0</v>
      </c>
      <c r="U3782" s="49" t="s">
        <v>7800</v>
      </c>
    </row>
    <row r="3783" customFormat="false" ht="15" hidden="false" customHeight="false" outlineLevel="0" collapsed="false">
      <c r="B3783" s="48" t="n">
        <v>46219.347349537</v>
      </c>
      <c r="C3783" s="4" t="n">
        <f aca="false">YEAR(B3783)</f>
        <v>2026</v>
      </c>
      <c r="D3783" s="49" t="s">
        <v>278</v>
      </c>
      <c r="E3783" s="49" t="s">
        <v>7801</v>
      </c>
      <c r="F3783" s="50" t="n">
        <v>1</v>
      </c>
      <c r="G3783" s="49" t="s">
        <v>290</v>
      </c>
      <c r="H3783" s="51" t="n">
        <v>0.0125</v>
      </c>
      <c r="I3783" s="51" t="n">
        <v>0.8274</v>
      </c>
      <c r="J3783" s="51" t="n">
        <v>0.1602</v>
      </c>
      <c r="K3783" s="49"/>
      <c r="L3783" s="49"/>
      <c r="M3783" s="49"/>
      <c r="N3783" s="49"/>
      <c r="O3783" s="49"/>
      <c r="P3783" s="49"/>
      <c r="Q3783" s="49"/>
      <c r="R3783" s="49" t="s">
        <v>281</v>
      </c>
      <c r="S3783" s="49" t="n">
        <v>0</v>
      </c>
      <c r="T3783" s="49" t="n">
        <v>0</v>
      </c>
      <c r="U3783" s="49" t="s">
        <v>7802</v>
      </c>
    </row>
    <row r="3784" customFormat="false" ht="15" hidden="false" customHeight="false" outlineLevel="0" collapsed="false">
      <c r="B3784" s="48" t="n">
        <v>46219.6786342593</v>
      </c>
      <c r="C3784" s="4" t="n">
        <f aca="false">YEAR(B3784)</f>
        <v>2026</v>
      </c>
      <c r="D3784" s="49" t="s">
        <v>283</v>
      </c>
      <c r="E3784" s="49" t="s">
        <v>7803</v>
      </c>
      <c r="F3784" s="50" t="n">
        <v>5</v>
      </c>
      <c r="G3784" s="49" t="s">
        <v>287</v>
      </c>
      <c r="H3784" s="51" t="n">
        <v>0.0024</v>
      </c>
      <c r="I3784" s="51" t="n">
        <v>0.0473</v>
      </c>
      <c r="J3784" s="51" t="n">
        <v>0.9503</v>
      </c>
      <c r="K3784" s="49"/>
      <c r="L3784" s="49"/>
      <c r="M3784" s="49"/>
      <c r="N3784" s="49"/>
      <c r="O3784" s="49"/>
      <c r="P3784" s="49"/>
      <c r="Q3784" s="49"/>
      <c r="R3784" s="49"/>
      <c r="S3784" s="49" t="n">
        <v>0</v>
      </c>
      <c r="T3784" s="49" t="n">
        <v>0</v>
      </c>
      <c r="U3784" s="49" t="s">
        <v>7804</v>
      </c>
    </row>
    <row r="3785" customFormat="false" ht="15" hidden="false" customHeight="false" outlineLevel="0" collapsed="false">
      <c r="B3785" s="48" t="n">
        <v>46219.8282291667</v>
      </c>
      <c r="C3785" s="4" t="n">
        <f aca="false">YEAR(B3785)</f>
        <v>2026</v>
      </c>
      <c r="D3785" s="49" t="s">
        <v>278</v>
      </c>
      <c r="E3785" s="49" t="s">
        <v>7805</v>
      </c>
      <c r="F3785" s="50" t="n">
        <v>2</v>
      </c>
      <c r="G3785" s="49" t="s">
        <v>290</v>
      </c>
      <c r="H3785" s="51" t="n">
        <v>0.045</v>
      </c>
      <c r="I3785" s="51" t="n">
        <v>0.6806</v>
      </c>
      <c r="J3785" s="51" t="n">
        <v>0.2744</v>
      </c>
      <c r="K3785" s="49"/>
      <c r="L3785" s="49"/>
      <c r="M3785" s="49"/>
      <c r="N3785" s="49"/>
      <c r="O3785" s="49"/>
      <c r="P3785" s="49"/>
      <c r="Q3785" s="49"/>
      <c r="R3785" s="49"/>
      <c r="S3785" s="49" t="n">
        <v>0</v>
      </c>
      <c r="T3785" s="49" t="n">
        <v>0</v>
      </c>
      <c r="U3785" s="49" t="s">
        <v>7806</v>
      </c>
    </row>
    <row r="3786" customFormat="false" ht="15" hidden="false" customHeight="false" outlineLevel="0" collapsed="false">
      <c r="B3786" s="48" t="n">
        <v>46219.9439467593</v>
      </c>
      <c r="C3786" s="4" t="n">
        <f aca="false">YEAR(B3786)</f>
        <v>2026</v>
      </c>
      <c r="D3786" s="49" t="s">
        <v>283</v>
      </c>
      <c r="E3786" s="49" t="s">
        <v>7807</v>
      </c>
      <c r="F3786" s="50" t="n">
        <v>0</v>
      </c>
      <c r="G3786" s="49" t="s">
        <v>280</v>
      </c>
      <c r="H3786" s="51" t="n">
        <v>0.9348</v>
      </c>
      <c r="I3786" s="51" t="n">
        <v>0.0596</v>
      </c>
      <c r="J3786" s="51" t="n">
        <v>0.0056</v>
      </c>
      <c r="K3786" s="49"/>
      <c r="L3786" s="49"/>
      <c r="M3786" s="49"/>
      <c r="N3786" s="49"/>
      <c r="O3786" s="49"/>
      <c r="P3786" s="49"/>
      <c r="Q3786" s="49"/>
      <c r="R3786" s="49" t="s">
        <v>281</v>
      </c>
      <c r="S3786" s="49" t="n">
        <v>0</v>
      </c>
      <c r="T3786" s="49" t="n">
        <v>0</v>
      </c>
      <c r="U3786" s="49" t="s">
        <v>7808</v>
      </c>
    </row>
    <row r="3787" customFormat="false" ht="15" hidden="false" customHeight="false" outlineLevel="0" collapsed="false">
      <c r="B3787" s="48" t="n">
        <v>46219.9851967593</v>
      </c>
      <c r="C3787" s="4" t="n">
        <f aca="false">YEAR(B3787)</f>
        <v>2026</v>
      </c>
      <c r="D3787" s="49" t="s">
        <v>278</v>
      </c>
      <c r="E3787" s="49" t="s">
        <v>7809</v>
      </c>
      <c r="F3787" s="50" t="n">
        <v>0</v>
      </c>
      <c r="G3787" s="49" t="s">
        <v>280</v>
      </c>
      <c r="H3787" s="51" t="n">
        <v>0.6144</v>
      </c>
      <c r="I3787" s="51" t="n">
        <v>0.3456</v>
      </c>
      <c r="J3787" s="51" t="n">
        <v>0.04</v>
      </c>
      <c r="K3787" s="49" t="s">
        <v>281</v>
      </c>
      <c r="L3787" s="49"/>
      <c r="M3787" s="49"/>
      <c r="N3787" s="49"/>
      <c r="O3787" s="49"/>
      <c r="P3787" s="49"/>
      <c r="Q3787" s="49"/>
      <c r="R3787" s="49"/>
      <c r="S3787" s="49" t="n">
        <v>0</v>
      </c>
      <c r="T3787" s="49" t="n">
        <v>0</v>
      </c>
      <c r="U3787" s="49" t="s">
        <v>7810</v>
      </c>
    </row>
    <row r="3788" customFormat="false" ht="15" hidden="false" customHeight="false" outlineLevel="0" collapsed="false">
      <c r="B3788" s="48" t="n">
        <v>46220.1794791667</v>
      </c>
      <c r="C3788" s="4" t="n">
        <f aca="false">YEAR(B3788)</f>
        <v>2026</v>
      </c>
      <c r="D3788" s="49" t="s">
        <v>278</v>
      </c>
      <c r="E3788" s="49" t="s">
        <v>7811</v>
      </c>
      <c r="F3788" s="50" t="n">
        <v>1</v>
      </c>
      <c r="G3788" s="49" t="s">
        <v>280</v>
      </c>
      <c r="H3788" s="51" t="n">
        <v>0.5367</v>
      </c>
      <c r="I3788" s="51" t="n">
        <v>0.4276</v>
      </c>
      <c r="J3788" s="51" t="n">
        <v>0.0357</v>
      </c>
      <c r="K3788" s="49"/>
      <c r="L3788" s="49"/>
      <c r="M3788" s="49"/>
      <c r="N3788" s="49"/>
      <c r="O3788" s="49"/>
      <c r="P3788" s="49"/>
      <c r="Q3788" s="49"/>
      <c r="R3788" s="49"/>
      <c r="S3788" s="49" t="n">
        <v>0</v>
      </c>
      <c r="T3788" s="49" t="n">
        <v>0</v>
      </c>
      <c r="U3788" s="49" t="s">
        <v>7812</v>
      </c>
    </row>
    <row r="3789" customFormat="false" ht="15" hidden="false" customHeight="false" outlineLevel="0" collapsed="false">
      <c r="B3789" s="48" t="n">
        <v>46220.3732291667</v>
      </c>
      <c r="C3789" s="4" t="n">
        <f aca="false">YEAR(B3789)</f>
        <v>2026</v>
      </c>
      <c r="D3789" s="49" t="s">
        <v>283</v>
      </c>
      <c r="E3789" s="49" t="s">
        <v>7813</v>
      </c>
      <c r="F3789" s="50" t="n">
        <v>1</v>
      </c>
      <c r="G3789" s="49" t="s">
        <v>280</v>
      </c>
      <c r="H3789" s="51" t="n">
        <v>0.729</v>
      </c>
      <c r="I3789" s="51" t="n">
        <v>0.2579</v>
      </c>
      <c r="J3789" s="51" t="n">
        <v>0.0131</v>
      </c>
      <c r="K3789" s="49"/>
      <c r="L3789" s="49"/>
      <c r="M3789" s="49"/>
      <c r="N3789" s="49"/>
      <c r="O3789" s="49"/>
      <c r="P3789" s="49"/>
      <c r="Q3789" s="49" t="s">
        <v>281</v>
      </c>
      <c r="R3789" s="49"/>
      <c r="S3789" s="49" t="n">
        <v>1</v>
      </c>
      <c r="T3789" s="49" t="n">
        <v>0</v>
      </c>
      <c r="U3789" s="49" t="s">
        <v>7814</v>
      </c>
    </row>
    <row r="3790" customFormat="false" ht="15" hidden="false" customHeight="false" outlineLevel="0" collapsed="false">
      <c r="B3790" s="48" t="n">
        <v>46220.7412962963</v>
      </c>
      <c r="C3790" s="4" t="n">
        <f aca="false">YEAR(B3790)</f>
        <v>2026</v>
      </c>
      <c r="D3790" s="49" t="s">
        <v>283</v>
      </c>
      <c r="E3790" s="49" t="s">
        <v>7815</v>
      </c>
      <c r="F3790" s="50" t="n">
        <v>1</v>
      </c>
      <c r="G3790" s="49" t="s">
        <v>287</v>
      </c>
      <c r="H3790" s="51" t="n">
        <v>0.0026</v>
      </c>
      <c r="I3790" s="51" t="n">
        <v>0.059</v>
      </c>
      <c r="J3790" s="51" t="n">
        <v>0.9384</v>
      </c>
      <c r="K3790" s="49"/>
      <c r="L3790" s="49"/>
      <c r="M3790" s="49"/>
      <c r="N3790" s="49"/>
      <c r="O3790" s="49"/>
      <c r="P3790" s="49"/>
      <c r="Q3790" s="49"/>
      <c r="R3790" s="49"/>
      <c r="S3790" s="49" t="n">
        <v>0</v>
      </c>
      <c r="T3790" s="49" t="n">
        <v>0</v>
      </c>
      <c r="U3790" s="49" t="s">
        <v>7816</v>
      </c>
    </row>
    <row r="3791" customFormat="false" ht="15" hidden="false" customHeight="false" outlineLevel="0" collapsed="false">
      <c r="B3791" s="48" t="n">
        <v>46222.1233217593</v>
      </c>
      <c r="C3791" s="4" t="n">
        <f aca="false">YEAR(B3791)</f>
        <v>2026</v>
      </c>
      <c r="D3791" s="49" t="s">
        <v>283</v>
      </c>
      <c r="E3791" s="49" t="s">
        <v>7817</v>
      </c>
      <c r="F3791" s="50" t="n">
        <v>7</v>
      </c>
      <c r="G3791" s="49" t="s">
        <v>287</v>
      </c>
      <c r="H3791" s="51" t="n">
        <v>0.0487</v>
      </c>
      <c r="I3791" s="51" t="n">
        <v>0.318</v>
      </c>
      <c r="J3791" s="51" t="n">
        <v>0.6333</v>
      </c>
      <c r="K3791" s="49"/>
      <c r="L3791" s="49"/>
      <c r="M3791" s="49"/>
      <c r="N3791" s="49"/>
      <c r="O3791" s="49"/>
      <c r="P3791" s="49"/>
      <c r="Q3791" s="49"/>
      <c r="R3791" s="49"/>
      <c r="S3791" s="49" t="n">
        <v>0</v>
      </c>
      <c r="T3791" s="49" t="n">
        <v>0</v>
      </c>
      <c r="U3791" s="49" t="s">
        <v>7818</v>
      </c>
    </row>
    <row r="3792" customFormat="false" ht="15" hidden="false" customHeight="false" outlineLevel="0" collapsed="false">
      <c r="B3792" s="48" t="n">
        <v>46222.9346990741</v>
      </c>
      <c r="C3792" s="4" t="n">
        <f aca="false">YEAR(B3792)</f>
        <v>2026</v>
      </c>
      <c r="D3792" s="49" t="s">
        <v>283</v>
      </c>
      <c r="E3792" s="49" t="s">
        <v>7819</v>
      </c>
      <c r="F3792" s="50" t="n">
        <v>1</v>
      </c>
      <c r="G3792" s="49" t="s">
        <v>287</v>
      </c>
      <c r="H3792" s="51" t="n">
        <v>0.0026</v>
      </c>
      <c r="I3792" s="51" t="n">
        <v>0.0461</v>
      </c>
      <c r="J3792" s="51" t="n">
        <v>0.9513</v>
      </c>
      <c r="K3792" s="49"/>
      <c r="L3792" s="49"/>
      <c r="M3792" s="49"/>
      <c r="N3792" s="49"/>
      <c r="O3792" s="49"/>
      <c r="P3792" s="49"/>
      <c r="Q3792" s="49"/>
      <c r="R3792" s="49"/>
      <c r="S3792" s="49" t="n">
        <v>0</v>
      </c>
      <c r="T3792" s="49" t="n">
        <v>0</v>
      </c>
      <c r="U3792" s="49" t="s">
        <v>7820</v>
      </c>
    </row>
    <row r="3793" customFormat="false" ht="15" hidden="false" customHeight="false" outlineLevel="0" collapsed="false">
      <c r="B3793" s="48" t="n">
        <v>46224.1571064815</v>
      </c>
      <c r="C3793" s="4" t="n">
        <f aca="false">YEAR(B3793)</f>
        <v>2026</v>
      </c>
      <c r="D3793" s="49" t="s">
        <v>278</v>
      </c>
      <c r="E3793" s="49" t="s">
        <v>7821</v>
      </c>
      <c r="F3793" s="50" t="n">
        <v>1</v>
      </c>
      <c r="G3793" s="49" t="s">
        <v>280</v>
      </c>
      <c r="H3793" s="51" t="n">
        <v>0.7151</v>
      </c>
      <c r="I3793" s="51" t="n">
        <v>0.2689</v>
      </c>
      <c r="J3793" s="51" t="n">
        <v>0.016</v>
      </c>
      <c r="K3793" s="49"/>
      <c r="L3793" s="49"/>
      <c r="M3793" s="49"/>
      <c r="N3793" s="49"/>
      <c r="O3793" s="49"/>
      <c r="P3793" s="49"/>
      <c r="Q3793" s="49"/>
      <c r="R3793" s="49"/>
      <c r="S3793" s="49" t="n">
        <v>0</v>
      </c>
      <c r="T3793" s="49" t="n">
        <v>0</v>
      </c>
      <c r="U3793" s="49" t="s">
        <v>7822</v>
      </c>
    </row>
    <row r="3794" customFormat="false" ht="15" hidden="false" customHeight="false" outlineLevel="0" collapsed="false">
      <c r="B3794" s="48" t="n">
        <v>46224.5053356482</v>
      </c>
      <c r="C3794" s="4" t="n">
        <f aca="false">YEAR(B3794)</f>
        <v>2026</v>
      </c>
      <c r="D3794" s="49" t="s">
        <v>283</v>
      </c>
      <c r="E3794" s="49" t="s">
        <v>7823</v>
      </c>
      <c r="F3794" s="50" t="n">
        <v>1</v>
      </c>
      <c r="G3794" s="49" t="s">
        <v>290</v>
      </c>
      <c r="H3794" s="51" t="n">
        <v>0.017</v>
      </c>
      <c r="I3794" s="51" t="n">
        <v>0.8443</v>
      </c>
      <c r="J3794" s="51" t="n">
        <v>0.1387</v>
      </c>
      <c r="K3794" s="49"/>
      <c r="L3794" s="49"/>
      <c r="M3794" s="49"/>
      <c r="N3794" s="49"/>
      <c r="O3794" s="49"/>
      <c r="P3794" s="49"/>
      <c r="Q3794" s="49"/>
      <c r="R3794" s="49"/>
      <c r="S3794" s="49" t="n">
        <v>1</v>
      </c>
      <c r="T3794" s="49" t="n">
        <v>0</v>
      </c>
      <c r="U3794" s="49" t="s">
        <v>7824</v>
      </c>
    </row>
    <row r="3795" customFormat="false" ht="15" hidden="false" customHeight="false" outlineLevel="0" collapsed="false">
      <c r="B3795" s="48" t="n">
        <v>46224.7543055556</v>
      </c>
      <c r="C3795" s="4" t="n">
        <f aca="false">YEAR(B3795)</f>
        <v>2026</v>
      </c>
      <c r="D3795" s="49" t="s">
        <v>278</v>
      </c>
      <c r="E3795" s="49" t="s">
        <v>7825</v>
      </c>
      <c r="F3795" s="50" t="n">
        <v>0</v>
      </c>
      <c r="G3795" s="49" t="s">
        <v>287</v>
      </c>
      <c r="H3795" s="51" t="n">
        <v>0.0296</v>
      </c>
      <c r="I3795" s="51" t="n">
        <v>0.2706</v>
      </c>
      <c r="J3795" s="51" t="n">
        <v>0.6997</v>
      </c>
      <c r="K3795" s="49"/>
      <c r="L3795" s="49"/>
      <c r="M3795" s="49"/>
      <c r="N3795" s="49"/>
      <c r="O3795" s="49"/>
      <c r="P3795" s="49"/>
      <c r="Q3795" s="49"/>
      <c r="R3795" s="49"/>
      <c r="S3795" s="49" t="n">
        <v>0</v>
      </c>
      <c r="T3795" s="49" t="n">
        <v>0</v>
      </c>
      <c r="U3795" s="49" t="s">
        <v>7826</v>
      </c>
    </row>
    <row r="3796" customFormat="false" ht="15" hidden="false" customHeight="false" outlineLevel="0" collapsed="false">
      <c r="B3796" s="48" t="n">
        <v>46224.7647222222</v>
      </c>
      <c r="C3796" s="4" t="n">
        <f aca="false">YEAR(B3796)</f>
        <v>2026</v>
      </c>
      <c r="D3796" s="49" t="s">
        <v>278</v>
      </c>
      <c r="E3796" s="49" t="s">
        <v>7827</v>
      </c>
      <c r="F3796" s="50" t="n">
        <v>2</v>
      </c>
      <c r="G3796" s="49" t="s">
        <v>280</v>
      </c>
      <c r="H3796" s="51" t="n">
        <v>0.5679</v>
      </c>
      <c r="I3796" s="51" t="n">
        <v>0.4135</v>
      </c>
      <c r="J3796" s="51" t="n">
        <v>0.0186</v>
      </c>
      <c r="K3796" s="49"/>
      <c r="L3796" s="49"/>
      <c r="M3796" s="49"/>
      <c r="N3796" s="49"/>
      <c r="O3796" s="49"/>
      <c r="P3796" s="49"/>
      <c r="Q3796" s="49"/>
      <c r="R3796" s="49"/>
      <c r="S3796" s="49" t="n">
        <v>0</v>
      </c>
      <c r="T3796" s="49" t="n">
        <v>0</v>
      </c>
      <c r="U3796" s="49" t="s">
        <v>7828</v>
      </c>
    </row>
    <row r="3797" customFormat="false" ht="15" hidden="false" customHeight="false" outlineLevel="0" collapsed="false">
      <c r="B3797" s="48" t="n">
        <v>46224.8420949074</v>
      </c>
      <c r="C3797" s="4" t="n">
        <f aca="false">YEAR(B3797)</f>
        <v>2026</v>
      </c>
      <c r="D3797" s="49" t="s">
        <v>278</v>
      </c>
      <c r="E3797" s="49" t="s">
        <v>7829</v>
      </c>
      <c r="F3797" s="50" t="n">
        <v>10</v>
      </c>
      <c r="G3797" s="49" t="s">
        <v>280</v>
      </c>
      <c r="H3797" s="51" t="n">
        <v>0.8941</v>
      </c>
      <c r="I3797" s="51" t="n">
        <v>0.0977</v>
      </c>
      <c r="J3797" s="51" t="n">
        <v>0.0082</v>
      </c>
      <c r="K3797" s="49"/>
      <c r="L3797" s="49"/>
      <c r="M3797" s="49"/>
      <c r="N3797" s="49"/>
      <c r="O3797" s="49"/>
      <c r="P3797" s="49"/>
      <c r="Q3797" s="49"/>
      <c r="R3797" s="49"/>
      <c r="S3797" s="49" t="n">
        <v>0</v>
      </c>
      <c r="T3797" s="49" t="n">
        <v>0</v>
      </c>
      <c r="U3797" s="49" t="s">
        <v>7830</v>
      </c>
    </row>
    <row r="3798" customFormat="false" ht="15" hidden="false" customHeight="false" outlineLevel="0" collapsed="false">
      <c r="B3798" s="48" t="n">
        <v>46225.6768981482</v>
      </c>
      <c r="C3798" s="4" t="n">
        <f aca="false">YEAR(B3798)</f>
        <v>2026</v>
      </c>
      <c r="D3798" s="49" t="s">
        <v>278</v>
      </c>
      <c r="E3798" s="49" t="s">
        <v>7831</v>
      </c>
      <c r="F3798" s="50" t="n">
        <v>1</v>
      </c>
      <c r="G3798" s="49" t="s">
        <v>280</v>
      </c>
      <c r="H3798" s="51" t="n">
        <v>0.543</v>
      </c>
      <c r="I3798" s="51" t="n">
        <v>0.4356</v>
      </c>
      <c r="J3798" s="51" t="n">
        <v>0.0214</v>
      </c>
      <c r="K3798" s="49"/>
      <c r="L3798" s="49"/>
      <c r="M3798" s="49"/>
      <c r="N3798" s="49"/>
      <c r="O3798" s="49"/>
      <c r="P3798" s="49"/>
      <c r="Q3798" s="49" t="s">
        <v>281</v>
      </c>
      <c r="R3798" s="49"/>
      <c r="S3798" s="49" t="n">
        <v>0</v>
      </c>
      <c r="T3798" s="49" t="n">
        <v>0</v>
      </c>
      <c r="U3798" s="49" t="s">
        <v>7832</v>
      </c>
    </row>
    <row r="3799" customFormat="false" ht="15" hidden="false" customHeight="false" outlineLevel="0" collapsed="false">
      <c r="B3799" s="48" t="n">
        <v>46225.7731597222</v>
      </c>
      <c r="C3799" s="4" t="n">
        <f aca="false">YEAR(B3799)</f>
        <v>2026</v>
      </c>
      <c r="D3799" s="49" t="s">
        <v>283</v>
      </c>
      <c r="E3799" s="49" t="s">
        <v>7833</v>
      </c>
      <c r="F3799" s="50" t="n">
        <v>0</v>
      </c>
      <c r="G3799" s="49" t="s">
        <v>290</v>
      </c>
      <c r="H3799" s="51" t="n">
        <v>0.0299</v>
      </c>
      <c r="I3799" s="51" t="n">
        <v>0.7942</v>
      </c>
      <c r="J3799" s="51" t="n">
        <v>0.1759</v>
      </c>
      <c r="K3799" s="49" t="s">
        <v>281</v>
      </c>
      <c r="L3799" s="49"/>
      <c r="M3799" s="49"/>
      <c r="N3799" s="49"/>
      <c r="O3799" s="49"/>
      <c r="P3799" s="49"/>
      <c r="Q3799" s="49"/>
      <c r="R3799" s="49"/>
      <c r="S3799" s="49" t="n">
        <v>0</v>
      </c>
      <c r="T3799" s="49" t="n">
        <v>0</v>
      </c>
      <c r="U3799" s="49" t="s">
        <v>7834</v>
      </c>
    </row>
    <row r="3800" customFormat="false" ht="15" hidden="false" customHeight="false" outlineLevel="0" collapsed="false">
      <c r="B3800" s="48" t="n">
        <v>46225.7980787037</v>
      </c>
      <c r="C3800" s="4" t="n">
        <f aca="false">YEAR(B3800)</f>
        <v>2026</v>
      </c>
      <c r="D3800" s="49" t="s">
        <v>278</v>
      </c>
      <c r="E3800" s="49" t="s">
        <v>7835</v>
      </c>
      <c r="F3800" s="50" t="n">
        <v>0</v>
      </c>
      <c r="G3800" s="49" t="s">
        <v>280</v>
      </c>
      <c r="H3800" s="51" t="n">
        <v>0.5717</v>
      </c>
      <c r="I3800" s="51" t="n">
        <v>0.4097</v>
      </c>
      <c r="J3800" s="51" t="n">
        <v>0.0186</v>
      </c>
      <c r="K3800" s="49"/>
      <c r="L3800" s="49"/>
      <c r="M3800" s="49"/>
      <c r="N3800" s="49"/>
      <c r="O3800" s="49"/>
      <c r="P3800" s="49"/>
      <c r="Q3800" s="49"/>
      <c r="R3800" s="49"/>
      <c r="S3800" s="49" t="n">
        <v>0</v>
      </c>
      <c r="T3800" s="49" t="n">
        <v>0</v>
      </c>
      <c r="U3800" s="49" t="s">
        <v>7836</v>
      </c>
    </row>
    <row r="3801" customFormat="false" ht="15" hidden="false" customHeight="false" outlineLevel="0" collapsed="false">
      <c r="B3801" s="48" t="n">
        <v>46225.8734722222</v>
      </c>
      <c r="C3801" s="4" t="n">
        <f aca="false">YEAR(B3801)</f>
        <v>2026</v>
      </c>
      <c r="D3801" s="49" t="s">
        <v>283</v>
      </c>
      <c r="E3801" s="49" t="s">
        <v>7837</v>
      </c>
      <c r="F3801" s="50" t="n">
        <v>1</v>
      </c>
      <c r="G3801" s="49" t="s">
        <v>290</v>
      </c>
      <c r="H3801" s="51" t="n">
        <v>0.0062</v>
      </c>
      <c r="I3801" s="51" t="n">
        <v>0.6703</v>
      </c>
      <c r="J3801" s="51" t="n">
        <v>0.3235</v>
      </c>
      <c r="K3801" s="49"/>
      <c r="L3801" s="49"/>
      <c r="M3801" s="49"/>
      <c r="N3801" s="49"/>
      <c r="O3801" s="49"/>
      <c r="P3801" s="49"/>
      <c r="Q3801" s="49"/>
      <c r="R3801" s="49"/>
      <c r="S3801" s="49" t="n">
        <v>1</v>
      </c>
      <c r="T3801" s="49" t="n">
        <v>0</v>
      </c>
      <c r="U3801" s="49" t="s">
        <v>7838</v>
      </c>
    </row>
    <row r="3802" customFormat="false" ht="15" hidden="false" customHeight="false" outlineLevel="0" collapsed="false">
      <c r="B3802" s="48" t="n">
        <v>46228.6775925926</v>
      </c>
      <c r="C3802" s="4" t="n">
        <f aca="false">YEAR(B3802)</f>
        <v>2026</v>
      </c>
      <c r="D3802" s="49" t="s">
        <v>278</v>
      </c>
      <c r="E3802" s="49" t="s">
        <v>7839</v>
      </c>
      <c r="F3802" s="50" t="n">
        <v>43</v>
      </c>
      <c r="G3802" s="49" t="s">
        <v>280</v>
      </c>
      <c r="H3802" s="51" t="n">
        <v>0.9279</v>
      </c>
      <c r="I3802" s="51" t="n">
        <v>0.0617</v>
      </c>
      <c r="J3802" s="51" t="n">
        <v>0.0104</v>
      </c>
      <c r="K3802" s="49"/>
      <c r="L3802" s="49"/>
      <c r="M3802" s="49"/>
      <c r="N3802" s="49"/>
      <c r="O3802" s="49"/>
      <c r="P3802" s="49"/>
      <c r="Q3802" s="49"/>
      <c r="R3802" s="49"/>
      <c r="S3802" s="49" t="n">
        <v>0</v>
      </c>
      <c r="T3802" s="49" t="n">
        <v>0</v>
      </c>
      <c r="U3802" s="49" t="s">
        <v>7840</v>
      </c>
    </row>
    <row r="3803" customFormat="false" ht="15" hidden="false" customHeight="false" outlineLevel="0" collapsed="false">
      <c r="B3803" s="48" t="n">
        <v>46229.5541666667</v>
      </c>
      <c r="C3803" s="4" t="n">
        <f aca="false">YEAR(B3803)</f>
        <v>2026</v>
      </c>
      <c r="D3803" s="49" t="s">
        <v>283</v>
      </c>
      <c r="E3803" s="49" t="s">
        <v>7841</v>
      </c>
      <c r="F3803" s="50" t="n">
        <v>36</v>
      </c>
      <c r="G3803" s="49" t="s">
        <v>287</v>
      </c>
      <c r="H3803" s="51" t="n">
        <v>0.0317</v>
      </c>
      <c r="I3803" s="51" t="n">
        <v>0.2375</v>
      </c>
      <c r="J3803" s="51" t="n">
        <v>0.7308</v>
      </c>
      <c r="K3803" s="49"/>
      <c r="L3803" s="49"/>
      <c r="M3803" s="49"/>
      <c r="N3803" s="49"/>
      <c r="O3803" s="49"/>
      <c r="P3803" s="49"/>
      <c r="Q3803" s="49"/>
      <c r="R3803" s="49"/>
      <c r="S3803" s="49" t="n">
        <v>0</v>
      </c>
      <c r="T3803" s="49" t="n">
        <v>0</v>
      </c>
      <c r="U3803" s="49" t="s">
        <v>7842</v>
      </c>
    </row>
    <row r="3804" customFormat="false" ht="15" hidden="false" customHeight="false" outlineLevel="0" collapsed="false">
      <c r="B3804" s="48" t="n">
        <v>46229.8795717593</v>
      </c>
      <c r="C3804" s="4" t="n">
        <f aca="false">YEAR(B3804)</f>
        <v>2026</v>
      </c>
      <c r="D3804" s="49" t="s">
        <v>278</v>
      </c>
      <c r="E3804" s="49" t="s">
        <v>7843</v>
      </c>
      <c r="F3804" s="50" t="n">
        <v>5</v>
      </c>
      <c r="G3804" s="49" t="s">
        <v>287</v>
      </c>
      <c r="H3804" s="51" t="n">
        <v>0.0036</v>
      </c>
      <c r="I3804" s="51" t="n">
        <v>0.135</v>
      </c>
      <c r="J3804" s="51" t="n">
        <v>0.8614</v>
      </c>
      <c r="K3804" s="49"/>
      <c r="L3804" s="49"/>
      <c r="M3804" s="49"/>
      <c r="N3804" s="49"/>
      <c r="O3804" s="49"/>
      <c r="P3804" s="49"/>
      <c r="Q3804" s="49" t="s">
        <v>281</v>
      </c>
      <c r="R3804" s="49"/>
      <c r="S3804" s="49" t="n">
        <v>0</v>
      </c>
      <c r="T3804" s="49" t="n">
        <v>0</v>
      </c>
      <c r="U3804" s="49" t="s">
        <v>7844</v>
      </c>
    </row>
    <row r="3805" customFormat="false" ht="15" hidden="false" customHeight="false" outlineLevel="0" collapsed="false">
      <c r="B3805" s="48" t="n">
        <v>46230.6765972222</v>
      </c>
      <c r="C3805" s="4" t="n">
        <f aca="false">YEAR(B3805)</f>
        <v>2026</v>
      </c>
      <c r="D3805" s="49" t="s">
        <v>283</v>
      </c>
      <c r="E3805" s="49" t="s">
        <v>7845</v>
      </c>
      <c r="F3805" s="50" t="n">
        <v>4</v>
      </c>
      <c r="G3805" s="49" t="s">
        <v>290</v>
      </c>
      <c r="H3805" s="51" t="n">
        <v>0.0051</v>
      </c>
      <c r="I3805" s="51" t="n">
        <v>0.6678</v>
      </c>
      <c r="J3805" s="51" t="n">
        <v>0.3271</v>
      </c>
      <c r="K3805" s="49"/>
      <c r="L3805" s="49"/>
      <c r="M3805" s="49"/>
      <c r="N3805" s="49"/>
      <c r="O3805" s="49"/>
      <c r="P3805" s="49"/>
      <c r="Q3805" s="49"/>
      <c r="R3805" s="49"/>
      <c r="S3805" s="49" t="n">
        <v>0</v>
      </c>
      <c r="T3805" s="49" t="n">
        <v>0</v>
      </c>
      <c r="U3805" s="49" t="s">
        <v>7846</v>
      </c>
    </row>
    <row r="3806" customFormat="false" ht="15" hidden="false" customHeight="false" outlineLevel="0" collapsed="false">
      <c r="B3806" s="48" t="n">
        <v>46230.8590277778</v>
      </c>
      <c r="C3806" s="4" t="n">
        <f aca="false">YEAR(B3806)</f>
        <v>2026</v>
      </c>
      <c r="D3806" s="49" t="s">
        <v>278</v>
      </c>
      <c r="E3806" s="49" t="s">
        <v>7847</v>
      </c>
      <c r="F3806" s="50" t="n">
        <v>0</v>
      </c>
      <c r="G3806" s="49" t="s">
        <v>290</v>
      </c>
      <c r="H3806" s="51" t="n">
        <v>0.0659</v>
      </c>
      <c r="I3806" s="51" t="n">
        <v>0.8145</v>
      </c>
      <c r="J3806" s="51" t="n">
        <v>0.1196</v>
      </c>
      <c r="K3806" s="49"/>
      <c r="L3806" s="49"/>
      <c r="M3806" s="49"/>
      <c r="N3806" s="49"/>
      <c r="O3806" s="49"/>
      <c r="P3806" s="49"/>
      <c r="Q3806" s="49"/>
      <c r="R3806" s="49"/>
      <c r="S3806" s="49" t="n">
        <v>0</v>
      </c>
      <c r="T3806" s="49" t="n">
        <v>0</v>
      </c>
      <c r="U3806" s="49" t="s">
        <v>7848</v>
      </c>
    </row>
    <row r="3807" customFormat="false" ht="15" hidden="false" customHeight="false" outlineLevel="0" collapsed="false">
      <c r="B3807" s="48" t="n">
        <v>46231.6885763889</v>
      </c>
      <c r="C3807" s="4" t="n">
        <f aca="false">YEAR(B3807)</f>
        <v>2026</v>
      </c>
      <c r="D3807" s="49" t="s">
        <v>278</v>
      </c>
      <c r="E3807" s="49" t="s">
        <v>7849</v>
      </c>
      <c r="F3807" s="50" t="n">
        <v>0</v>
      </c>
      <c r="G3807" s="49" t="s">
        <v>290</v>
      </c>
      <c r="H3807" s="51" t="n">
        <v>0.0517</v>
      </c>
      <c r="I3807" s="51" t="n">
        <v>0.5893</v>
      </c>
      <c r="J3807" s="51" t="n">
        <v>0.359</v>
      </c>
      <c r="K3807" s="49"/>
      <c r="L3807" s="49"/>
      <c r="M3807" s="49"/>
      <c r="N3807" s="49"/>
      <c r="O3807" s="49"/>
      <c r="P3807" s="49"/>
      <c r="Q3807" s="49"/>
      <c r="R3807" s="49"/>
      <c r="S3807" s="49" t="n">
        <v>0</v>
      </c>
      <c r="T3807" s="49" t="n">
        <v>0</v>
      </c>
      <c r="U3807" s="49" t="s">
        <v>7850</v>
      </c>
    </row>
    <row r="3808" customFormat="false" ht="15" hidden="false" customHeight="false" outlineLevel="0" collapsed="false">
      <c r="B3808" s="48" t="n">
        <v>46231.7676041667</v>
      </c>
      <c r="C3808" s="4" t="n">
        <f aca="false">YEAR(B3808)</f>
        <v>2026</v>
      </c>
      <c r="D3808" s="49" t="s">
        <v>278</v>
      </c>
      <c r="E3808" s="49" t="s">
        <v>7851</v>
      </c>
      <c r="F3808" s="50" t="n">
        <v>0</v>
      </c>
      <c r="G3808" s="49" t="s">
        <v>280</v>
      </c>
      <c r="H3808" s="51" t="n">
        <v>0.7747</v>
      </c>
      <c r="I3808" s="51" t="n">
        <v>0.1839</v>
      </c>
      <c r="J3808" s="51" t="n">
        <v>0.0414</v>
      </c>
      <c r="K3808" s="49"/>
      <c r="L3808" s="49"/>
      <c r="M3808" s="49"/>
      <c r="N3808" s="49"/>
      <c r="O3808" s="49"/>
      <c r="P3808" s="49"/>
      <c r="Q3808" s="49"/>
      <c r="R3808" s="49"/>
      <c r="S3808" s="49" t="n">
        <v>0</v>
      </c>
      <c r="T3808" s="49" t="n">
        <v>0</v>
      </c>
      <c r="U3808" s="49" t="s">
        <v>7852</v>
      </c>
    </row>
    <row r="3809" customFormat="false" ht="15" hidden="false" customHeight="false" outlineLevel="0" collapsed="false">
      <c r="B3809" s="48" t="n">
        <v>46232.1660532407</v>
      </c>
      <c r="C3809" s="4" t="n">
        <f aca="false">YEAR(B3809)</f>
        <v>2026</v>
      </c>
      <c r="D3809" s="49" t="s">
        <v>278</v>
      </c>
      <c r="E3809" s="49" t="s">
        <v>7853</v>
      </c>
      <c r="F3809" s="50" t="n">
        <v>1</v>
      </c>
      <c r="G3809" s="49" t="s">
        <v>290</v>
      </c>
      <c r="H3809" s="51" t="n">
        <v>0.0312</v>
      </c>
      <c r="I3809" s="51" t="n">
        <v>0.7382</v>
      </c>
      <c r="J3809" s="51" t="n">
        <v>0.2306</v>
      </c>
      <c r="K3809" s="49"/>
      <c r="L3809" s="49"/>
      <c r="M3809" s="49"/>
      <c r="N3809" s="49"/>
      <c r="O3809" s="49"/>
      <c r="P3809" s="49"/>
      <c r="Q3809" s="49"/>
      <c r="R3809" s="49"/>
      <c r="S3809" s="49" t="n">
        <v>0</v>
      </c>
      <c r="T3809" s="49" t="n">
        <v>0</v>
      </c>
      <c r="U3809" s="49" t="s">
        <v>7854</v>
      </c>
    </row>
    <row r="3810" customFormat="false" ht="15" hidden="false" customHeight="false" outlineLevel="0" collapsed="false">
      <c r="B3810" s="48" t="n">
        <v>46232.1766203704</v>
      </c>
      <c r="C3810" s="4" t="n">
        <f aca="false">YEAR(B3810)</f>
        <v>2026</v>
      </c>
      <c r="D3810" s="49" t="s">
        <v>283</v>
      </c>
      <c r="E3810" s="49" t="s">
        <v>7855</v>
      </c>
      <c r="F3810" s="50" t="n">
        <v>1</v>
      </c>
      <c r="G3810" s="49" t="s">
        <v>290</v>
      </c>
      <c r="H3810" s="51" t="n">
        <v>0.0045</v>
      </c>
      <c r="I3810" s="51" t="n">
        <v>0.5465</v>
      </c>
      <c r="J3810" s="51" t="n">
        <v>0.449</v>
      </c>
      <c r="K3810" s="49"/>
      <c r="L3810" s="49"/>
      <c r="M3810" s="49"/>
      <c r="N3810" s="49"/>
      <c r="O3810" s="49"/>
      <c r="P3810" s="49"/>
      <c r="Q3810" s="49"/>
      <c r="R3810" s="49"/>
      <c r="S3810" s="49" t="n">
        <v>0</v>
      </c>
      <c r="T3810" s="49" t="n">
        <v>0</v>
      </c>
      <c r="U3810" s="49" t="s">
        <v>7856</v>
      </c>
    </row>
    <row r="3811" customFormat="false" ht="15" hidden="false" customHeight="false" outlineLevel="0" collapsed="false">
      <c r="B3811" s="48" t="n">
        <v>46233.4942592593</v>
      </c>
      <c r="C3811" s="4" t="n">
        <f aca="false">YEAR(B3811)</f>
        <v>2026</v>
      </c>
      <c r="D3811" s="49" t="s">
        <v>283</v>
      </c>
      <c r="E3811" s="49" t="s">
        <v>7857</v>
      </c>
      <c r="F3811" s="50" t="n">
        <v>1</v>
      </c>
      <c r="G3811" s="49" t="s">
        <v>287</v>
      </c>
      <c r="H3811" s="51" t="n">
        <v>0.0437</v>
      </c>
      <c r="I3811" s="51" t="n">
        <v>0.2629</v>
      </c>
      <c r="J3811" s="51" t="n">
        <v>0.6934</v>
      </c>
      <c r="K3811" s="49"/>
      <c r="L3811" s="49"/>
      <c r="M3811" s="49"/>
      <c r="N3811" s="49"/>
      <c r="O3811" s="49"/>
      <c r="P3811" s="49"/>
      <c r="Q3811" s="49"/>
      <c r="R3811" s="49"/>
      <c r="S3811" s="49" t="n">
        <v>0</v>
      </c>
      <c r="T3811" s="49" t="n">
        <v>0</v>
      </c>
      <c r="U3811" s="49" t="s">
        <v>7858</v>
      </c>
    </row>
    <row r="3812" customFormat="false" ht="15" hidden="false" customHeight="false" outlineLevel="0" collapsed="false">
      <c r="B3812" s="48" t="n">
        <v>46233.5617013889</v>
      </c>
      <c r="C3812" s="4" t="n">
        <f aca="false">YEAR(B3812)</f>
        <v>2026</v>
      </c>
      <c r="D3812" s="49" t="s">
        <v>278</v>
      </c>
      <c r="E3812" s="49" t="s">
        <v>7859</v>
      </c>
      <c r="F3812" s="50" t="n">
        <v>1</v>
      </c>
      <c r="G3812" s="49" t="s">
        <v>280</v>
      </c>
      <c r="H3812" s="51" t="n">
        <v>0.6816</v>
      </c>
      <c r="I3812" s="51" t="n">
        <v>0.2965</v>
      </c>
      <c r="J3812" s="51" t="n">
        <v>0.0219</v>
      </c>
      <c r="K3812" s="49" t="s">
        <v>281</v>
      </c>
      <c r="L3812" s="49"/>
      <c r="M3812" s="49"/>
      <c r="N3812" s="49"/>
      <c r="O3812" s="49"/>
      <c r="P3812" s="49"/>
      <c r="Q3812" s="49"/>
      <c r="R3812" s="49"/>
      <c r="S3812" s="49" t="n">
        <v>0</v>
      </c>
      <c r="T3812" s="49" t="n">
        <v>0</v>
      </c>
      <c r="U3812" s="49" t="s">
        <v>7860</v>
      </c>
    </row>
    <row r="3813" customFormat="false" ht="15" hidden="false" customHeight="false" outlineLevel="0" collapsed="false">
      <c r="B3813" s="48" t="n">
        <v>46234.1999421296</v>
      </c>
      <c r="C3813" s="4" t="n">
        <f aca="false">YEAR(B3813)</f>
        <v>2026</v>
      </c>
      <c r="D3813" s="49" t="s">
        <v>278</v>
      </c>
      <c r="E3813" s="49" t="s">
        <v>7861</v>
      </c>
      <c r="F3813" s="50" t="n">
        <v>0</v>
      </c>
      <c r="G3813" s="49" t="s">
        <v>290</v>
      </c>
      <c r="H3813" s="51" t="n">
        <v>0.1441</v>
      </c>
      <c r="I3813" s="51" t="n">
        <v>0.7253</v>
      </c>
      <c r="J3813" s="51" t="n">
        <v>0.1306</v>
      </c>
      <c r="K3813" s="49"/>
      <c r="L3813" s="49"/>
      <c r="M3813" s="49"/>
      <c r="N3813" s="49"/>
      <c r="O3813" s="49"/>
      <c r="P3813" s="49"/>
      <c r="Q3813" s="49"/>
      <c r="R3813" s="49" t="s">
        <v>281</v>
      </c>
      <c r="S3813" s="49" t="n">
        <v>0</v>
      </c>
      <c r="T3813" s="49" t="n">
        <v>0</v>
      </c>
      <c r="U3813" s="49" t="s">
        <v>7862</v>
      </c>
    </row>
    <row r="3814" customFormat="false" ht="15" hidden="false" customHeight="false" outlineLevel="0" collapsed="false">
      <c r="B3814" s="48" t="n">
        <v>46234.6159143519</v>
      </c>
      <c r="C3814" s="4" t="n">
        <f aca="false">YEAR(B3814)</f>
        <v>2026</v>
      </c>
      <c r="D3814" s="49" t="s">
        <v>278</v>
      </c>
      <c r="E3814" s="49" t="s">
        <v>7863</v>
      </c>
      <c r="F3814" s="50" t="n">
        <v>15</v>
      </c>
      <c r="G3814" s="49" t="s">
        <v>280</v>
      </c>
      <c r="H3814" s="51" t="n">
        <v>0.6513</v>
      </c>
      <c r="I3814" s="51" t="n">
        <v>0.2764</v>
      </c>
      <c r="J3814" s="51" t="n">
        <v>0.0722</v>
      </c>
      <c r="K3814" s="49"/>
      <c r="L3814" s="49"/>
      <c r="M3814" s="49"/>
      <c r="N3814" s="49"/>
      <c r="O3814" s="49"/>
      <c r="P3814" s="49"/>
      <c r="Q3814" s="49"/>
      <c r="R3814" s="49"/>
      <c r="S3814" s="49" t="n">
        <v>0</v>
      </c>
      <c r="T3814" s="49" t="n">
        <v>0</v>
      </c>
      <c r="U3814" s="49" t="s">
        <v>7864</v>
      </c>
    </row>
    <row r="3815" customFormat="false" ht="15" hidden="false" customHeight="false" outlineLevel="0" collapsed="false">
      <c r="B3815" s="48" t="n">
        <v>46234.6685300926</v>
      </c>
      <c r="C3815" s="4" t="n">
        <f aca="false">YEAR(B3815)</f>
        <v>2026</v>
      </c>
      <c r="D3815" s="49" t="s">
        <v>283</v>
      </c>
      <c r="E3815" s="49" t="s">
        <v>7865</v>
      </c>
      <c r="F3815" s="50" t="n">
        <v>0</v>
      </c>
      <c r="G3815" s="49" t="s">
        <v>287</v>
      </c>
      <c r="H3815" s="51" t="n">
        <v>0.0146</v>
      </c>
      <c r="I3815" s="51" t="n">
        <v>0.1177</v>
      </c>
      <c r="J3815" s="51" t="n">
        <v>0.8677</v>
      </c>
      <c r="K3815" s="49"/>
      <c r="L3815" s="49"/>
      <c r="M3815" s="49"/>
      <c r="N3815" s="49"/>
      <c r="O3815" s="49"/>
      <c r="P3815" s="49"/>
      <c r="Q3815" s="49"/>
      <c r="R3815" s="49"/>
      <c r="S3815" s="49" t="n">
        <v>0</v>
      </c>
      <c r="T3815" s="49" t="n">
        <v>0</v>
      </c>
      <c r="U3815" s="49" t="s">
        <v>7866</v>
      </c>
    </row>
    <row r="3816" customFormat="false" ht="15" hidden="false" customHeight="false" outlineLevel="0" collapsed="false">
      <c r="B3816" s="48" t="n">
        <v>46234.6754166667</v>
      </c>
      <c r="C3816" s="4" t="n">
        <f aca="false">YEAR(B3816)</f>
        <v>2026</v>
      </c>
      <c r="D3816" s="49" t="s">
        <v>283</v>
      </c>
      <c r="E3816" s="49" t="s">
        <v>7867</v>
      </c>
      <c r="F3816" s="50" t="n">
        <v>1</v>
      </c>
      <c r="G3816" s="49" t="s">
        <v>290</v>
      </c>
      <c r="H3816" s="51" t="n">
        <v>0.0136</v>
      </c>
      <c r="I3816" s="51" t="n">
        <v>0.7711</v>
      </c>
      <c r="J3816" s="51" t="n">
        <v>0.2152</v>
      </c>
      <c r="K3816" s="49"/>
      <c r="L3816" s="49"/>
      <c r="M3816" s="49"/>
      <c r="N3816" s="49"/>
      <c r="O3816" s="49"/>
      <c r="P3816" s="49"/>
      <c r="Q3816" s="49"/>
      <c r="R3816" s="49" t="s">
        <v>281</v>
      </c>
      <c r="S3816" s="49" t="n">
        <v>0</v>
      </c>
      <c r="T3816" s="49" t="n">
        <v>0</v>
      </c>
      <c r="U3816" s="49" t="s">
        <v>7868</v>
      </c>
    </row>
    <row r="3817" customFormat="false" ht="15" hidden="false" customHeight="false" outlineLevel="0" collapsed="false">
      <c r="B3817" s="48" t="n">
        <v>46234.8424537037</v>
      </c>
      <c r="C3817" s="4" t="n">
        <f aca="false">YEAR(B3817)</f>
        <v>2026</v>
      </c>
      <c r="D3817" s="49" t="s">
        <v>278</v>
      </c>
      <c r="E3817" s="49" t="s">
        <v>7869</v>
      </c>
      <c r="F3817" s="50" t="n">
        <v>0</v>
      </c>
      <c r="G3817" s="49" t="s">
        <v>280</v>
      </c>
      <c r="H3817" s="51" t="n">
        <v>0.8216</v>
      </c>
      <c r="I3817" s="51" t="n">
        <v>0.1681</v>
      </c>
      <c r="J3817" s="51" t="n">
        <v>0.0104</v>
      </c>
      <c r="K3817" s="49"/>
      <c r="L3817" s="49"/>
      <c r="M3817" s="49"/>
      <c r="N3817" s="49"/>
      <c r="O3817" s="49"/>
      <c r="P3817" s="49"/>
      <c r="Q3817" s="49"/>
      <c r="R3817" s="49"/>
      <c r="S3817" s="49" t="n">
        <v>0</v>
      </c>
      <c r="T3817" s="49" t="n">
        <v>0</v>
      </c>
      <c r="U3817" s="49" t="s">
        <v>7870</v>
      </c>
    </row>
    <row r="3818" customFormat="false" ht="15" hidden="false" customHeight="false" outlineLevel="0" collapsed="false">
      <c r="B3818" s="48" t="n">
        <v>46234.871400463</v>
      </c>
      <c r="C3818" s="4" t="n">
        <f aca="false">YEAR(B3818)</f>
        <v>2026</v>
      </c>
      <c r="D3818" s="49" t="s">
        <v>278</v>
      </c>
      <c r="E3818" s="49" t="s">
        <v>7871</v>
      </c>
      <c r="F3818" s="50" t="n">
        <v>2</v>
      </c>
      <c r="G3818" s="49" t="s">
        <v>290</v>
      </c>
      <c r="H3818" s="51" t="n">
        <v>0.1089</v>
      </c>
      <c r="I3818" s="51" t="n">
        <v>0.7047</v>
      </c>
      <c r="J3818" s="51" t="n">
        <v>0.1864</v>
      </c>
      <c r="K3818" s="49"/>
      <c r="L3818" s="49"/>
      <c r="M3818" s="49"/>
      <c r="N3818" s="49"/>
      <c r="O3818" s="49"/>
      <c r="P3818" s="49"/>
      <c r="Q3818" s="49"/>
      <c r="R3818" s="49" t="s">
        <v>281</v>
      </c>
      <c r="S3818" s="49" t="n">
        <v>0</v>
      </c>
      <c r="T3818" s="49" t="n">
        <v>0</v>
      </c>
      <c r="U3818" s="49" t="s">
        <v>7872</v>
      </c>
    </row>
    <row r="3819" customFormat="false" ht="15" hidden="false" customHeight="false" outlineLevel="0" collapsed="false">
      <c r="B3819" s="48" t="n">
        <v>46235.3815740741</v>
      </c>
      <c r="C3819" s="4" t="n">
        <f aca="false">YEAR(B3819)</f>
        <v>2026</v>
      </c>
      <c r="D3819" s="49" t="s">
        <v>283</v>
      </c>
      <c r="E3819" s="49" t="s">
        <v>7873</v>
      </c>
      <c r="F3819" s="50" t="n">
        <v>1</v>
      </c>
      <c r="G3819" s="49" t="s">
        <v>287</v>
      </c>
      <c r="H3819" s="51" t="n">
        <v>0.0037</v>
      </c>
      <c r="I3819" s="51" t="n">
        <v>0.0133</v>
      </c>
      <c r="J3819" s="51" t="n">
        <v>0.9829</v>
      </c>
      <c r="K3819" s="49"/>
      <c r="L3819" s="49"/>
      <c r="M3819" s="49"/>
      <c r="N3819" s="49"/>
      <c r="O3819" s="49"/>
      <c r="P3819" s="49"/>
      <c r="Q3819" s="49"/>
      <c r="R3819" s="49"/>
      <c r="S3819" s="49" t="n">
        <v>0</v>
      </c>
      <c r="T3819" s="49" t="n">
        <v>0</v>
      </c>
      <c r="U3819" s="49" t="s">
        <v>7874</v>
      </c>
    </row>
    <row r="3820" customFormat="false" ht="15" hidden="false" customHeight="false" outlineLevel="0" collapsed="false">
      <c r="B3820" s="48" t="n">
        <v>46235.7693402778</v>
      </c>
      <c r="C3820" s="4" t="n">
        <f aca="false">YEAR(B3820)</f>
        <v>2026</v>
      </c>
      <c r="D3820" s="49" t="s">
        <v>283</v>
      </c>
      <c r="E3820" s="49" t="s">
        <v>7875</v>
      </c>
      <c r="F3820" s="50" t="n">
        <v>0</v>
      </c>
      <c r="G3820" s="49" t="s">
        <v>287</v>
      </c>
      <c r="H3820" s="51" t="n">
        <v>0.0086</v>
      </c>
      <c r="I3820" s="51" t="n">
        <v>0.2558</v>
      </c>
      <c r="J3820" s="51" t="n">
        <v>0.7356</v>
      </c>
      <c r="K3820" s="49"/>
      <c r="L3820" s="49"/>
      <c r="M3820" s="49"/>
      <c r="N3820" s="49"/>
      <c r="O3820" s="49"/>
      <c r="P3820" s="49"/>
      <c r="Q3820" s="49"/>
      <c r="R3820" s="49"/>
      <c r="S3820" s="49" t="n">
        <v>0</v>
      </c>
      <c r="T3820" s="49" t="n">
        <v>0</v>
      </c>
      <c r="U3820" s="49" t="s">
        <v>7876</v>
      </c>
    </row>
    <row r="3821" customFormat="false" ht="15" hidden="false" customHeight="false" outlineLevel="0" collapsed="false">
      <c r="B3821" s="48" t="n">
        <v>46236.6000810185</v>
      </c>
      <c r="C3821" s="4" t="n">
        <f aca="false">YEAR(B3821)</f>
        <v>2026</v>
      </c>
      <c r="D3821" s="49" t="s">
        <v>283</v>
      </c>
      <c r="E3821" s="49" t="s">
        <v>7877</v>
      </c>
      <c r="F3821" s="50" t="n">
        <v>1</v>
      </c>
      <c r="G3821" s="49" t="s">
        <v>287</v>
      </c>
      <c r="H3821" s="51" t="n">
        <v>0.0113</v>
      </c>
      <c r="I3821" s="51" t="n">
        <v>0.4803</v>
      </c>
      <c r="J3821" s="51" t="n">
        <v>0.5085</v>
      </c>
      <c r="K3821" s="49"/>
      <c r="L3821" s="49"/>
      <c r="M3821" s="49"/>
      <c r="N3821" s="49"/>
      <c r="O3821" s="49"/>
      <c r="P3821" s="49"/>
      <c r="Q3821" s="49"/>
      <c r="R3821" s="49"/>
      <c r="S3821" s="49" t="n">
        <v>0</v>
      </c>
      <c r="T3821" s="49" t="n">
        <v>0</v>
      </c>
      <c r="U3821" s="49" t="s">
        <v>7878</v>
      </c>
    </row>
    <row r="3822" customFormat="false" ht="15" hidden="false" customHeight="false" outlineLevel="0" collapsed="false">
      <c r="B3822" s="48" t="n">
        <v>46236.6025115741</v>
      </c>
      <c r="C3822" s="4" t="n">
        <f aca="false">YEAR(B3822)</f>
        <v>2026</v>
      </c>
      <c r="D3822" s="49" t="s">
        <v>283</v>
      </c>
      <c r="E3822" s="49" t="s">
        <v>7879</v>
      </c>
      <c r="F3822" s="50" t="n">
        <v>1</v>
      </c>
      <c r="G3822" s="49" t="s">
        <v>290</v>
      </c>
      <c r="H3822" s="51" t="n">
        <v>0.0446</v>
      </c>
      <c r="I3822" s="51" t="n">
        <v>0.5034</v>
      </c>
      <c r="J3822" s="51" t="n">
        <v>0.4519</v>
      </c>
      <c r="K3822" s="49"/>
      <c r="L3822" s="49"/>
      <c r="M3822" s="49"/>
      <c r="N3822" s="49"/>
      <c r="O3822" s="49"/>
      <c r="P3822" s="49"/>
      <c r="Q3822" s="49"/>
      <c r="R3822" s="49"/>
      <c r="S3822" s="49" t="n">
        <v>0</v>
      </c>
      <c r="T3822" s="49" t="n">
        <v>0</v>
      </c>
      <c r="U3822" s="49" t="s">
        <v>7880</v>
      </c>
    </row>
    <row r="3823" customFormat="false" ht="15" hidden="false" customHeight="false" outlineLevel="0" collapsed="false">
      <c r="B3823" s="48" t="n">
        <v>46236.6106365741</v>
      </c>
      <c r="C3823" s="4" t="n">
        <f aca="false">YEAR(B3823)</f>
        <v>2026</v>
      </c>
      <c r="D3823" s="49" t="s">
        <v>283</v>
      </c>
      <c r="E3823" s="49" t="s">
        <v>7881</v>
      </c>
      <c r="F3823" s="50" t="n">
        <v>10</v>
      </c>
      <c r="G3823" s="49" t="s">
        <v>287</v>
      </c>
      <c r="H3823" s="51" t="n">
        <v>0.0018</v>
      </c>
      <c r="I3823" s="51" t="n">
        <v>0.0507</v>
      </c>
      <c r="J3823" s="51" t="n">
        <v>0.9475</v>
      </c>
      <c r="K3823" s="49"/>
      <c r="L3823" s="49"/>
      <c r="M3823" s="49"/>
      <c r="N3823" s="49"/>
      <c r="O3823" s="49"/>
      <c r="P3823" s="49"/>
      <c r="Q3823" s="49"/>
      <c r="R3823" s="49"/>
      <c r="S3823" s="49" t="n">
        <v>0</v>
      </c>
      <c r="T3823" s="49" t="n">
        <v>0</v>
      </c>
      <c r="U3823" s="49" t="s">
        <v>7882</v>
      </c>
    </row>
    <row r="3824" customFormat="false" ht="15" hidden="false" customHeight="false" outlineLevel="0" collapsed="false">
      <c r="B3824" s="48" t="n">
        <v>46237.5535763889</v>
      </c>
      <c r="C3824" s="4" t="n">
        <f aca="false">YEAR(B3824)</f>
        <v>2026</v>
      </c>
      <c r="D3824" s="49" t="s">
        <v>283</v>
      </c>
      <c r="E3824" s="49" t="s">
        <v>7883</v>
      </c>
      <c r="F3824" s="50" t="n">
        <v>1</v>
      </c>
      <c r="G3824" s="49" t="s">
        <v>290</v>
      </c>
      <c r="H3824" s="51" t="n">
        <v>0.0144</v>
      </c>
      <c r="I3824" s="51" t="n">
        <v>0.7399</v>
      </c>
      <c r="J3824" s="51" t="n">
        <v>0.2457</v>
      </c>
      <c r="K3824" s="49"/>
      <c r="L3824" s="49"/>
      <c r="M3824" s="49"/>
      <c r="N3824" s="49"/>
      <c r="O3824" s="49"/>
      <c r="P3824" s="49"/>
      <c r="Q3824" s="49"/>
      <c r="R3824" s="49"/>
      <c r="S3824" s="49" t="n">
        <v>0</v>
      </c>
      <c r="T3824" s="49" t="n">
        <v>0</v>
      </c>
      <c r="U3824" s="49" t="s">
        <v>7884</v>
      </c>
    </row>
    <row r="3825" customFormat="false" ht="15" hidden="false" customHeight="false" outlineLevel="0" collapsed="false">
      <c r="B3825" s="48" t="n">
        <v>46237.6081365741</v>
      </c>
      <c r="C3825" s="4" t="n">
        <f aca="false">YEAR(B3825)</f>
        <v>2026</v>
      </c>
      <c r="D3825" s="49" t="s">
        <v>278</v>
      </c>
      <c r="E3825" s="49" t="s">
        <v>7885</v>
      </c>
      <c r="F3825" s="50" t="n">
        <v>0</v>
      </c>
      <c r="G3825" s="49" t="s">
        <v>280</v>
      </c>
      <c r="H3825" s="51" t="n">
        <v>0.7581</v>
      </c>
      <c r="I3825" s="51" t="n">
        <v>0.1967</v>
      </c>
      <c r="J3825" s="51" t="n">
        <v>0.0453</v>
      </c>
      <c r="K3825" s="49"/>
      <c r="L3825" s="49"/>
      <c r="M3825" s="49"/>
      <c r="N3825" s="49"/>
      <c r="O3825" s="49"/>
      <c r="P3825" s="49"/>
      <c r="Q3825" s="49"/>
      <c r="R3825" s="49"/>
      <c r="S3825" s="49" t="n">
        <v>0</v>
      </c>
      <c r="T3825" s="49" t="n">
        <v>1</v>
      </c>
      <c r="U3825" s="49" t="s">
        <v>7886</v>
      </c>
    </row>
    <row r="3826" customFormat="false" ht="15" hidden="false" customHeight="false" outlineLevel="0" collapsed="false">
      <c r="B3826" s="48" t="n">
        <v>46237.6105671296</v>
      </c>
      <c r="C3826" s="4" t="n">
        <f aca="false">YEAR(B3826)</f>
        <v>2026</v>
      </c>
      <c r="D3826" s="49" t="s">
        <v>278</v>
      </c>
      <c r="E3826" s="49" t="s">
        <v>7887</v>
      </c>
      <c r="F3826" s="50" t="n">
        <v>1</v>
      </c>
      <c r="G3826" s="49" t="s">
        <v>280</v>
      </c>
      <c r="H3826" s="51" t="n">
        <v>0.783</v>
      </c>
      <c r="I3826" s="51" t="n">
        <v>0.1984</v>
      </c>
      <c r="J3826" s="51" t="n">
        <v>0.0186</v>
      </c>
      <c r="K3826" s="49"/>
      <c r="L3826" s="49"/>
      <c r="M3826" s="49"/>
      <c r="N3826" s="49"/>
      <c r="O3826" s="49"/>
      <c r="P3826" s="49"/>
      <c r="Q3826" s="49"/>
      <c r="R3826" s="49"/>
      <c r="S3826" s="49" t="n">
        <v>0</v>
      </c>
      <c r="T3826" s="49" t="n">
        <v>0</v>
      </c>
      <c r="U3826" s="49" t="s">
        <v>7888</v>
      </c>
    </row>
    <row r="3827" customFormat="false" ht="15" hidden="false" customHeight="false" outlineLevel="0" collapsed="false">
      <c r="B3827" s="48" t="n">
        <v>46237.9390972222</v>
      </c>
      <c r="C3827" s="4" t="n">
        <f aca="false">YEAR(B3827)</f>
        <v>2026</v>
      </c>
      <c r="D3827" s="49" t="s">
        <v>283</v>
      </c>
      <c r="E3827" s="49" t="s">
        <v>7889</v>
      </c>
      <c r="F3827" s="50" t="n">
        <v>9</v>
      </c>
      <c r="G3827" s="49" t="s">
        <v>280</v>
      </c>
      <c r="H3827" s="51" t="n">
        <v>0.9507</v>
      </c>
      <c r="I3827" s="51" t="n">
        <v>0.043</v>
      </c>
      <c r="J3827" s="51" t="n">
        <v>0.0063</v>
      </c>
      <c r="K3827" s="49" t="s">
        <v>281</v>
      </c>
      <c r="L3827" s="49"/>
      <c r="M3827" s="49"/>
      <c r="N3827" s="49"/>
      <c r="O3827" s="49"/>
      <c r="P3827" s="49"/>
      <c r="Q3827" s="49"/>
      <c r="R3827" s="49"/>
      <c r="S3827" s="49" t="n">
        <v>0</v>
      </c>
      <c r="T3827" s="49" t="n">
        <v>0</v>
      </c>
      <c r="U3827" s="49" t="s">
        <v>7890</v>
      </c>
    </row>
    <row r="3828" customFormat="false" ht="15" hidden="false" customHeight="false" outlineLevel="0" collapsed="false">
      <c r="B3828" s="48" t="n">
        <v>46238.6761689815</v>
      </c>
      <c r="C3828" s="4" t="n">
        <f aca="false">YEAR(B3828)</f>
        <v>2026</v>
      </c>
      <c r="D3828" s="49" t="s">
        <v>283</v>
      </c>
      <c r="E3828" s="49" t="s">
        <v>7891</v>
      </c>
      <c r="F3828" s="50" t="n">
        <v>0</v>
      </c>
      <c r="G3828" s="49" t="s">
        <v>287</v>
      </c>
      <c r="H3828" s="51" t="n">
        <v>0.0021</v>
      </c>
      <c r="I3828" s="51" t="n">
        <v>0.1576</v>
      </c>
      <c r="J3828" s="51" t="n">
        <v>0.8403</v>
      </c>
      <c r="K3828" s="49"/>
      <c r="L3828" s="49"/>
      <c r="M3828" s="49"/>
      <c r="N3828" s="49"/>
      <c r="O3828" s="49"/>
      <c r="P3828" s="49"/>
      <c r="Q3828" s="49"/>
      <c r="R3828" s="49"/>
      <c r="S3828" s="49" t="n">
        <v>0</v>
      </c>
      <c r="T3828" s="49" t="n">
        <v>0</v>
      </c>
      <c r="U3828" s="49" t="s">
        <v>7892</v>
      </c>
    </row>
    <row r="3829" customFormat="false" ht="15" hidden="false" customHeight="false" outlineLevel="0" collapsed="false">
      <c r="B3829" s="48" t="n">
        <v>46238.8887962963</v>
      </c>
      <c r="C3829" s="4" t="n">
        <f aca="false">YEAR(B3829)</f>
        <v>2026</v>
      </c>
      <c r="D3829" s="49" t="s">
        <v>278</v>
      </c>
      <c r="E3829" s="49" t="s">
        <v>7893</v>
      </c>
      <c r="F3829" s="50" t="n">
        <v>0</v>
      </c>
      <c r="G3829" s="49" t="s">
        <v>280</v>
      </c>
      <c r="H3829" s="51" t="n">
        <v>0.8298</v>
      </c>
      <c r="I3829" s="51" t="n">
        <v>0.157</v>
      </c>
      <c r="J3829" s="51" t="n">
        <v>0.0132</v>
      </c>
      <c r="K3829" s="49" t="s">
        <v>281</v>
      </c>
      <c r="L3829" s="49"/>
      <c r="M3829" s="49"/>
      <c r="N3829" s="49"/>
      <c r="O3829" s="49"/>
      <c r="P3829" s="49"/>
      <c r="Q3829" s="49"/>
      <c r="R3829" s="49"/>
      <c r="S3829" s="49" t="n">
        <v>0</v>
      </c>
      <c r="T3829" s="49" t="n">
        <v>0</v>
      </c>
      <c r="U3829" s="49" t="s">
        <v>7894</v>
      </c>
    </row>
    <row r="3830" customFormat="false" ht="15" hidden="false" customHeight="false" outlineLevel="0" collapsed="false">
      <c r="B3830" s="48" t="n">
        <v>46239.1708564815</v>
      </c>
      <c r="C3830" s="4" t="n">
        <f aca="false">YEAR(B3830)</f>
        <v>2026</v>
      </c>
      <c r="D3830" s="49" t="s">
        <v>278</v>
      </c>
      <c r="E3830" s="49" t="s">
        <v>7895</v>
      </c>
      <c r="F3830" s="50" t="n">
        <v>1</v>
      </c>
      <c r="G3830" s="49" t="s">
        <v>280</v>
      </c>
      <c r="H3830" s="51" t="n">
        <v>0.9154</v>
      </c>
      <c r="I3830" s="51" t="n">
        <v>0.0775</v>
      </c>
      <c r="J3830" s="51" t="n">
        <v>0.0071</v>
      </c>
      <c r="K3830" s="49"/>
      <c r="L3830" s="49"/>
      <c r="M3830" s="49"/>
      <c r="N3830" s="49"/>
      <c r="O3830" s="49"/>
      <c r="P3830" s="49"/>
      <c r="Q3830" s="49"/>
      <c r="R3830" s="49"/>
      <c r="S3830" s="49" t="n">
        <v>0</v>
      </c>
      <c r="T3830" s="49" t="n">
        <v>0</v>
      </c>
      <c r="U3830" s="49" t="s">
        <v>7896</v>
      </c>
    </row>
    <row r="3831" customFormat="false" ht="15" hidden="false" customHeight="false" outlineLevel="0" collapsed="false">
      <c r="B3831" s="48" t="n">
        <v>46239.8410069444</v>
      </c>
      <c r="C3831" s="4" t="n">
        <f aca="false">YEAR(B3831)</f>
        <v>2026</v>
      </c>
      <c r="D3831" s="49" t="s">
        <v>278</v>
      </c>
      <c r="E3831" s="49" t="s">
        <v>7897</v>
      </c>
      <c r="F3831" s="50" t="n">
        <v>0</v>
      </c>
      <c r="G3831" s="49" t="s">
        <v>280</v>
      </c>
      <c r="H3831" s="51" t="n">
        <v>0.6744</v>
      </c>
      <c r="I3831" s="51" t="n">
        <v>0.314</v>
      </c>
      <c r="J3831" s="51" t="n">
        <v>0.0116</v>
      </c>
      <c r="K3831" s="49"/>
      <c r="L3831" s="49"/>
      <c r="M3831" s="49"/>
      <c r="N3831" s="49"/>
      <c r="O3831" s="49"/>
      <c r="P3831" s="49"/>
      <c r="Q3831" s="49"/>
      <c r="R3831" s="49"/>
      <c r="S3831" s="49" t="n">
        <v>0</v>
      </c>
      <c r="T3831" s="49" t="n">
        <v>0</v>
      </c>
      <c r="U3831" s="49" t="s">
        <v>7898</v>
      </c>
    </row>
    <row r="3832" customFormat="false" ht="15" hidden="false" customHeight="false" outlineLevel="0" collapsed="false">
      <c r="B3832" s="48" t="n">
        <v>46239.8828935185</v>
      </c>
      <c r="C3832" s="4" t="n">
        <f aca="false">YEAR(B3832)</f>
        <v>2026</v>
      </c>
      <c r="D3832" s="49" t="s">
        <v>283</v>
      </c>
      <c r="E3832" s="49" t="s">
        <v>7899</v>
      </c>
      <c r="F3832" s="50" t="n">
        <v>21</v>
      </c>
      <c r="G3832" s="49" t="s">
        <v>287</v>
      </c>
      <c r="H3832" s="51" t="n">
        <v>0.0153</v>
      </c>
      <c r="I3832" s="51" t="n">
        <v>0.1389</v>
      </c>
      <c r="J3832" s="51" t="n">
        <v>0.8458</v>
      </c>
      <c r="K3832" s="49"/>
      <c r="L3832" s="49"/>
      <c r="M3832" s="49"/>
      <c r="N3832" s="49"/>
      <c r="O3832" s="49"/>
      <c r="P3832" s="49"/>
      <c r="Q3832" s="49"/>
      <c r="R3832" s="49"/>
      <c r="S3832" s="49" t="n">
        <v>0</v>
      </c>
      <c r="T3832" s="49" t="n">
        <v>0</v>
      </c>
      <c r="U3832" s="49" t="s">
        <v>7900</v>
      </c>
    </row>
    <row r="3833" customFormat="false" ht="15" hidden="false" customHeight="false" outlineLevel="0" collapsed="false">
      <c r="B3833" s="48" t="n">
        <v>46240.0245023148</v>
      </c>
      <c r="C3833" s="4" t="n">
        <f aca="false">YEAR(B3833)</f>
        <v>2026</v>
      </c>
      <c r="D3833" s="49" t="s">
        <v>278</v>
      </c>
      <c r="E3833" s="49" t="s">
        <v>7901</v>
      </c>
      <c r="F3833" s="50" t="n">
        <v>0</v>
      </c>
      <c r="G3833" s="49" t="s">
        <v>280</v>
      </c>
      <c r="H3833" s="51" t="n">
        <v>0.9088</v>
      </c>
      <c r="I3833" s="51" t="n">
        <v>0.0843</v>
      </c>
      <c r="J3833" s="51" t="n">
        <v>0.0068</v>
      </c>
      <c r="K3833" s="49"/>
      <c r="L3833" s="49"/>
      <c r="M3833" s="49"/>
      <c r="N3833" s="49"/>
      <c r="O3833" s="49"/>
      <c r="P3833" s="49"/>
      <c r="Q3833" s="49"/>
      <c r="R3833" s="49" t="s">
        <v>281</v>
      </c>
      <c r="S3833" s="49" t="n">
        <v>0</v>
      </c>
      <c r="T3833" s="49" t="n">
        <v>0</v>
      </c>
      <c r="U3833" s="49" t="s">
        <v>7902</v>
      </c>
    </row>
    <row r="3834" customFormat="false" ht="15" hidden="false" customHeight="false" outlineLevel="0" collapsed="false">
      <c r="B3834" s="48" t="n">
        <v>46240.5720023148</v>
      </c>
      <c r="C3834" s="4" t="n">
        <f aca="false">YEAR(B3834)</f>
        <v>2026</v>
      </c>
      <c r="D3834" s="49" t="s">
        <v>278</v>
      </c>
      <c r="E3834" s="49" t="s">
        <v>7903</v>
      </c>
      <c r="F3834" s="50" t="n">
        <v>48</v>
      </c>
      <c r="G3834" s="49" t="s">
        <v>280</v>
      </c>
      <c r="H3834" s="51" t="n">
        <v>0.852</v>
      </c>
      <c r="I3834" s="51" t="n">
        <v>0.1352</v>
      </c>
      <c r="J3834" s="51" t="n">
        <v>0.0127</v>
      </c>
      <c r="K3834" s="49"/>
      <c r="L3834" s="49"/>
      <c r="M3834" s="49"/>
      <c r="N3834" s="49"/>
      <c r="O3834" s="49"/>
      <c r="P3834" s="49"/>
      <c r="Q3834" s="49"/>
      <c r="R3834" s="49"/>
      <c r="S3834" s="49" t="n">
        <v>0</v>
      </c>
      <c r="T3834" s="49" t="n">
        <v>0</v>
      </c>
      <c r="U3834" s="49" t="s">
        <v>7904</v>
      </c>
    </row>
    <row r="3835" customFormat="false" ht="15" hidden="false" customHeight="false" outlineLevel="0" collapsed="false">
      <c r="B3835" s="48" t="n">
        <v>46240.6333796296</v>
      </c>
      <c r="C3835" s="4" t="n">
        <f aca="false">YEAR(B3835)</f>
        <v>2026</v>
      </c>
      <c r="D3835" s="49" t="s">
        <v>278</v>
      </c>
      <c r="E3835" s="49" t="s">
        <v>7905</v>
      </c>
      <c r="F3835" s="50" t="n">
        <v>1</v>
      </c>
      <c r="G3835" s="49" t="s">
        <v>290</v>
      </c>
      <c r="H3835" s="51" t="n">
        <v>0.0155</v>
      </c>
      <c r="I3835" s="51" t="n">
        <v>0.8092</v>
      </c>
      <c r="J3835" s="51" t="n">
        <v>0.1753</v>
      </c>
      <c r="K3835" s="49"/>
      <c r="L3835" s="49"/>
      <c r="M3835" s="49"/>
      <c r="N3835" s="49"/>
      <c r="O3835" s="49"/>
      <c r="P3835" s="49"/>
      <c r="Q3835" s="49"/>
      <c r="R3835" s="49"/>
      <c r="S3835" s="49" t="n">
        <v>0</v>
      </c>
      <c r="T3835" s="49" t="n">
        <v>0</v>
      </c>
      <c r="U3835" s="49" t="s">
        <v>7906</v>
      </c>
    </row>
    <row r="3836" customFormat="false" ht="15" hidden="false" customHeight="false" outlineLevel="0" collapsed="false">
      <c r="B3836" s="48" t="n">
        <v>46240.69875</v>
      </c>
      <c r="C3836" s="4" t="n">
        <f aca="false">YEAR(B3836)</f>
        <v>2026</v>
      </c>
      <c r="D3836" s="49" t="s">
        <v>283</v>
      </c>
      <c r="E3836" s="49" t="s">
        <v>7907</v>
      </c>
      <c r="F3836" s="50" t="n">
        <v>1</v>
      </c>
      <c r="G3836" s="49" t="s">
        <v>287</v>
      </c>
      <c r="H3836" s="51" t="n">
        <v>0.003</v>
      </c>
      <c r="I3836" s="51" t="n">
        <v>0.129</v>
      </c>
      <c r="J3836" s="51" t="n">
        <v>0.868</v>
      </c>
      <c r="K3836" s="49"/>
      <c r="L3836" s="49"/>
      <c r="M3836" s="49"/>
      <c r="N3836" s="49"/>
      <c r="O3836" s="49"/>
      <c r="P3836" s="49"/>
      <c r="Q3836" s="49"/>
      <c r="R3836" s="49"/>
      <c r="S3836" s="49" t="n">
        <v>0</v>
      </c>
      <c r="T3836" s="49" t="n">
        <v>0</v>
      </c>
      <c r="U3836" s="49" t="s">
        <v>7908</v>
      </c>
    </row>
    <row r="3837" customFormat="false" ht="15" hidden="false" customHeight="false" outlineLevel="0" collapsed="false">
      <c r="B3837" s="48" t="n">
        <v>46240.7194097222</v>
      </c>
      <c r="C3837" s="4" t="n">
        <f aca="false">YEAR(B3837)</f>
        <v>2026</v>
      </c>
      <c r="D3837" s="49" t="s">
        <v>278</v>
      </c>
      <c r="E3837" s="49" t="s">
        <v>7909</v>
      </c>
      <c r="F3837" s="50" t="n">
        <v>0</v>
      </c>
      <c r="G3837" s="49" t="s">
        <v>290</v>
      </c>
      <c r="H3837" s="51" t="n">
        <v>0.0545</v>
      </c>
      <c r="I3837" s="51" t="n">
        <v>0.7369</v>
      </c>
      <c r="J3837" s="51" t="n">
        <v>0.2086</v>
      </c>
      <c r="K3837" s="49"/>
      <c r="L3837" s="49"/>
      <c r="M3837" s="49"/>
      <c r="N3837" s="49"/>
      <c r="O3837" s="49"/>
      <c r="P3837" s="49"/>
      <c r="Q3837" s="49" t="s">
        <v>281</v>
      </c>
      <c r="R3837" s="49"/>
      <c r="S3837" s="49" t="n">
        <v>0</v>
      </c>
      <c r="T3837" s="49" t="n">
        <v>0</v>
      </c>
      <c r="U3837" s="49" t="s">
        <v>7910</v>
      </c>
    </row>
    <row r="3838" customFormat="false" ht="15" hidden="false" customHeight="false" outlineLevel="0" collapsed="false">
      <c r="B3838" s="48" t="n">
        <v>46240.8060185185</v>
      </c>
      <c r="C3838" s="4" t="n">
        <f aca="false">YEAR(B3838)</f>
        <v>2026</v>
      </c>
      <c r="D3838" s="49" t="s">
        <v>283</v>
      </c>
      <c r="E3838" s="49" t="s">
        <v>7911</v>
      </c>
      <c r="F3838" s="50" t="n">
        <v>3</v>
      </c>
      <c r="G3838" s="49" t="s">
        <v>290</v>
      </c>
      <c r="H3838" s="51" t="n">
        <v>0.0069</v>
      </c>
      <c r="I3838" s="51" t="n">
        <v>0.5678</v>
      </c>
      <c r="J3838" s="51" t="n">
        <v>0.4254</v>
      </c>
      <c r="K3838" s="49"/>
      <c r="L3838" s="49"/>
      <c r="M3838" s="49"/>
      <c r="N3838" s="49"/>
      <c r="O3838" s="49"/>
      <c r="P3838" s="49"/>
      <c r="Q3838" s="49"/>
      <c r="R3838" s="49"/>
      <c r="S3838" s="49" t="n">
        <v>0</v>
      </c>
      <c r="T3838" s="49" t="n">
        <v>0</v>
      </c>
      <c r="U3838" s="49" t="s">
        <v>7912</v>
      </c>
    </row>
    <row r="3839" customFormat="false" ht="15" hidden="false" customHeight="false" outlineLevel="0" collapsed="false">
      <c r="B3839" s="48" t="n">
        <v>46241.5713888889</v>
      </c>
      <c r="C3839" s="4" t="n">
        <f aca="false">YEAR(B3839)</f>
        <v>2026</v>
      </c>
      <c r="D3839" s="49" t="s">
        <v>278</v>
      </c>
      <c r="E3839" s="49" t="s">
        <v>7913</v>
      </c>
      <c r="F3839" s="50" t="n">
        <v>0</v>
      </c>
      <c r="G3839" s="49" t="s">
        <v>290</v>
      </c>
      <c r="H3839" s="51" t="n">
        <v>0.27</v>
      </c>
      <c r="I3839" s="51" t="n">
        <v>0.6153</v>
      </c>
      <c r="J3839" s="51" t="n">
        <v>0.1147</v>
      </c>
      <c r="K3839" s="49"/>
      <c r="L3839" s="49"/>
      <c r="M3839" s="49" t="s">
        <v>281</v>
      </c>
      <c r="N3839" s="49"/>
      <c r="O3839" s="49"/>
      <c r="P3839" s="49"/>
      <c r="Q3839" s="49"/>
      <c r="R3839" s="49"/>
      <c r="S3839" s="49" t="n">
        <v>0</v>
      </c>
      <c r="T3839" s="49" t="n">
        <v>0</v>
      </c>
      <c r="U3839" s="49" t="s">
        <v>7914</v>
      </c>
    </row>
    <row r="3840" customFormat="false" ht="15" hidden="false" customHeight="false" outlineLevel="0" collapsed="false">
      <c r="B3840" s="48" t="n">
        <v>46241.727037037</v>
      </c>
      <c r="C3840" s="4" t="n">
        <f aca="false">YEAR(B3840)</f>
        <v>2026</v>
      </c>
      <c r="D3840" s="49" t="s">
        <v>283</v>
      </c>
      <c r="E3840" s="49" t="s">
        <v>7915</v>
      </c>
      <c r="F3840" s="50" t="n">
        <v>2</v>
      </c>
      <c r="G3840" s="49" t="s">
        <v>287</v>
      </c>
      <c r="H3840" s="51" t="n">
        <v>0.0022</v>
      </c>
      <c r="I3840" s="51" t="n">
        <v>0.0445</v>
      </c>
      <c r="J3840" s="51" t="n">
        <v>0.9533</v>
      </c>
      <c r="K3840" s="49"/>
      <c r="L3840" s="49"/>
      <c r="M3840" s="49"/>
      <c r="N3840" s="49"/>
      <c r="O3840" s="49"/>
      <c r="P3840" s="49"/>
      <c r="Q3840" s="49"/>
      <c r="R3840" s="49"/>
      <c r="S3840" s="49" t="n">
        <v>0</v>
      </c>
      <c r="T3840" s="49" t="n">
        <v>0</v>
      </c>
      <c r="U3840" s="49" t="s">
        <v>7916</v>
      </c>
    </row>
    <row r="3841" customFormat="false" ht="15" hidden="false" customHeight="false" outlineLevel="0" collapsed="false">
      <c r="B3841" s="48" t="n">
        <v>46241.8805439815</v>
      </c>
      <c r="C3841" s="4" t="n">
        <f aca="false">YEAR(B3841)</f>
        <v>2026</v>
      </c>
      <c r="D3841" s="49" t="s">
        <v>278</v>
      </c>
      <c r="E3841" s="49" t="s">
        <v>7917</v>
      </c>
      <c r="F3841" s="50" t="n">
        <v>2</v>
      </c>
      <c r="G3841" s="49" t="s">
        <v>280</v>
      </c>
      <c r="H3841" s="51" t="n">
        <v>0.7181</v>
      </c>
      <c r="I3841" s="51" t="n">
        <v>0.2676</v>
      </c>
      <c r="J3841" s="51" t="n">
        <v>0.0143</v>
      </c>
      <c r="K3841" s="49"/>
      <c r="L3841" s="49"/>
      <c r="M3841" s="49"/>
      <c r="N3841" s="49"/>
      <c r="O3841" s="49"/>
      <c r="P3841" s="49"/>
      <c r="Q3841" s="49"/>
      <c r="R3841" s="49" t="s">
        <v>281</v>
      </c>
      <c r="S3841" s="49" t="n">
        <v>0</v>
      </c>
      <c r="T3841" s="49" t="n">
        <v>0</v>
      </c>
      <c r="U3841" s="49" t="s">
        <v>7918</v>
      </c>
    </row>
    <row r="3842" customFormat="false" ht="15" hidden="false" customHeight="false" outlineLevel="0" collapsed="false">
      <c r="B3842" s="48" t="n">
        <v>46242.2736226852</v>
      </c>
      <c r="C3842" s="4" t="n">
        <f aca="false">YEAR(B3842)</f>
        <v>2026</v>
      </c>
      <c r="D3842" s="49" t="s">
        <v>278</v>
      </c>
      <c r="E3842" s="49" t="s">
        <v>7919</v>
      </c>
      <c r="F3842" s="50" t="n">
        <v>2</v>
      </c>
      <c r="G3842" s="49" t="s">
        <v>290</v>
      </c>
      <c r="H3842" s="51" t="n">
        <v>0.0256</v>
      </c>
      <c r="I3842" s="51" t="n">
        <v>0.9343</v>
      </c>
      <c r="J3842" s="51" t="n">
        <v>0.0401</v>
      </c>
      <c r="K3842" s="49"/>
      <c r="L3842" s="49"/>
      <c r="M3842" s="49"/>
      <c r="N3842" s="49"/>
      <c r="O3842" s="49"/>
      <c r="P3842" s="49"/>
      <c r="Q3842" s="49"/>
      <c r="R3842" s="49"/>
      <c r="S3842" s="49" t="n">
        <v>0</v>
      </c>
      <c r="T3842" s="49" t="n">
        <v>0</v>
      </c>
      <c r="U3842" s="49" t="s">
        <v>7920</v>
      </c>
    </row>
    <row r="3843" customFormat="false" ht="15" hidden="false" customHeight="false" outlineLevel="0" collapsed="false">
      <c r="B3843" s="48" t="n">
        <v>46242.2841666667</v>
      </c>
      <c r="C3843" s="4" t="n">
        <f aca="false">YEAR(B3843)</f>
        <v>2026</v>
      </c>
      <c r="D3843" s="49" t="s">
        <v>278</v>
      </c>
      <c r="E3843" s="49" t="s">
        <v>7921</v>
      </c>
      <c r="F3843" s="50" t="n">
        <v>2</v>
      </c>
      <c r="G3843" s="49" t="s">
        <v>280</v>
      </c>
      <c r="H3843" s="51" t="n">
        <v>0.6133</v>
      </c>
      <c r="I3843" s="51" t="n">
        <v>0.3743</v>
      </c>
      <c r="J3843" s="51" t="n">
        <v>0.0124</v>
      </c>
      <c r="K3843" s="49"/>
      <c r="L3843" s="49"/>
      <c r="M3843" s="49"/>
      <c r="N3843" s="49"/>
      <c r="O3843" s="49"/>
      <c r="P3843" s="49"/>
      <c r="Q3843" s="49"/>
      <c r="R3843" s="49"/>
      <c r="S3843" s="49" t="n">
        <v>0</v>
      </c>
      <c r="T3843" s="49" t="n">
        <v>0</v>
      </c>
      <c r="U3843" s="49" t="s">
        <v>7922</v>
      </c>
    </row>
    <row r="3844" customFormat="false" ht="15" hidden="false" customHeight="false" outlineLevel="0" collapsed="false">
      <c r="B3844" s="48" t="n">
        <v>46242.7139814815</v>
      </c>
      <c r="C3844" s="4" t="n">
        <f aca="false">YEAR(B3844)</f>
        <v>2026</v>
      </c>
      <c r="D3844" s="49" t="s">
        <v>278</v>
      </c>
      <c r="E3844" s="49" t="s">
        <v>7923</v>
      </c>
      <c r="F3844" s="50" t="n">
        <v>1</v>
      </c>
      <c r="G3844" s="49" t="s">
        <v>280</v>
      </c>
      <c r="H3844" s="51" t="n">
        <v>0.5893</v>
      </c>
      <c r="I3844" s="51" t="n">
        <v>0.3706</v>
      </c>
      <c r="J3844" s="51" t="n">
        <v>0.0402</v>
      </c>
      <c r="K3844" s="49"/>
      <c r="L3844" s="49"/>
      <c r="M3844" s="49"/>
      <c r="N3844" s="49"/>
      <c r="O3844" s="49"/>
      <c r="P3844" s="49"/>
      <c r="Q3844" s="49"/>
      <c r="R3844" s="49"/>
      <c r="S3844" s="49" t="n">
        <v>0</v>
      </c>
      <c r="T3844" s="49" t="n">
        <v>0</v>
      </c>
      <c r="U3844" s="49" t="s">
        <v>7924</v>
      </c>
    </row>
    <row r="3845" customFormat="false" ht="15" hidden="false" customHeight="false" outlineLevel="0" collapsed="false">
      <c r="B3845" s="48" t="n">
        <v>46242.7352083333</v>
      </c>
      <c r="C3845" s="4" t="n">
        <f aca="false">YEAR(B3845)</f>
        <v>2026</v>
      </c>
      <c r="D3845" s="49" t="s">
        <v>283</v>
      </c>
      <c r="E3845" s="49" t="s">
        <v>7925</v>
      </c>
      <c r="F3845" s="50" t="n">
        <v>2</v>
      </c>
      <c r="G3845" s="49" t="s">
        <v>290</v>
      </c>
      <c r="H3845" s="51" t="n">
        <v>0.0046</v>
      </c>
      <c r="I3845" s="51" t="n">
        <v>0.8661</v>
      </c>
      <c r="J3845" s="51" t="n">
        <v>0.1293</v>
      </c>
      <c r="K3845" s="49"/>
      <c r="L3845" s="49"/>
      <c r="M3845" s="49"/>
      <c r="N3845" s="49"/>
      <c r="O3845" s="49"/>
      <c r="P3845" s="49"/>
      <c r="Q3845" s="49"/>
      <c r="R3845" s="49"/>
      <c r="S3845" s="49" t="n">
        <v>0</v>
      </c>
      <c r="T3845" s="49" t="n">
        <v>0</v>
      </c>
      <c r="U3845" s="49" t="s">
        <v>7926</v>
      </c>
    </row>
    <row r="3846" customFormat="false" ht="15" hidden="false" customHeight="false" outlineLevel="0" collapsed="false">
      <c r="B3846" s="48" t="n">
        <v>46242.9241435185</v>
      </c>
      <c r="C3846" s="4" t="n">
        <f aca="false">YEAR(B3846)</f>
        <v>2026</v>
      </c>
      <c r="D3846" s="49" t="s">
        <v>283</v>
      </c>
      <c r="E3846" s="49" t="s">
        <v>7927</v>
      </c>
      <c r="F3846" s="50" t="n">
        <v>5</v>
      </c>
      <c r="G3846" s="49" t="s">
        <v>290</v>
      </c>
      <c r="H3846" s="51" t="n">
        <v>0.0356</v>
      </c>
      <c r="I3846" s="51" t="n">
        <v>0.8859</v>
      </c>
      <c r="J3846" s="51" t="n">
        <v>0.0784</v>
      </c>
      <c r="K3846" s="49" t="s">
        <v>281</v>
      </c>
      <c r="L3846" s="49"/>
      <c r="M3846" s="49"/>
      <c r="N3846" s="49" t="s">
        <v>281</v>
      </c>
      <c r="O3846" s="49" t="s">
        <v>281</v>
      </c>
      <c r="P3846" s="49"/>
      <c r="Q3846" s="49"/>
      <c r="R3846" s="49" t="s">
        <v>281</v>
      </c>
      <c r="S3846" s="49" t="n">
        <v>0</v>
      </c>
      <c r="T3846" s="49" t="n">
        <v>0</v>
      </c>
      <c r="U3846" s="49" t="s">
        <v>7928</v>
      </c>
    </row>
    <row r="3847" customFormat="false" ht="15" hidden="false" customHeight="false" outlineLevel="0" collapsed="false">
      <c r="B3847" s="48" t="n">
        <v>46243.2518171296</v>
      </c>
      <c r="C3847" s="4" t="n">
        <f aca="false">YEAR(B3847)</f>
        <v>2026</v>
      </c>
      <c r="D3847" s="49" t="s">
        <v>283</v>
      </c>
      <c r="E3847" s="49" t="s">
        <v>7929</v>
      </c>
      <c r="F3847" s="50" t="n">
        <v>3</v>
      </c>
      <c r="G3847" s="49" t="s">
        <v>287</v>
      </c>
      <c r="H3847" s="51" t="n">
        <v>0.0045</v>
      </c>
      <c r="I3847" s="51" t="n">
        <v>0.2056</v>
      </c>
      <c r="J3847" s="51" t="n">
        <v>0.79</v>
      </c>
      <c r="K3847" s="49"/>
      <c r="L3847" s="49"/>
      <c r="M3847" s="49"/>
      <c r="N3847" s="49"/>
      <c r="O3847" s="49"/>
      <c r="P3847" s="49"/>
      <c r="Q3847" s="49" t="s">
        <v>281</v>
      </c>
      <c r="R3847" s="49"/>
      <c r="S3847" s="49" t="n">
        <v>0</v>
      </c>
      <c r="T3847" s="49" t="n">
        <v>0</v>
      </c>
      <c r="U3847" s="49" t="s">
        <v>7930</v>
      </c>
    </row>
    <row r="3848" customFormat="false" ht="15" hidden="false" customHeight="false" outlineLevel="0" collapsed="false">
      <c r="B3848" s="48" t="n">
        <v>46243.3942476852</v>
      </c>
      <c r="C3848" s="4" t="n">
        <f aca="false">YEAR(B3848)</f>
        <v>2026</v>
      </c>
      <c r="D3848" s="49" t="s">
        <v>283</v>
      </c>
      <c r="E3848" s="49" t="s">
        <v>7931</v>
      </c>
      <c r="F3848" s="50" t="n">
        <v>2</v>
      </c>
      <c r="G3848" s="49" t="s">
        <v>290</v>
      </c>
      <c r="H3848" s="51" t="n">
        <v>0.0094</v>
      </c>
      <c r="I3848" s="51" t="n">
        <v>0.7401</v>
      </c>
      <c r="J3848" s="51" t="n">
        <v>0.2505</v>
      </c>
      <c r="K3848" s="49"/>
      <c r="L3848" s="49"/>
      <c r="M3848" s="49"/>
      <c r="N3848" s="49"/>
      <c r="O3848" s="49"/>
      <c r="P3848" s="49"/>
      <c r="Q3848" s="49"/>
      <c r="R3848" s="49"/>
      <c r="S3848" s="49" t="n">
        <v>0</v>
      </c>
      <c r="T3848" s="49" t="n">
        <v>0</v>
      </c>
      <c r="U3848" s="49" t="s">
        <v>7932</v>
      </c>
    </row>
    <row r="3849" customFormat="false" ht="15" hidden="false" customHeight="false" outlineLevel="0" collapsed="false">
      <c r="B3849" s="48" t="n">
        <v>46244.4228935185</v>
      </c>
      <c r="C3849" s="4" t="n">
        <f aca="false">YEAR(B3849)</f>
        <v>2026</v>
      </c>
      <c r="D3849" s="49" t="s">
        <v>278</v>
      </c>
      <c r="E3849" s="49" t="s">
        <v>7933</v>
      </c>
      <c r="F3849" s="50" t="n">
        <v>1</v>
      </c>
      <c r="G3849" s="49" t="s">
        <v>287</v>
      </c>
      <c r="H3849" s="51" t="n">
        <v>0.006</v>
      </c>
      <c r="I3849" s="51" t="n">
        <v>0.4235</v>
      </c>
      <c r="J3849" s="51" t="n">
        <v>0.5705</v>
      </c>
      <c r="K3849" s="49"/>
      <c r="L3849" s="49"/>
      <c r="M3849" s="49"/>
      <c r="N3849" s="49"/>
      <c r="O3849" s="49"/>
      <c r="P3849" s="49"/>
      <c r="Q3849" s="49"/>
      <c r="R3849" s="49"/>
      <c r="S3849" s="49" t="n">
        <v>0</v>
      </c>
      <c r="T3849" s="49" t="n">
        <v>0</v>
      </c>
      <c r="U3849" s="49" t="s">
        <v>7934</v>
      </c>
    </row>
    <row r="3850" customFormat="false" ht="15" hidden="false" customHeight="false" outlineLevel="0" collapsed="false">
      <c r="B3850" s="48" t="n">
        <v>46244.57875</v>
      </c>
      <c r="C3850" s="4" t="n">
        <f aca="false">YEAR(B3850)</f>
        <v>2026</v>
      </c>
      <c r="D3850" s="49" t="s">
        <v>283</v>
      </c>
      <c r="E3850" s="49" t="s">
        <v>7935</v>
      </c>
      <c r="F3850" s="50" t="n">
        <v>1</v>
      </c>
      <c r="G3850" s="49" t="s">
        <v>290</v>
      </c>
      <c r="H3850" s="51" t="n">
        <v>0.024</v>
      </c>
      <c r="I3850" s="51" t="n">
        <v>0.9146</v>
      </c>
      <c r="J3850" s="51" t="n">
        <v>0.0615</v>
      </c>
      <c r="K3850" s="49"/>
      <c r="L3850" s="49"/>
      <c r="M3850" s="49"/>
      <c r="N3850" s="49"/>
      <c r="O3850" s="49"/>
      <c r="P3850" s="49"/>
      <c r="Q3850" s="49"/>
      <c r="R3850" s="49"/>
      <c r="S3850" s="49" t="n">
        <v>0</v>
      </c>
      <c r="T3850" s="49" t="n">
        <v>0</v>
      </c>
      <c r="U3850" s="49" t="s">
        <v>7936</v>
      </c>
    </row>
    <row r="3851" customFormat="false" ht="15" hidden="false" customHeight="false" outlineLevel="0" collapsed="false">
      <c r="B3851" s="48" t="n">
        <v>46244.8042592593</v>
      </c>
      <c r="C3851" s="4" t="n">
        <f aca="false">YEAR(B3851)</f>
        <v>2026</v>
      </c>
      <c r="D3851" s="49" t="s">
        <v>278</v>
      </c>
      <c r="E3851" s="49" t="s">
        <v>7937</v>
      </c>
      <c r="F3851" s="50" t="n">
        <v>0</v>
      </c>
      <c r="G3851" s="49" t="s">
        <v>280</v>
      </c>
      <c r="H3851" s="51" t="n">
        <v>0.9364</v>
      </c>
      <c r="I3851" s="51" t="n">
        <v>0.0522</v>
      </c>
      <c r="J3851" s="51" t="n">
        <v>0.0113</v>
      </c>
      <c r="K3851" s="49"/>
      <c r="L3851" s="49"/>
      <c r="M3851" s="49" t="s">
        <v>281</v>
      </c>
      <c r="N3851" s="49"/>
      <c r="O3851" s="49"/>
      <c r="P3851" s="49"/>
      <c r="Q3851" s="49"/>
      <c r="R3851" s="49"/>
      <c r="S3851" s="49" t="n">
        <v>0</v>
      </c>
      <c r="T3851" s="49" t="n">
        <v>0</v>
      </c>
      <c r="U3851" s="49" t="s">
        <v>7938</v>
      </c>
    </row>
    <row r="3852" customFormat="false" ht="15" hidden="false" customHeight="false" outlineLevel="0" collapsed="false">
      <c r="B3852" s="48" t="n">
        <v>46245.4164236111</v>
      </c>
      <c r="C3852" s="4" t="n">
        <f aca="false">YEAR(B3852)</f>
        <v>2026</v>
      </c>
      <c r="D3852" s="49" t="s">
        <v>278</v>
      </c>
      <c r="E3852" s="49" t="s">
        <v>7939</v>
      </c>
      <c r="F3852" s="50" t="n">
        <v>0</v>
      </c>
      <c r="G3852" s="49" t="s">
        <v>280</v>
      </c>
      <c r="H3852" s="51" t="n">
        <v>0.9169</v>
      </c>
      <c r="I3852" s="51" t="n">
        <v>0.0712</v>
      </c>
      <c r="J3852" s="51" t="n">
        <v>0.0119</v>
      </c>
      <c r="K3852" s="49" t="s">
        <v>281</v>
      </c>
      <c r="L3852" s="49"/>
      <c r="M3852" s="49"/>
      <c r="N3852" s="49"/>
      <c r="O3852" s="49"/>
      <c r="P3852" s="49"/>
      <c r="Q3852" s="49"/>
      <c r="R3852" s="49"/>
      <c r="S3852" s="49" t="n">
        <v>0</v>
      </c>
      <c r="T3852" s="49" t="n">
        <v>0</v>
      </c>
      <c r="U3852" s="49" t="s">
        <v>7940</v>
      </c>
    </row>
    <row r="3853" customFormat="false" ht="15" hidden="false" customHeight="false" outlineLevel="0" collapsed="false">
      <c r="B3853" s="48" t="n">
        <v>46245.5172685185</v>
      </c>
      <c r="C3853" s="4" t="n">
        <f aca="false">YEAR(B3853)</f>
        <v>2026</v>
      </c>
      <c r="D3853" s="49" t="s">
        <v>278</v>
      </c>
      <c r="E3853" s="49" t="s">
        <v>7941</v>
      </c>
      <c r="F3853" s="50" t="n">
        <v>0</v>
      </c>
      <c r="G3853" s="49" t="s">
        <v>290</v>
      </c>
      <c r="H3853" s="51" t="n">
        <v>0.0145</v>
      </c>
      <c r="I3853" s="51" t="n">
        <v>0.855</v>
      </c>
      <c r="J3853" s="51" t="n">
        <v>0.1304</v>
      </c>
      <c r="K3853" s="49"/>
      <c r="L3853" s="49"/>
      <c r="M3853" s="49" t="s">
        <v>281</v>
      </c>
      <c r="N3853" s="49"/>
      <c r="O3853" s="49"/>
      <c r="P3853" s="49"/>
      <c r="Q3853" s="49" t="s">
        <v>281</v>
      </c>
      <c r="R3853" s="49" t="s">
        <v>281</v>
      </c>
      <c r="S3853" s="49" t="n">
        <v>0</v>
      </c>
      <c r="T3853" s="49" t="n">
        <v>0</v>
      </c>
      <c r="U3853" s="49" t="s">
        <v>7942</v>
      </c>
    </row>
    <row r="3854" customFormat="false" ht="15" hidden="false" customHeight="false" outlineLevel="0" collapsed="false">
      <c r="B3854" s="48" t="n">
        <v>46245.5785532407</v>
      </c>
      <c r="C3854" s="4" t="n">
        <f aca="false">YEAR(B3854)</f>
        <v>2026</v>
      </c>
      <c r="D3854" s="49" t="s">
        <v>278</v>
      </c>
      <c r="E3854" s="49" t="s">
        <v>7943</v>
      </c>
      <c r="F3854" s="50" t="n">
        <v>429</v>
      </c>
      <c r="G3854" s="49" t="s">
        <v>290</v>
      </c>
      <c r="H3854" s="51" t="n">
        <v>0.1987</v>
      </c>
      <c r="I3854" s="51" t="n">
        <v>0.7552</v>
      </c>
      <c r="J3854" s="51" t="n">
        <v>0.0461</v>
      </c>
      <c r="K3854" s="49"/>
      <c r="L3854" s="49"/>
      <c r="M3854" s="49" t="s">
        <v>281</v>
      </c>
      <c r="N3854" s="49"/>
      <c r="O3854" s="49"/>
      <c r="P3854" s="49"/>
      <c r="Q3854" s="49"/>
      <c r="R3854" s="49"/>
      <c r="S3854" s="49" t="n">
        <v>0</v>
      </c>
      <c r="T3854" s="49" t="n">
        <v>0</v>
      </c>
      <c r="U3854" s="49" t="s">
        <v>7944</v>
      </c>
    </row>
    <row r="3855" customFormat="false" ht="15" hidden="false" customHeight="false" outlineLevel="0" collapsed="false">
      <c r="B3855" s="48" t="n">
        <v>46245.6382407407</v>
      </c>
      <c r="C3855" s="4" t="n">
        <f aca="false">YEAR(B3855)</f>
        <v>2026</v>
      </c>
      <c r="D3855" s="49" t="s">
        <v>283</v>
      </c>
      <c r="E3855" s="49" t="s">
        <v>7945</v>
      </c>
      <c r="F3855" s="50" t="n">
        <v>1</v>
      </c>
      <c r="G3855" s="49" t="s">
        <v>287</v>
      </c>
      <c r="H3855" s="51" t="n">
        <v>0.0129</v>
      </c>
      <c r="I3855" s="51" t="n">
        <v>0.4124</v>
      </c>
      <c r="J3855" s="51" t="n">
        <v>0.5747</v>
      </c>
      <c r="K3855" s="49"/>
      <c r="L3855" s="49"/>
      <c r="M3855" s="49"/>
      <c r="N3855" s="49"/>
      <c r="O3855" s="49"/>
      <c r="P3855" s="49"/>
      <c r="Q3855" s="49"/>
      <c r="R3855" s="49"/>
      <c r="S3855" s="49" t="n">
        <v>0</v>
      </c>
      <c r="T3855" s="49" t="n">
        <v>0</v>
      </c>
      <c r="U3855" s="49" t="s">
        <v>7946</v>
      </c>
    </row>
    <row r="3856" customFormat="false" ht="15" hidden="false" customHeight="false" outlineLevel="0" collapsed="false">
      <c r="B3856" s="48" t="n">
        <v>46245.9350231482</v>
      </c>
      <c r="C3856" s="4" t="n">
        <f aca="false">YEAR(B3856)</f>
        <v>2026</v>
      </c>
      <c r="D3856" s="49" t="s">
        <v>278</v>
      </c>
      <c r="E3856" s="49" t="s">
        <v>7947</v>
      </c>
      <c r="F3856" s="50" t="n">
        <v>3</v>
      </c>
      <c r="G3856" s="49" t="s">
        <v>280</v>
      </c>
      <c r="H3856" s="51" t="n">
        <v>0.8158</v>
      </c>
      <c r="I3856" s="51" t="n">
        <v>0.1705</v>
      </c>
      <c r="J3856" s="51" t="n">
        <v>0.0138</v>
      </c>
      <c r="K3856" s="49"/>
      <c r="L3856" s="49"/>
      <c r="M3856" s="49"/>
      <c r="N3856" s="49"/>
      <c r="O3856" s="49"/>
      <c r="P3856" s="49"/>
      <c r="Q3856" s="49"/>
      <c r="R3856" s="49"/>
      <c r="S3856" s="49" t="n">
        <v>0</v>
      </c>
      <c r="T3856" s="49" t="n">
        <v>0</v>
      </c>
      <c r="U3856" s="49" t="s">
        <v>7948</v>
      </c>
    </row>
    <row r="3857" customFormat="false" ht="15" hidden="false" customHeight="false" outlineLevel="0" collapsed="false">
      <c r="B3857" s="48" t="n">
        <v>46246.0491203704</v>
      </c>
      <c r="C3857" s="4" t="n">
        <f aca="false">YEAR(B3857)</f>
        <v>2026</v>
      </c>
      <c r="D3857" s="49" t="s">
        <v>278</v>
      </c>
      <c r="E3857" s="49" t="s">
        <v>7949</v>
      </c>
      <c r="F3857" s="50" t="n">
        <v>1</v>
      </c>
      <c r="G3857" s="49" t="s">
        <v>280</v>
      </c>
      <c r="H3857" s="51" t="n">
        <v>0.855</v>
      </c>
      <c r="I3857" s="51" t="n">
        <v>0.1316</v>
      </c>
      <c r="J3857" s="51" t="n">
        <v>0.0134</v>
      </c>
      <c r="K3857" s="49" t="s">
        <v>281</v>
      </c>
      <c r="L3857" s="49"/>
      <c r="M3857" s="49"/>
      <c r="N3857" s="49"/>
      <c r="O3857" s="49"/>
      <c r="P3857" s="49"/>
      <c r="Q3857" s="49"/>
      <c r="R3857" s="49" t="s">
        <v>281</v>
      </c>
      <c r="S3857" s="49" t="n">
        <v>0</v>
      </c>
      <c r="T3857" s="49" t="n">
        <v>0</v>
      </c>
      <c r="U3857" s="49" t="s">
        <v>7950</v>
      </c>
    </row>
    <row r="3858" customFormat="false" ht="15" hidden="false" customHeight="false" outlineLevel="0" collapsed="false">
      <c r="B3858" s="48" t="n">
        <v>46246.6732175926</v>
      </c>
      <c r="C3858" s="4" t="n">
        <f aca="false">YEAR(B3858)</f>
        <v>2026</v>
      </c>
      <c r="D3858" s="49" t="s">
        <v>278</v>
      </c>
      <c r="E3858" s="49" t="s">
        <v>7951</v>
      </c>
      <c r="F3858" s="50" t="n">
        <v>1</v>
      </c>
      <c r="G3858" s="49" t="s">
        <v>290</v>
      </c>
      <c r="H3858" s="51" t="n">
        <v>0.1916</v>
      </c>
      <c r="I3858" s="51" t="n">
        <v>0.7655</v>
      </c>
      <c r="J3858" s="51" t="n">
        <v>0.0428</v>
      </c>
      <c r="K3858" s="49"/>
      <c r="L3858" s="49"/>
      <c r="M3858" s="49"/>
      <c r="N3858" s="49"/>
      <c r="O3858" s="49"/>
      <c r="P3858" s="49"/>
      <c r="Q3858" s="49"/>
      <c r="R3858" s="49"/>
      <c r="S3858" s="49" t="n">
        <v>0</v>
      </c>
      <c r="T3858" s="49" t="n">
        <v>0</v>
      </c>
      <c r="U3858" s="49" t="s">
        <v>7952</v>
      </c>
    </row>
    <row r="3859" customFormat="false" ht="15" hidden="false" customHeight="false" outlineLevel="0" collapsed="false">
      <c r="B3859" s="48" t="n">
        <v>46246.7641666667</v>
      </c>
      <c r="C3859" s="4" t="n">
        <f aca="false">YEAR(B3859)</f>
        <v>2026</v>
      </c>
      <c r="D3859" s="49" t="s">
        <v>278</v>
      </c>
      <c r="E3859" s="49" t="s">
        <v>7953</v>
      </c>
      <c r="F3859" s="50" t="n">
        <v>0</v>
      </c>
      <c r="G3859" s="49" t="s">
        <v>290</v>
      </c>
      <c r="H3859" s="51" t="n">
        <v>0.035</v>
      </c>
      <c r="I3859" s="51" t="n">
        <v>0.5307</v>
      </c>
      <c r="J3859" s="51" t="n">
        <v>0.4343</v>
      </c>
      <c r="K3859" s="49"/>
      <c r="L3859" s="49"/>
      <c r="M3859" s="49"/>
      <c r="N3859" s="49"/>
      <c r="O3859" s="49"/>
      <c r="P3859" s="49"/>
      <c r="Q3859" s="49"/>
      <c r="R3859" s="49"/>
      <c r="S3859" s="49" t="n">
        <v>0</v>
      </c>
      <c r="T3859" s="49" t="n">
        <v>0</v>
      </c>
      <c r="U3859" s="49" t="s">
        <v>7954</v>
      </c>
    </row>
    <row r="3860" customFormat="false" ht="15" hidden="false" customHeight="false" outlineLevel="0" collapsed="false">
      <c r="B3860" s="48" t="n">
        <v>46247.216712963</v>
      </c>
      <c r="C3860" s="4" t="n">
        <f aca="false">YEAR(B3860)</f>
        <v>2026</v>
      </c>
      <c r="D3860" s="49" t="s">
        <v>278</v>
      </c>
      <c r="E3860" s="49" t="s">
        <v>7955</v>
      </c>
      <c r="F3860" s="50" t="n">
        <v>3</v>
      </c>
      <c r="G3860" s="49" t="s">
        <v>280</v>
      </c>
      <c r="H3860" s="51" t="n">
        <v>0.8394</v>
      </c>
      <c r="I3860" s="51" t="n">
        <v>0.1519</v>
      </c>
      <c r="J3860" s="51" t="n">
        <v>0.0087</v>
      </c>
      <c r="K3860" s="49"/>
      <c r="L3860" s="49"/>
      <c r="M3860" s="49"/>
      <c r="N3860" s="49"/>
      <c r="O3860" s="49"/>
      <c r="P3860" s="49"/>
      <c r="Q3860" s="49"/>
      <c r="R3860" s="49"/>
      <c r="S3860" s="49" t="n">
        <v>0</v>
      </c>
      <c r="T3860" s="49" t="n">
        <v>0</v>
      </c>
      <c r="U3860" s="49" t="s">
        <v>7956</v>
      </c>
    </row>
    <row r="3861" customFormat="false" ht="15" hidden="false" customHeight="false" outlineLevel="0" collapsed="false">
      <c r="B3861" s="48" t="n">
        <v>46247.509212963</v>
      </c>
      <c r="C3861" s="4" t="n">
        <f aca="false">YEAR(B3861)</f>
        <v>2026</v>
      </c>
      <c r="D3861" s="49" t="s">
        <v>278</v>
      </c>
      <c r="E3861" s="49" t="s">
        <v>7957</v>
      </c>
      <c r="F3861" s="50" t="n">
        <v>28</v>
      </c>
      <c r="G3861" s="49" t="s">
        <v>290</v>
      </c>
      <c r="H3861" s="51" t="n">
        <v>0.3623</v>
      </c>
      <c r="I3861" s="51" t="n">
        <v>0.593</v>
      </c>
      <c r="J3861" s="51" t="n">
        <v>0.0447</v>
      </c>
      <c r="K3861" s="49"/>
      <c r="L3861" s="49"/>
      <c r="M3861" s="49" t="s">
        <v>281</v>
      </c>
      <c r="N3861" s="49"/>
      <c r="O3861" s="49"/>
      <c r="P3861" s="49"/>
      <c r="Q3861" s="49"/>
      <c r="R3861" s="49"/>
      <c r="S3861" s="49" t="n">
        <v>0</v>
      </c>
      <c r="T3861" s="49" t="n">
        <v>1</v>
      </c>
      <c r="U3861" s="49" t="s">
        <v>7958</v>
      </c>
    </row>
    <row r="3862" customFormat="false" ht="15" hidden="false" customHeight="false" outlineLevel="0" collapsed="false">
      <c r="B3862" s="48" t="n">
        <v>46247.5182523148</v>
      </c>
      <c r="C3862" s="4" t="n">
        <f aca="false">YEAR(B3862)</f>
        <v>2026</v>
      </c>
      <c r="D3862" s="49" t="s">
        <v>278</v>
      </c>
      <c r="E3862" s="49" t="s">
        <v>7959</v>
      </c>
      <c r="F3862" s="50" t="n">
        <v>2</v>
      </c>
      <c r="G3862" s="49" t="s">
        <v>290</v>
      </c>
      <c r="H3862" s="51" t="n">
        <v>0.1687</v>
      </c>
      <c r="I3862" s="51" t="n">
        <v>0.527</v>
      </c>
      <c r="J3862" s="51" t="n">
        <v>0.3043</v>
      </c>
      <c r="K3862" s="49"/>
      <c r="L3862" s="49"/>
      <c r="M3862" s="49"/>
      <c r="N3862" s="49"/>
      <c r="O3862" s="49"/>
      <c r="P3862" s="49"/>
      <c r="Q3862" s="49"/>
      <c r="R3862" s="49"/>
      <c r="S3862" s="49" t="n">
        <v>0</v>
      </c>
      <c r="T3862" s="49" t="n">
        <v>1</v>
      </c>
      <c r="U3862" s="49" t="s">
        <v>7960</v>
      </c>
    </row>
    <row r="3863" customFormat="false" ht="15" hidden="false" customHeight="false" outlineLevel="0" collapsed="false">
      <c r="B3863" s="48" t="n">
        <v>46247.5309490741</v>
      </c>
      <c r="C3863" s="4" t="n">
        <f aca="false">YEAR(B3863)</f>
        <v>2026</v>
      </c>
      <c r="D3863" s="49" t="s">
        <v>283</v>
      </c>
      <c r="E3863" s="49" t="s">
        <v>7961</v>
      </c>
      <c r="F3863" s="50" t="n">
        <v>1</v>
      </c>
      <c r="G3863" s="49" t="s">
        <v>287</v>
      </c>
      <c r="H3863" s="51" t="n">
        <v>0.0058</v>
      </c>
      <c r="I3863" s="51" t="n">
        <v>0.3523</v>
      </c>
      <c r="J3863" s="51" t="n">
        <v>0.6419</v>
      </c>
      <c r="K3863" s="49"/>
      <c r="L3863" s="49"/>
      <c r="M3863" s="49"/>
      <c r="N3863" s="49"/>
      <c r="O3863" s="49"/>
      <c r="P3863" s="49"/>
      <c r="Q3863" s="49"/>
      <c r="R3863" s="49"/>
      <c r="S3863" s="49" t="n">
        <v>1</v>
      </c>
      <c r="T3863" s="49" t="n">
        <v>0</v>
      </c>
      <c r="U3863" s="49" t="s">
        <v>7962</v>
      </c>
    </row>
    <row r="3864" customFormat="false" ht="15" hidden="false" customHeight="false" outlineLevel="0" collapsed="false">
      <c r="B3864" s="48" t="n">
        <v>46247.6360300926</v>
      </c>
      <c r="C3864" s="4" t="n">
        <f aca="false">YEAR(B3864)</f>
        <v>2026</v>
      </c>
      <c r="D3864" s="49" t="s">
        <v>278</v>
      </c>
      <c r="E3864" s="49" t="s">
        <v>7963</v>
      </c>
      <c r="F3864" s="50" t="n">
        <v>0</v>
      </c>
      <c r="G3864" s="49" t="s">
        <v>280</v>
      </c>
      <c r="H3864" s="51" t="n">
        <v>0.7487</v>
      </c>
      <c r="I3864" s="51" t="n">
        <v>0.2026</v>
      </c>
      <c r="J3864" s="51" t="n">
        <v>0.0487</v>
      </c>
      <c r="K3864" s="49"/>
      <c r="L3864" s="49"/>
      <c r="M3864" s="49"/>
      <c r="N3864" s="49"/>
      <c r="O3864" s="49"/>
      <c r="P3864" s="49"/>
      <c r="Q3864" s="49"/>
      <c r="R3864" s="49"/>
      <c r="S3864" s="49" t="n">
        <v>0</v>
      </c>
      <c r="T3864" s="49" t="n">
        <v>1</v>
      </c>
      <c r="U3864" s="49" t="s">
        <v>7964</v>
      </c>
    </row>
    <row r="3865" customFormat="false" ht="15" hidden="false" customHeight="false" outlineLevel="0" collapsed="false">
      <c r="B3865" s="48" t="n">
        <v>46247.8790509259</v>
      </c>
      <c r="C3865" s="4" t="n">
        <f aca="false">YEAR(B3865)</f>
        <v>2026</v>
      </c>
      <c r="D3865" s="49" t="s">
        <v>278</v>
      </c>
      <c r="E3865" s="49" t="s">
        <v>7965</v>
      </c>
      <c r="F3865" s="50" t="n">
        <v>46</v>
      </c>
      <c r="G3865" s="49" t="s">
        <v>280</v>
      </c>
      <c r="H3865" s="51" t="n">
        <v>0.9067</v>
      </c>
      <c r="I3865" s="51" t="n">
        <v>0.0848</v>
      </c>
      <c r="J3865" s="51" t="n">
        <v>0.0085</v>
      </c>
      <c r="K3865" s="49"/>
      <c r="L3865" s="49"/>
      <c r="M3865" s="49"/>
      <c r="N3865" s="49"/>
      <c r="O3865" s="49"/>
      <c r="P3865" s="49"/>
      <c r="Q3865" s="49"/>
      <c r="R3865" s="49" t="s">
        <v>281</v>
      </c>
      <c r="S3865" s="49" t="n">
        <v>0</v>
      </c>
      <c r="T3865" s="49" t="n">
        <v>0</v>
      </c>
      <c r="U3865" s="49" t="s">
        <v>7966</v>
      </c>
    </row>
    <row r="3866" customFormat="false" ht="15" hidden="false" customHeight="false" outlineLevel="0" collapsed="false">
      <c r="B3866" s="48" t="n">
        <v>46247.9612152778</v>
      </c>
      <c r="C3866" s="4" t="n">
        <f aca="false">YEAR(B3866)</f>
        <v>2026</v>
      </c>
      <c r="D3866" s="49" t="s">
        <v>283</v>
      </c>
      <c r="E3866" s="49" t="s">
        <v>7967</v>
      </c>
      <c r="F3866" s="50" t="n">
        <v>2</v>
      </c>
      <c r="G3866" s="49" t="s">
        <v>287</v>
      </c>
      <c r="H3866" s="51" t="n">
        <v>0.0017</v>
      </c>
      <c r="I3866" s="51" t="n">
        <v>0.0341</v>
      </c>
      <c r="J3866" s="51" t="n">
        <v>0.9643</v>
      </c>
      <c r="K3866" s="49"/>
      <c r="L3866" s="49"/>
      <c r="M3866" s="49"/>
      <c r="N3866" s="49"/>
      <c r="O3866" s="49"/>
      <c r="P3866" s="49"/>
      <c r="Q3866" s="49"/>
      <c r="R3866" s="49"/>
      <c r="S3866" s="49" t="n">
        <v>0</v>
      </c>
      <c r="T3866" s="49" t="n">
        <v>0</v>
      </c>
      <c r="U3866" s="49" t="s">
        <v>7968</v>
      </c>
    </row>
    <row r="3867" customFormat="false" ht="15" hidden="false" customHeight="false" outlineLevel="0" collapsed="false">
      <c r="B3867" s="48" t="n">
        <v>46247.966087963</v>
      </c>
      <c r="C3867" s="4" t="n">
        <f aca="false">YEAR(B3867)</f>
        <v>2026</v>
      </c>
      <c r="D3867" s="49" t="s">
        <v>278</v>
      </c>
      <c r="E3867" s="49" t="s">
        <v>7969</v>
      </c>
      <c r="F3867" s="50" t="n">
        <v>3</v>
      </c>
      <c r="G3867" s="49" t="s">
        <v>280</v>
      </c>
      <c r="H3867" s="51" t="n">
        <v>0.7048</v>
      </c>
      <c r="I3867" s="51" t="n">
        <v>0.2805</v>
      </c>
      <c r="J3867" s="51" t="n">
        <v>0.0147</v>
      </c>
      <c r="K3867" s="49"/>
      <c r="L3867" s="49"/>
      <c r="M3867" s="49"/>
      <c r="N3867" s="49"/>
      <c r="O3867" s="49"/>
      <c r="P3867" s="49"/>
      <c r="Q3867" s="49"/>
      <c r="R3867" s="49"/>
      <c r="S3867" s="49" t="n">
        <v>0</v>
      </c>
      <c r="T3867" s="49" t="n">
        <v>0</v>
      </c>
      <c r="U3867" s="49" t="s">
        <v>7970</v>
      </c>
    </row>
    <row r="3868" customFormat="false" ht="15" hidden="false" customHeight="false" outlineLevel="0" collapsed="false">
      <c r="B3868" s="48" t="n">
        <v>46248.2758564815</v>
      </c>
      <c r="C3868" s="4" t="n">
        <f aca="false">YEAR(B3868)</f>
        <v>2026</v>
      </c>
      <c r="D3868" s="49" t="s">
        <v>283</v>
      </c>
      <c r="E3868" s="49" t="s">
        <v>7971</v>
      </c>
      <c r="F3868" s="50" t="n">
        <v>0</v>
      </c>
      <c r="G3868" s="49" t="s">
        <v>290</v>
      </c>
      <c r="H3868" s="51" t="n">
        <v>0.0117</v>
      </c>
      <c r="I3868" s="51" t="n">
        <v>0.5005</v>
      </c>
      <c r="J3868" s="51" t="n">
        <v>0.4879</v>
      </c>
      <c r="K3868" s="49"/>
      <c r="L3868" s="49"/>
      <c r="M3868" s="49"/>
      <c r="N3868" s="49"/>
      <c r="O3868" s="49"/>
      <c r="P3868" s="49"/>
      <c r="Q3868" s="49"/>
      <c r="R3868" s="49"/>
      <c r="S3868" s="49" t="n">
        <v>0</v>
      </c>
      <c r="T3868" s="49" t="n">
        <v>0</v>
      </c>
      <c r="U3868" s="49" t="s">
        <v>7972</v>
      </c>
    </row>
    <row r="3869" customFormat="false" ht="15" hidden="false" customHeight="false" outlineLevel="0" collapsed="false">
      <c r="B3869" s="48" t="n">
        <v>46248.3125</v>
      </c>
      <c r="C3869" s="4" t="n">
        <f aca="false">YEAR(B3869)</f>
        <v>2026</v>
      </c>
      <c r="D3869" s="49" t="s">
        <v>278</v>
      </c>
      <c r="E3869" s="49" t="s">
        <v>7973</v>
      </c>
      <c r="F3869" s="50" t="n">
        <v>1</v>
      </c>
      <c r="G3869" s="49" t="s">
        <v>287</v>
      </c>
      <c r="H3869" s="51" t="n">
        <v>0.0989</v>
      </c>
      <c r="I3869" s="51" t="n">
        <v>0.2189</v>
      </c>
      <c r="J3869" s="51" t="n">
        <v>0.6822</v>
      </c>
      <c r="K3869" s="49"/>
      <c r="L3869" s="49"/>
      <c r="M3869" s="49"/>
      <c r="N3869" s="49"/>
      <c r="O3869" s="49"/>
      <c r="P3869" s="49" t="s">
        <v>281</v>
      </c>
      <c r="Q3869" s="49"/>
      <c r="R3869" s="49"/>
      <c r="S3869" s="49" t="n">
        <v>0</v>
      </c>
      <c r="T3869" s="49" t="n">
        <v>0</v>
      </c>
      <c r="U3869" s="49" t="s">
        <v>7974</v>
      </c>
    </row>
    <row r="3870" customFormat="false" ht="15" hidden="false" customHeight="false" outlineLevel="0" collapsed="false">
      <c r="B3870" s="48" t="n">
        <v>46248.4003125</v>
      </c>
      <c r="C3870" s="4" t="n">
        <f aca="false">YEAR(B3870)</f>
        <v>2026</v>
      </c>
      <c r="D3870" s="49" t="s">
        <v>278</v>
      </c>
      <c r="E3870" s="49" t="s">
        <v>7975</v>
      </c>
      <c r="F3870" s="50" t="n">
        <v>0</v>
      </c>
      <c r="G3870" s="49" t="s">
        <v>287</v>
      </c>
      <c r="H3870" s="51" t="n">
        <v>0.1922</v>
      </c>
      <c r="I3870" s="51" t="n">
        <v>0.3808</v>
      </c>
      <c r="J3870" s="51" t="n">
        <v>0.427</v>
      </c>
      <c r="K3870" s="49"/>
      <c r="L3870" s="49"/>
      <c r="M3870" s="49"/>
      <c r="N3870" s="49"/>
      <c r="O3870" s="49"/>
      <c r="P3870" s="49" t="s">
        <v>281</v>
      </c>
      <c r="Q3870" s="49"/>
      <c r="R3870" s="49"/>
      <c r="S3870" s="49" t="n">
        <v>0</v>
      </c>
      <c r="T3870" s="49" t="n">
        <v>0</v>
      </c>
      <c r="U3870" s="49" t="s">
        <v>7976</v>
      </c>
    </row>
    <row r="3871" customFormat="false" ht="15" hidden="false" customHeight="false" outlineLevel="0" collapsed="false">
      <c r="B3871" s="48" t="n">
        <v>46248.4740740741</v>
      </c>
      <c r="C3871" s="4" t="n">
        <f aca="false">YEAR(B3871)</f>
        <v>2026</v>
      </c>
      <c r="D3871" s="49" t="s">
        <v>278</v>
      </c>
      <c r="E3871" s="49" t="s">
        <v>7977</v>
      </c>
      <c r="F3871" s="50" t="n">
        <v>1</v>
      </c>
      <c r="G3871" s="49" t="s">
        <v>290</v>
      </c>
      <c r="H3871" s="51" t="n">
        <v>0.0497</v>
      </c>
      <c r="I3871" s="51" t="n">
        <v>0.8232</v>
      </c>
      <c r="J3871" s="51" t="n">
        <v>0.1271</v>
      </c>
      <c r="K3871" s="49"/>
      <c r="L3871" s="49"/>
      <c r="M3871" s="49"/>
      <c r="N3871" s="49"/>
      <c r="O3871" s="49" t="s">
        <v>281</v>
      </c>
      <c r="P3871" s="49"/>
      <c r="Q3871" s="49" t="s">
        <v>281</v>
      </c>
      <c r="R3871" s="49"/>
      <c r="S3871" s="49" t="n">
        <v>0</v>
      </c>
      <c r="T3871" s="49" t="n">
        <v>0</v>
      </c>
      <c r="U3871" s="49" t="s">
        <v>7978</v>
      </c>
    </row>
    <row r="3872" customFormat="false" ht="15" hidden="false" customHeight="false" outlineLevel="0" collapsed="false">
      <c r="B3872" s="48" t="n">
        <v>46248.6430671296</v>
      </c>
      <c r="C3872" s="4" t="n">
        <f aca="false">YEAR(B3872)</f>
        <v>2026</v>
      </c>
      <c r="D3872" s="49" t="s">
        <v>278</v>
      </c>
      <c r="E3872" s="49" t="s">
        <v>7979</v>
      </c>
      <c r="F3872" s="50" t="n">
        <v>0</v>
      </c>
      <c r="G3872" s="49" t="s">
        <v>287</v>
      </c>
      <c r="H3872" s="51" t="n">
        <v>0.2168</v>
      </c>
      <c r="I3872" s="51" t="n">
        <v>0.3714</v>
      </c>
      <c r="J3872" s="51" t="n">
        <v>0.4118</v>
      </c>
      <c r="K3872" s="49"/>
      <c r="L3872" s="49"/>
      <c r="M3872" s="49"/>
      <c r="N3872" s="49"/>
      <c r="O3872" s="49"/>
      <c r="P3872" s="49" t="s">
        <v>281</v>
      </c>
      <c r="Q3872" s="49"/>
      <c r="R3872" s="49"/>
      <c r="S3872" s="49" t="n">
        <v>0</v>
      </c>
      <c r="T3872" s="49" t="n">
        <v>0</v>
      </c>
      <c r="U3872" s="49" t="s">
        <v>7980</v>
      </c>
    </row>
    <row r="3873" customFormat="false" ht="15" hidden="false" customHeight="false" outlineLevel="0" collapsed="false">
      <c r="B3873" s="48" t="n">
        <v>46248.6847916667</v>
      </c>
      <c r="C3873" s="4" t="n">
        <f aca="false">YEAR(B3873)</f>
        <v>2026</v>
      </c>
      <c r="D3873" s="49" t="s">
        <v>278</v>
      </c>
      <c r="E3873" s="49" t="s">
        <v>7981</v>
      </c>
      <c r="F3873" s="50" t="n">
        <v>2</v>
      </c>
      <c r="G3873" s="49" t="s">
        <v>290</v>
      </c>
      <c r="H3873" s="51" t="n">
        <v>0.2085</v>
      </c>
      <c r="I3873" s="51" t="n">
        <v>0.5954</v>
      </c>
      <c r="J3873" s="51" t="n">
        <v>0.1961</v>
      </c>
      <c r="K3873" s="49"/>
      <c r="L3873" s="49"/>
      <c r="M3873" s="49"/>
      <c r="N3873" s="49"/>
      <c r="O3873" s="49"/>
      <c r="P3873" s="49"/>
      <c r="Q3873" s="49"/>
      <c r="R3873" s="49"/>
      <c r="S3873" s="49" t="n">
        <v>0</v>
      </c>
      <c r="T3873" s="49" t="n">
        <v>0</v>
      </c>
      <c r="U3873" s="49" t="s">
        <v>7982</v>
      </c>
    </row>
    <row r="3874" customFormat="false" ht="15" hidden="false" customHeight="false" outlineLevel="0" collapsed="false">
      <c r="B3874" s="48" t="n">
        <v>46248.7464583333</v>
      </c>
      <c r="C3874" s="4" t="n">
        <f aca="false">YEAR(B3874)</f>
        <v>2026</v>
      </c>
      <c r="D3874" s="49" t="s">
        <v>278</v>
      </c>
      <c r="E3874" s="49" t="s">
        <v>7983</v>
      </c>
      <c r="F3874" s="50" t="n">
        <v>0</v>
      </c>
      <c r="G3874" s="49" t="s">
        <v>290</v>
      </c>
      <c r="H3874" s="51" t="n">
        <v>0.0087</v>
      </c>
      <c r="I3874" s="51" t="n">
        <v>0.5319</v>
      </c>
      <c r="J3874" s="51" t="n">
        <v>0.4594</v>
      </c>
      <c r="K3874" s="49"/>
      <c r="L3874" s="49"/>
      <c r="M3874" s="49"/>
      <c r="N3874" s="49"/>
      <c r="O3874" s="49"/>
      <c r="P3874" s="49"/>
      <c r="Q3874" s="49" t="s">
        <v>281</v>
      </c>
      <c r="R3874" s="49"/>
      <c r="S3874" s="49" t="n">
        <v>0</v>
      </c>
      <c r="T3874" s="49" t="n">
        <v>0</v>
      </c>
      <c r="U3874" s="49" t="s">
        <v>7984</v>
      </c>
    </row>
    <row r="3875" customFormat="false" ht="15" hidden="false" customHeight="false" outlineLevel="0" collapsed="false">
      <c r="B3875" s="48" t="n">
        <v>46249.8616898148</v>
      </c>
      <c r="C3875" s="4" t="n">
        <f aca="false">YEAR(B3875)</f>
        <v>2026</v>
      </c>
      <c r="D3875" s="49" t="s">
        <v>278</v>
      </c>
      <c r="E3875" s="49" t="s">
        <v>7985</v>
      </c>
      <c r="F3875" s="50" t="n">
        <v>0</v>
      </c>
      <c r="G3875" s="49" t="s">
        <v>287</v>
      </c>
      <c r="H3875" s="51" t="n">
        <v>0.0041</v>
      </c>
      <c r="I3875" s="51" t="n">
        <v>0.4189</v>
      </c>
      <c r="J3875" s="51" t="n">
        <v>0.577</v>
      </c>
      <c r="K3875" s="49"/>
      <c r="L3875" s="49"/>
      <c r="M3875" s="49"/>
      <c r="N3875" s="49"/>
      <c r="O3875" s="49"/>
      <c r="P3875" s="49"/>
      <c r="Q3875" s="49"/>
      <c r="R3875" s="49" t="s">
        <v>281</v>
      </c>
      <c r="S3875" s="49" t="n">
        <v>0</v>
      </c>
      <c r="T3875" s="49" t="n">
        <v>0</v>
      </c>
      <c r="U3875" s="49" t="s">
        <v>7986</v>
      </c>
    </row>
    <row r="3876" customFormat="false" ht="15" hidden="false" customHeight="false" outlineLevel="0" collapsed="false">
      <c r="B3876" s="48" t="n">
        <v>46250.1311458333</v>
      </c>
      <c r="C3876" s="4" t="n">
        <f aca="false">YEAR(B3876)</f>
        <v>2026</v>
      </c>
      <c r="D3876" s="49" t="s">
        <v>283</v>
      </c>
      <c r="E3876" s="49" t="s">
        <v>7987</v>
      </c>
      <c r="F3876" s="50" t="n">
        <v>1</v>
      </c>
      <c r="G3876" s="49" t="s">
        <v>290</v>
      </c>
      <c r="H3876" s="51" t="n">
        <v>0.0069</v>
      </c>
      <c r="I3876" s="51" t="n">
        <v>0.6397</v>
      </c>
      <c r="J3876" s="51" t="n">
        <v>0.3533</v>
      </c>
      <c r="K3876" s="49"/>
      <c r="L3876" s="49"/>
      <c r="M3876" s="49"/>
      <c r="N3876" s="49"/>
      <c r="O3876" s="49"/>
      <c r="P3876" s="49"/>
      <c r="Q3876" s="49"/>
      <c r="R3876" s="49"/>
      <c r="S3876" s="49" t="n">
        <v>0</v>
      </c>
      <c r="T3876" s="49" t="n">
        <v>0</v>
      </c>
      <c r="U3876" s="49" t="s">
        <v>7988</v>
      </c>
    </row>
    <row r="3877" customFormat="false" ht="15" hidden="false" customHeight="false" outlineLevel="0" collapsed="false">
      <c r="B3877" s="48" t="n">
        <v>46250.5224189815</v>
      </c>
      <c r="C3877" s="4" t="n">
        <f aca="false">YEAR(B3877)</f>
        <v>2026</v>
      </c>
      <c r="D3877" s="49" t="s">
        <v>278</v>
      </c>
      <c r="E3877" s="49" t="s">
        <v>7989</v>
      </c>
      <c r="F3877" s="50" t="n">
        <v>1</v>
      </c>
      <c r="G3877" s="49" t="s">
        <v>290</v>
      </c>
      <c r="H3877" s="51" t="n">
        <v>0.3974</v>
      </c>
      <c r="I3877" s="51" t="n">
        <v>0.5801</v>
      </c>
      <c r="J3877" s="51" t="n">
        <v>0.0225</v>
      </c>
      <c r="K3877" s="49"/>
      <c r="L3877" s="49"/>
      <c r="M3877" s="49"/>
      <c r="N3877" s="49"/>
      <c r="O3877" s="49"/>
      <c r="P3877" s="49"/>
      <c r="Q3877" s="49"/>
      <c r="R3877" s="49"/>
      <c r="S3877" s="49" t="n">
        <v>0</v>
      </c>
      <c r="T3877" s="49" t="n">
        <v>0</v>
      </c>
      <c r="U3877" s="49" t="s">
        <v>7990</v>
      </c>
    </row>
    <row r="3878" customFormat="false" ht="15" hidden="false" customHeight="false" outlineLevel="0" collapsed="false">
      <c r="B3878" s="48" t="n">
        <v>46250.7403009259</v>
      </c>
      <c r="C3878" s="4" t="n">
        <f aca="false">YEAR(B3878)</f>
        <v>2026</v>
      </c>
      <c r="D3878" s="49" t="s">
        <v>278</v>
      </c>
      <c r="E3878" s="49" t="s">
        <v>7991</v>
      </c>
      <c r="F3878" s="50" t="n">
        <v>2</v>
      </c>
      <c r="G3878" s="49" t="s">
        <v>290</v>
      </c>
      <c r="H3878" s="51" t="n">
        <v>0.2334</v>
      </c>
      <c r="I3878" s="51" t="n">
        <v>0.7403</v>
      </c>
      <c r="J3878" s="51" t="n">
        <v>0.0263</v>
      </c>
      <c r="K3878" s="49"/>
      <c r="L3878" s="49"/>
      <c r="M3878" s="49"/>
      <c r="N3878" s="49"/>
      <c r="O3878" s="49"/>
      <c r="P3878" s="49"/>
      <c r="Q3878" s="49"/>
      <c r="R3878" s="49"/>
      <c r="S3878" s="49" t="n">
        <v>0</v>
      </c>
      <c r="T3878" s="49" t="n">
        <v>0</v>
      </c>
      <c r="U3878" s="49" t="s">
        <v>7992</v>
      </c>
    </row>
    <row r="3879" customFormat="false" ht="15" hidden="false" customHeight="false" outlineLevel="0" collapsed="false">
      <c r="B3879" s="48" t="n">
        <v>46250.7643055556</v>
      </c>
      <c r="C3879" s="4" t="n">
        <f aca="false">YEAR(B3879)</f>
        <v>2026</v>
      </c>
      <c r="D3879" s="49" t="s">
        <v>278</v>
      </c>
      <c r="E3879" s="49" t="s">
        <v>7993</v>
      </c>
      <c r="F3879" s="50" t="n">
        <v>0</v>
      </c>
      <c r="G3879" s="49" t="s">
        <v>280</v>
      </c>
      <c r="H3879" s="51" t="n">
        <v>0.6863</v>
      </c>
      <c r="I3879" s="51" t="n">
        <v>0.3043</v>
      </c>
      <c r="J3879" s="51" t="n">
        <v>0.0093</v>
      </c>
      <c r="K3879" s="49"/>
      <c r="L3879" s="49"/>
      <c r="M3879" s="49"/>
      <c r="N3879" s="49"/>
      <c r="O3879" s="49"/>
      <c r="P3879" s="49"/>
      <c r="Q3879" s="49"/>
      <c r="R3879" s="49"/>
      <c r="S3879" s="49" t="n">
        <v>0</v>
      </c>
      <c r="T3879" s="49" t="n">
        <v>0</v>
      </c>
      <c r="U3879" s="49" t="s">
        <v>7994</v>
      </c>
    </row>
    <row r="3880" customFormat="false" ht="15" hidden="false" customHeight="false" outlineLevel="0" collapsed="false">
      <c r="B3880" s="48" t="n">
        <v>46250.7723148148</v>
      </c>
      <c r="C3880" s="4" t="n">
        <f aca="false">YEAR(B3880)</f>
        <v>2026</v>
      </c>
      <c r="D3880" s="49" t="s">
        <v>283</v>
      </c>
      <c r="E3880" s="49" t="s">
        <v>7995</v>
      </c>
      <c r="F3880" s="50" t="n">
        <v>2</v>
      </c>
      <c r="G3880" s="49" t="s">
        <v>287</v>
      </c>
      <c r="H3880" s="51" t="n">
        <v>0.0072</v>
      </c>
      <c r="I3880" s="51" t="n">
        <v>0.3924</v>
      </c>
      <c r="J3880" s="51" t="n">
        <v>0.6005</v>
      </c>
      <c r="K3880" s="49"/>
      <c r="L3880" s="49"/>
      <c r="M3880" s="49"/>
      <c r="N3880" s="49"/>
      <c r="O3880" s="49"/>
      <c r="P3880" s="49"/>
      <c r="Q3880" s="49"/>
      <c r="R3880" s="49"/>
      <c r="S3880" s="49" t="n">
        <v>0</v>
      </c>
      <c r="T3880" s="49" t="n">
        <v>0</v>
      </c>
      <c r="U3880" s="49" t="s">
        <v>7996</v>
      </c>
    </row>
    <row r="3881" customFormat="false" ht="15" hidden="false" customHeight="false" outlineLevel="0" collapsed="false">
      <c r="B3881" s="48" t="n">
        <v>46250.9404976852</v>
      </c>
      <c r="C3881" s="4" t="n">
        <f aca="false">YEAR(B3881)</f>
        <v>2026</v>
      </c>
      <c r="D3881" s="49" t="s">
        <v>283</v>
      </c>
      <c r="E3881" s="49" t="s">
        <v>7997</v>
      </c>
      <c r="F3881" s="50" t="n">
        <v>1</v>
      </c>
      <c r="G3881" s="49" t="s">
        <v>290</v>
      </c>
      <c r="H3881" s="51" t="n">
        <v>0.0192</v>
      </c>
      <c r="I3881" s="51" t="n">
        <v>0.8394</v>
      </c>
      <c r="J3881" s="51" t="n">
        <v>0.1414</v>
      </c>
      <c r="K3881" s="49"/>
      <c r="L3881" s="49"/>
      <c r="M3881" s="49"/>
      <c r="N3881" s="49"/>
      <c r="O3881" s="49"/>
      <c r="P3881" s="49"/>
      <c r="Q3881" s="49"/>
      <c r="R3881" s="49"/>
      <c r="S3881" s="49" t="n">
        <v>1</v>
      </c>
      <c r="T3881" s="49" t="n">
        <v>0</v>
      </c>
      <c r="U3881" s="49" t="s">
        <v>7998</v>
      </c>
    </row>
    <row r="3882" customFormat="false" ht="15" hidden="false" customHeight="false" outlineLevel="0" collapsed="false">
      <c r="B3882" s="48" t="n">
        <v>46251.2790393519</v>
      </c>
      <c r="C3882" s="4" t="n">
        <f aca="false">YEAR(B3882)</f>
        <v>2026</v>
      </c>
      <c r="D3882" s="49" t="s">
        <v>278</v>
      </c>
      <c r="E3882" s="49" t="s">
        <v>7999</v>
      </c>
      <c r="F3882" s="50" t="n">
        <v>8</v>
      </c>
      <c r="G3882" s="49" t="s">
        <v>287</v>
      </c>
      <c r="H3882" s="51" t="n">
        <v>0.0053</v>
      </c>
      <c r="I3882" s="51" t="n">
        <v>0.1725</v>
      </c>
      <c r="J3882" s="51" t="n">
        <v>0.8223</v>
      </c>
      <c r="K3882" s="49"/>
      <c r="L3882" s="49"/>
      <c r="M3882" s="49"/>
      <c r="N3882" s="49"/>
      <c r="O3882" s="49"/>
      <c r="P3882" s="49"/>
      <c r="Q3882" s="49"/>
      <c r="R3882" s="49"/>
      <c r="S3882" s="49" t="n">
        <v>0</v>
      </c>
      <c r="T3882" s="49" t="n">
        <v>0</v>
      </c>
      <c r="U3882" s="49" t="s">
        <v>8000</v>
      </c>
    </row>
    <row r="3883" customFormat="false" ht="15" hidden="false" customHeight="false" outlineLevel="0" collapsed="false">
      <c r="B3883" s="48" t="n">
        <v>46251.5881944444</v>
      </c>
      <c r="C3883" s="4" t="n">
        <f aca="false">YEAR(B3883)</f>
        <v>2026</v>
      </c>
      <c r="D3883" s="49" t="s">
        <v>278</v>
      </c>
      <c r="E3883" s="49" t="s">
        <v>8001</v>
      </c>
      <c r="F3883" s="50" t="n">
        <v>1</v>
      </c>
      <c r="G3883" s="49" t="s">
        <v>280</v>
      </c>
      <c r="H3883" s="51" t="n">
        <v>0.5786</v>
      </c>
      <c r="I3883" s="51" t="n">
        <v>0.405</v>
      </c>
      <c r="J3883" s="51" t="n">
        <v>0.0164</v>
      </c>
      <c r="K3883" s="49"/>
      <c r="L3883" s="49"/>
      <c r="M3883" s="49"/>
      <c r="N3883" s="49"/>
      <c r="O3883" s="49"/>
      <c r="P3883" s="49"/>
      <c r="Q3883" s="49"/>
      <c r="R3883" s="49"/>
      <c r="S3883" s="49" t="n">
        <v>0</v>
      </c>
      <c r="T3883" s="49" t="n">
        <v>0</v>
      </c>
      <c r="U3883" s="49" t="s">
        <v>8002</v>
      </c>
    </row>
    <row r="3884" customFormat="false" ht="15" hidden="false" customHeight="false" outlineLevel="0" collapsed="false">
      <c r="B3884" s="48" t="n">
        <v>46251.8250925926</v>
      </c>
      <c r="C3884" s="4" t="n">
        <f aca="false">YEAR(B3884)</f>
        <v>2026</v>
      </c>
      <c r="D3884" s="49" t="s">
        <v>278</v>
      </c>
      <c r="E3884" s="49" t="s">
        <v>8003</v>
      </c>
      <c r="F3884" s="50" t="n">
        <v>1</v>
      </c>
      <c r="G3884" s="49" t="s">
        <v>287</v>
      </c>
      <c r="H3884" s="51" t="n">
        <v>0.004</v>
      </c>
      <c r="I3884" s="51" t="n">
        <v>0.029</v>
      </c>
      <c r="J3884" s="51" t="n">
        <v>0.967</v>
      </c>
      <c r="K3884" s="49"/>
      <c r="L3884" s="49"/>
      <c r="M3884" s="49"/>
      <c r="N3884" s="49"/>
      <c r="O3884" s="49"/>
      <c r="P3884" s="49"/>
      <c r="Q3884" s="49" t="s">
        <v>281</v>
      </c>
      <c r="R3884" s="49"/>
      <c r="S3884" s="49" t="n">
        <v>0</v>
      </c>
      <c r="T3884" s="49" t="n">
        <v>0</v>
      </c>
      <c r="U3884" s="49" t="s">
        <v>8004</v>
      </c>
    </row>
    <row r="3885" customFormat="false" ht="15" hidden="false" customHeight="false" outlineLevel="0" collapsed="false">
      <c r="B3885" s="48" t="n">
        <v>46252.4678009259</v>
      </c>
      <c r="C3885" s="4" t="n">
        <f aca="false">YEAR(B3885)</f>
        <v>2026</v>
      </c>
      <c r="D3885" s="49" t="s">
        <v>278</v>
      </c>
      <c r="E3885" s="49" t="s">
        <v>8005</v>
      </c>
      <c r="F3885" s="50" t="n">
        <v>1</v>
      </c>
      <c r="G3885" s="49" t="s">
        <v>290</v>
      </c>
      <c r="H3885" s="51" t="n">
        <v>0.0125</v>
      </c>
      <c r="I3885" s="51" t="n">
        <v>0.6102</v>
      </c>
      <c r="J3885" s="51" t="n">
        <v>0.3773</v>
      </c>
      <c r="K3885" s="49"/>
      <c r="L3885" s="49"/>
      <c r="M3885" s="49"/>
      <c r="N3885" s="49"/>
      <c r="O3885" s="49"/>
      <c r="P3885" s="49"/>
      <c r="Q3885" s="49"/>
      <c r="R3885" s="49"/>
      <c r="S3885" s="49" t="n">
        <v>0</v>
      </c>
      <c r="T3885" s="49" t="n">
        <v>0</v>
      </c>
      <c r="U3885" s="49" t="s">
        <v>8006</v>
      </c>
    </row>
    <row r="3886" customFormat="false" ht="15" hidden="false" customHeight="false" outlineLevel="0" collapsed="false">
      <c r="B3886" s="48" t="n">
        <v>46252.480150463</v>
      </c>
      <c r="C3886" s="4" t="n">
        <f aca="false">YEAR(B3886)</f>
        <v>2026</v>
      </c>
      <c r="D3886" s="49" t="s">
        <v>278</v>
      </c>
      <c r="E3886" s="49" t="s">
        <v>8007</v>
      </c>
      <c r="F3886" s="50" t="n">
        <v>0</v>
      </c>
      <c r="G3886" s="49" t="s">
        <v>280</v>
      </c>
      <c r="H3886" s="51" t="n">
        <v>0.7458</v>
      </c>
      <c r="I3886" s="51" t="n">
        <v>0.2308</v>
      </c>
      <c r="J3886" s="51" t="n">
        <v>0.0234</v>
      </c>
      <c r="K3886" s="49"/>
      <c r="L3886" s="49"/>
      <c r="M3886" s="49"/>
      <c r="N3886" s="49"/>
      <c r="O3886" s="49"/>
      <c r="P3886" s="49"/>
      <c r="Q3886" s="49"/>
      <c r="R3886" s="49" t="s">
        <v>281</v>
      </c>
      <c r="S3886" s="49" t="n">
        <v>0</v>
      </c>
      <c r="T3886" s="49" t="n">
        <v>0</v>
      </c>
      <c r="U3886" s="49" t="s">
        <v>8008</v>
      </c>
    </row>
    <row r="3887" customFormat="false" ht="15" hidden="false" customHeight="false" outlineLevel="0" collapsed="false">
      <c r="B3887" s="48" t="n">
        <v>46252.5984606482</v>
      </c>
      <c r="C3887" s="4" t="n">
        <f aca="false">YEAR(B3887)</f>
        <v>2026</v>
      </c>
      <c r="D3887" s="49" t="s">
        <v>278</v>
      </c>
      <c r="E3887" s="49" t="s">
        <v>8009</v>
      </c>
      <c r="F3887" s="50" t="n">
        <v>3</v>
      </c>
      <c r="G3887" s="49" t="s">
        <v>290</v>
      </c>
      <c r="H3887" s="51" t="n">
        <v>0.1348</v>
      </c>
      <c r="I3887" s="51" t="n">
        <v>0.7883</v>
      </c>
      <c r="J3887" s="51" t="n">
        <v>0.0769</v>
      </c>
      <c r="K3887" s="49"/>
      <c r="L3887" s="49"/>
      <c r="M3887" s="49"/>
      <c r="N3887" s="49"/>
      <c r="O3887" s="49"/>
      <c r="P3887" s="49"/>
      <c r="Q3887" s="49"/>
      <c r="R3887" s="49"/>
      <c r="S3887" s="49" t="n">
        <v>0</v>
      </c>
      <c r="T3887" s="49" t="n">
        <v>0</v>
      </c>
      <c r="U3887" s="49" t="s">
        <v>8010</v>
      </c>
    </row>
    <row r="3888" customFormat="false" ht="15" hidden="false" customHeight="false" outlineLevel="0" collapsed="false">
      <c r="B3888" s="48" t="n">
        <v>46252.6559375</v>
      </c>
      <c r="C3888" s="4" t="n">
        <f aca="false">YEAR(B3888)</f>
        <v>2026</v>
      </c>
      <c r="D3888" s="49" t="s">
        <v>278</v>
      </c>
      <c r="E3888" s="49" t="s">
        <v>8011</v>
      </c>
      <c r="F3888" s="50" t="n">
        <v>0</v>
      </c>
      <c r="G3888" s="49" t="s">
        <v>290</v>
      </c>
      <c r="H3888" s="51" t="n">
        <v>0.0546</v>
      </c>
      <c r="I3888" s="51" t="n">
        <v>0.7437</v>
      </c>
      <c r="J3888" s="51" t="n">
        <v>0.2017</v>
      </c>
      <c r="K3888" s="49"/>
      <c r="L3888" s="49"/>
      <c r="M3888" s="49"/>
      <c r="N3888" s="49"/>
      <c r="O3888" s="49"/>
      <c r="P3888" s="49"/>
      <c r="Q3888" s="49" t="s">
        <v>281</v>
      </c>
      <c r="R3888" s="49"/>
      <c r="S3888" s="49" t="n">
        <v>0</v>
      </c>
      <c r="T3888" s="49" t="n">
        <v>0</v>
      </c>
      <c r="U3888" s="49" t="s">
        <v>8012</v>
      </c>
    </row>
    <row r="3889" customFormat="false" ht="15" hidden="false" customHeight="false" outlineLevel="0" collapsed="false">
      <c r="B3889" s="48" t="n">
        <v>46252.6807638889</v>
      </c>
      <c r="C3889" s="4" t="n">
        <f aca="false">YEAR(B3889)</f>
        <v>2026</v>
      </c>
      <c r="D3889" s="49" t="s">
        <v>278</v>
      </c>
      <c r="E3889" s="49" t="s">
        <v>8013</v>
      </c>
      <c r="F3889" s="50" t="n">
        <v>3</v>
      </c>
      <c r="G3889" s="49" t="s">
        <v>290</v>
      </c>
      <c r="H3889" s="51" t="n">
        <v>0.1527</v>
      </c>
      <c r="I3889" s="51" t="n">
        <v>0.6955</v>
      </c>
      <c r="J3889" s="51" t="n">
        <v>0.1519</v>
      </c>
      <c r="K3889" s="49"/>
      <c r="L3889" s="49"/>
      <c r="M3889" s="49"/>
      <c r="N3889" s="49"/>
      <c r="O3889" s="49"/>
      <c r="P3889" s="49"/>
      <c r="Q3889" s="49"/>
      <c r="R3889" s="49"/>
      <c r="S3889" s="49" t="n">
        <v>0</v>
      </c>
      <c r="T3889" s="49" t="n">
        <v>0</v>
      </c>
      <c r="U3889" s="49" t="s">
        <v>8014</v>
      </c>
    </row>
    <row r="3890" customFormat="false" ht="15" hidden="false" customHeight="false" outlineLevel="0" collapsed="false">
      <c r="B3890" s="48" t="n">
        <v>46252.9961111111</v>
      </c>
      <c r="C3890" s="4" t="n">
        <f aca="false">YEAR(B3890)</f>
        <v>2026</v>
      </c>
      <c r="D3890" s="49" t="s">
        <v>278</v>
      </c>
      <c r="E3890" s="49" t="s">
        <v>8015</v>
      </c>
      <c r="F3890" s="50" t="n">
        <v>0</v>
      </c>
      <c r="G3890" s="49" t="s">
        <v>290</v>
      </c>
      <c r="H3890" s="51" t="n">
        <v>0.4157</v>
      </c>
      <c r="I3890" s="51" t="n">
        <v>0.5321</v>
      </c>
      <c r="J3890" s="51" t="n">
        <v>0.0522</v>
      </c>
      <c r="K3890" s="49"/>
      <c r="L3890" s="49"/>
      <c r="M3890" s="49"/>
      <c r="N3890" s="49"/>
      <c r="O3890" s="49"/>
      <c r="P3890" s="49"/>
      <c r="Q3890" s="49"/>
      <c r="R3890" s="49" t="s">
        <v>281</v>
      </c>
      <c r="S3890" s="49" t="n">
        <v>0</v>
      </c>
      <c r="T3890" s="49" t="n">
        <v>0</v>
      </c>
      <c r="U3890" s="49" t="s">
        <v>8016</v>
      </c>
    </row>
    <row r="3891" customFormat="false" ht="15" hidden="false" customHeight="false" outlineLevel="0" collapsed="false">
      <c r="B3891" s="48" t="n">
        <v>46253.5951967593</v>
      </c>
      <c r="C3891" s="4" t="n">
        <f aca="false">YEAR(B3891)</f>
        <v>2026</v>
      </c>
      <c r="D3891" s="49" t="s">
        <v>278</v>
      </c>
      <c r="E3891" s="49" t="s">
        <v>8017</v>
      </c>
      <c r="F3891" s="50" t="n">
        <v>0</v>
      </c>
      <c r="G3891" s="49" t="s">
        <v>280</v>
      </c>
      <c r="H3891" s="51" t="n">
        <v>0.8488</v>
      </c>
      <c r="I3891" s="51" t="n">
        <v>0.1429</v>
      </c>
      <c r="J3891" s="51" t="n">
        <v>0.0083</v>
      </c>
      <c r="K3891" s="49"/>
      <c r="L3891" s="49"/>
      <c r="M3891" s="49"/>
      <c r="N3891" s="49"/>
      <c r="O3891" s="49"/>
      <c r="P3891" s="49"/>
      <c r="Q3891" s="49"/>
      <c r="R3891" s="49"/>
      <c r="S3891" s="49" t="n">
        <v>0</v>
      </c>
      <c r="T3891" s="49" t="n">
        <v>0</v>
      </c>
      <c r="U3891" s="49" t="s">
        <v>8018</v>
      </c>
    </row>
    <row r="3892" customFormat="false" ht="15" hidden="false" customHeight="false" outlineLevel="0" collapsed="false">
      <c r="B3892" s="48" t="n">
        <v>46253.7441550926</v>
      </c>
      <c r="C3892" s="4" t="n">
        <f aca="false">YEAR(B3892)</f>
        <v>2026</v>
      </c>
      <c r="D3892" s="49" t="s">
        <v>278</v>
      </c>
      <c r="E3892" s="49" t="s">
        <v>8019</v>
      </c>
      <c r="F3892" s="50" t="n">
        <v>2</v>
      </c>
      <c r="G3892" s="49" t="s">
        <v>287</v>
      </c>
      <c r="H3892" s="51" t="n">
        <v>0.0116</v>
      </c>
      <c r="I3892" s="51" t="n">
        <v>0.0881</v>
      </c>
      <c r="J3892" s="51" t="n">
        <v>0.9003</v>
      </c>
      <c r="K3892" s="49" t="s">
        <v>281</v>
      </c>
      <c r="L3892" s="49"/>
      <c r="M3892" s="49"/>
      <c r="N3892" s="49"/>
      <c r="O3892" s="49"/>
      <c r="P3892" s="49"/>
      <c r="Q3892" s="49"/>
      <c r="R3892" s="49"/>
      <c r="S3892" s="49" t="n">
        <v>0</v>
      </c>
      <c r="T3892" s="49" t="n">
        <v>0</v>
      </c>
      <c r="U3892" s="49" t="s">
        <v>8020</v>
      </c>
    </row>
    <row r="3893" customFormat="false" ht="15" hidden="false" customHeight="false" outlineLevel="0" collapsed="false">
      <c r="B3893" s="48" t="n">
        <v>46253.7530208333</v>
      </c>
      <c r="C3893" s="4" t="n">
        <f aca="false">YEAR(B3893)</f>
        <v>2026</v>
      </c>
      <c r="D3893" s="49" t="s">
        <v>278</v>
      </c>
      <c r="E3893" s="49" t="s">
        <v>8021</v>
      </c>
      <c r="F3893" s="50" t="n">
        <v>0</v>
      </c>
      <c r="G3893" s="49" t="s">
        <v>280</v>
      </c>
      <c r="H3893" s="51" t="n">
        <v>0.5157</v>
      </c>
      <c r="I3893" s="51" t="n">
        <v>0.4472</v>
      </c>
      <c r="J3893" s="51" t="n">
        <v>0.0371</v>
      </c>
      <c r="K3893" s="49"/>
      <c r="L3893" s="49"/>
      <c r="M3893" s="49"/>
      <c r="N3893" s="49"/>
      <c r="O3893" s="49"/>
      <c r="P3893" s="49"/>
      <c r="Q3893" s="49"/>
      <c r="R3893" s="49"/>
      <c r="S3893" s="49" t="n">
        <v>0</v>
      </c>
      <c r="T3893" s="49" t="n">
        <v>0</v>
      </c>
      <c r="U3893" s="49" t="s">
        <v>8022</v>
      </c>
    </row>
    <row r="3894" customFormat="false" ht="15" hidden="false" customHeight="false" outlineLevel="0" collapsed="false">
      <c r="B3894" s="48" t="n">
        <v>46253.842974537</v>
      </c>
      <c r="C3894" s="4" t="n">
        <f aca="false">YEAR(B3894)</f>
        <v>2026</v>
      </c>
      <c r="D3894" s="49" t="s">
        <v>278</v>
      </c>
      <c r="E3894" s="49" t="s">
        <v>8023</v>
      </c>
      <c r="F3894" s="50" t="n">
        <v>4</v>
      </c>
      <c r="G3894" s="49" t="s">
        <v>280</v>
      </c>
      <c r="H3894" s="51" t="n">
        <v>0.6462</v>
      </c>
      <c r="I3894" s="51" t="n">
        <v>0.3318</v>
      </c>
      <c r="J3894" s="51" t="n">
        <v>0.022</v>
      </c>
      <c r="K3894" s="49"/>
      <c r="L3894" s="49"/>
      <c r="M3894" s="49"/>
      <c r="N3894" s="49"/>
      <c r="O3894" s="49"/>
      <c r="P3894" s="49"/>
      <c r="Q3894" s="49"/>
      <c r="R3894" s="49" t="s">
        <v>281</v>
      </c>
      <c r="S3894" s="49" t="n">
        <v>0</v>
      </c>
      <c r="T3894" s="49" t="n">
        <v>0</v>
      </c>
      <c r="U3894" s="49" t="s">
        <v>8024</v>
      </c>
    </row>
    <row r="3895" customFormat="false" ht="15" hidden="false" customHeight="false" outlineLevel="0" collapsed="false">
      <c r="B3895" s="48" t="n">
        <v>46253.9436921296</v>
      </c>
      <c r="C3895" s="4" t="n">
        <f aca="false">YEAR(B3895)</f>
        <v>2026</v>
      </c>
      <c r="D3895" s="49" t="s">
        <v>278</v>
      </c>
      <c r="E3895" s="49" t="s">
        <v>8025</v>
      </c>
      <c r="F3895" s="50" t="n">
        <v>14</v>
      </c>
      <c r="G3895" s="49" t="s">
        <v>290</v>
      </c>
      <c r="H3895" s="51" t="n">
        <v>0.0391</v>
      </c>
      <c r="I3895" s="51" t="n">
        <v>0.8434</v>
      </c>
      <c r="J3895" s="51" t="n">
        <v>0.1175</v>
      </c>
      <c r="K3895" s="49"/>
      <c r="L3895" s="49"/>
      <c r="M3895" s="49"/>
      <c r="N3895" s="49"/>
      <c r="O3895" s="49"/>
      <c r="P3895" s="49"/>
      <c r="Q3895" s="49"/>
      <c r="R3895" s="49"/>
      <c r="S3895" s="49" t="n">
        <v>0</v>
      </c>
      <c r="T3895" s="49" t="n">
        <v>0</v>
      </c>
      <c r="U3895" s="49" t="s">
        <v>8026</v>
      </c>
    </row>
    <row r="3896" customFormat="false" ht="15" hidden="false" customHeight="false" outlineLevel="0" collapsed="false">
      <c r="B3896" s="48" t="n">
        <v>46254.2914467593</v>
      </c>
      <c r="C3896" s="4" t="n">
        <f aca="false">YEAR(B3896)</f>
        <v>2026</v>
      </c>
      <c r="D3896" s="49" t="s">
        <v>278</v>
      </c>
      <c r="E3896" s="49" t="s">
        <v>8027</v>
      </c>
      <c r="F3896" s="50" t="n">
        <v>0</v>
      </c>
      <c r="G3896" s="49" t="s">
        <v>280</v>
      </c>
      <c r="H3896" s="51" t="n">
        <v>0.8158</v>
      </c>
      <c r="I3896" s="51" t="n">
        <v>0.168</v>
      </c>
      <c r="J3896" s="51" t="n">
        <v>0.0162</v>
      </c>
      <c r="K3896" s="49"/>
      <c r="L3896" s="49"/>
      <c r="M3896" s="49"/>
      <c r="N3896" s="49"/>
      <c r="O3896" s="49"/>
      <c r="P3896" s="49"/>
      <c r="Q3896" s="49"/>
      <c r="R3896" s="49"/>
      <c r="S3896" s="49" t="n">
        <v>0</v>
      </c>
      <c r="T3896" s="49" t="n">
        <v>0</v>
      </c>
      <c r="U3896" s="49" t="s">
        <v>8028</v>
      </c>
    </row>
    <row r="3897" customFormat="false" ht="15" hidden="false" customHeight="false" outlineLevel="0" collapsed="false">
      <c r="B3897" s="48" t="n">
        <v>46254.4034490741</v>
      </c>
      <c r="C3897" s="4" t="n">
        <f aca="false">YEAR(B3897)</f>
        <v>2026</v>
      </c>
      <c r="D3897" s="49" t="s">
        <v>278</v>
      </c>
      <c r="E3897" s="49" t="s">
        <v>8029</v>
      </c>
      <c r="F3897" s="50" t="n">
        <v>5</v>
      </c>
      <c r="G3897" s="49" t="s">
        <v>280</v>
      </c>
      <c r="H3897" s="51" t="n">
        <v>0.6913</v>
      </c>
      <c r="I3897" s="51" t="n">
        <v>0.2892</v>
      </c>
      <c r="J3897" s="51" t="n">
        <v>0.0195</v>
      </c>
      <c r="K3897" s="49"/>
      <c r="L3897" s="49"/>
      <c r="M3897" s="49"/>
      <c r="N3897" s="49"/>
      <c r="O3897" s="49"/>
      <c r="P3897" s="49"/>
      <c r="Q3897" s="49"/>
      <c r="R3897" s="49"/>
      <c r="S3897" s="49" t="n">
        <v>0</v>
      </c>
      <c r="T3897" s="49" t="n">
        <v>0</v>
      </c>
      <c r="U3897" s="49" t="s">
        <v>8030</v>
      </c>
    </row>
    <row r="3898" customFormat="false" ht="15" hidden="false" customHeight="false" outlineLevel="0" collapsed="false">
      <c r="B3898" s="48" t="n">
        <v>46254.5870486111</v>
      </c>
      <c r="C3898" s="4" t="n">
        <f aca="false">YEAR(B3898)</f>
        <v>2026</v>
      </c>
      <c r="D3898" s="49" t="s">
        <v>278</v>
      </c>
      <c r="E3898" s="49" t="s">
        <v>8031</v>
      </c>
      <c r="F3898" s="50" t="n">
        <v>49</v>
      </c>
      <c r="G3898" s="49" t="s">
        <v>280</v>
      </c>
      <c r="H3898" s="51" t="n">
        <v>0.8651</v>
      </c>
      <c r="I3898" s="51" t="n">
        <v>0.1259</v>
      </c>
      <c r="J3898" s="51" t="n">
        <v>0.009</v>
      </c>
      <c r="K3898" s="49"/>
      <c r="L3898" s="49"/>
      <c r="M3898" s="49"/>
      <c r="N3898" s="49"/>
      <c r="O3898" s="49"/>
      <c r="P3898" s="49"/>
      <c r="Q3898" s="49"/>
      <c r="R3898" s="49"/>
      <c r="S3898" s="49" t="n">
        <v>0</v>
      </c>
      <c r="T3898" s="49" t="n">
        <v>0</v>
      </c>
      <c r="U3898" s="49" t="s">
        <v>8032</v>
      </c>
    </row>
    <row r="3899" customFormat="false" ht="15" hidden="false" customHeight="false" outlineLevel="0" collapsed="false">
      <c r="B3899" s="48" t="n">
        <v>46254.8558564815</v>
      </c>
      <c r="C3899" s="4" t="n">
        <f aca="false">YEAR(B3899)</f>
        <v>2026</v>
      </c>
      <c r="D3899" s="49" t="s">
        <v>278</v>
      </c>
      <c r="E3899" s="49" t="s">
        <v>8033</v>
      </c>
      <c r="F3899" s="50" t="n">
        <v>2</v>
      </c>
      <c r="G3899" s="49" t="s">
        <v>290</v>
      </c>
      <c r="H3899" s="51" t="n">
        <v>0.0962</v>
      </c>
      <c r="I3899" s="51" t="n">
        <v>0.8732</v>
      </c>
      <c r="J3899" s="51" t="n">
        <v>0.0305</v>
      </c>
      <c r="K3899" s="49"/>
      <c r="L3899" s="49"/>
      <c r="M3899" s="49"/>
      <c r="N3899" s="49"/>
      <c r="O3899" s="49"/>
      <c r="P3899" s="49"/>
      <c r="Q3899" s="49"/>
      <c r="R3899" s="49"/>
      <c r="S3899" s="49" t="n">
        <v>0</v>
      </c>
      <c r="T3899" s="49" t="n">
        <v>0</v>
      </c>
      <c r="U3899" s="49" t="s">
        <v>8034</v>
      </c>
    </row>
    <row r="3900" customFormat="false" ht="15" hidden="false" customHeight="false" outlineLevel="0" collapsed="false">
      <c r="B3900" s="48" t="n">
        <v>46255.1354398148</v>
      </c>
      <c r="C3900" s="4" t="n">
        <f aca="false">YEAR(B3900)</f>
        <v>2026</v>
      </c>
      <c r="D3900" s="49" t="s">
        <v>283</v>
      </c>
      <c r="E3900" s="49" t="s">
        <v>8035</v>
      </c>
      <c r="F3900" s="50" t="n">
        <v>1</v>
      </c>
      <c r="G3900" s="49" t="s">
        <v>290</v>
      </c>
      <c r="H3900" s="51" t="n">
        <v>0.0058</v>
      </c>
      <c r="I3900" s="51" t="n">
        <v>0.9144</v>
      </c>
      <c r="J3900" s="51" t="n">
        <v>0.0798</v>
      </c>
      <c r="K3900" s="49"/>
      <c r="L3900" s="49"/>
      <c r="M3900" s="49"/>
      <c r="N3900" s="49"/>
      <c r="O3900" s="49"/>
      <c r="P3900" s="49"/>
      <c r="Q3900" s="49" t="s">
        <v>281</v>
      </c>
      <c r="R3900" s="49"/>
      <c r="S3900" s="49" t="n">
        <v>1</v>
      </c>
      <c r="T3900" s="49" t="n">
        <v>0</v>
      </c>
      <c r="U3900" s="49" t="s">
        <v>8036</v>
      </c>
    </row>
    <row r="3901" customFormat="false" ht="15" hidden="false" customHeight="false" outlineLevel="0" collapsed="false">
      <c r="B3901" s="48" t="n">
        <v>46255.1738425926</v>
      </c>
      <c r="C3901" s="4" t="n">
        <f aca="false">YEAR(B3901)</f>
        <v>2026</v>
      </c>
      <c r="D3901" s="49" t="s">
        <v>278</v>
      </c>
      <c r="E3901" s="49" t="s">
        <v>8037</v>
      </c>
      <c r="F3901" s="50" t="n">
        <v>1</v>
      </c>
      <c r="G3901" s="49" t="s">
        <v>280</v>
      </c>
      <c r="H3901" s="51" t="n">
        <v>0.8505</v>
      </c>
      <c r="I3901" s="51" t="n">
        <v>0.1398</v>
      </c>
      <c r="J3901" s="51" t="n">
        <v>0.0097</v>
      </c>
      <c r="K3901" s="49"/>
      <c r="L3901" s="49"/>
      <c r="M3901" s="49"/>
      <c r="N3901" s="49"/>
      <c r="O3901" s="49"/>
      <c r="P3901" s="49"/>
      <c r="Q3901" s="49"/>
      <c r="R3901" s="49"/>
      <c r="S3901" s="49" t="n">
        <v>0</v>
      </c>
      <c r="T3901" s="49" t="n">
        <v>0</v>
      </c>
      <c r="U3901" s="49" t="s">
        <v>8038</v>
      </c>
    </row>
    <row r="3902" customFormat="false" ht="15" hidden="false" customHeight="false" outlineLevel="0" collapsed="false">
      <c r="B3902" s="48" t="n">
        <v>46255.2184722222</v>
      </c>
      <c r="C3902" s="4" t="n">
        <f aca="false">YEAR(B3902)</f>
        <v>2026</v>
      </c>
      <c r="D3902" s="49" t="s">
        <v>278</v>
      </c>
      <c r="E3902" s="49" t="s">
        <v>8039</v>
      </c>
      <c r="F3902" s="50" t="n">
        <v>16</v>
      </c>
      <c r="G3902" s="49" t="s">
        <v>287</v>
      </c>
      <c r="H3902" s="51" t="n">
        <v>0.0095</v>
      </c>
      <c r="I3902" s="51" t="n">
        <v>0.254</v>
      </c>
      <c r="J3902" s="51" t="n">
        <v>0.7365</v>
      </c>
      <c r="K3902" s="49"/>
      <c r="L3902" s="49"/>
      <c r="M3902" s="49"/>
      <c r="N3902" s="49"/>
      <c r="O3902" s="49"/>
      <c r="P3902" s="49"/>
      <c r="Q3902" s="49"/>
      <c r="R3902" s="49" t="s">
        <v>281</v>
      </c>
      <c r="S3902" s="49" t="n">
        <v>0</v>
      </c>
      <c r="T3902" s="49" t="n">
        <v>0</v>
      </c>
      <c r="U3902" s="49" t="s">
        <v>8040</v>
      </c>
    </row>
    <row r="3903" customFormat="false" ht="15" hidden="false" customHeight="false" outlineLevel="0" collapsed="false">
      <c r="B3903" s="48" t="n">
        <v>46255.276087963</v>
      </c>
      <c r="C3903" s="4" t="n">
        <f aca="false">YEAR(B3903)</f>
        <v>2026</v>
      </c>
      <c r="D3903" s="49" t="s">
        <v>278</v>
      </c>
      <c r="E3903" s="49" t="s">
        <v>8041</v>
      </c>
      <c r="F3903" s="50" t="n">
        <v>3</v>
      </c>
      <c r="G3903" s="49" t="s">
        <v>290</v>
      </c>
      <c r="H3903" s="51" t="n">
        <v>0.4212</v>
      </c>
      <c r="I3903" s="51" t="n">
        <v>0.5267</v>
      </c>
      <c r="J3903" s="51" t="n">
        <v>0.0521</v>
      </c>
      <c r="K3903" s="49"/>
      <c r="L3903" s="49"/>
      <c r="M3903" s="49"/>
      <c r="N3903" s="49"/>
      <c r="O3903" s="49"/>
      <c r="P3903" s="49"/>
      <c r="Q3903" s="49"/>
      <c r="R3903" s="49"/>
      <c r="S3903" s="49" t="n">
        <v>0</v>
      </c>
      <c r="T3903" s="49" t="n">
        <v>0</v>
      </c>
      <c r="U3903" s="49" t="s">
        <v>8042</v>
      </c>
    </row>
    <row r="3904" customFormat="false" ht="15" hidden="false" customHeight="false" outlineLevel="0" collapsed="false">
      <c r="B3904" s="48" t="n">
        <v>46255.445462963</v>
      </c>
      <c r="C3904" s="4" t="n">
        <f aca="false">YEAR(B3904)</f>
        <v>2026</v>
      </c>
      <c r="D3904" s="49" t="s">
        <v>278</v>
      </c>
      <c r="E3904" s="49" t="s">
        <v>8043</v>
      </c>
      <c r="F3904" s="50" t="n">
        <v>2</v>
      </c>
      <c r="G3904" s="49" t="s">
        <v>280</v>
      </c>
      <c r="H3904" s="51" t="n">
        <v>0.8117</v>
      </c>
      <c r="I3904" s="51" t="n">
        <v>0.1708</v>
      </c>
      <c r="J3904" s="51" t="n">
        <v>0.0175</v>
      </c>
      <c r="K3904" s="49"/>
      <c r="L3904" s="49"/>
      <c r="M3904" s="49"/>
      <c r="N3904" s="49"/>
      <c r="O3904" s="49"/>
      <c r="P3904" s="49"/>
      <c r="Q3904" s="49"/>
      <c r="R3904" s="49"/>
      <c r="S3904" s="49" t="n">
        <v>0</v>
      </c>
      <c r="T3904" s="49" t="n">
        <v>0</v>
      </c>
      <c r="U3904" s="49" t="s">
        <v>8044</v>
      </c>
    </row>
    <row r="3905" customFormat="false" ht="15" hidden="false" customHeight="false" outlineLevel="0" collapsed="false">
      <c r="B3905" s="48" t="n">
        <v>46255.6613541667</v>
      </c>
      <c r="C3905" s="4" t="n">
        <f aca="false">YEAR(B3905)</f>
        <v>2026</v>
      </c>
      <c r="D3905" s="49" t="s">
        <v>278</v>
      </c>
      <c r="E3905" s="49" t="s">
        <v>8045</v>
      </c>
      <c r="F3905" s="50" t="n">
        <v>3</v>
      </c>
      <c r="G3905" s="49" t="s">
        <v>290</v>
      </c>
      <c r="H3905" s="51" t="n">
        <v>0.1799</v>
      </c>
      <c r="I3905" s="51" t="n">
        <v>0.4611</v>
      </c>
      <c r="J3905" s="51" t="n">
        <v>0.359</v>
      </c>
      <c r="K3905" s="49"/>
      <c r="L3905" s="49"/>
      <c r="M3905" s="49"/>
      <c r="N3905" s="49"/>
      <c r="O3905" s="49"/>
      <c r="P3905" s="49"/>
      <c r="Q3905" s="49"/>
      <c r="R3905" s="49"/>
      <c r="S3905" s="49" t="n">
        <v>0</v>
      </c>
      <c r="T3905" s="49" t="n">
        <v>1</v>
      </c>
      <c r="U3905" s="49" t="s">
        <v>8046</v>
      </c>
    </row>
    <row r="3906" customFormat="false" ht="15" hidden="false" customHeight="false" outlineLevel="0" collapsed="false">
      <c r="B3906" s="48" t="n">
        <v>46256.1097916667</v>
      </c>
      <c r="C3906" s="4" t="n">
        <f aca="false">YEAR(B3906)</f>
        <v>2026</v>
      </c>
      <c r="D3906" s="49" t="s">
        <v>278</v>
      </c>
      <c r="E3906" s="49" t="s">
        <v>8047</v>
      </c>
      <c r="F3906" s="50" t="n">
        <v>0</v>
      </c>
      <c r="G3906" s="49" t="s">
        <v>290</v>
      </c>
      <c r="H3906" s="51" t="n">
        <v>0.436</v>
      </c>
      <c r="I3906" s="51" t="n">
        <v>0.5008</v>
      </c>
      <c r="J3906" s="51" t="n">
        <v>0.0632</v>
      </c>
      <c r="K3906" s="49"/>
      <c r="L3906" s="49"/>
      <c r="M3906" s="49"/>
      <c r="N3906" s="49"/>
      <c r="O3906" s="49"/>
      <c r="P3906" s="49"/>
      <c r="Q3906" s="49"/>
      <c r="R3906" s="49" t="s">
        <v>281</v>
      </c>
      <c r="S3906" s="49" t="n">
        <v>0</v>
      </c>
      <c r="T3906" s="49" t="n">
        <v>0</v>
      </c>
      <c r="U3906" s="49" t="s">
        <v>8048</v>
      </c>
    </row>
    <row r="3907" customFormat="false" ht="15" hidden="false" customHeight="false" outlineLevel="0" collapsed="false">
      <c r="B3907" s="48" t="n">
        <v>46256.5353125</v>
      </c>
      <c r="C3907" s="4" t="n">
        <f aca="false">YEAR(B3907)</f>
        <v>2026</v>
      </c>
      <c r="D3907" s="49" t="s">
        <v>278</v>
      </c>
      <c r="E3907" s="49" t="s">
        <v>8049</v>
      </c>
      <c r="F3907" s="50" t="n">
        <v>0</v>
      </c>
      <c r="G3907" s="49" t="s">
        <v>287</v>
      </c>
      <c r="H3907" s="51" t="n">
        <v>0.0108</v>
      </c>
      <c r="I3907" s="51" t="n">
        <v>0.2471</v>
      </c>
      <c r="J3907" s="51" t="n">
        <v>0.7422</v>
      </c>
      <c r="K3907" s="49"/>
      <c r="L3907" s="49"/>
      <c r="M3907" s="49"/>
      <c r="N3907" s="49"/>
      <c r="O3907" s="49"/>
      <c r="P3907" s="49"/>
      <c r="Q3907" s="49"/>
      <c r="R3907" s="49"/>
      <c r="S3907" s="49" t="n">
        <v>0</v>
      </c>
      <c r="T3907" s="49" t="n">
        <v>0</v>
      </c>
      <c r="U3907" s="49" t="s">
        <v>8050</v>
      </c>
    </row>
    <row r="3908" customFormat="false" ht="15" hidden="false" customHeight="false" outlineLevel="0" collapsed="false">
      <c r="B3908" s="48" t="n">
        <v>46257.3596180556</v>
      </c>
      <c r="C3908" s="4" t="n">
        <f aca="false">YEAR(B3908)</f>
        <v>2026</v>
      </c>
      <c r="D3908" s="49" t="s">
        <v>278</v>
      </c>
      <c r="E3908" s="49" t="s">
        <v>8051</v>
      </c>
      <c r="F3908" s="50" t="n">
        <v>4</v>
      </c>
      <c r="G3908" s="49" t="s">
        <v>290</v>
      </c>
      <c r="H3908" s="51" t="n">
        <v>0.141</v>
      </c>
      <c r="I3908" s="51" t="n">
        <v>0.7419</v>
      </c>
      <c r="J3908" s="51" t="n">
        <v>0.1171</v>
      </c>
      <c r="K3908" s="49"/>
      <c r="L3908" s="49"/>
      <c r="M3908" s="49"/>
      <c r="N3908" s="49"/>
      <c r="O3908" s="49"/>
      <c r="P3908" s="49"/>
      <c r="Q3908" s="49" t="s">
        <v>281</v>
      </c>
      <c r="R3908" s="49"/>
      <c r="S3908" s="49" t="n">
        <v>0</v>
      </c>
      <c r="T3908" s="49" t="n">
        <v>1</v>
      </c>
      <c r="U3908" s="49" t="s">
        <v>8052</v>
      </c>
    </row>
    <row r="3909" customFormat="false" ht="15" hidden="false" customHeight="false" outlineLevel="0" collapsed="false">
      <c r="B3909" s="48" t="n">
        <v>46257.5257407407</v>
      </c>
      <c r="C3909" s="4" t="n">
        <f aca="false">YEAR(B3909)</f>
        <v>2026</v>
      </c>
      <c r="D3909" s="49" t="s">
        <v>283</v>
      </c>
      <c r="E3909" s="49" t="s">
        <v>8053</v>
      </c>
      <c r="F3909" s="50" t="n">
        <v>1</v>
      </c>
      <c r="G3909" s="49" t="s">
        <v>290</v>
      </c>
      <c r="H3909" s="51" t="n">
        <v>0.0308</v>
      </c>
      <c r="I3909" s="51" t="n">
        <v>0.4931</v>
      </c>
      <c r="J3909" s="51" t="n">
        <v>0.4761</v>
      </c>
      <c r="K3909" s="49"/>
      <c r="L3909" s="49"/>
      <c r="M3909" s="49"/>
      <c r="N3909" s="49"/>
      <c r="O3909" s="49"/>
      <c r="P3909" s="49"/>
      <c r="Q3909" s="49"/>
      <c r="R3909" s="49"/>
      <c r="S3909" s="49" t="n">
        <v>0</v>
      </c>
      <c r="T3909" s="49" t="n">
        <v>0</v>
      </c>
      <c r="U3909" s="49" t="s">
        <v>8054</v>
      </c>
    </row>
    <row r="3910" customFormat="false" ht="15" hidden="false" customHeight="false" outlineLevel="0" collapsed="false">
      <c r="B3910" s="48" t="n">
        <v>46257.7415625</v>
      </c>
      <c r="C3910" s="4" t="n">
        <f aca="false">YEAR(B3910)</f>
        <v>2026</v>
      </c>
      <c r="D3910" s="49" t="s">
        <v>283</v>
      </c>
      <c r="E3910" s="49" t="s">
        <v>8055</v>
      </c>
      <c r="F3910" s="50" t="n">
        <v>1</v>
      </c>
      <c r="G3910" s="49" t="s">
        <v>290</v>
      </c>
      <c r="H3910" s="51" t="n">
        <v>0.0255</v>
      </c>
      <c r="I3910" s="51" t="n">
        <v>0.909</v>
      </c>
      <c r="J3910" s="51" t="n">
        <v>0.0655</v>
      </c>
      <c r="K3910" s="49"/>
      <c r="L3910" s="49"/>
      <c r="M3910" s="49"/>
      <c r="N3910" s="49"/>
      <c r="O3910" s="49"/>
      <c r="P3910" s="49"/>
      <c r="Q3910" s="49"/>
      <c r="R3910" s="49"/>
      <c r="S3910" s="49" t="n">
        <v>0</v>
      </c>
      <c r="T3910" s="49" t="n">
        <v>0</v>
      </c>
      <c r="U3910" s="49" t="s">
        <v>8056</v>
      </c>
    </row>
    <row r="3911" customFormat="false" ht="15" hidden="false" customHeight="false" outlineLevel="0" collapsed="false">
      <c r="B3911" s="48" t="n">
        <v>46258.0821527778</v>
      </c>
      <c r="C3911" s="4" t="n">
        <f aca="false">YEAR(B3911)</f>
        <v>2026</v>
      </c>
      <c r="D3911" s="49" t="s">
        <v>283</v>
      </c>
      <c r="E3911" s="49" t="s">
        <v>8057</v>
      </c>
      <c r="F3911" s="50" t="n">
        <v>2</v>
      </c>
      <c r="G3911" s="49" t="s">
        <v>287</v>
      </c>
      <c r="H3911" s="51" t="n">
        <v>0.0034</v>
      </c>
      <c r="I3911" s="51" t="n">
        <v>0.0565</v>
      </c>
      <c r="J3911" s="51" t="n">
        <v>0.9402</v>
      </c>
      <c r="K3911" s="49"/>
      <c r="L3911" s="49"/>
      <c r="M3911" s="49"/>
      <c r="N3911" s="49"/>
      <c r="O3911" s="49"/>
      <c r="P3911" s="49"/>
      <c r="Q3911" s="49"/>
      <c r="R3911" s="49"/>
      <c r="S3911" s="49" t="n">
        <v>0</v>
      </c>
      <c r="T3911" s="49" t="n">
        <v>0</v>
      </c>
      <c r="U3911" s="49" t="s">
        <v>8058</v>
      </c>
    </row>
    <row r="3912" customFormat="false" ht="15" hidden="false" customHeight="false" outlineLevel="0" collapsed="false">
      <c r="B3912" s="48" t="n">
        <v>46258.8560416667</v>
      </c>
      <c r="C3912" s="4" t="n">
        <f aca="false">YEAR(B3912)</f>
        <v>2026</v>
      </c>
      <c r="D3912" s="49" t="s">
        <v>278</v>
      </c>
      <c r="E3912" s="49" t="s">
        <v>8059</v>
      </c>
      <c r="F3912" s="50" t="n">
        <v>2</v>
      </c>
      <c r="G3912" s="49" t="s">
        <v>280</v>
      </c>
      <c r="H3912" s="51" t="n">
        <v>0.7226</v>
      </c>
      <c r="I3912" s="51" t="n">
        <v>0.2605</v>
      </c>
      <c r="J3912" s="51" t="n">
        <v>0.0169</v>
      </c>
      <c r="K3912" s="49"/>
      <c r="L3912" s="49"/>
      <c r="M3912" s="49"/>
      <c r="N3912" s="49"/>
      <c r="O3912" s="49"/>
      <c r="P3912" s="49"/>
      <c r="Q3912" s="49" t="s">
        <v>281</v>
      </c>
      <c r="R3912" s="49"/>
      <c r="S3912" s="49" t="n">
        <v>0</v>
      </c>
      <c r="T3912" s="49" t="n">
        <v>0</v>
      </c>
      <c r="U3912" s="49" t="s">
        <v>8060</v>
      </c>
    </row>
    <row r="3913" customFormat="false" ht="15" hidden="false" customHeight="false" outlineLevel="0" collapsed="false">
      <c r="B3913" s="48" t="n">
        <v>46258.9190046296</v>
      </c>
      <c r="C3913" s="4" t="n">
        <f aca="false">YEAR(B3913)</f>
        <v>2026</v>
      </c>
      <c r="D3913" s="49" t="s">
        <v>278</v>
      </c>
      <c r="E3913" s="49" t="s">
        <v>8061</v>
      </c>
      <c r="F3913" s="50" t="n">
        <v>1</v>
      </c>
      <c r="G3913" s="49" t="s">
        <v>280</v>
      </c>
      <c r="H3913" s="51" t="n">
        <v>0.8278</v>
      </c>
      <c r="I3913" s="51" t="n">
        <v>0.1513</v>
      </c>
      <c r="J3913" s="51" t="n">
        <v>0.0209</v>
      </c>
      <c r="K3913" s="49"/>
      <c r="L3913" s="49"/>
      <c r="M3913" s="49"/>
      <c r="N3913" s="49"/>
      <c r="O3913" s="49"/>
      <c r="P3913" s="49"/>
      <c r="Q3913" s="49" t="s">
        <v>281</v>
      </c>
      <c r="R3913" s="49"/>
      <c r="S3913" s="49" t="n">
        <v>0</v>
      </c>
      <c r="T3913" s="49" t="n">
        <v>0</v>
      </c>
      <c r="U3913" s="49" t="s">
        <v>8062</v>
      </c>
    </row>
    <row r="3914" customFormat="false" ht="15" hidden="false" customHeight="false" outlineLevel="0" collapsed="false">
      <c r="B3914" s="48" t="n">
        <v>46259.8737847222</v>
      </c>
      <c r="C3914" s="4" t="n">
        <f aca="false">YEAR(B3914)</f>
        <v>2026</v>
      </c>
      <c r="D3914" s="49" t="s">
        <v>283</v>
      </c>
      <c r="E3914" s="49" t="s">
        <v>8063</v>
      </c>
      <c r="F3914" s="50" t="n">
        <v>1</v>
      </c>
      <c r="G3914" s="49" t="s">
        <v>290</v>
      </c>
      <c r="H3914" s="51" t="n">
        <v>0.3723</v>
      </c>
      <c r="I3914" s="51" t="n">
        <v>0.444</v>
      </c>
      <c r="J3914" s="51" t="n">
        <v>0.1837</v>
      </c>
      <c r="K3914" s="49"/>
      <c r="L3914" s="49"/>
      <c r="M3914" s="49"/>
      <c r="N3914" s="49"/>
      <c r="O3914" s="49"/>
      <c r="P3914" s="49"/>
      <c r="Q3914" s="49"/>
      <c r="R3914" s="49"/>
      <c r="S3914" s="49" t="n">
        <v>1</v>
      </c>
      <c r="T3914" s="49" t="n">
        <v>0</v>
      </c>
      <c r="U3914" s="49" t="s">
        <v>8064</v>
      </c>
    </row>
    <row r="3915" customFormat="false" ht="15" hidden="false" customHeight="false" outlineLevel="0" collapsed="false">
      <c r="B3915" s="48" t="n">
        <v>46259.9705555556</v>
      </c>
      <c r="C3915" s="4" t="n">
        <f aca="false">YEAR(B3915)</f>
        <v>2026</v>
      </c>
      <c r="D3915" s="49" t="s">
        <v>278</v>
      </c>
      <c r="E3915" s="49" t="s">
        <v>8065</v>
      </c>
      <c r="F3915" s="50" t="n">
        <v>2</v>
      </c>
      <c r="G3915" s="49" t="s">
        <v>290</v>
      </c>
      <c r="H3915" s="51" t="n">
        <v>0.0442</v>
      </c>
      <c r="I3915" s="51" t="n">
        <v>0.6593</v>
      </c>
      <c r="J3915" s="51" t="n">
        <v>0.2964</v>
      </c>
      <c r="K3915" s="49"/>
      <c r="L3915" s="49"/>
      <c r="M3915" s="49"/>
      <c r="N3915" s="49"/>
      <c r="O3915" s="49"/>
      <c r="P3915" s="49"/>
      <c r="Q3915" s="49"/>
      <c r="R3915" s="49"/>
      <c r="S3915" s="49" t="n">
        <v>0</v>
      </c>
      <c r="T3915" s="49" t="n">
        <v>0</v>
      </c>
      <c r="U3915" s="49" t="s">
        <v>8066</v>
      </c>
    </row>
    <row r="3916" customFormat="false" ht="15" hidden="false" customHeight="false" outlineLevel="0" collapsed="false">
      <c r="B3916" s="48" t="n">
        <v>46260.4365162037</v>
      </c>
      <c r="C3916" s="4" t="n">
        <f aca="false">YEAR(B3916)</f>
        <v>2026</v>
      </c>
      <c r="D3916" s="49" t="s">
        <v>283</v>
      </c>
      <c r="E3916" s="49" t="s">
        <v>8067</v>
      </c>
      <c r="F3916" s="50" t="n">
        <v>13</v>
      </c>
      <c r="G3916" s="49" t="s">
        <v>290</v>
      </c>
      <c r="H3916" s="51" t="n">
        <v>0.0732</v>
      </c>
      <c r="I3916" s="51" t="n">
        <v>0.6226</v>
      </c>
      <c r="J3916" s="51" t="n">
        <v>0.3043</v>
      </c>
      <c r="K3916" s="49"/>
      <c r="L3916" s="49"/>
      <c r="M3916" s="49"/>
      <c r="N3916" s="49"/>
      <c r="O3916" s="49"/>
      <c r="P3916" s="49"/>
      <c r="Q3916" s="49"/>
      <c r="R3916" s="49"/>
      <c r="S3916" s="49" t="n">
        <v>0</v>
      </c>
      <c r="T3916" s="49" t="n">
        <v>0</v>
      </c>
      <c r="U3916" s="49" t="s">
        <v>8068</v>
      </c>
    </row>
    <row r="3917" customFormat="false" ht="15" hidden="false" customHeight="false" outlineLevel="0" collapsed="false">
      <c r="B3917" s="48" t="n">
        <v>46260.7675115741</v>
      </c>
      <c r="C3917" s="4" t="n">
        <f aca="false">YEAR(B3917)</f>
        <v>2026</v>
      </c>
      <c r="D3917" s="49" t="s">
        <v>278</v>
      </c>
      <c r="E3917" s="49" t="s">
        <v>8069</v>
      </c>
      <c r="F3917" s="50" t="n">
        <v>1</v>
      </c>
      <c r="G3917" s="49" t="s">
        <v>280</v>
      </c>
      <c r="H3917" s="51" t="n">
        <v>0.774</v>
      </c>
      <c r="I3917" s="51" t="n">
        <v>0.2135</v>
      </c>
      <c r="J3917" s="51" t="n">
        <v>0.0125</v>
      </c>
      <c r="K3917" s="49"/>
      <c r="L3917" s="49"/>
      <c r="M3917" s="49"/>
      <c r="N3917" s="49"/>
      <c r="O3917" s="49"/>
      <c r="P3917" s="49"/>
      <c r="Q3917" s="49"/>
      <c r="R3917" s="49" t="s">
        <v>281</v>
      </c>
      <c r="S3917" s="49" t="n">
        <v>0</v>
      </c>
      <c r="T3917" s="49" t="n">
        <v>0</v>
      </c>
      <c r="U3917" s="49" t="s">
        <v>8070</v>
      </c>
    </row>
    <row r="3918" customFormat="false" ht="15" hidden="false" customHeight="false" outlineLevel="0" collapsed="false">
      <c r="B3918" s="48" t="n">
        <v>46260.8845601852</v>
      </c>
      <c r="C3918" s="4" t="n">
        <f aca="false">YEAR(B3918)</f>
        <v>2026</v>
      </c>
      <c r="D3918" s="49" t="s">
        <v>278</v>
      </c>
      <c r="E3918" s="49" t="s">
        <v>8071</v>
      </c>
      <c r="F3918" s="50" t="n">
        <v>1</v>
      </c>
      <c r="G3918" s="49" t="s">
        <v>287</v>
      </c>
      <c r="H3918" s="51" t="n">
        <v>0.0049</v>
      </c>
      <c r="I3918" s="51" t="n">
        <v>0.046</v>
      </c>
      <c r="J3918" s="51" t="n">
        <v>0.9492</v>
      </c>
      <c r="K3918" s="49"/>
      <c r="L3918" s="49"/>
      <c r="M3918" s="49"/>
      <c r="N3918" s="49"/>
      <c r="O3918" s="49"/>
      <c r="P3918" s="49"/>
      <c r="Q3918" s="49"/>
      <c r="R3918" s="49"/>
      <c r="S3918" s="49" t="n">
        <v>0</v>
      </c>
      <c r="T3918" s="49" t="n">
        <v>0</v>
      </c>
      <c r="U3918" s="49" t="s">
        <v>8072</v>
      </c>
    </row>
    <row r="3919" customFormat="false" ht="15" hidden="false" customHeight="false" outlineLevel="0" collapsed="false">
      <c r="B3919" s="48" t="n">
        <v>46260.9392476852</v>
      </c>
      <c r="C3919" s="4" t="n">
        <f aca="false">YEAR(B3919)</f>
        <v>2026</v>
      </c>
      <c r="D3919" s="49" t="s">
        <v>278</v>
      </c>
      <c r="E3919" s="49" t="s">
        <v>8073</v>
      </c>
      <c r="F3919" s="50" t="n">
        <v>0</v>
      </c>
      <c r="G3919" s="49" t="s">
        <v>280</v>
      </c>
      <c r="H3919" s="51" t="n">
        <v>0.8009</v>
      </c>
      <c r="I3919" s="51" t="n">
        <v>0.186</v>
      </c>
      <c r="J3919" s="51" t="n">
        <v>0.013</v>
      </c>
      <c r="K3919" s="49"/>
      <c r="L3919" s="49"/>
      <c r="M3919" s="49"/>
      <c r="N3919" s="49"/>
      <c r="O3919" s="49"/>
      <c r="P3919" s="49"/>
      <c r="Q3919" s="49"/>
      <c r="R3919" s="49" t="s">
        <v>281</v>
      </c>
      <c r="S3919" s="49" t="n">
        <v>0</v>
      </c>
      <c r="T3919" s="49" t="n">
        <v>0</v>
      </c>
      <c r="U3919" s="49" t="s">
        <v>8074</v>
      </c>
    </row>
    <row r="3920" customFormat="false" ht="15" hidden="false" customHeight="false" outlineLevel="0" collapsed="false">
      <c r="B3920" s="48" t="n">
        <v>46260.9588425926</v>
      </c>
      <c r="C3920" s="4" t="n">
        <f aca="false">YEAR(B3920)</f>
        <v>2026</v>
      </c>
      <c r="D3920" s="49" t="s">
        <v>283</v>
      </c>
      <c r="E3920" s="49" t="s">
        <v>8075</v>
      </c>
      <c r="F3920" s="50" t="n">
        <v>0</v>
      </c>
      <c r="G3920" s="49" t="s">
        <v>290</v>
      </c>
      <c r="H3920" s="51" t="n">
        <v>0.0087</v>
      </c>
      <c r="I3920" s="51" t="n">
        <v>0.5876</v>
      </c>
      <c r="J3920" s="51" t="n">
        <v>0.4037</v>
      </c>
      <c r="K3920" s="49"/>
      <c r="L3920" s="49"/>
      <c r="M3920" s="49"/>
      <c r="N3920" s="49"/>
      <c r="O3920" s="49"/>
      <c r="P3920" s="49"/>
      <c r="Q3920" s="49"/>
      <c r="R3920" s="49"/>
      <c r="S3920" s="49" t="n">
        <v>0</v>
      </c>
      <c r="T3920" s="49" t="n">
        <v>0</v>
      </c>
      <c r="U3920" s="49" t="s">
        <v>8076</v>
      </c>
    </row>
    <row r="3921" customFormat="false" ht="15" hidden="false" customHeight="false" outlineLevel="0" collapsed="false">
      <c r="B3921" s="48" t="n">
        <v>46261.2652662037</v>
      </c>
      <c r="C3921" s="4" t="n">
        <f aca="false">YEAR(B3921)</f>
        <v>2026</v>
      </c>
      <c r="D3921" s="49" t="s">
        <v>278</v>
      </c>
      <c r="E3921" s="49" t="s">
        <v>8077</v>
      </c>
      <c r="F3921" s="50" t="n">
        <v>1</v>
      </c>
      <c r="G3921" s="49" t="s">
        <v>280</v>
      </c>
      <c r="H3921" s="51" t="n">
        <v>0.8195</v>
      </c>
      <c r="I3921" s="51" t="n">
        <v>0.169</v>
      </c>
      <c r="J3921" s="51" t="n">
        <v>0.0115</v>
      </c>
      <c r="K3921" s="49"/>
      <c r="L3921" s="49"/>
      <c r="M3921" s="49"/>
      <c r="N3921" s="49"/>
      <c r="O3921" s="49"/>
      <c r="P3921" s="49"/>
      <c r="Q3921" s="49"/>
      <c r="R3921" s="49"/>
      <c r="S3921" s="49" t="n">
        <v>0</v>
      </c>
      <c r="T3921" s="49" t="n">
        <v>0</v>
      </c>
      <c r="U3921" s="49" t="s">
        <v>8078</v>
      </c>
    </row>
    <row r="3922" customFormat="false" ht="15" hidden="false" customHeight="false" outlineLevel="0" collapsed="false">
      <c r="B3922" s="48" t="n">
        <v>46261.3292824074</v>
      </c>
      <c r="C3922" s="4" t="n">
        <f aca="false">YEAR(B3922)</f>
        <v>2026</v>
      </c>
      <c r="D3922" s="49" t="s">
        <v>278</v>
      </c>
      <c r="E3922" s="49" t="s">
        <v>8079</v>
      </c>
      <c r="F3922" s="50" t="n">
        <v>3</v>
      </c>
      <c r="G3922" s="49" t="s">
        <v>280</v>
      </c>
      <c r="H3922" s="51" t="n">
        <v>0.7244</v>
      </c>
      <c r="I3922" s="51" t="n">
        <v>0.2643</v>
      </c>
      <c r="J3922" s="51" t="n">
        <v>0.0112</v>
      </c>
      <c r="K3922" s="49"/>
      <c r="L3922" s="49"/>
      <c r="M3922" s="49"/>
      <c r="N3922" s="49"/>
      <c r="O3922" s="49"/>
      <c r="P3922" s="49"/>
      <c r="Q3922" s="49"/>
      <c r="R3922" s="49" t="s">
        <v>281</v>
      </c>
      <c r="S3922" s="49" t="n">
        <v>0</v>
      </c>
      <c r="T3922" s="49" t="n">
        <v>0</v>
      </c>
      <c r="U3922" s="49" t="s">
        <v>8080</v>
      </c>
    </row>
    <row r="3923" customFormat="false" ht="15" hidden="false" customHeight="false" outlineLevel="0" collapsed="false">
      <c r="B3923" s="48" t="n">
        <v>46262.506712963</v>
      </c>
      <c r="C3923" s="4" t="n">
        <f aca="false">YEAR(B3923)</f>
        <v>2026</v>
      </c>
      <c r="D3923" s="49" t="s">
        <v>283</v>
      </c>
      <c r="E3923" s="49" t="s">
        <v>8081</v>
      </c>
      <c r="F3923" s="50" t="n">
        <v>1</v>
      </c>
      <c r="G3923" s="49" t="s">
        <v>290</v>
      </c>
      <c r="H3923" s="51" t="n">
        <v>0.0115</v>
      </c>
      <c r="I3923" s="51" t="n">
        <v>0.935</v>
      </c>
      <c r="J3923" s="51" t="n">
        <v>0.0535</v>
      </c>
      <c r="K3923" s="49"/>
      <c r="L3923" s="49"/>
      <c r="M3923" s="49"/>
      <c r="N3923" s="49"/>
      <c r="O3923" s="49"/>
      <c r="P3923" s="49"/>
      <c r="Q3923" s="49"/>
      <c r="R3923" s="49"/>
      <c r="S3923" s="49" t="n">
        <v>1</v>
      </c>
      <c r="T3923" s="49" t="n">
        <v>0</v>
      </c>
      <c r="U3923" s="49" t="s">
        <v>8082</v>
      </c>
    </row>
    <row r="3924" customFormat="false" ht="15" hidden="false" customHeight="false" outlineLevel="0" collapsed="false">
      <c r="B3924" s="48" t="n">
        <v>46262.6111111111</v>
      </c>
      <c r="C3924" s="4" t="n">
        <f aca="false">YEAR(B3924)</f>
        <v>2026</v>
      </c>
      <c r="D3924" s="49" t="s">
        <v>278</v>
      </c>
      <c r="E3924" s="49" t="s">
        <v>8083</v>
      </c>
      <c r="F3924" s="50" t="n">
        <v>1</v>
      </c>
      <c r="G3924" s="49" t="s">
        <v>280</v>
      </c>
      <c r="H3924" s="51" t="n">
        <v>0.9081</v>
      </c>
      <c r="I3924" s="51" t="n">
        <v>0.0843</v>
      </c>
      <c r="J3924" s="51" t="n">
        <v>0.0077</v>
      </c>
      <c r="K3924" s="49"/>
      <c r="L3924" s="49"/>
      <c r="M3924" s="49"/>
      <c r="N3924" s="49"/>
      <c r="O3924" s="49"/>
      <c r="P3924" s="49"/>
      <c r="Q3924" s="49"/>
      <c r="R3924" s="49"/>
      <c r="S3924" s="49" t="n">
        <v>0</v>
      </c>
      <c r="T3924" s="49" t="n">
        <v>0</v>
      </c>
      <c r="U3924" s="49" t="s">
        <v>8084</v>
      </c>
    </row>
    <row r="3925" customFormat="false" ht="15" hidden="false" customHeight="false" outlineLevel="0" collapsed="false">
      <c r="B3925" s="48" t="n">
        <v>46262.8305671296</v>
      </c>
      <c r="C3925" s="4" t="n">
        <f aca="false">YEAR(B3925)</f>
        <v>2026</v>
      </c>
      <c r="D3925" s="49" t="s">
        <v>283</v>
      </c>
      <c r="E3925" s="49" t="s">
        <v>8085</v>
      </c>
      <c r="F3925" s="50" t="n">
        <v>28</v>
      </c>
      <c r="G3925" s="49" t="s">
        <v>287</v>
      </c>
      <c r="H3925" s="51" t="n">
        <v>0.0043</v>
      </c>
      <c r="I3925" s="51" t="n">
        <v>0.0391</v>
      </c>
      <c r="J3925" s="51" t="n">
        <v>0.9567</v>
      </c>
      <c r="K3925" s="49"/>
      <c r="L3925" s="49"/>
      <c r="M3925" s="49"/>
      <c r="N3925" s="49"/>
      <c r="O3925" s="49"/>
      <c r="P3925" s="49"/>
      <c r="Q3925" s="49"/>
      <c r="R3925" s="49"/>
      <c r="S3925" s="49" t="n">
        <v>0</v>
      </c>
      <c r="T3925" s="49" t="n">
        <v>0</v>
      </c>
      <c r="U3925" s="49" t="s">
        <v>8086</v>
      </c>
    </row>
    <row r="3926" customFormat="false" ht="15" hidden="false" customHeight="false" outlineLevel="0" collapsed="false">
      <c r="B3926" s="48" t="n">
        <v>46263.1026273148</v>
      </c>
      <c r="C3926" s="4" t="n">
        <f aca="false">YEAR(B3926)</f>
        <v>2026</v>
      </c>
      <c r="D3926" s="49" t="s">
        <v>278</v>
      </c>
      <c r="E3926" s="49" t="s">
        <v>8087</v>
      </c>
      <c r="F3926" s="50" t="n">
        <v>0</v>
      </c>
      <c r="G3926" s="49" t="s">
        <v>280</v>
      </c>
      <c r="H3926" s="51" t="n">
        <v>0.856</v>
      </c>
      <c r="I3926" s="51" t="n">
        <v>0.13</v>
      </c>
      <c r="J3926" s="51" t="n">
        <v>0.014</v>
      </c>
      <c r="K3926" s="49"/>
      <c r="L3926" s="49"/>
      <c r="M3926" s="49"/>
      <c r="N3926" s="49"/>
      <c r="O3926" s="49" t="s">
        <v>281</v>
      </c>
      <c r="P3926" s="49"/>
      <c r="Q3926" s="49"/>
      <c r="R3926" s="49"/>
      <c r="S3926" s="49" t="n">
        <v>0</v>
      </c>
      <c r="T3926" s="49" t="n">
        <v>0</v>
      </c>
      <c r="U3926" s="49" t="s">
        <v>8088</v>
      </c>
    </row>
    <row r="3927" customFormat="false" ht="15" hidden="false" customHeight="false" outlineLevel="0" collapsed="false">
      <c r="B3927" s="48" t="n">
        <v>46263.730625</v>
      </c>
      <c r="C3927" s="4" t="n">
        <f aca="false">YEAR(B3927)</f>
        <v>2026</v>
      </c>
      <c r="D3927" s="49" t="s">
        <v>283</v>
      </c>
      <c r="E3927" s="49" t="s">
        <v>8089</v>
      </c>
      <c r="F3927" s="50" t="n">
        <v>2</v>
      </c>
      <c r="G3927" s="49" t="s">
        <v>287</v>
      </c>
      <c r="H3927" s="51" t="n">
        <v>0.0033</v>
      </c>
      <c r="I3927" s="51" t="n">
        <v>0.0183</v>
      </c>
      <c r="J3927" s="51" t="n">
        <v>0.9785</v>
      </c>
      <c r="K3927" s="49"/>
      <c r="L3927" s="49"/>
      <c r="M3927" s="49"/>
      <c r="N3927" s="49"/>
      <c r="O3927" s="49"/>
      <c r="P3927" s="49"/>
      <c r="Q3927" s="49"/>
      <c r="R3927" s="49"/>
      <c r="S3927" s="49" t="n">
        <v>0</v>
      </c>
      <c r="T3927" s="49" t="n">
        <v>0</v>
      </c>
      <c r="U3927" s="49" t="s">
        <v>8090</v>
      </c>
    </row>
    <row r="3928" customFormat="false" ht="15" hidden="false" customHeight="false" outlineLevel="0" collapsed="false">
      <c r="B3928" s="48" t="n">
        <v>46263.7961111111</v>
      </c>
      <c r="C3928" s="4" t="n">
        <f aca="false">YEAR(B3928)</f>
        <v>2026</v>
      </c>
      <c r="D3928" s="49" t="s">
        <v>278</v>
      </c>
      <c r="E3928" s="49" t="s">
        <v>8091</v>
      </c>
      <c r="F3928" s="50" t="n">
        <v>0</v>
      </c>
      <c r="G3928" s="49" t="s">
        <v>290</v>
      </c>
      <c r="H3928" s="51" t="n">
        <v>0.4265</v>
      </c>
      <c r="I3928" s="51" t="n">
        <v>0.5243</v>
      </c>
      <c r="J3928" s="51" t="n">
        <v>0.0492</v>
      </c>
      <c r="K3928" s="49"/>
      <c r="L3928" s="49"/>
      <c r="M3928" s="49"/>
      <c r="N3928" s="49"/>
      <c r="O3928" s="49"/>
      <c r="P3928" s="49"/>
      <c r="Q3928" s="49"/>
      <c r="R3928" s="49" t="s">
        <v>281</v>
      </c>
      <c r="S3928" s="49" t="n">
        <v>0</v>
      </c>
      <c r="T3928" s="49" t="n">
        <v>0</v>
      </c>
      <c r="U3928" s="49" t="s">
        <v>8092</v>
      </c>
    </row>
    <row r="3929" customFormat="false" ht="15" hidden="false" customHeight="false" outlineLevel="0" collapsed="false">
      <c r="B3929" s="48" t="n">
        <v>46263.8465972222</v>
      </c>
      <c r="C3929" s="4" t="n">
        <f aca="false">YEAR(B3929)</f>
        <v>2026</v>
      </c>
      <c r="D3929" s="49" t="s">
        <v>278</v>
      </c>
      <c r="E3929" s="49" t="s">
        <v>8093</v>
      </c>
      <c r="F3929" s="50" t="n">
        <v>45</v>
      </c>
      <c r="G3929" s="49" t="s">
        <v>287</v>
      </c>
      <c r="H3929" s="51" t="n">
        <v>0.0232</v>
      </c>
      <c r="I3929" s="51" t="n">
        <v>0.1364</v>
      </c>
      <c r="J3929" s="51" t="n">
        <v>0.8404</v>
      </c>
      <c r="K3929" s="49"/>
      <c r="L3929" s="49"/>
      <c r="M3929" s="49"/>
      <c r="N3929" s="49"/>
      <c r="O3929" s="49"/>
      <c r="P3929" s="49"/>
      <c r="Q3929" s="49"/>
      <c r="R3929" s="49" t="s">
        <v>281</v>
      </c>
      <c r="S3929" s="49" t="n">
        <v>0</v>
      </c>
      <c r="T3929" s="49" t="n">
        <v>0</v>
      </c>
      <c r="U3929" s="49" t="s">
        <v>8094</v>
      </c>
    </row>
    <row r="3930" customFormat="false" ht="15" hidden="false" customHeight="false" outlineLevel="0" collapsed="false">
      <c r="B3930" s="48" t="n">
        <v>46263.9714351852</v>
      </c>
      <c r="C3930" s="4" t="n">
        <f aca="false">YEAR(B3930)</f>
        <v>2026</v>
      </c>
      <c r="D3930" s="49" t="s">
        <v>278</v>
      </c>
      <c r="E3930" s="49" t="s">
        <v>8095</v>
      </c>
      <c r="F3930" s="50" t="n">
        <v>0</v>
      </c>
      <c r="G3930" s="49" t="s">
        <v>287</v>
      </c>
      <c r="H3930" s="51" t="n">
        <v>0.0129</v>
      </c>
      <c r="I3930" s="51" t="n">
        <v>0.0437</v>
      </c>
      <c r="J3930" s="51" t="n">
        <v>0.9433</v>
      </c>
      <c r="K3930" s="49"/>
      <c r="L3930" s="49"/>
      <c r="M3930" s="49"/>
      <c r="N3930" s="49"/>
      <c r="O3930" s="49"/>
      <c r="P3930" s="49"/>
      <c r="Q3930" s="49" t="s">
        <v>281</v>
      </c>
      <c r="R3930" s="49" t="s">
        <v>281</v>
      </c>
      <c r="S3930" s="49" t="n">
        <v>0</v>
      </c>
      <c r="T3930" s="49" t="n">
        <v>1</v>
      </c>
      <c r="U3930" s="49" t="s">
        <v>8096</v>
      </c>
    </row>
    <row r="3931" customFormat="false" ht="15" hidden="false" customHeight="false" outlineLevel="0" collapsed="false">
      <c r="B3931" s="48" t="n">
        <v>46264.015150463</v>
      </c>
      <c r="C3931" s="4" t="n">
        <f aca="false">YEAR(B3931)</f>
        <v>2026</v>
      </c>
      <c r="D3931" s="49" t="s">
        <v>278</v>
      </c>
      <c r="E3931" s="49" t="s">
        <v>8097</v>
      </c>
      <c r="F3931" s="50" t="n">
        <v>16</v>
      </c>
      <c r="G3931" s="49" t="s">
        <v>280</v>
      </c>
      <c r="H3931" s="51" t="n">
        <v>0.5931</v>
      </c>
      <c r="I3931" s="51" t="n">
        <v>0.3737</v>
      </c>
      <c r="J3931" s="51" t="n">
        <v>0.0332</v>
      </c>
      <c r="K3931" s="49"/>
      <c r="L3931" s="49"/>
      <c r="M3931" s="49"/>
      <c r="N3931" s="49"/>
      <c r="O3931" s="49"/>
      <c r="P3931" s="49"/>
      <c r="Q3931" s="49" t="s">
        <v>281</v>
      </c>
      <c r="R3931" s="49"/>
      <c r="S3931" s="49" t="n">
        <v>0</v>
      </c>
      <c r="T3931" s="49" t="n">
        <v>0</v>
      </c>
      <c r="U3931" s="49" t="s">
        <v>8098</v>
      </c>
    </row>
    <row r="3932" customFormat="false" ht="15" hidden="false" customHeight="false" outlineLevel="0" collapsed="false">
      <c r="B3932" s="48" t="n">
        <v>46264.1384027778</v>
      </c>
      <c r="C3932" s="4" t="n">
        <f aca="false">YEAR(B3932)</f>
        <v>2026</v>
      </c>
      <c r="D3932" s="49" t="s">
        <v>278</v>
      </c>
      <c r="E3932" s="49" t="s">
        <v>8099</v>
      </c>
      <c r="F3932" s="50" t="n">
        <v>0</v>
      </c>
      <c r="G3932" s="49" t="s">
        <v>280</v>
      </c>
      <c r="H3932" s="51" t="n">
        <v>0.9352</v>
      </c>
      <c r="I3932" s="51" t="n">
        <v>0.0582</v>
      </c>
      <c r="J3932" s="51" t="n">
        <v>0.0066</v>
      </c>
      <c r="K3932" s="49"/>
      <c r="L3932" s="49"/>
      <c r="M3932" s="49"/>
      <c r="N3932" s="49"/>
      <c r="O3932" s="49"/>
      <c r="P3932" s="49"/>
      <c r="Q3932" s="49"/>
      <c r="R3932" s="49" t="s">
        <v>281</v>
      </c>
      <c r="S3932" s="49" t="n">
        <v>0</v>
      </c>
      <c r="T3932" s="49" t="n">
        <v>0</v>
      </c>
      <c r="U3932" s="49" t="s">
        <v>8100</v>
      </c>
    </row>
    <row r="3933" customFormat="false" ht="15" hidden="false" customHeight="false" outlineLevel="0" collapsed="false">
      <c r="B3933" s="48" t="n">
        <v>46264.9845023148</v>
      </c>
      <c r="C3933" s="4" t="n">
        <f aca="false">YEAR(B3933)</f>
        <v>2026</v>
      </c>
      <c r="D3933" s="49" t="s">
        <v>283</v>
      </c>
      <c r="E3933" s="49" t="s">
        <v>8101</v>
      </c>
      <c r="F3933" s="50" t="n">
        <v>3</v>
      </c>
      <c r="G3933" s="49" t="s">
        <v>280</v>
      </c>
      <c r="H3933" s="51" t="n">
        <v>0.8468</v>
      </c>
      <c r="I3933" s="51" t="n">
        <v>0.1379</v>
      </c>
      <c r="J3933" s="51" t="n">
        <v>0.0153</v>
      </c>
      <c r="K3933" s="49"/>
      <c r="L3933" s="49"/>
      <c r="M3933" s="49"/>
      <c r="N3933" s="49"/>
      <c r="O3933" s="49"/>
      <c r="P3933" s="49"/>
      <c r="Q3933" s="49"/>
      <c r="R3933" s="49" t="s">
        <v>281</v>
      </c>
      <c r="S3933" s="49" t="n">
        <v>0</v>
      </c>
      <c r="T3933" s="49" t="n">
        <v>0</v>
      </c>
      <c r="U3933" s="49" t="s">
        <v>8102</v>
      </c>
    </row>
    <row r="3934" customFormat="false" ht="15" hidden="false" customHeight="false" outlineLevel="0" collapsed="false">
      <c r="B3934" s="48" t="n">
        <v>46265.8024768519</v>
      </c>
      <c r="C3934" s="4" t="n">
        <f aca="false">YEAR(B3934)</f>
        <v>2026</v>
      </c>
      <c r="D3934" s="49" t="s">
        <v>283</v>
      </c>
      <c r="E3934" s="49" t="s">
        <v>8103</v>
      </c>
      <c r="F3934" s="50" t="n">
        <v>1</v>
      </c>
      <c r="G3934" s="49" t="s">
        <v>290</v>
      </c>
      <c r="H3934" s="51" t="n">
        <v>0.0228</v>
      </c>
      <c r="I3934" s="51" t="n">
        <v>0.5931</v>
      </c>
      <c r="J3934" s="51" t="n">
        <v>0.3841</v>
      </c>
      <c r="K3934" s="49"/>
      <c r="L3934" s="49"/>
      <c r="M3934" s="49"/>
      <c r="N3934" s="49"/>
      <c r="O3934" s="49"/>
      <c r="P3934" s="49"/>
      <c r="Q3934" s="49"/>
      <c r="R3934" s="49"/>
      <c r="S3934" s="49" t="n">
        <v>0</v>
      </c>
      <c r="T3934" s="49" t="n">
        <v>0</v>
      </c>
      <c r="U3934" s="49" t="s">
        <v>8104</v>
      </c>
    </row>
    <row r="3935" customFormat="false" ht="15" hidden="false" customHeight="false" outlineLevel="0" collapsed="false">
      <c r="B3935" s="48" t="n">
        <v>46266.2546180556</v>
      </c>
      <c r="C3935" s="4" t="n">
        <f aca="false">YEAR(B3935)</f>
        <v>2026</v>
      </c>
      <c r="D3935" s="49" t="s">
        <v>278</v>
      </c>
      <c r="E3935" s="49" t="s">
        <v>8105</v>
      </c>
      <c r="F3935" s="50" t="n">
        <v>2</v>
      </c>
      <c r="G3935" s="49" t="s">
        <v>287</v>
      </c>
      <c r="H3935" s="51" t="n">
        <v>0.0042</v>
      </c>
      <c r="I3935" s="51" t="n">
        <v>0.0277</v>
      </c>
      <c r="J3935" s="51" t="n">
        <v>0.968</v>
      </c>
      <c r="K3935" s="49"/>
      <c r="L3935" s="49"/>
      <c r="M3935" s="49"/>
      <c r="N3935" s="49"/>
      <c r="O3935" s="49"/>
      <c r="P3935" s="49"/>
      <c r="Q3935" s="49"/>
      <c r="R3935" s="49"/>
      <c r="S3935" s="49" t="n">
        <v>0</v>
      </c>
      <c r="T3935" s="49" t="n">
        <v>0</v>
      </c>
      <c r="U3935" s="49" t="s">
        <v>8106</v>
      </c>
    </row>
    <row r="3936" customFormat="false" ht="15" hidden="false" customHeight="false" outlineLevel="0" collapsed="false">
      <c r="B3936" s="48" t="n">
        <v>46266.9010416667</v>
      </c>
      <c r="C3936" s="4" t="n">
        <f aca="false">YEAR(B3936)</f>
        <v>2026</v>
      </c>
      <c r="D3936" s="49" t="s">
        <v>278</v>
      </c>
      <c r="E3936" s="49" t="s">
        <v>8107</v>
      </c>
      <c r="F3936" s="50" t="n">
        <v>54</v>
      </c>
      <c r="G3936" s="49" t="s">
        <v>280</v>
      </c>
      <c r="H3936" s="51" t="n">
        <v>0.8871</v>
      </c>
      <c r="I3936" s="51" t="n">
        <v>0.107</v>
      </c>
      <c r="J3936" s="51" t="n">
        <v>0.006</v>
      </c>
      <c r="K3936" s="49"/>
      <c r="L3936" s="49"/>
      <c r="M3936" s="49"/>
      <c r="N3936" s="49"/>
      <c r="O3936" s="49"/>
      <c r="P3936" s="49"/>
      <c r="Q3936" s="49"/>
      <c r="R3936" s="49" t="s">
        <v>281</v>
      </c>
      <c r="S3936" s="49" t="n">
        <v>0</v>
      </c>
      <c r="T3936" s="49" t="n">
        <v>0</v>
      </c>
      <c r="U3936" s="49" t="s">
        <v>8108</v>
      </c>
    </row>
    <row r="3937" customFormat="false" ht="15" hidden="false" customHeight="false" outlineLevel="0" collapsed="false">
      <c r="B3937" s="48" t="n">
        <v>46267.8069097222</v>
      </c>
      <c r="C3937" s="4" t="n">
        <f aca="false">YEAR(B3937)</f>
        <v>2026</v>
      </c>
      <c r="D3937" s="49" t="s">
        <v>283</v>
      </c>
      <c r="E3937" s="49" t="s">
        <v>8109</v>
      </c>
      <c r="F3937" s="50" t="n">
        <v>1</v>
      </c>
      <c r="G3937" s="49" t="s">
        <v>290</v>
      </c>
      <c r="H3937" s="51" t="n">
        <v>0.0163</v>
      </c>
      <c r="I3937" s="51" t="n">
        <v>0.9532</v>
      </c>
      <c r="J3937" s="51" t="n">
        <v>0.0304</v>
      </c>
      <c r="K3937" s="49"/>
      <c r="L3937" s="49"/>
      <c r="M3937" s="49"/>
      <c r="N3937" s="49"/>
      <c r="O3937" s="49"/>
      <c r="P3937" s="49"/>
      <c r="Q3937" s="49"/>
      <c r="R3937" s="49" t="s">
        <v>281</v>
      </c>
      <c r="S3937" s="49" t="n">
        <v>1</v>
      </c>
      <c r="T3937" s="49" t="n">
        <v>0</v>
      </c>
      <c r="U3937" s="49" t="s">
        <v>8110</v>
      </c>
    </row>
    <row r="3938" customFormat="false" ht="15" hidden="false" customHeight="false" outlineLevel="0" collapsed="false">
      <c r="B3938" s="48" t="n">
        <v>46268.5057175926</v>
      </c>
      <c r="C3938" s="4" t="n">
        <f aca="false">YEAR(B3938)</f>
        <v>2026</v>
      </c>
      <c r="D3938" s="49" t="s">
        <v>283</v>
      </c>
      <c r="E3938" s="49" t="s">
        <v>8111</v>
      </c>
      <c r="F3938" s="50" t="n">
        <v>1</v>
      </c>
      <c r="G3938" s="49" t="s">
        <v>290</v>
      </c>
      <c r="H3938" s="51" t="n">
        <v>0.0267</v>
      </c>
      <c r="I3938" s="51" t="n">
        <v>0.8851</v>
      </c>
      <c r="J3938" s="51" t="n">
        <v>0.0882</v>
      </c>
      <c r="K3938" s="49"/>
      <c r="L3938" s="49"/>
      <c r="M3938" s="49"/>
      <c r="N3938" s="49"/>
      <c r="O3938" s="49"/>
      <c r="P3938" s="49"/>
      <c r="Q3938" s="49"/>
      <c r="R3938" s="49"/>
      <c r="S3938" s="49" t="n">
        <v>0</v>
      </c>
      <c r="T3938" s="49" t="n">
        <v>0</v>
      </c>
      <c r="U3938" s="49" t="s">
        <v>8112</v>
      </c>
    </row>
    <row r="3939" customFormat="false" ht="15" hidden="false" customHeight="false" outlineLevel="0" collapsed="false">
      <c r="B3939" s="48" t="n">
        <v>46269.2628472222</v>
      </c>
      <c r="C3939" s="4" t="n">
        <f aca="false">YEAR(B3939)</f>
        <v>2026</v>
      </c>
      <c r="D3939" s="49" t="s">
        <v>278</v>
      </c>
      <c r="E3939" s="49" t="s">
        <v>8113</v>
      </c>
      <c r="F3939" s="50" t="n">
        <v>0</v>
      </c>
      <c r="G3939" s="49" t="s">
        <v>290</v>
      </c>
      <c r="H3939" s="51" t="n">
        <v>0.1622</v>
      </c>
      <c r="I3939" s="51" t="n">
        <v>0.746</v>
      </c>
      <c r="J3939" s="51" t="n">
        <v>0.0918</v>
      </c>
      <c r="K3939" s="49"/>
      <c r="L3939" s="49"/>
      <c r="M3939" s="49"/>
      <c r="N3939" s="49"/>
      <c r="O3939" s="49"/>
      <c r="P3939" s="49"/>
      <c r="Q3939" s="49" t="s">
        <v>281</v>
      </c>
      <c r="R3939" s="49"/>
      <c r="S3939" s="49" t="n">
        <v>0</v>
      </c>
      <c r="T3939" s="49" t="n">
        <v>0</v>
      </c>
      <c r="U3939" s="49" t="s">
        <v>8114</v>
      </c>
    </row>
    <row r="3940" customFormat="false" ht="15" hidden="false" customHeight="false" outlineLevel="0" collapsed="false">
      <c r="B3940" s="48" t="n">
        <v>46269.7214583333</v>
      </c>
      <c r="C3940" s="4" t="n">
        <f aca="false">YEAR(B3940)</f>
        <v>2026</v>
      </c>
      <c r="D3940" s="49" t="s">
        <v>278</v>
      </c>
      <c r="E3940" s="49" t="s">
        <v>8115</v>
      </c>
      <c r="F3940" s="50" t="n">
        <v>0</v>
      </c>
      <c r="G3940" s="49" t="s">
        <v>287</v>
      </c>
      <c r="H3940" s="51" t="n">
        <v>0.0033</v>
      </c>
      <c r="I3940" s="51" t="n">
        <v>0.0322</v>
      </c>
      <c r="J3940" s="51" t="n">
        <v>0.9645</v>
      </c>
      <c r="K3940" s="49" t="s">
        <v>281</v>
      </c>
      <c r="L3940" s="49"/>
      <c r="M3940" s="49"/>
      <c r="N3940" s="49"/>
      <c r="O3940" s="49" t="s">
        <v>281</v>
      </c>
      <c r="P3940" s="49" t="s">
        <v>281</v>
      </c>
      <c r="Q3940" s="49" t="s">
        <v>281</v>
      </c>
      <c r="R3940" s="49"/>
      <c r="S3940" s="49" t="n">
        <v>0</v>
      </c>
      <c r="T3940" s="49" t="n">
        <v>0</v>
      </c>
      <c r="U3940" s="49" t="s">
        <v>8116</v>
      </c>
    </row>
    <row r="3941" customFormat="false" ht="15" hidden="false" customHeight="false" outlineLevel="0" collapsed="false">
      <c r="B3941" s="48" t="n">
        <v>46270.8338194444</v>
      </c>
      <c r="C3941" s="4" t="n">
        <f aca="false">YEAR(B3941)</f>
        <v>2026</v>
      </c>
      <c r="D3941" s="49" t="s">
        <v>283</v>
      </c>
      <c r="E3941" s="49" t="s">
        <v>8117</v>
      </c>
      <c r="F3941" s="50" t="n">
        <v>0</v>
      </c>
      <c r="G3941" s="49" t="s">
        <v>287</v>
      </c>
      <c r="H3941" s="51" t="n">
        <v>0.0063</v>
      </c>
      <c r="I3941" s="51" t="n">
        <v>0.1475</v>
      </c>
      <c r="J3941" s="51" t="n">
        <v>0.8462</v>
      </c>
      <c r="K3941" s="49"/>
      <c r="L3941" s="49"/>
      <c r="M3941" s="49"/>
      <c r="N3941" s="49"/>
      <c r="O3941" s="49"/>
      <c r="P3941" s="49"/>
      <c r="Q3941" s="49" t="s">
        <v>281</v>
      </c>
      <c r="R3941" s="49"/>
      <c r="S3941" s="49" t="n">
        <v>0</v>
      </c>
      <c r="T3941" s="49" t="n">
        <v>0</v>
      </c>
      <c r="U3941" s="49" t="s">
        <v>8118</v>
      </c>
    </row>
    <row r="3942" customFormat="false" ht="15" hidden="false" customHeight="false" outlineLevel="0" collapsed="false">
      <c r="B3942" s="48" t="n">
        <v>46271.754375</v>
      </c>
      <c r="C3942" s="4" t="n">
        <f aca="false">YEAR(B3942)</f>
        <v>2026</v>
      </c>
      <c r="D3942" s="49" t="s">
        <v>283</v>
      </c>
      <c r="E3942" s="49" t="s">
        <v>8119</v>
      </c>
      <c r="F3942" s="50" t="n">
        <v>3</v>
      </c>
      <c r="G3942" s="49" t="s">
        <v>287</v>
      </c>
      <c r="H3942" s="51" t="n">
        <v>0.0042</v>
      </c>
      <c r="I3942" s="51" t="n">
        <v>0.3943</v>
      </c>
      <c r="J3942" s="51" t="n">
        <v>0.6014</v>
      </c>
      <c r="K3942" s="49"/>
      <c r="L3942" s="49"/>
      <c r="M3942" s="49"/>
      <c r="N3942" s="49"/>
      <c r="O3942" s="49"/>
      <c r="P3942" s="49"/>
      <c r="Q3942" s="49"/>
      <c r="R3942" s="49"/>
      <c r="S3942" s="49" t="n">
        <v>0</v>
      </c>
      <c r="T3942" s="49" t="n">
        <v>0</v>
      </c>
      <c r="U3942" s="49" t="s">
        <v>8120</v>
      </c>
    </row>
    <row r="3943" customFormat="false" ht="15" hidden="false" customHeight="false" outlineLevel="0" collapsed="false">
      <c r="B3943" s="48" t="n">
        <v>46272.6895717593</v>
      </c>
      <c r="C3943" s="4" t="n">
        <f aca="false">YEAR(B3943)</f>
        <v>2026</v>
      </c>
      <c r="D3943" s="49" t="s">
        <v>283</v>
      </c>
      <c r="E3943" s="49" t="s">
        <v>8121</v>
      </c>
      <c r="F3943" s="50" t="n">
        <v>2</v>
      </c>
      <c r="G3943" s="49" t="s">
        <v>287</v>
      </c>
      <c r="H3943" s="51" t="n">
        <v>0.0298</v>
      </c>
      <c r="I3943" s="51" t="n">
        <v>0.4094</v>
      </c>
      <c r="J3943" s="51" t="n">
        <v>0.5608</v>
      </c>
      <c r="K3943" s="49"/>
      <c r="L3943" s="49"/>
      <c r="M3943" s="49"/>
      <c r="N3943" s="49"/>
      <c r="O3943" s="49"/>
      <c r="P3943" s="49"/>
      <c r="Q3943" s="49"/>
      <c r="R3943" s="49"/>
      <c r="S3943" s="49" t="n">
        <v>0</v>
      </c>
      <c r="T3943" s="49" t="n">
        <v>0</v>
      </c>
      <c r="U3943" s="49" t="s">
        <v>8122</v>
      </c>
    </row>
    <row r="3944" customFormat="false" ht="15" hidden="false" customHeight="false" outlineLevel="0" collapsed="false">
      <c r="B3944" s="48" t="n">
        <v>46273.257025463</v>
      </c>
      <c r="C3944" s="4" t="n">
        <f aca="false">YEAR(B3944)</f>
        <v>2026</v>
      </c>
      <c r="D3944" s="49" t="s">
        <v>278</v>
      </c>
      <c r="E3944" s="49" t="s">
        <v>8123</v>
      </c>
      <c r="F3944" s="50" t="n">
        <v>2</v>
      </c>
      <c r="G3944" s="49" t="s">
        <v>280</v>
      </c>
      <c r="H3944" s="51" t="n">
        <v>0.5181</v>
      </c>
      <c r="I3944" s="51" t="n">
        <v>0.4522</v>
      </c>
      <c r="J3944" s="51" t="n">
        <v>0.0297</v>
      </c>
      <c r="K3944" s="49"/>
      <c r="L3944" s="49"/>
      <c r="M3944" s="49"/>
      <c r="N3944" s="49"/>
      <c r="O3944" s="49"/>
      <c r="P3944" s="49"/>
      <c r="Q3944" s="49"/>
      <c r="R3944" s="49" t="s">
        <v>281</v>
      </c>
      <c r="S3944" s="49" t="n">
        <v>0</v>
      </c>
      <c r="T3944" s="49" t="n">
        <v>0</v>
      </c>
      <c r="U3944" s="49" t="s">
        <v>8124</v>
      </c>
    </row>
    <row r="3945" customFormat="false" ht="15" hidden="false" customHeight="false" outlineLevel="0" collapsed="false">
      <c r="B3945" s="48" t="n">
        <v>46273.3298263889</v>
      </c>
      <c r="C3945" s="4" t="n">
        <f aca="false">YEAR(B3945)</f>
        <v>2026</v>
      </c>
      <c r="D3945" s="49" t="s">
        <v>283</v>
      </c>
      <c r="E3945" s="49" t="s">
        <v>8125</v>
      </c>
      <c r="F3945" s="50" t="n">
        <v>20</v>
      </c>
      <c r="G3945" s="49" t="s">
        <v>287</v>
      </c>
      <c r="H3945" s="51" t="n">
        <v>0.003</v>
      </c>
      <c r="I3945" s="51" t="n">
        <v>0.1482</v>
      </c>
      <c r="J3945" s="51" t="n">
        <v>0.8488</v>
      </c>
      <c r="K3945" s="49"/>
      <c r="L3945" s="49"/>
      <c r="M3945" s="49"/>
      <c r="N3945" s="49"/>
      <c r="O3945" s="49"/>
      <c r="P3945" s="49"/>
      <c r="Q3945" s="49"/>
      <c r="R3945" s="49"/>
      <c r="S3945" s="49" t="n">
        <v>0</v>
      </c>
      <c r="T3945" s="49" t="n">
        <v>0</v>
      </c>
      <c r="U3945" s="49" t="s">
        <v>8126</v>
      </c>
    </row>
    <row r="3946" customFormat="false" ht="15" hidden="false" customHeight="false" outlineLevel="0" collapsed="false">
      <c r="B3946" s="48" t="n">
        <v>46273.4945138889</v>
      </c>
      <c r="C3946" s="4" t="n">
        <f aca="false">YEAR(B3946)</f>
        <v>2026</v>
      </c>
      <c r="D3946" s="49" t="s">
        <v>278</v>
      </c>
      <c r="E3946" s="49" t="s">
        <v>8127</v>
      </c>
      <c r="F3946" s="50" t="n">
        <v>1</v>
      </c>
      <c r="G3946" s="49" t="s">
        <v>280</v>
      </c>
      <c r="H3946" s="51" t="n">
        <v>0.8297</v>
      </c>
      <c r="I3946" s="51" t="n">
        <v>0.1566</v>
      </c>
      <c r="J3946" s="51" t="n">
        <v>0.0137</v>
      </c>
      <c r="K3946" s="49"/>
      <c r="L3946" s="49"/>
      <c r="M3946" s="49"/>
      <c r="N3946" s="49"/>
      <c r="O3946" s="49"/>
      <c r="P3946" s="49"/>
      <c r="Q3946" s="49"/>
      <c r="R3946" s="49"/>
      <c r="S3946" s="49" t="n">
        <v>0</v>
      </c>
      <c r="T3946" s="49" t="n">
        <v>0</v>
      </c>
      <c r="U3946" s="49" t="s">
        <v>8128</v>
      </c>
    </row>
    <row r="3947" customFormat="false" ht="15" hidden="false" customHeight="false" outlineLevel="0" collapsed="false">
      <c r="B3947" s="48" t="n">
        <v>46274.2167361111</v>
      </c>
      <c r="C3947" s="4" t="n">
        <f aca="false">YEAR(B3947)</f>
        <v>2026</v>
      </c>
      <c r="D3947" s="49" t="s">
        <v>278</v>
      </c>
      <c r="E3947" s="49" t="s">
        <v>8129</v>
      </c>
      <c r="F3947" s="50" t="n">
        <v>0</v>
      </c>
      <c r="G3947" s="49" t="s">
        <v>280</v>
      </c>
      <c r="H3947" s="51" t="n">
        <v>0.5211</v>
      </c>
      <c r="I3947" s="51" t="n">
        <v>0.4457</v>
      </c>
      <c r="J3947" s="51" t="n">
        <v>0.0332</v>
      </c>
      <c r="K3947" s="49"/>
      <c r="L3947" s="49"/>
      <c r="M3947" s="49"/>
      <c r="N3947" s="49"/>
      <c r="O3947" s="49"/>
      <c r="P3947" s="49"/>
      <c r="Q3947" s="49"/>
      <c r="R3947" s="49"/>
      <c r="S3947" s="49" t="n">
        <v>0</v>
      </c>
      <c r="T3947" s="49" t="n">
        <v>0</v>
      </c>
      <c r="U3947" s="49" t="s">
        <v>8130</v>
      </c>
    </row>
    <row r="3948" customFormat="false" ht="15" hidden="false" customHeight="false" outlineLevel="0" collapsed="false">
      <c r="B3948" s="48" t="n">
        <v>46274.2193518519</v>
      </c>
      <c r="C3948" s="4" t="n">
        <f aca="false">YEAR(B3948)</f>
        <v>2026</v>
      </c>
      <c r="D3948" s="49" t="s">
        <v>278</v>
      </c>
      <c r="E3948" s="49" t="s">
        <v>8131</v>
      </c>
      <c r="F3948" s="50" t="n">
        <v>2</v>
      </c>
      <c r="G3948" s="49" t="s">
        <v>290</v>
      </c>
      <c r="H3948" s="51" t="n">
        <v>0.1926</v>
      </c>
      <c r="I3948" s="51" t="n">
        <v>0.7659</v>
      </c>
      <c r="J3948" s="51" t="n">
        <v>0.0415</v>
      </c>
      <c r="K3948" s="49"/>
      <c r="L3948" s="49"/>
      <c r="M3948" s="49"/>
      <c r="N3948" s="49"/>
      <c r="O3948" s="49"/>
      <c r="P3948" s="49"/>
      <c r="Q3948" s="49"/>
      <c r="R3948" s="49" t="s">
        <v>281</v>
      </c>
      <c r="S3948" s="49" t="n">
        <v>0</v>
      </c>
      <c r="T3948" s="49" t="n">
        <v>0</v>
      </c>
      <c r="U3948" s="49" t="s">
        <v>8132</v>
      </c>
    </row>
    <row r="3949" customFormat="false" ht="15" hidden="false" customHeight="false" outlineLevel="0" collapsed="false">
      <c r="B3949" s="48" t="n">
        <v>46274.2790277778</v>
      </c>
      <c r="C3949" s="4" t="n">
        <f aca="false">YEAR(B3949)</f>
        <v>2026</v>
      </c>
      <c r="D3949" s="49" t="s">
        <v>283</v>
      </c>
      <c r="E3949" s="49" t="s">
        <v>7412</v>
      </c>
      <c r="F3949" s="50" t="n">
        <v>1</v>
      </c>
      <c r="G3949" s="49" t="s">
        <v>290</v>
      </c>
      <c r="H3949" s="51" t="n">
        <v>0.0082</v>
      </c>
      <c r="I3949" s="51" t="n">
        <v>0.928</v>
      </c>
      <c r="J3949" s="51" t="n">
        <v>0.0638</v>
      </c>
      <c r="K3949" s="49"/>
      <c r="L3949" s="49"/>
      <c r="M3949" s="49"/>
      <c r="N3949" s="49"/>
      <c r="O3949" s="49"/>
      <c r="P3949" s="49"/>
      <c r="Q3949" s="49"/>
      <c r="R3949" s="49"/>
      <c r="S3949" s="49" t="n">
        <v>0</v>
      </c>
      <c r="T3949" s="49" t="n">
        <v>0</v>
      </c>
      <c r="U3949" s="49" t="s">
        <v>8133</v>
      </c>
    </row>
    <row r="3950" customFormat="false" ht="15" hidden="false" customHeight="false" outlineLevel="0" collapsed="false">
      <c r="B3950" s="48" t="n">
        <v>46275.7530555556</v>
      </c>
      <c r="C3950" s="4" t="n">
        <f aca="false">YEAR(B3950)</f>
        <v>2026</v>
      </c>
      <c r="D3950" s="49" t="s">
        <v>283</v>
      </c>
      <c r="E3950" s="49" t="s">
        <v>8134</v>
      </c>
      <c r="F3950" s="50" t="n">
        <v>7</v>
      </c>
      <c r="G3950" s="49" t="s">
        <v>287</v>
      </c>
      <c r="H3950" s="51" t="n">
        <v>0.007</v>
      </c>
      <c r="I3950" s="51" t="n">
        <v>0.2551</v>
      </c>
      <c r="J3950" s="51" t="n">
        <v>0.7379</v>
      </c>
      <c r="K3950" s="49"/>
      <c r="L3950" s="49"/>
      <c r="M3950" s="49"/>
      <c r="N3950" s="49"/>
      <c r="O3950" s="49"/>
      <c r="P3950" s="49"/>
      <c r="Q3950" s="49"/>
      <c r="R3950" s="49"/>
      <c r="S3950" s="49" t="n">
        <v>0</v>
      </c>
      <c r="T3950" s="49" t="n">
        <v>0</v>
      </c>
      <c r="U3950" s="49" t="s">
        <v>8135</v>
      </c>
    </row>
    <row r="3951" customFormat="false" ht="15" hidden="false" customHeight="false" outlineLevel="0" collapsed="false">
      <c r="B3951" s="48" t="n">
        <v>46276.5340046296</v>
      </c>
      <c r="C3951" s="4" t="n">
        <f aca="false">YEAR(B3951)</f>
        <v>2026</v>
      </c>
      <c r="D3951" s="49" t="s">
        <v>278</v>
      </c>
      <c r="E3951" s="49" t="s">
        <v>8136</v>
      </c>
      <c r="F3951" s="50" t="n">
        <v>1</v>
      </c>
      <c r="G3951" s="49" t="s">
        <v>280</v>
      </c>
      <c r="H3951" s="51" t="n">
        <v>0.8287</v>
      </c>
      <c r="I3951" s="51" t="n">
        <v>0.1547</v>
      </c>
      <c r="J3951" s="51" t="n">
        <v>0.0166</v>
      </c>
      <c r="K3951" s="49"/>
      <c r="L3951" s="49"/>
      <c r="M3951" s="49"/>
      <c r="N3951" s="49"/>
      <c r="O3951" s="49"/>
      <c r="P3951" s="49"/>
      <c r="Q3951" s="49"/>
      <c r="R3951" s="49" t="s">
        <v>281</v>
      </c>
      <c r="S3951" s="49" t="n">
        <v>0</v>
      </c>
      <c r="T3951" s="49" t="n">
        <v>0</v>
      </c>
      <c r="U3951" s="49" t="s">
        <v>8137</v>
      </c>
    </row>
    <row r="3952" customFormat="false" ht="15" hidden="false" customHeight="false" outlineLevel="0" collapsed="false">
      <c r="B3952" s="48" t="n">
        <v>46276.9246296296</v>
      </c>
      <c r="C3952" s="4" t="n">
        <f aca="false">YEAR(B3952)</f>
        <v>2026</v>
      </c>
      <c r="D3952" s="49" t="s">
        <v>283</v>
      </c>
      <c r="E3952" s="49" t="s">
        <v>8138</v>
      </c>
      <c r="F3952" s="50" t="n">
        <v>5</v>
      </c>
      <c r="G3952" s="49" t="s">
        <v>287</v>
      </c>
      <c r="H3952" s="51" t="n">
        <v>0.0026</v>
      </c>
      <c r="I3952" s="51" t="n">
        <v>0.0502</v>
      </c>
      <c r="J3952" s="51" t="n">
        <v>0.9472</v>
      </c>
      <c r="K3952" s="49"/>
      <c r="L3952" s="49"/>
      <c r="M3952" s="49"/>
      <c r="N3952" s="49"/>
      <c r="O3952" s="49"/>
      <c r="P3952" s="49"/>
      <c r="Q3952" s="49"/>
      <c r="R3952" s="49"/>
      <c r="S3952" s="49" t="n">
        <v>0</v>
      </c>
      <c r="T3952" s="49" t="n">
        <v>0</v>
      </c>
      <c r="U3952" s="49" t="s">
        <v>8139</v>
      </c>
    </row>
    <row r="3953" customFormat="false" ht="15" hidden="false" customHeight="false" outlineLevel="0" collapsed="false">
      <c r="B3953" s="48" t="n">
        <v>46277.0391666667</v>
      </c>
      <c r="C3953" s="4" t="n">
        <f aca="false">YEAR(B3953)</f>
        <v>2026</v>
      </c>
      <c r="D3953" s="49" t="s">
        <v>278</v>
      </c>
      <c r="E3953" s="49" t="s">
        <v>8140</v>
      </c>
      <c r="F3953" s="50" t="n">
        <v>162</v>
      </c>
      <c r="G3953" s="49" t="s">
        <v>280</v>
      </c>
      <c r="H3953" s="51" t="n">
        <v>0.9242</v>
      </c>
      <c r="I3953" s="51" t="n">
        <v>0.0704</v>
      </c>
      <c r="J3953" s="51" t="n">
        <v>0.0053</v>
      </c>
      <c r="K3953" s="49"/>
      <c r="L3953" s="49"/>
      <c r="M3953" s="49"/>
      <c r="N3953" s="49"/>
      <c r="O3953" s="49"/>
      <c r="P3953" s="49"/>
      <c r="Q3953" s="49"/>
      <c r="R3953" s="49"/>
      <c r="S3953" s="49" t="n">
        <v>0</v>
      </c>
      <c r="T3953" s="49" t="n">
        <v>0</v>
      </c>
      <c r="U3953" s="49" t="s">
        <v>8141</v>
      </c>
    </row>
    <row r="3954" customFormat="false" ht="15" hidden="false" customHeight="false" outlineLevel="0" collapsed="false">
      <c r="B3954" s="48" t="n">
        <v>46277.6698611111</v>
      </c>
      <c r="C3954" s="4" t="n">
        <f aca="false">YEAR(B3954)</f>
        <v>2026</v>
      </c>
      <c r="D3954" s="49" t="s">
        <v>278</v>
      </c>
      <c r="E3954" s="49" t="s">
        <v>8142</v>
      </c>
      <c r="F3954" s="50" t="n">
        <v>5</v>
      </c>
      <c r="G3954" s="49" t="s">
        <v>280</v>
      </c>
      <c r="H3954" s="51" t="n">
        <v>0.5118</v>
      </c>
      <c r="I3954" s="51" t="n">
        <v>0.4705</v>
      </c>
      <c r="J3954" s="51" t="n">
        <v>0.0177</v>
      </c>
      <c r="K3954" s="49"/>
      <c r="L3954" s="49"/>
      <c r="M3954" s="49"/>
      <c r="N3954" s="49"/>
      <c r="O3954" s="49"/>
      <c r="P3954" s="49"/>
      <c r="Q3954" s="49"/>
      <c r="R3954" s="49"/>
      <c r="S3954" s="49" t="n">
        <v>0</v>
      </c>
      <c r="T3954" s="49" t="n">
        <v>0</v>
      </c>
      <c r="U3954" s="49" t="s">
        <v>8143</v>
      </c>
    </row>
    <row r="3955" customFormat="false" ht="15" hidden="false" customHeight="false" outlineLevel="0" collapsed="false">
      <c r="B3955" s="48" t="n">
        <v>46277.7391319444</v>
      </c>
      <c r="C3955" s="4" t="n">
        <f aca="false">YEAR(B3955)</f>
        <v>2026</v>
      </c>
      <c r="D3955" s="49" t="s">
        <v>283</v>
      </c>
      <c r="E3955" s="49" t="s">
        <v>8144</v>
      </c>
      <c r="F3955" s="50" t="n">
        <v>1</v>
      </c>
      <c r="G3955" s="49" t="s">
        <v>287</v>
      </c>
      <c r="H3955" s="51" t="n">
        <v>0.0024</v>
      </c>
      <c r="I3955" s="51" t="n">
        <v>0.0523</v>
      </c>
      <c r="J3955" s="51" t="n">
        <v>0.9454</v>
      </c>
      <c r="K3955" s="49"/>
      <c r="L3955" s="49"/>
      <c r="M3955" s="49"/>
      <c r="N3955" s="49"/>
      <c r="O3955" s="49"/>
      <c r="P3955" s="49"/>
      <c r="Q3955" s="49" t="s">
        <v>281</v>
      </c>
      <c r="R3955" s="49"/>
      <c r="S3955" s="49" t="n">
        <v>0</v>
      </c>
      <c r="T3955" s="49" t="n">
        <v>0</v>
      </c>
      <c r="U3955" s="49" t="s">
        <v>8145</v>
      </c>
    </row>
    <row r="3956" customFormat="false" ht="15" hidden="false" customHeight="false" outlineLevel="0" collapsed="false">
      <c r="B3956" s="48" t="n">
        <v>46278.0277662037</v>
      </c>
      <c r="C3956" s="4" t="n">
        <f aca="false">YEAR(B3956)</f>
        <v>2026</v>
      </c>
      <c r="D3956" s="49" t="s">
        <v>283</v>
      </c>
      <c r="E3956" s="49" t="s">
        <v>8146</v>
      </c>
      <c r="F3956" s="50" t="n">
        <v>4</v>
      </c>
      <c r="G3956" s="49" t="s">
        <v>290</v>
      </c>
      <c r="H3956" s="51" t="n">
        <v>0.2095</v>
      </c>
      <c r="I3956" s="51" t="n">
        <v>0.7006</v>
      </c>
      <c r="J3956" s="51" t="n">
        <v>0.0899</v>
      </c>
      <c r="K3956" s="49"/>
      <c r="L3956" s="49"/>
      <c r="M3956" s="49"/>
      <c r="N3956" s="49"/>
      <c r="O3956" s="49"/>
      <c r="P3956" s="49"/>
      <c r="Q3956" s="49"/>
      <c r="R3956" s="49"/>
      <c r="S3956" s="49" t="n">
        <v>0</v>
      </c>
      <c r="T3956" s="49" t="n">
        <v>0</v>
      </c>
      <c r="U3956" s="49" t="s">
        <v>8147</v>
      </c>
    </row>
    <row r="3957" customFormat="false" ht="15" hidden="false" customHeight="false" outlineLevel="0" collapsed="false">
      <c r="B3957" s="48" t="n">
        <v>46278.0693865741</v>
      </c>
      <c r="C3957" s="4" t="n">
        <f aca="false">YEAR(B3957)</f>
        <v>2026</v>
      </c>
      <c r="D3957" s="49" t="s">
        <v>283</v>
      </c>
      <c r="E3957" s="49" t="s">
        <v>8148</v>
      </c>
      <c r="F3957" s="50" t="n">
        <v>4</v>
      </c>
      <c r="G3957" s="49" t="s">
        <v>287</v>
      </c>
      <c r="H3957" s="51" t="n">
        <v>0.0109</v>
      </c>
      <c r="I3957" s="51" t="n">
        <v>0.4342</v>
      </c>
      <c r="J3957" s="51" t="n">
        <v>0.5549</v>
      </c>
      <c r="K3957" s="49"/>
      <c r="L3957" s="49"/>
      <c r="M3957" s="49"/>
      <c r="N3957" s="49"/>
      <c r="O3957" s="49"/>
      <c r="P3957" s="49"/>
      <c r="Q3957" s="49"/>
      <c r="R3957" s="49"/>
      <c r="S3957" s="49" t="n">
        <v>0</v>
      </c>
      <c r="T3957" s="49" t="n">
        <v>0</v>
      </c>
      <c r="U3957" s="49" t="s">
        <v>8149</v>
      </c>
    </row>
    <row r="3958" customFormat="false" ht="15" hidden="false" customHeight="false" outlineLevel="0" collapsed="false">
      <c r="B3958" s="48" t="n">
        <v>46278.7485300926</v>
      </c>
      <c r="C3958" s="4" t="n">
        <f aca="false">YEAR(B3958)</f>
        <v>2026</v>
      </c>
      <c r="D3958" s="49" t="s">
        <v>278</v>
      </c>
      <c r="E3958" s="49" t="s">
        <v>8150</v>
      </c>
      <c r="F3958" s="50" t="n">
        <v>9</v>
      </c>
      <c r="G3958" s="49" t="s">
        <v>280</v>
      </c>
      <c r="H3958" s="51" t="n">
        <v>0.7545</v>
      </c>
      <c r="I3958" s="51" t="n">
        <v>0.2286</v>
      </c>
      <c r="J3958" s="51" t="n">
        <v>0.0169</v>
      </c>
      <c r="K3958" s="49"/>
      <c r="L3958" s="49"/>
      <c r="M3958" s="49"/>
      <c r="N3958" s="49"/>
      <c r="O3958" s="49"/>
      <c r="P3958" s="49"/>
      <c r="Q3958" s="49"/>
      <c r="R3958" s="49"/>
      <c r="S3958" s="49" t="n">
        <v>0</v>
      </c>
      <c r="T3958" s="49" t="n">
        <v>0</v>
      </c>
      <c r="U3958" s="49" t="s">
        <v>8151</v>
      </c>
    </row>
    <row r="3959" customFormat="false" ht="15" hidden="false" customHeight="false" outlineLevel="0" collapsed="false">
      <c r="B3959" s="48" t="n">
        <v>46278.8091666667</v>
      </c>
      <c r="C3959" s="4" t="n">
        <f aca="false">YEAR(B3959)</f>
        <v>2026</v>
      </c>
      <c r="D3959" s="49" t="s">
        <v>278</v>
      </c>
      <c r="E3959" s="49" t="s">
        <v>8152</v>
      </c>
      <c r="F3959" s="50" t="n">
        <v>0</v>
      </c>
      <c r="G3959" s="49" t="s">
        <v>290</v>
      </c>
      <c r="H3959" s="51" t="n">
        <v>0.3963</v>
      </c>
      <c r="I3959" s="51" t="n">
        <v>0.5557</v>
      </c>
      <c r="J3959" s="51" t="n">
        <v>0.0479</v>
      </c>
      <c r="K3959" s="49" t="s">
        <v>281</v>
      </c>
      <c r="L3959" s="49"/>
      <c r="M3959" s="49"/>
      <c r="N3959" s="49"/>
      <c r="O3959" s="49"/>
      <c r="P3959" s="49"/>
      <c r="Q3959" s="49"/>
      <c r="R3959" s="49"/>
      <c r="S3959" s="49" t="n">
        <v>0</v>
      </c>
      <c r="T3959" s="49" t="n">
        <v>0</v>
      </c>
      <c r="U3959" s="49" t="s">
        <v>8153</v>
      </c>
    </row>
    <row r="3960" customFormat="false" ht="15" hidden="false" customHeight="false" outlineLevel="0" collapsed="false">
      <c r="B3960" s="48" t="n">
        <v>46278.9254166667</v>
      </c>
      <c r="C3960" s="4" t="n">
        <f aca="false">YEAR(B3960)</f>
        <v>2026</v>
      </c>
      <c r="D3960" s="49" t="s">
        <v>278</v>
      </c>
      <c r="E3960" s="49" t="s">
        <v>8154</v>
      </c>
      <c r="F3960" s="50" t="n">
        <v>0</v>
      </c>
      <c r="G3960" s="49" t="s">
        <v>280</v>
      </c>
      <c r="H3960" s="51" t="n">
        <v>0.823</v>
      </c>
      <c r="I3960" s="51" t="n">
        <v>0.1655</v>
      </c>
      <c r="J3960" s="51" t="n">
        <v>0.0115</v>
      </c>
      <c r="K3960" s="49"/>
      <c r="L3960" s="49"/>
      <c r="M3960" s="49"/>
      <c r="N3960" s="49"/>
      <c r="O3960" s="49"/>
      <c r="P3960" s="49"/>
      <c r="Q3960" s="49"/>
      <c r="R3960" s="49"/>
      <c r="S3960" s="49" t="n">
        <v>0</v>
      </c>
      <c r="T3960" s="49" t="n">
        <v>0</v>
      </c>
      <c r="U3960" s="49" t="s">
        <v>8155</v>
      </c>
    </row>
    <row r="3961" customFormat="false" ht="15" hidden="false" customHeight="false" outlineLevel="0" collapsed="false">
      <c r="B3961" s="48" t="n">
        <v>46279.2155324074</v>
      </c>
      <c r="C3961" s="4" t="n">
        <f aca="false">YEAR(B3961)</f>
        <v>2026</v>
      </c>
      <c r="D3961" s="49" t="s">
        <v>278</v>
      </c>
      <c r="E3961" s="49" t="s">
        <v>8156</v>
      </c>
      <c r="F3961" s="50" t="n">
        <v>3</v>
      </c>
      <c r="G3961" s="49" t="s">
        <v>290</v>
      </c>
      <c r="H3961" s="51" t="n">
        <v>0.263</v>
      </c>
      <c r="I3961" s="51" t="n">
        <v>0.7109</v>
      </c>
      <c r="J3961" s="51" t="n">
        <v>0.0261</v>
      </c>
      <c r="K3961" s="49"/>
      <c r="L3961" s="49"/>
      <c r="M3961" s="49"/>
      <c r="N3961" s="49"/>
      <c r="O3961" s="49"/>
      <c r="P3961" s="49"/>
      <c r="Q3961" s="49"/>
      <c r="R3961" s="49"/>
      <c r="S3961" s="49" t="n">
        <v>0</v>
      </c>
      <c r="T3961" s="49" t="n">
        <v>0</v>
      </c>
      <c r="U3961" s="49" t="s">
        <v>8157</v>
      </c>
    </row>
    <row r="3962" customFormat="false" ht="15" hidden="false" customHeight="false" outlineLevel="0" collapsed="false">
      <c r="B3962" s="48" t="n">
        <v>46279.7645833333</v>
      </c>
      <c r="C3962" s="4" t="n">
        <f aca="false">YEAR(B3962)</f>
        <v>2026</v>
      </c>
      <c r="D3962" s="49" t="s">
        <v>278</v>
      </c>
      <c r="E3962" s="49" t="s">
        <v>8158</v>
      </c>
      <c r="F3962" s="50" t="n">
        <v>2</v>
      </c>
      <c r="G3962" s="49" t="s">
        <v>280</v>
      </c>
      <c r="H3962" s="51" t="n">
        <v>0.6376</v>
      </c>
      <c r="I3962" s="51" t="n">
        <v>0.3223</v>
      </c>
      <c r="J3962" s="51" t="n">
        <v>0.0401</v>
      </c>
      <c r="K3962" s="49"/>
      <c r="L3962" s="49"/>
      <c r="M3962" s="49"/>
      <c r="N3962" s="49"/>
      <c r="O3962" s="49"/>
      <c r="P3962" s="49"/>
      <c r="Q3962" s="49"/>
      <c r="R3962" s="49" t="s">
        <v>281</v>
      </c>
      <c r="S3962" s="49" t="n">
        <v>0</v>
      </c>
      <c r="T3962" s="49" t="n">
        <v>0</v>
      </c>
      <c r="U3962" s="49" t="s">
        <v>8159</v>
      </c>
    </row>
    <row r="3963" customFormat="false" ht="15" hidden="false" customHeight="false" outlineLevel="0" collapsed="false">
      <c r="B3963" s="48" t="n">
        <v>46280.0542476852</v>
      </c>
      <c r="C3963" s="4" t="n">
        <f aca="false">YEAR(B3963)</f>
        <v>2026</v>
      </c>
      <c r="D3963" s="49" t="s">
        <v>278</v>
      </c>
      <c r="E3963" s="49" t="s">
        <v>8160</v>
      </c>
      <c r="F3963" s="50" t="n">
        <v>4</v>
      </c>
      <c r="G3963" s="49" t="s">
        <v>287</v>
      </c>
      <c r="H3963" s="51" t="n">
        <v>0.0058</v>
      </c>
      <c r="I3963" s="51" t="n">
        <v>0.0378</v>
      </c>
      <c r="J3963" s="51" t="n">
        <v>0.9564</v>
      </c>
      <c r="K3963" s="49"/>
      <c r="L3963" s="49"/>
      <c r="M3963" s="49"/>
      <c r="N3963" s="49"/>
      <c r="O3963" s="49"/>
      <c r="P3963" s="49" t="s">
        <v>281</v>
      </c>
      <c r="Q3963" s="49"/>
      <c r="R3963" s="49"/>
      <c r="S3963" s="49" t="n">
        <v>0</v>
      </c>
      <c r="T3963" s="49" t="n">
        <v>0</v>
      </c>
      <c r="U3963" s="49" t="s">
        <v>8161</v>
      </c>
    </row>
    <row r="3964" customFormat="false" ht="15" hidden="false" customHeight="false" outlineLevel="0" collapsed="false">
      <c r="B3964" s="48" t="n">
        <v>46280.1090509259</v>
      </c>
      <c r="C3964" s="4" t="n">
        <f aca="false">YEAR(B3964)</f>
        <v>2026</v>
      </c>
      <c r="D3964" s="49" t="s">
        <v>283</v>
      </c>
      <c r="E3964" s="49" t="s">
        <v>8162</v>
      </c>
      <c r="F3964" s="50" t="n">
        <v>11</v>
      </c>
      <c r="G3964" s="49" t="s">
        <v>287</v>
      </c>
      <c r="H3964" s="51" t="n">
        <v>0.0062</v>
      </c>
      <c r="I3964" s="51" t="n">
        <v>0.2353</v>
      </c>
      <c r="J3964" s="51" t="n">
        <v>0.7586</v>
      </c>
      <c r="K3964" s="49"/>
      <c r="L3964" s="49"/>
      <c r="M3964" s="49" t="s">
        <v>281</v>
      </c>
      <c r="N3964" s="49"/>
      <c r="O3964" s="49"/>
      <c r="P3964" s="49"/>
      <c r="Q3964" s="49"/>
      <c r="R3964" s="49"/>
      <c r="S3964" s="49" t="n">
        <v>0</v>
      </c>
      <c r="T3964" s="49" t="n">
        <v>0</v>
      </c>
      <c r="U3964" s="49" t="s">
        <v>8163</v>
      </c>
    </row>
    <row r="3965" customFormat="false" ht="15" hidden="false" customHeight="false" outlineLevel="0" collapsed="false">
      <c r="B3965" s="48" t="n">
        <v>46280.5398032407</v>
      </c>
      <c r="C3965" s="4" t="n">
        <f aca="false">YEAR(B3965)</f>
        <v>2026</v>
      </c>
      <c r="D3965" s="49" t="s">
        <v>278</v>
      </c>
      <c r="E3965" s="49" t="s">
        <v>8164</v>
      </c>
      <c r="F3965" s="50" t="n">
        <v>26</v>
      </c>
      <c r="G3965" s="49" t="s">
        <v>280</v>
      </c>
      <c r="H3965" s="51" t="n">
        <v>0.9453</v>
      </c>
      <c r="I3965" s="51" t="n">
        <v>0.0484</v>
      </c>
      <c r="J3965" s="51" t="n">
        <v>0.0063</v>
      </c>
      <c r="K3965" s="49"/>
      <c r="L3965" s="49"/>
      <c r="M3965" s="49"/>
      <c r="N3965" s="49"/>
      <c r="O3965" s="49"/>
      <c r="P3965" s="49"/>
      <c r="Q3965" s="49" t="s">
        <v>281</v>
      </c>
      <c r="R3965" s="49"/>
      <c r="S3965" s="49" t="n">
        <v>0</v>
      </c>
      <c r="T3965" s="49" t="n">
        <v>0</v>
      </c>
      <c r="U3965" s="49" t="s">
        <v>8165</v>
      </c>
    </row>
    <row r="3966" customFormat="false" ht="15" hidden="false" customHeight="false" outlineLevel="0" collapsed="false">
      <c r="B3966" s="48" t="n">
        <v>46281.5110185185</v>
      </c>
      <c r="C3966" s="4" t="n">
        <f aca="false">YEAR(B3966)</f>
        <v>2026</v>
      </c>
      <c r="D3966" s="49" t="s">
        <v>283</v>
      </c>
      <c r="E3966" s="49" t="s">
        <v>8166</v>
      </c>
      <c r="F3966" s="50" t="n">
        <v>1</v>
      </c>
      <c r="G3966" s="49" t="s">
        <v>287</v>
      </c>
      <c r="H3966" s="51" t="n">
        <v>0.0068</v>
      </c>
      <c r="I3966" s="51" t="n">
        <v>0.3747</v>
      </c>
      <c r="J3966" s="51" t="n">
        <v>0.6185</v>
      </c>
      <c r="K3966" s="49"/>
      <c r="L3966" s="49"/>
      <c r="M3966" s="49"/>
      <c r="N3966" s="49"/>
      <c r="O3966" s="49"/>
      <c r="P3966" s="49"/>
      <c r="Q3966" s="49"/>
      <c r="R3966" s="49"/>
      <c r="S3966" s="49" t="n">
        <v>0</v>
      </c>
      <c r="T3966" s="49" t="n">
        <v>0</v>
      </c>
      <c r="U3966" s="49" t="s">
        <v>8167</v>
      </c>
    </row>
    <row r="3967" customFormat="false" ht="15" hidden="false" customHeight="false" outlineLevel="0" collapsed="false">
      <c r="B3967" s="48" t="n">
        <v>46281.6818287037</v>
      </c>
      <c r="C3967" s="4" t="n">
        <f aca="false">YEAR(B3967)</f>
        <v>2026</v>
      </c>
      <c r="D3967" s="49" t="s">
        <v>278</v>
      </c>
      <c r="E3967" s="49" t="s">
        <v>8168</v>
      </c>
      <c r="F3967" s="50" t="n">
        <v>0</v>
      </c>
      <c r="G3967" s="49" t="s">
        <v>280</v>
      </c>
      <c r="H3967" s="51" t="n">
        <v>0.6865</v>
      </c>
      <c r="I3967" s="51" t="n">
        <v>0.2614</v>
      </c>
      <c r="J3967" s="51" t="n">
        <v>0.0521</v>
      </c>
      <c r="K3967" s="49"/>
      <c r="L3967" s="49"/>
      <c r="M3967" s="49" t="s">
        <v>281</v>
      </c>
      <c r="N3967" s="49"/>
      <c r="O3967" s="49"/>
      <c r="P3967" s="49"/>
      <c r="Q3967" s="49" t="s">
        <v>281</v>
      </c>
      <c r="R3967" s="49"/>
      <c r="S3967" s="49" t="n">
        <v>0</v>
      </c>
      <c r="T3967" s="49" t="n">
        <v>1</v>
      </c>
      <c r="U3967" s="49" t="s">
        <v>8169</v>
      </c>
    </row>
    <row r="3968" customFormat="false" ht="15" hidden="false" customHeight="false" outlineLevel="0" collapsed="false">
      <c r="B3968" s="48" t="n">
        <v>46282.1112962963</v>
      </c>
      <c r="C3968" s="4" t="n">
        <f aca="false">YEAR(B3968)</f>
        <v>2026</v>
      </c>
      <c r="D3968" s="49" t="s">
        <v>278</v>
      </c>
      <c r="E3968" s="49" t="s">
        <v>8170</v>
      </c>
      <c r="F3968" s="50" t="n">
        <v>0</v>
      </c>
      <c r="G3968" s="49" t="s">
        <v>280</v>
      </c>
      <c r="H3968" s="51" t="n">
        <v>0.537</v>
      </c>
      <c r="I3968" s="51" t="n">
        <v>0.4384</v>
      </c>
      <c r="J3968" s="51" t="n">
        <v>0.0247</v>
      </c>
      <c r="K3968" s="49"/>
      <c r="L3968" s="49"/>
      <c r="M3968" s="49"/>
      <c r="N3968" s="49"/>
      <c r="O3968" s="49"/>
      <c r="P3968" s="49"/>
      <c r="Q3968" s="49"/>
      <c r="R3968" s="49"/>
      <c r="S3968" s="49" t="n">
        <v>0</v>
      </c>
      <c r="T3968" s="49" t="n">
        <v>0</v>
      </c>
      <c r="U3968" s="49" t="s">
        <v>8171</v>
      </c>
    </row>
    <row r="3969" customFormat="false" ht="15" hidden="false" customHeight="false" outlineLevel="0" collapsed="false">
      <c r="B3969" s="48" t="n">
        <v>46282.2031481482</v>
      </c>
      <c r="C3969" s="4" t="n">
        <f aca="false">YEAR(B3969)</f>
        <v>2026</v>
      </c>
      <c r="D3969" s="49" t="s">
        <v>278</v>
      </c>
      <c r="E3969" s="49" t="s">
        <v>8172</v>
      </c>
      <c r="F3969" s="50" t="n">
        <v>22</v>
      </c>
      <c r="G3969" s="49" t="s">
        <v>280</v>
      </c>
      <c r="H3969" s="51" t="n">
        <v>0.8153</v>
      </c>
      <c r="I3969" s="51" t="n">
        <v>0.1568</v>
      </c>
      <c r="J3969" s="51" t="n">
        <v>0.0279</v>
      </c>
      <c r="K3969" s="49"/>
      <c r="L3969" s="49"/>
      <c r="M3969" s="49"/>
      <c r="N3969" s="49"/>
      <c r="O3969" s="49"/>
      <c r="P3969" s="49"/>
      <c r="Q3969" s="49"/>
      <c r="R3969" s="49"/>
      <c r="S3969" s="49" t="n">
        <v>0</v>
      </c>
      <c r="T3969" s="49" t="n">
        <v>1</v>
      </c>
      <c r="U3969" s="49" t="s">
        <v>8173</v>
      </c>
    </row>
    <row r="3970" customFormat="false" ht="15" hidden="false" customHeight="false" outlineLevel="0" collapsed="false">
      <c r="B3970" s="48" t="n">
        <v>46282.9808101852</v>
      </c>
      <c r="C3970" s="4" t="n">
        <f aca="false">YEAR(B3970)</f>
        <v>2026</v>
      </c>
      <c r="D3970" s="49" t="s">
        <v>278</v>
      </c>
      <c r="E3970" s="49" t="s">
        <v>8174</v>
      </c>
      <c r="F3970" s="50" t="n">
        <v>0</v>
      </c>
      <c r="G3970" s="49" t="s">
        <v>290</v>
      </c>
      <c r="H3970" s="51" t="n">
        <v>0.4761</v>
      </c>
      <c r="I3970" s="51" t="n">
        <v>0.4788</v>
      </c>
      <c r="J3970" s="51" t="n">
        <v>0.045</v>
      </c>
      <c r="K3970" s="49" t="s">
        <v>281</v>
      </c>
      <c r="L3970" s="49"/>
      <c r="M3970" s="49"/>
      <c r="N3970" s="49"/>
      <c r="O3970" s="49"/>
      <c r="P3970" s="49"/>
      <c r="Q3970" s="49" t="s">
        <v>281</v>
      </c>
      <c r="R3970" s="49" t="s">
        <v>281</v>
      </c>
      <c r="S3970" s="49" t="n">
        <v>0</v>
      </c>
      <c r="T3970" s="49" t="n">
        <v>0</v>
      </c>
      <c r="U3970" s="49" t="s">
        <v>8175</v>
      </c>
    </row>
    <row r="3971" customFormat="false" ht="15" hidden="false" customHeight="false" outlineLevel="0" collapsed="false">
      <c r="B3971" s="48" t="n">
        <v>46283.7662731482</v>
      </c>
      <c r="C3971" s="4" t="n">
        <f aca="false">YEAR(B3971)</f>
        <v>2026</v>
      </c>
      <c r="D3971" s="49" t="s">
        <v>278</v>
      </c>
      <c r="E3971" s="49" t="s">
        <v>8176</v>
      </c>
      <c r="F3971" s="50" t="n">
        <v>0</v>
      </c>
      <c r="G3971" s="49" t="s">
        <v>280</v>
      </c>
      <c r="H3971" s="51" t="n">
        <v>0.8048</v>
      </c>
      <c r="I3971" s="51" t="n">
        <v>0.1864</v>
      </c>
      <c r="J3971" s="51" t="n">
        <v>0.0087</v>
      </c>
      <c r="K3971" s="49"/>
      <c r="L3971" s="49"/>
      <c r="M3971" s="49"/>
      <c r="N3971" s="49"/>
      <c r="O3971" s="49"/>
      <c r="P3971" s="49"/>
      <c r="Q3971" s="49"/>
      <c r="R3971" s="49"/>
      <c r="S3971" s="49" t="n">
        <v>0</v>
      </c>
      <c r="T3971" s="49" t="n">
        <v>0</v>
      </c>
      <c r="U3971" s="49" t="s">
        <v>8177</v>
      </c>
    </row>
    <row r="3972" customFormat="false" ht="15" hidden="false" customHeight="false" outlineLevel="0" collapsed="false">
      <c r="B3972" s="48" t="n">
        <v>46284.3508101852</v>
      </c>
      <c r="C3972" s="4" t="n">
        <f aca="false">YEAR(B3972)</f>
        <v>2026</v>
      </c>
      <c r="D3972" s="49" t="s">
        <v>283</v>
      </c>
      <c r="E3972" s="49" t="s">
        <v>8178</v>
      </c>
      <c r="F3972" s="50" t="n">
        <v>1</v>
      </c>
      <c r="G3972" s="49" t="s">
        <v>290</v>
      </c>
      <c r="H3972" s="51" t="n">
        <v>0.0135</v>
      </c>
      <c r="I3972" s="51" t="n">
        <v>0.9232</v>
      </c>
      <c r="J3972" s="51" t="n">
        <v>0.0633</v>
      </c>
      <c r="K3972" s="49"/>
      <c r="L3972" s="49"/>
      <c r="M3972" s="49"/>
      <c r="N3972" s="49"/>
      <c r="O3972" s="49"/>
      <c r="P3972" s="49"/>
      <c r="Q3972" s="49"/>
      <c r="R3972" s="49"/>
      <c r="S3972" s="49" t="n">
        <v>1</v>
      </c>
      <c r="T3972" s="49" t="n">
        <v>0</v>
      </c>
      <c r="U3972" s="49" t="s">
        <v>8179</v>
      </c>
    </row>
    <row r="3973" customFormat="false" ht="15" hidden="false" customHeight="false" outlineLevel="0" collapsed="false">
      <c r="B3973" s="48" t="n">
        <v>46284.850462963</v>
      </c>
      <c r="C3973" s="4" t="n">
        <f aca="false">YEAR(B3973)</f>
        <v>2026</v>
      </c>
      <c r="D3973" s="49" t="s">
        <v>278</v>
      </c>
      <c r="E3973" s="49" t="s">
        <v>8180</v>
      </c>
      <c r="F3973" s="50" t="n">
        <v>3</v>
      </c>
      <c r="G3973" s="49" t="s">
        <v>280</v>
      </c>
      <c r="H3973" s="51" t="n">
        <v>0.5868</v>
      </c>
      <c r="I3973" s="51" t="n">
        <v>0.3965</v>
      </c>
      <c r="J3973" s="51" t="n">
        <v>0.0167</v>
      </c>
      <c r="K3973" s="49"/>
      <c r="L3973" s="49"/>
      <c r="M3973" s="49"/>
      <c r="N3973" s="49"/>
      <c r="O3973" s="49"/>
      <c r="P3973" s="49"/>
      <c r="Q3973" s="49"/>
      <c r="R3973" s="49"/>
      <c r="S3973" s="49" t="n">
        <v>0</v>
      </c>
      <c r="T3973" s="49" t="n">
        <v>0</v>
      </c>
      <c r="U3973" s="49" t="s">
        <v>8181</v>
      </c>
    </row>
    <row r="3974" customFormat="false" ht="15" hidden="false" customHeight="false" outlineLevel="0" collapsed="false">
      <c r="B3974" s="48" t="n">
        <v>46285.0670486111</v>
      </c>
      <c r="C3974" s="4" t="n">
        <f aca="false">YEAR(B3974)</f>
        <v>2026</v>
      </c>
      <c r="D3974" s="49" t="s">
        <v>283</v>
      </c>
      <c r="E3974" s="49" t="s">
        <v>8182</v>
      </c>
      <c r="F3974" s="50" t="n">
        <v>6</v>
      </c>
      <c r="G3974" s="49" t="s">
        <v>287</v>
      </c>
      <c r="H3974" s="51" t="n">
        <v>0.0136</v>
      </c>
      <c r="I3974" s="51" t="n">
        <v>0.1015</v>
      </c>
      <c r="J3974" s="51" t="n">
        <v>0.8849</v>
      </c>
      <c r="K3974" s="49"/>
      <c r="L3974" s="49"/>
      <c r="M3974" s="49" t="s">
        <v>281</v>
      </c>
      <c r="N3974" s="49"/>
      <c r="O3974" s="49"/>
      <c r="P3974" s="49"/>
      <c r="Q3974" s="49"/>
      <c r="R3974" s="49"/>
      <c r="S3974" s="49" t="n">
        <v>0</v>
      </c>
      <c r="T3974" s="49" t="n">
        <v>0</v>
      </c>
      <c r="U3974" s="49" t="s">
        <v>8183</v>
      </c>
    </row>
    <row r="3975" customFormat="false" ht="15" hidden="false" customHeight="false" outlineLevel="0" collapsed="false">
      <c r="B3975" s="48" t="n">
        <v>46285.3206828704</v>
      </c>
      <c r="C3975" s="4" t="n">
        <f aca="false">YEAR(B3975)</f>
        <v>2026</v>
      </c>
      <c r="D3975" s="49" t="s">
        <v>283</v>
      </c>
      <c r="E3975" s="49" t="s">
        <v>8184</v>
      </c>
      <c r="F3975" s="50" t="n">
        <v>17</v>
      </c>
      <c r="G3975" s="49" t="s">
        <v>287</v>
      </c>
      <c r="H3975" s="51" t="n">
        <v>0.0748</v>
      </c>
      <c r="I3975" s="51" t="n">
        <v>0.2778</v>
      </c>
      <c r="J3975" s="51" t="n">
        <v>0.6474</v>
      </c>
      <c r="K3975" s="49"/>
      <c r="L3975" s="49"/>
      <c r="M3975" s="49"/>
      <c r="N3975" s="49"/>
      <c r="O3975" s="49"/>
      <c r="P3975" s="49"/>
      <c r="Q3975" s="49"/>
      <c r="R3975" s="49"/>
      <c r="S3975" s="49" t="n">
        <v>0</v>
      </c>
      <c r="T3975" s="49" t="n">
        <v>0</v>
      </c>
      <c r="U3975" s="49" t="s">
        <v>8185</v>
      </c>
    </row>
    <row r="3976" customFormat="false" ht="15" hidden="false" customHeight="false" outlineLevel="0" collapsed="false">
      <c r="B3976" s="48" t="n">
        <v>46286.6187268519</v>
      </c>
      <c r="C3976" s="4" t="n">
        <f aca="false">YEAR(B3976)</f>
        <v>2026</v>
      </c>
      <c r="D3976" s="49" t="s">
        <v>283</v>
      </c>
      <c r="E3976" s="49" t="s">
        <v>8186</v>
      </c>
      <c r="F3976" s="50" t="n">
        <v>3</v>
      </c>
      <c r="G3976" s="49" t="s">
        <v>287</v>
      </c>
      <c r="H3976" s="51" t="n">
        <v>0.0034</v>
      </c>
      <c r="I3976" s="51" t="n">
        <v>0.3621</v>
      </c>
      <c r="J3976" s="51" t="n">
        <v>0.6345</v>
      </c>
      <c r="K3976" s="49"/>
      <c r="L3976" s="49"/>
      <c r="M3976" s="49"/>
      <c r="N3976" s="49"/>
      <c r="O3976" s="49"/>
      <c r="P3976" s="49"/>
      <c r="Q3976" s="49"/>
      <c r="R3976" s="49"/>
      <c r="S3976" s="49" t="n">
        <v>0</v>
      </c>
      <c r="T3976" s="49" t="n">
        <v>0</v>
      </c>
      <c r="U3976" s="49" t="s">
        <v>8187</v>
      </c>
    </row>
    <row r="3977" customFormat="false" ht="15" hidden="false" customHeight="false" outlineLevel="0" collapsed="false">
      <c r="B3977" s="48" t="n">
        <v>46286.7842939815</v>
      </c>
      <c r="C3977" s="4" t="n">
        <f aca="false">YEAR(B3977)</f>
        <v>2026</v>
      </c>
      <c r="D3977" s="49" t="s">
        <v>278</v>
      </c>
      <c r="E3977" s="49" t="s">
        <v>8188</v>
      </c>
      <c r="F3977" s="50" t="n">
        <v>1</v>
      </c>
      <c r="G3977" s="49" t="s">
        <v>290</v>
      </c>
      <c r="H3977" s="51" t="n">
        <v>0.3811</v>
      </c>
      <c r="I3977" s="51" t="n">
        <v>0.4636</v>
      </c>
      <c r="J3977" s="51" t="n">
        <v>0.1553</v>
      </c>
      <c r="K3977" s="49"/>
      <c r="L3977" s="49"/>
      <c r="M3977" s="49"/>
      <c r="N3977" s="49"/>
      <c r="O3977" s="49"/>
      <c r="P3977" s="49"/>
      <c r="Q3977" s="49"/>
      <c r="R3977" s="49"/>
      <c r="S3977" s="49" t="n">
        <v>0</v>
      </c>
      <c r="T3977" s="49" t="n">
        <v>0</v>
      </c>
      <c r="U3977" s="49" t="s">
        <v>8189</v>
      </c>
    </row>
    <row r="3978" customFormat="false" ht="15" hidden="false" customHeight="false" outlineLevel="0" collapsed="false">
      <c r="B3978" s="48" t="n">
        <v>46287.7925810185</v>
      </c>
      <c r="C3978" s="4" t="n">
        <f aca="false">YEAR(B3978)</f>
        <v>2026</v>
      </c>
      <c r="D3978" s="49" t="s">
        <v>283</v>
      </c>
      <c r="E3978" s="49" t="s">
        <v>8190</v>
      </c>
      <c r="F3978" s="50" t="n">
        <v>1</v>
      </c>
      <c r="G3978" s="49" t="s">
        <v>287</v>
      </c>
      <c r="H3978" s="51" t="n">
        <v>0.0016</v>
      </c>
      <c r="I3978" s="51" t="n">
        <v>0.0463</v>
      </c>
      <c r="J3978" s="51" t="n">
        <v>0.9521</v>
      </c>
      <c r="K3978" s="49"/>
      <c r="L3978" s="49"/>
      <c r="M3978" s="49"/>
      <c r="N3978" s="49"/>
      <c r="O3978" s="49"/>
      <c r="P3978" s="49"/>
      <c r="Q3978" s="49"/>
      <c r="R3978" s="49"/>
      <c r="S3978" s="49" t="n">
        <v>0</v>
      </c>
      <c r="T3978" s="49" t="n">
        <v>0</v>
      </c>
      <c r="U3978" s="49" t="s">
        <v>8191</v>
      </c>
    </row>
    <row r="3979" customFormat="false" ht="15" hidden="false" customHeight="false" outlineLevel="0" collapsed="false">
      <c r="B3979" s="48" t="n">
        <v>46288.1086111111</v>
      </c>
      <c r="C3979" s="4" t="n">
        <f aca="false">YEAR(B3979)</f>
        <v>2026</v>
      </c>
      <c r="D3979" s="49" t="s">
        <v>278</v>
      </c>
      <c r="E3979" s="49" t="s">
        <v>8192</v>
      </c>
      <c r="F3979" s="50" t="n">
        <v>16</v>
      </c>
      <c r="G3979" s="49" t="s">
        <v>280</v>
      </c>
      <c r="H3979" s="51" t="n">
        <v>0.867</v>
      </c>
      <c r="I3979" s="51" t="n">
        <v>0.1185</v>
      </c>
      <c r="J3979" s="51" t="n">
        <v>0.0145</v>
      </c>
      <c r="K3979" s="49"/>
      <c r="L3979" s="49"/>
      <c r="M3979" s="49"/>
      <c r="N3979" s="49"/>
      <c r="O3979" s="49"/>
      <c r="P3979" s="49"/>
      <c r="Q3979" s="49"/>
      <c r="R3979" s="49"/>
      <c r="S3979" s="49" t="n">
        <v>0</v>
      </c>
      <c r="T3979" s="49" t="n">
        <v>0</v>
      </c>
      <c r="U3979" s="49" t="s">
        <v>8193</v>
      </c>
    </row>
    <row r="3980" customFormat="false" ht="15" hidden="false" customHeight="false" outlineLevel="0" collapsed="false">
      <c r="B3980" s="48" t="n">
        <v>46288.2615625</v>
      </c>
      <c r="C3980" s="4" t="n">
        <f aca="false">YEAR(B3980)</f>
        <v>2026</v>
      </c>
      <c r="D3980" s="49" t="s">
        <v>278</v>
      </c>
      <c r="E3980" s="49" t="s">
        <v>8194</v>
      </c>
      <c r="F3980" s="50" t="n">
        <v>0</v>
      </c>
      <c r="G3980" s="49" t="s">
        <v>290</v>
      </c>
      <c r="H3980" s="51" t="n">
        <v>0.4444</v>
      </c>
      <c r="I3980" s="51" t="n">
        <v>0.4459</v>
      </c>
      <c r="J3980" s="51" t="n">
        <v>0.1097</v>
      </c>
      <c r="K3980" s="49"/>
      <c r="L3980" s="49"/>
      <c r="M3980" s="49"/>
      <c r="N3980" s="49"/>
      <c r="O3980" s="49"/>
      <c r="P3980" s="49"/>
      <c r="Q3980" s="49"/>
      <c r="R3980" s="49"/>
      <c r="S3980" s="49" t="n">
        <v>0</v>
      </c>
      <c r="T3980" s="49" t="n">
        <v>0</v>
      </c>
      <c r="U3980" s="49" t="s">
        <v>8195</v>
      </c>
    </row>
    <row r="3981" customFormat="false" ht="15" hidden="false" customHeight="false" outlineLevel="0" collapsed="false">
      <c r="B3981" s="48" t="n">
        <v>46288.4738773148</v>
      </c>
      <c r="C3981" s="4" t="n">
        <f aca="false">YEAR(B3981)</f>
        <v>2026</v>
      </c>
      <c r="D3981" s="49" t="s">
        <v>278</v>
      </c>
      <c r="E3981" s="49" t="s">
        <v>8196</v>
      </c>
      <c r="F3981" s="50" t="n">
        <v>0</v>
      </c>
      <c r="G3981" s="49" t="s">
        <v>290</v>
      </c>
      <c r="H3981" s="51" t="n">
        <v>0.0767</v>
      </c>
      <c r="I3981" s="51" t="n">
        <v>0.7836</v>
      </c>
      <c r="J3981" s="51" t="n">
        <v>0.1397</v>
      </c>
      <c r="K3981" s="49"/>
      <c r="L3981" s="49"/>
      <c r="M3981" s="49"/>
      <c r="N3981" s="49"/>
      <c r="O3981" s="49"/>
      <c r="P3981" s="49"/>
      <c r="Q3981" s="49"/>
      <c r="R3981" s="49"/>
      <c r="S3981" s="49" t="n">
        <v>0</v>
      </c>
      <c r="T3981" s="49" t="n">
        <v>0</v>
      </c>
      <c r="U3981" s="49" t="s">
        <v>8197</v>
      </c>
    </row>
    <row r="3982" customFormat="false" ht="15" hidden="false" customHeight="false" outlineLevel="0" collapsed="false">
      <c r="B3982" s="48" t="n">
        <v>46288.4749537037</v>
      </c>
      <c r="C3982" s="4" t="n">
        <f aca="false">YEAR(B3982)</f>
        <v>2026</v>
      </c>
      <c r="D3982" s="49" t="s">
        <v>278</v>
      </c>
      <c r="E3982" s="49" t="s">
        <v>8196</v>
      </c>
      <c r="F3982" s="50" t="n">
        <v>0</v>
      </c>
      <c r="G3982" s="49" t="s">
        <v>290</v>
      </c>
      <c r="H3982" s="51" t="n">
        <v>0.0767</v>
      </c>
      <c r="I3982" s="51" t="n">
        <v>0.7836</v>
      </c>
      <c r="J3982" s="51" t="n">
        <v>0.1397</v>
      </c>
      <c r="K3982" s="49"/>
      <c r="L3982" s="49"/>
      <c r="M3982" s="49"/>
      <c r="N3982" s="49"/>
      <c r="O3982" s="49"/>
      <c r="P3982" s="49"/>
      <c r="Q3982" s="49"/>
      <c r="R3982" s="49"/>
      <c r="S3982" s="49" t="n">
        <v>0</v>
      </c>
      <c r="T3982" s="49" t="n">
        <v>0</v>
      </c>
      <c r="U3982" s="49" t="s">
        <v>8198</v>
      </c>
    </row>
    <row r="3983" customFormat="false" ht="15" hidden="false" customHeight="false" outlineLevel="0" collapsed="false">
      <c r="B3983" s="48" t="n">
        <v>46288.6513078704</v>
      </c>
      <c r="C3983" s="4" t="n">
        <f aca="false">YEAR(B3983)</f>
        <v>2026</v>
      </c>
      <c r="D3983" s="49" t="s">
        <v>278</v>
      </c>
      <c r="E3983" s="49" t="s">
        <v>8199</v>
      </c>
      <c r="F3983" s="50" t="n">
        <v>1</v>
      </c>
      <c r="G3983" s="49" t="s">
        <v>287</v>
      </c>
      <c r="H3983" s="51" t="n">
        <v>0.0525</v>
      </c>
      <c r="I3983" s="51" t="n">
        <v>0.1466</v>
      </c>
      <c r="J3983" s="51" t="n">
        <v>0.8009</v>
      </c>
      <c r="K3983" s="49" t="s">
        <v>281</v>
      </c>
      <c r="L3983" s="49"/>
      <c r="M3983" s="49"/>
      <c r="N3983" s="49"/>
      <c r="O3983" s="49"/>
      <c r="P3983" s="49"/>
      <c r="Q3983" s="49"/>
      <c r="R3983" s="49" t="s">
        <v>281</v>
      </c>
      <c r="S3983" s="49" t="n">
        <v>0</v>
      </c>
      <c r="T3983" s="49" t="n">
        <v>0</v>
      </c>
      <c r="U3983" s="49" t="s">
        <v>8200</v>
      </c>
    </row>
    <row r="3984" customFormat="false" ht="15" hidden="false" customHeight="false" outlineLevel="0" collapsed="false">
      <c r="B3984" s="48" t="n">
        <v>46288.8535648148</v>
      </c>
      <c r="C3984" s="4" t="n">
        <f aca="false">YEAR(B3984)</f>
        <v>2026</v>
      </c>
      <c r="D3984" s="49" t="s">
        <v>283</v>
      </c>
      <c r="E3984" s="49" t="s">
        <v>8201</v>
      </c>
      <c r="F3984" s="50" t="n">
        <v>0</v>
      </c>
      <c r="G3984" s="49" t="s">
        <v>287</v>
      </c>
      <c r="H3984" s="51" t="n">
        <v>0.0109</v>
      </c>
      <c r="I3984" s="51" t="n">
        <v>0.2071</v>
      </c>
      <c r="J3984" s="51" t="n">
        <v>0.7821</v>
      </c>
      <c r="K3984" s="49"/>
      <c r="L3984" s="49"/>
      <c r="M3984" s="49" t="s">
        <v>281</v>
      </c>
      <c r="N3984" s="49"/>
      <c r="O3984" s="49"/>
      <c r="P3984" s="49"/>
      <c r="Q3984" s="49"/>
      <c r="R3984" s="49"/>
      <c r="S3984" s="49" t="n">
        <v>0</v>
      </c>
      <c r="T3984" s="49" t="n">
        <v>0</v>
      </c>
      <c r="U3984" s="49" t="s">
        <v>8202</v>
      </c>
    </row>
    <row r="3985" customFormat="false" ht="15" hidden="false" customHeight="false" outlineLevel="0" collapsed="false">
      <c r="B3985" s="48" t="n">
        <v>46288.939849537</v>
      </c>
      <c r="C3985" s="4" t="n">
        <f aca="false">YEAR(B3985)</f>
        <v>2026</v>
      </c>
      <c r="D3985" s="49" t="s">
        <v>283</v>
      </c>
      <c r="E3985" s="49" t="s">
        <v>8203</v>
      </c>
      <c r="F3985" s="50" t="n">
        <v>1</v>
      </c>
      <c r="G3985" s="49" t="s">
        <v>290</v>
      </c>
      <c r="H3985" s="51" t="n">
        <v>0.0146</v>
      </c>
      <c r="I3985" s="51" t="n">
        <v>0.6235</v>
      </c>
      <c r="J3985" s="51" t="n">
        <v>0.3619</v>
      </c>
      <c r="K3985" s="49"/>
      <c r="L3985" s="49"/>
      <c r="M3985" s="49"/>
      <c r="N3985" s="49"/>
      <c r="O3985" s="49"/>
      <c r="P3985" s="49"/>
      <c r="Q3985" s="49"/>
      <c r="R3985" s="49"/>
      <c r="S3985" s="49" t="n">
        <v>0</v>
      </c>
      <c r="T3985" s="49" t="n">
        <v>0</v>
      </c>
      <c r="U3985" s="49" t="s">
        <v>8204</v>
      </c>
    </row>
    <row r="3986" customFormat="false" ht="15" hidden="false" customHeight="false" outlineLevel="0" collapsed="false">
      <c r="B3986" s="48" t="n">
        <v>46288.9853472222</v>
      </c>
      <c r="C3986" s="4" t="n">
        <f aca="false">YEAR(B3986)</f>
        <v>2026</v>
      </c>
      <c r="D3986" s="49" t="s">
        <v>283</v>
      </c>
      <c r="E3986" s="49" t="s">
        <v>8205</v>
      </c>
      <c r="F3986" s="50" t="n">
        <v>1</v>
      </c>
      <c r="G3986" s="49" t="s">
        <v>290</v>
      </c>
      <c r="H3986" s="51" t="n">
        <v>0.1461</v>
      </c>
      <c r="I3986" s="51" t="n">
        <v>0.7263</v>
      </c>
      <c r="J3986" s="51" t="n">
        <v>0.1276</v>
      </c>
      <c r="K3986" s="49"/>
      <c r="L3986" s="49"/>
      <c r="M3986" s="49"/>
      <c r="N3986" s="49"/>
      <c r="O3986" s="49"/>
      <c r="P3986" s="49"/>
      <c r="Q3986" s="49"/>
      <c r="R3986" s="49"/>
      <c r="S3986" s="49" t="n">
        <v>0</v>
      </c>
      <c r="T3986" s="49" t="n">
        <v>0</v>
      </c>
      <c r="U3986" s="49" t="s">
        <v>8206</v>
      </c>
    </row>
    <row r="3987" customFormat="false" ht="15" hidden="false" customHeight="false" outlineLevel="0" collapsed="false">
      <c r="B3987" s="48" t="n">
        <v>46291.1698611111</v>
      </c>
      <c r="C3987" s="4" t="n">
        <f aca="false">YEAR(B3987)</f>
        <v>2026</v>
      </c>
      <c r="D3987" s="49" t="s">
        <v>283</v>
      </c>
      <c r="E3987" s="49" t="s">
        <v>8207</v>
      </c>
      <c r="F3987" s="50" t="n">
        <v>1</v>
      </c>
      <c r="G3987" s="49" t="s">
        <v>287</v>
      </c>
      <c r="H3987" s="51" t="n">
        <v>0.0083</v>
      </c>
      <c r="I3987" s="51" t="n">
        <v>0.2103</v>
      </c>
      <c r="J3987" s="51" t="n">
        <v>0.7814</v>
      </c>
      <c r="K3987" s="49"/>
      <c r="L3987" s="49"/>
      <c r="M3987" s="49"/>
      <c r="N3987" s="49"/>
      <c r="O3987" s="49"/>
      <c r="P3987" s="49"/>
      <c r="Q3987" s="49"/>
      <c r="R3987" s="49"/>
      <c r="S3987" s="49" t="n">
        <v>0</v>
      </c>
      <c r="T3987" s="49" t="n">
        <v>0</v>
      </c>
      <c r="U3987" s="49" t="s">
        <v>8208</v>
      </c>
    </row>
    <row r="3988" customFormat="false" ht="15" hidden="false" customHeight="false" outlineLevel="0" collapsed="false">
      <c r="B3988" s="48" t="n">
        <v>46291.4062037037</v>
      </c>
      <c r="C3988" s="4" t="n">
        <f aca="false">YEAR(B3988)</f>
        <v>2026</v>
      </c>
      <c r="D3988" s="49" t="s">
        <v>283</v>
      </c>
      <c r="E3988" s="49" t="s">
        <v>8209</v>
      </c>
      <c r="F3988" s="50" t="n">
        <v>1</v>
      </c>
      <c r="G3988" s="49" t="s">
        <v>287</v>
      </c>
      <c r="H3988" s="51" t="n">
        <v>0.0024</v>
      </c>
      <c r="I3988" s="51" t="n">
        <v>0.0543</v>
      </c>
      <c r="J3988" s="51" t="n">
        <v>0.9433</v>
      </c>
      <c r="K3988" s="49"/>
      <c r="L3988" s="49"/>
      <c r="M3988" s="49"/>
      <c r="N3988" s="49"/>
      <c r="O3988" s="49"/>
      <c r="P3988" s="49"/>
      <c r="Q3988" s="49"/>
      <c r="R3988" s="49"/>
      <c r="S3988" s="49" t="n">
        <v>0</v>
      </c>
      <c r="T3988" s="49" t="n">
        <v>0</v>
      </c>
      <c r="U3988" s="49" t="s">
        <v>8210</v>
      </c>
    </row>
    <row r="3989" customFormat="false" ht="15" hidden="false" customHeight="false" outlineLevel="0" collapsed="false">
      <c r="B3989" s="48" t="n">
        <v>46291.7421412037</v>
      </c>
      <c r="C3989" s="4" t="n">
        <f aca="false">YEAR(B3989)</f>
        <v>2026</v>
      </c>
      <c r="D3989" s="49" t="s">
        <v>283</v>
      </c>
      <c r="E3989" s="49" t="s">
        <v>8211</v>
      </c>
      <c r="F3989" s="50" t="n">
        <v>0</v>
      </c>
      <c r="G3989" s="49" t="s">
        <v>290</v>
      </c>
      <c r="H3989" s="51" t="n">
        <v>0.1997</v>
      </c>
      <c r="I3989" s="51" t="n">
        <v>0.7416</v>
      </c>
      <c r="J3989" s="51" t="n">
        <v>0.0587</v>
      </c>
      <c r="K3989" s="49"/>
      <c r="L3989" s="49"/>
      <c r="M3989" s="49"/>
      <c r="N3989" s="49"/>
      <c r="O3989" s="49"/>
      <c r="P3989" s="49"/>
      <c r="Q3989" s="49" t="s">
        <v>281</v>
      </c>
      <c r="R3989" s="49"/>
      <c r="S3989" s="49" t="n">
        <v>0</v>
      </c>
      <c r="T3989" s="49" t="n">
        <v>0</v>
      </c>
      <c r="U3989" s="49" t="s">
        <v>8212</v>
      </c>
    </row>
    <row r="3990" customFormat="false" ht="15" hidden="false" customHeight="false" outlineLevel="0" collapsed="false">
      <c r="B3990" s="48" t="n">
        <v>46292.3340856481</v>
      </c>
      <c r="C3990" s="4" t="n">
        <f aca="false">YEAR(B3990)</f>
        <v>2026</v>
      </c>
      <c r="D3990" s="49" t="s">
        <v>283</v>
      </c>
      <c r="E3990" s="49" t="s">
        <v>8213</v>
      </c>
      <c r="F3990" s="50" t="n">
        <v>6</v>
      </c>
      <c r="G3990" s="49" t="s">
        <v>290</v>
      </c>
      <c r="H3990" s="51" t="n">
        <v>0.2556</v>
      </c>
      <c r="I3990" s="51" t="n">
        <v>0.4462</v>
      </c>
      <c r="J3990" s="51" t="n">
        <v>0.2983</v>
      </c>
      <c r="K3990" s="49"/>
      <c r="L3990" s="49"/>
      <c r="M3990" s="49"/>
      <c r="N3990" s="49"/>
      <c r="O3990" s="49"/>
      <c r="P3990" s="49"/>
      <c r="Q3990" s="49"/>
      <c r="R3990" s="49"/>
      <c r="S3990" s="49" t="n">
        <v>0</v>
      </c>
      <c r="T3990" s="49" t="n">
        <v>0</v>
      </c>
      <c r="U3990" s="49" t="s">
        <v>8214</v>
      </c>
    </row>
    <row r="3991" customFormat="false" ht="15" hidden="false" customHeight="false" outlineLevel="0" collapsed="false">
      <c r="B3991" s="48" t="n">
        <v>46292.4887384259</v>
      </c>
      <c r="C3991" s="4" t="n">
        <f aca="false">YEAR(B3991)</f>
        <v>2026</v>
      </c>
      <c r="D3991" s="49" t="s">
        <v>278</v>
      </c>
      <c r="E3991" s="49" t="s">
        <v>8215</v>
      </c>
      <c r="F3991" s="50" t="n">
        <v>3</v>
      </c>
      <c r="G3991" s="49" t="s">
        <v>290</v>
      </c>
      <c r="H3991" s="51" t="n">
        <v>0.0589</v>
      </c>
      <c r="I3991" s="51" t="n">
        <v>0.6174</v>
      </c>
      <c r="J3991" s="51" t="n">
        <v>0.3237</v>
      </c>
      <c r="K3991" s="49"/>
      <c r="L3991" s="49"/>
      <c r="M3991" s="49"/>
      <c r="N3991" s="49"/>
      <c r="O3991" s="49"/>
      <c r="P3991" s="49"/>
      <c r="Q3991" s="49"/>
      <c r="R3991" s="49"/>
      <c r="S3991" s="49" t="n">
        <v>0</v>
      </c>
      <c r="T3991" s="49" t="n">
        <v>0</v>
      </c>
      <c r="U3991" s="49" t="s">
        <v>8216</v>
      </c>
    </row>
    <row r="3992" customFormat="false" ht="15" hidden="false" customHeight="false" outlineLevel="0" collapsed="false">
      <c r="B3992" s="48" t="n">
        <v>46293.328912037</v>
      </c>
      <c r="C3992" s="4" t="n">
        <f aca="false">YEAR(B3992)</f>
        <v>2026</v>
      </c>
      <c r="D3992" s="49" t="s">
        <v>283</v>
      </c>
      <c r="E3992" s="49" t="s">
        <v>8217</v>
      </c>
      <c r="F3992" s="50" t="n">
        <v>2</v>
      </c>
      <c r="G3992" s="49" t="s">
        <v>290</v>
      </c>
      <c r="H3992" s="51" t="n">
        <v>0.0525</v>
      </c>
      <c r="I3992" s="51" t="n">
        <v>0.9162</v>
      </c>
      <c r="J3992" s="51" t="n">
        <v>0.0313</v>
      </c>
      <c r="K3992" s="49"/>
      <c r="L3992" s="49"/>
      <c r="M3992" s="49"/>
      <c r="N3992" s="49"/>
      <c r="O3992" s="49"/>
      <c r="P3992" s="49"/>
      <c r="Q3992" s="49"/>
      <c r="R3992" s="49"/>
      <c r="S3992" s="49" t="n">
        <v>1</v>
      </c>
      <c r="T3992" s="49" t="n">
        <v>0</v>
      </c>
      <c r="U3992" s="49" t="s">
        <v>8218</v>
      </c>
    </row>
    <row r="3993" customFormat="false" ht="15" hidden="false" customHeight="false" outlineLevel="0" collapsed="false">
      <c r="B3993" s="48" t="n">
        <v>46293.9298842593</v>
      </c>
      <c r="C3993" s="4" t="n">
        <f aca="false">YEAR(B3993)</f>
        <v>2026</v>
      </c>
      <c r="D3993" s="49" t="s">
        <v>278</v>
      </c>
      <c r="E3993" s="49" t="s">
        <v>8219</v>
      </c>
      <c r="F3993" s="50" t="n">
        <v>116</v>
      </c>
      <c r="G3993" s="49" t="s">
        <v>280</v>
      </c>
      <c r="H3993" s="51" t="n">
        <v>0.957</v>
      </c>
      <c r="I3993" s="51" t="n">
        <v>0.037</v>
      </c>
      <c r="J3993" s="51" t="n">
        <v>0.006</v>
      </c>
      <c r="K3993" s="49"/>
      <c r="L3993" s="49"/>
      <c r="M3993" s="49"/>
      <c r="N3993" s="49"/>
      <c r="O3993" s="49"/>
      <c r="P3993" s="49"/>
      <c r="Q3993" s="49"/>
      <c r="R3993" s="49" t="s">
        <v>281</v>
      </c>
      <c r="S3993" s="49" t="n">
        <v>0</v>
      </c>
      <c r="T3993" s="49" t="n">
        <v>1</v>
      </c>
      <c r="U3993" s="49" t="s">
        <v>8220</v>
      </c>
    </row>
    <row r="3994" customFormat="false" ht="15" hidden="false" customHeight="false" outlineLevel="0" collapsed="false">
      <c r="B3994" s="48" t="n">
        <v>46294.7374305556</v>
      </c>
      <c r="C3994" s="4" t="n">
        <f aca="false">YEAR(B3994)</f>
        <v>2026</v>
      </c>
      <c r="D3994" s="49" t="s">
        <v>278</v>
      </c>
      <c r="E3994" s="49" t="s">
        <v>8221</v>
      </c>
      <c r="F3994" s="50" t="n">
        <v>4</v>
      </c>
      <c r="G3994" s="49" t="s">
        <v>287</v>
      </c>
      <c r="H3994" s="51" t="n">
        <v>0.0028</v>
      </c>
      <c r="I3994" s="51" t="n">
        <v>0.0125</v>
      </c>
      <c r="J3994" s="51" t="n">
        <v>0.9847</v>
      </c>
      <c r="K3994" s="49"/>
      <c r="L3994" s="49"/>
      <c r="M3994" s="49"/>
      <c r="N3994" s="49"/>
      <c r="O3994" s="49"/>
      <c r="P3994" s="49"/>
      <c r="Q3994" s="49"/>
      <c r="R3994" s="49"/>
      <c r="S3994" s="49" t="n">
        <v>0</v>
      </c>
      <c r="T3994" s="49" t="n">
        <v>0</v>
      </c>
      <c r="U3994" s="49" t="s">
        <v>8222</v>
      </c>
    </row>
    <row r="3995" customFormat="false" ht="15" hidden="false" customHeight="false" outlineLevel="0" collapsed="false">
      <c r="B3995" s="48" t="n">
        <v>46295.5511111111</v>
      </c>
      <c r="C3995" s="4" t="n">
        <f aca="false">YEAR(B3995)</f>
        <v>2026</v>
      </c>
      <c r="D3995" s="49" t="s">
        <v>278</v>
      </c>
      <c r="E3995" s="49" t="s">
        <v>8223</v>
      </c>
      <c r="F3995" s="50" t="n">
        <v>0</v>
      </c>
      <c r="G3995" s="49" t="s">
        <v>290</v>
      </c>
      <c r="H3995" s="51" t="n">
        <v>0.225</v>
      </c>
      <c r="I3995" s="51" t="n">
        <v>0.5175</v>
      </c>
      <c r="J3995" s="51" t="n">
        <v>0.2575</v>
      </c>
      <c r="K3995" s="49"/>
      <c r="L3995" s="49"/>
      <c r="M3995" s="49"/>
      <c r="N3995" s="49"/>
      <c r="O3995" s="49"/>
      <c r="P3995" s="49"/>
      <c r="Q3995" s="49" t="s">
        <v>281</v>
      </c>
      <c r="R3995" s="49"/>
      <c r="S3995" s="49" t="n">
        <v>0</v>
      </c>
      <c r="T3995" s="49" t="n">
        <v>0</v>
      </c>
      <c r="U3995" s="49" t="s">
        <v>8224</v>
      </c>
    </row>
    <row r="3996" customFormat="false" ht="15" hidden="false" customHeight="false" outlineLevel="0" collapsed="false">
      <c r="B3996" s="48" t="n">
        <v>46295.723900463</v>
      </c>
      <c r="C3996" s="4" t="n">
        <f aca="false">YEAR(B3996)</f>
        <v>2026</v>
      </c>
      <c r="D3996" s="49" t="s">
        <v>283</v>
      </c>
      <c r="E3996" s="49" t="s">
        <v>8225</v>
      </c>
      <c r="F3996" s="50" t="n">
        <v>1</v>
      </c>
      <c r="G3996" s="49" t="s">
        <v>290</v>
      </c>
      <c r="H3996" s="51" t="n">
        <v>0.0296</v>
      </c>
      <c r="I3996" s="51" t="n">
        <v>0.9226</v>
      </c>
      <c r="J3996" s="51" t="n">
        <v>0.0478</v>
      </c>
      <c r="K3996" s="49"/>
      <c r="L3996" s="49"/>
      <c r="M3996" s="49"/>
      <c r="N3996" s="49"/>
      <c r="O3996" s="49"/>
      <c r="P3996" s="49"/>
      <c r="Q3996" s="49"/>
      <c r="R3996" s="49"/>
      <c r="S3996" s="49" t="n">
        <v>1</v>
      </c>
      <c r="T3996" s="49" t="n">
        <v>0</v>
      </c>
      <c r="U3996" s="49" t="s">
        <v>8226</v>
      </c>
    </row>
    <row r="3997" customFormat="false" ht="15" hidden="false" customHeight="false" outlineLevel="0" collapsed="false">
      <c r="B3997" s="48" t="n">
        <v>46295.9705208333</v>
      </c>
      <c r="C3997" s="4" t="n">
        <f aca="false">YEAR(B3997)</f>
        <v>2026</v>
      </c>
      <c r="D3997" s="49" t="s">
        <v>283</v>
      </c>
      <c r="E3997" s="49" t="s">
        <v>8227</v>
      </c>
      <c r="F3997" s="50" t="n">
        <v>1</v>
      </c>
      <c r="G3997" s="49" t="s">
        <v>287</v>
      </c>
      <c r="H3997" s="51" t="n">
        <v>0.0022</v>
      </c>
      <c r="I3997" s="51" t="n">
        <v>0.0379</v>
      </c>
      <c r="J3997" s="51" t="n">
        <v>0.9599</v>
      </c>
      <c r="K3997" s="49"/>
      <c r="L3997" s="49"/>
      <c r="M3997" s="49"/>
      <c r="N3997" s="49"/>
      <c r="O3997" s="49"/>
      <c r="P3997" s="49"/>
      <c r="Q3997" s="49"/>
      <c r="R3997" s="49"/>
      <c r="S3997" s="49" t="n">
        <v>0</v>
      </c>
      <c r="T3997" s="49" t="n">
        <v>0</v>
      </c>
      <c r="U3997" s="49" t="s">
        <v>8228</v>
      </c>
    </row>
    <row r="3998" customFormat="false" ht="15" hidden="false" customHeight="false" outlineLevel="0" collapsed="false">
      <c r="B3998" s="48" t="n">
        <v>46296.0335069444</v>
      </c>
      <c r="C3998" s="4" t="n">
        <f aca="false">YEAR(B3998)</f>
        <v>2026</v>
      </c>
      <c r="D3998" s="49" t="s">
        <v>278</v>
      </c>
      <c r="E3998" s="49" t="s">
        <v>8229</v>
      </c>
      <c r="F3998" s="50" t="n">
        <v>1</v>
      </c>
      <c r="G3998" s="49" t="s">
        <v>287</v>
      </c>
      <c r="H3998" s="51" t="n">
        <v>0.0022</v>
      </c>
      <c r="I3998" s="51" t="n">
        <v>0.0296</v>
      </c>
      <c r="J3998" s="51" t="n">
        <v>0.9683</v>
      </c>
      <c r="K3998" s="49"/>
      <c r="L3998" s="49"/>
      <c r="M3998" s="49"/>
      <c r="N3998" s="49"/>
      <c r="O3998" s="49"/>
      <c r="P3998" s="49"/>
      <c r="Q3998" s="49"/>
      <c r="R3998" s="49"/>
      <c r="S3998" s="49" t="n">
        <v>0</v>
      </c>
      <c r="T3998" s="49" t="n">
        <v>0</v>
      </c>
      <c r="U3998" s="49" t="s">
        <v>8230</v>
      </c>
    </row>
    <row r="3999" customFormat="false" ht="15" hidden="false" customHeight="false" outlineLevel="0" collapsed="false">
      <c r="B3999" s="48" t="n">
        <v>46296.0372106481</v>
      </c>
      <c r="C3999" s="4" t="n">
        <f aca="false">YEAR(B3999)</f>
        <v>2026</v>
      </c>
      <c r="D3999" s="49" t="s">
        <v>278</v>
      </c>
      <c r="E3999" s="49" t="s">
        <v>8231</v>
      </c>
      <c r="F3999" s="50" t="n">
        <v>1</v>
      </c>
      <c r="G3999" s="49" t="s">
        <v>280</v>
      </c>
      <c r="H3999" s="51" t="n">
        <v>0.6767</v>
      </c>
      <c r="I3999" s="51" t="n">
        <v>0.3041</v>
      </c>
      <c r="J3999" s="51" t="n">
        <v>0.0192</v>
      </c>
      <c r="K3999" s="49"/>
      <c r="L3999" s="49"/>
      <c r="M3999" s="49"/>
      <c r="N3999" s="49"/>
      <c r="O3999" s="49"/>
      <c r="P3999" s="49"/>
      <c r="Q3999" s="49"/>
      <c r="R3999" s="49"/>
      <c r="S3999" s="49" t="n">
        <v>0</v>
      </c>
      <c r="T3999" s="49" t="n">
        <v>0</v>
      </c>
      <c r="U3999" s="49" t="s">
        <v>8232</v>
      </c>
    </row>
    <row r="4000" customFormat="false" ht="15" hidden="false" customHeight="false" outlineLevel="0" collapsed="false">
      <c r="B4000" s="48" t="n">
        <v>46296.4520486111</v>
      </c>
      <c r="C4000" s="4" t="n">
        <f aca="false">YEAR(B4000)</f>
        <v>2026</v>
      </c>
      <c r="D4000" s="49" t="s">
        <v>278</v>
      </c>
      <c r="E4000" s="49" t="s">
        <v>8233</v>
      </c>
      <c r="F4000" s="50" t="n">
        <v>1</v>
      </c>
      <c r="G4000" s="49" t="s">
        <v>290</v>
      </c>
      <c r="H4000" s="51" t="n">
        <v>0.4266</v>
      </c>
      <c r="I4000" s="51" t="n">
        <v>0.4373</v>
      </c>
      <c r="J4000" s="51" t="n">
        <v>0.1361</v>
      </c>
      <c r="K4000" s="49"/>
      <c r="L4000" s="49"/>
      <c r="M4000" s="49"/>
      <c r="N4000" s="49"/>
      <c r="O4000" s="49"/>
      <c r="P4000" s="49"/>
      <c r="Q4000" s="49"/>
      <c r="R4000" s="49"/>
      <c r="S4000" s="49" t="n">
        <v>0</v>
      </c>
      <c r="T4000" s="49" t="n">
        <v>0</v>
      </c>
      <c r="U4000" s="49" t="s">
        <v>8234</v>
      </c>
    </row>
    <row r="4001" customFormat="false" ht="15" hidden="false" customHeight="false" outlineLevel="0" collapsed="false">
      <c r="B4001" s="48" t="n">
        <v>46296.5875810185</v>
      </c>
      <c r="C4001" s="4" t="n">
        <f aca="false">YEAR(B4001)</f>
        <v>2026</v>
      </c>
      <c r="D4001" s="49" t="s">
        <v>278</v>
      </c>
      <c r="E4001" s="49" t="s">
        <v>8235</v>
      </c>
      <c r="F4001" s="50" t="n">
        <v>1</v>
      </c>
      <c r="G4001" s="49" t="s">
        <v>280</v>
      </c>
      <c r="H4001" s="51" t="n">
        <v>0.8288</v>
      </c>
      <c r="I4001" s="51" t="n">
        <v>0.1616</v>
      </c>
      <c r="J4001" s="51" t="n">
        <v>0.0095</v>
      </c>
      <c r="K4001" s="49"/>
      <c r="L4001" s="49"/>
      <c r="M4001" s="49"/>
      <c r="N4001" s="49"/>
      <c r="O4001" s="49"/>
      <c r="P4001" s="49"/>
      <c r="Q4001" s="49" t="s">
        <v>281</v>
      </c>
      <c r="R4001" s="49"/>
      <c r="S4001" s="49" t="n">
        <v>0</v>
      </c>
      <c r="T4001" s="49" t="n">
        <v>0</v>
      </c>
      <c r="U4001" s="49" t="s">
        <v>8236</v>
      </c>
    </row>
    <row r="4002" customFormat="false" ht="15" hidden="false" customHeight="false" outlineLevel="0" collapsed="false">
      <c r="B4002" s="48" t="n">
        <v>46296.9165972222</v>
      </c>
      <c r="C4002" s="4" t="n">
        <f aca="false">YEAR(B4002)</f>
        <v>2026</v>
      </c>
      <c r="D4002" s="49" t="s">
        <v>283</v>
      </c>
      <c r="E4002" s="49" t="s">
        <v>8237</v>
      </c>
      <c r="F4002" s="50" t="n">
        <v>1</v>
      </c>
      <c r="G4002" s="49" t="s">
        <v>287</v>
      </c>
      <c r="H4002" s="51" t="n">
        <v>0.0018</v>
      </c>
      <c r="I4002" s="51" t="n">
        <v>0.0417</v>
      </c>
      <c r="J4002" s="51" t="n">
        <v>0.9565</v>
      </c>
      <c r="K4002" s="49"/>
      <c r="L4002" s="49"/>
      <c r="M4002" s="49"/>
      <c r="N4002" s="49"/>
      <c r="O4002" s="49"/>
      <c r="P4002" s="49"/>
      <c r="Q4002" s="49"/>
      <c r="R4002" s="49"/>
      <c r="S4002" s="49" t="n">
        <v>0</v>
      </c>
      <c r="T4002" s="49" t="n">
        <v>0</v>
      </c>
      <c r="U4002" s="49" t="s">
        <v>8238</v>
      </c>
    </row>
    <row r="4003" customFormat="false" ht="15" hidden="false" customHeight="false" outlineLevel="0" collapsed="false">
      <c r="B4003" s="48" t="n">
        <v>46297.1072800926</v>
      </c>
      <c r="C4003" s="4" t="n">
        <f aca="false">YEAR(B4003)</f>
        <v>2026</v>
      </c>
      <c r="D4003" s="49" t="s">
        <v>283</v>
      </c>
      <c r="E4003" s="49" t="s">
        <v>8239</v>
      </c>
      <c r="F4003" s="50" t="n">
        <v>1</v>
      </c>
      <c r="G4003" s="49" t="s">
        <v>287</v>
      </c>
      <c r="H4003" s="51" t="n">
        <v>0.0046</v>
      </c>
      <c r="I4003" s="51" t="n">
        <v>0.1564</v>
      </c>
      <c r="J4003" s="51" t="n">
        <v>0.8391</v>
      </c>
      <c r="K4003" s="49"/>
      <c r="L4003" s="49"/>
      <c r="M4003" s="49"/>
      <c r="N4003" s="49"/>
      <c r="O4003" s="49"/>
      <c r="P4003" s="49" t="s">
        <v>281</v>
      </c>
      <c r="Q4003" s="49"/>
      <c r="R4003" s="49"/>
      <c r="S4003" s="49" t="n">
        <v>0</v>
      </c>
      <c r="T4003" s="49" t="n">
        <v>0</v>
      </c>
      <c r="U4003" s="49" t="s">
        <v>8240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9"/>
    <col collapsed="false" customWidth="true" hidden="false" outlineLevel="0" max="2" min="2" style="0" width="24"/>
    <col collapsed="false" customWidth="true" hidden="false" outlineLevel="0" max="3" min="3" style="0" width="11"/>
    <col collapsed="false" customWidth="true" hidden="false" outlineLevel="0" max="4" min="4" style="0" width="16"/>
    <col collapsed="false" customWidth="true" hidden="false" outlineLevel="0" max="5" min="5" style="0" width="10"/>
    <col collapsed="false" customWidth="true" hidden="false" outlineLevel="0" max="7" min="6" style="0" width="13"/>
    <col collapsed="false" customWidth="true" hidden="false" outlineLevel="0" max="8" min="8" style="0" width="11"/>
    <col collapsed="false" customWidth="true" hidden="false" outlineLevel="0" max="9" min="9" style="0" width="10"/>
    <col collapsed="false" customWidth="true" hidden="false" outlineLevel="0" max="10" min="10" style="0" width="12"/>
    <col collapsed="false" customWidth="true" hidden="false" outlineLevel="0" max="11" min="11" style="0" width="11"/>
    <col collapsed="false" customWidth="true" hidden="false" outlineLevel="0" max="12" min="12" style="0" width="13"/>
    <col collapsed="false" customWidth="true" hidden="false" outlineLevel="0" max="14" min="13" style="0" width="10"/>
    <col collapsed="false" customWidth="true" hidden="false" outlineLevel="0" max="15" min="15" style="0" width="70"/>
  </cols>
  <sheetData>
    <row r="2" customFormat="false" ht="15" hidden="false" customHeight="false" outlineLevel="0" collapsed="false">
      <c r="B2" s="1" t="s">
        <v>8241</v>
      </c>
      <c r="C2" s="1"/>
      <c r="D2" s="1"/>
      <c r="E2" s="1"/>
      <c r="F2" s="1"/>
      <c r="G2" s="1"/>
      <c r="H2" s="1"/>
      <c r="I2" s="1"/>
      <c r="J2" s="1"/>
      <c r="K2" s="1"/>
      <c r="L2" s="1"/>
      <c r="M2" s="1"/>
      <c r="N2" s="1"/>
      <c r="O2" s="1" t="s">
        <v>5</v>
      </c>
    </row>
    <row r="3" customFormat="false" ht="45" hidden="false" customHeight="true" outlineLevel="0" collapsed="false">
      <c r="B3" s="47" t="s">
        <v>8242</v>
      </c>
      <c r="C3" s="47" t="s">
        <v>8243</v>
      </c>
      <c r="D3" s="47" t="s">
        <v>8244</v>
      </c>
      <c r="E3" s="47" t="s">
        <v>8245</v>
      </c>
      <c r="F3" s="47" t="s">
        <v>8246</v>
      </c>
      <c r="G3" s="47" t="s">
        <v>8247</v>
      </c>
      <c r="H3" s="47" t="s">
        <v>8248</v>
      </c>
      <c r="I3" s="47" t="s">
        <v>8249</v>
      </c>
      <c r="J3" s="47" t="s">
        <v>8250</v>
      </c>
      <c r="K3" s="47" t="s">
        <v>8251</v>
      </c>
      <c r="L3" s="47" t="s">
        <v>8252</v>
      </c>
      <c r="M3" s="47" t="s">
        <v>8253</v>
      </c>
      <c r="N3" s="47" t="s">
        <v>8254</v>
      </c>
      <c r="O3" s="47" t="s">
        <v>8255</v>
      </c>
    </row>
    <row r="4" customFormat="false" ht="15" hidden="false" customHeight="false" outlineLevel="0" collapsed="false">
      <c r="B4" s="52" t="s">
        <v>8256</v>
      </c>
      <c r="C4" s="53" t="n">
        <v>45139</v>
      </c>
      <c r="D4" s="44" t="s">
        <v>8257</v>
      </c>
      <c r="E4" s="54"/>
      <c r="F4" s="8" t="n">
        <v>445475</v>
      </c>
      <c r="G4" s="8" t="n">
        <v>91662</v>
      </c>
      <c r="H4" s="42" t="n">
        <f aca="false">IF(G4="","",F4/G4-1)</f>
        <v>3.85997468962056</v>
      </c>
      <c r="I4" s="55" t="str">
        <f aca="false">IF(YEAR(C4)&lt;=2024,"2023-24","2025-26")</f>
        <v>2023-24</v>
      </c>
      <c r="J4" s="8" t="n">
        <v>192090</v>
      </c>
      <c r="K4" s="8" t="n">
        <v>105307</v>
      </c>
      <c r="L4" s="56" t="n">
        <v>0.0105731688271123</v>
      </c>
      <c r="O4" s="6" t="s">
        <v>8258</v>
      </c>
    </row>
    <row r="5" customFormat="false" ht="15" hidden="false" customHeight="false" outlineLevel="0" collapsed="false">
      <c r="B5" s="52" t="s">
        <v>8259</v>
      </c>
      <c r="C5" s="53" t="n">
        <v>45566</v>
      </c>
      <c r="D5" s="44" t="s">
        <v>8260</v>
      </c>
      <c r="E5" s="8" t="n">
        <v>8</v>
      </c>
      <c r="F5" s="8" t="n">
        <v>5658</v>
      </c>
      <c r="G5" s="8" t="n">
        <v>1076</v>
      </c>
      <c r="H5" s="42" t="n">
        <f aca="false">IF(G5="","",F5/G5-1)</f>
        <v>4.25836431226766</v>
      </c>
      <c r="I5" s="55" t="str">
        <f aca="false">IF(YEAR(C5)&lt;=2024,"2023-24","2025-26")</f>
        <v>2023-24</v>
      </c>
      <c r="J5" s="8" t="n">
        <v>4755</v>
      </c>
      <c r="K5" s="54"/>
      <c r="L5" s="56" t="n">
        <v>0.01198738170347</v>
      </c>
      <c r="M5" s="44" t="n">
        <v>8</v>
      </c>
      <c r="N5" s="44" t="n">
        <v>8</v>
      </c>
    </row>
    <row r="6" customFormat="false" ht="15" hidden="false" customHeight="false" outlineLevel="0" collapsed="false">
      <c r="B6" s="52" t="s">
        <v>8261</v>
      </c>
      <c r="C6" s="53" t="n">
        <v>45566</v>
      </c>
      <c r="D6" s="44" t="s">
        <v>8262</v>
      </c>
      <c r="E6" s="8" t="n">
        <v>4</v>
      </c>
      <c r="F6" s="8" t="n">
        <v>3011</v>
      </c>
      <c r="G6" s="8" t="n">
        <v>359</v>
      </c>
      <c r="H6" s="42" t="n">
        <f aca="false">IF(G6="","",F6/G6-1)</f>
        <v>7.38718662952646</v>
      </c>
      <c r="I6" s="55" t="str">
        <f aca="false">IF(YEAR(C6)&lt;=2024,"2023-24","2025-26")</f>
        <v>2023-24</v>
      </c>
      <c r="J6" s="8" t="n">
        <v>1723</v>
      </c>
      <c r="K6" s="8" t="n">
        <v>932</v>
      </c>
      <c r="L6" s="56" t="n">
        <v>0.0481717933836332</v>
      </c>
      <c r="M6" s="44" t="n">
        <v>3</v>
      </c>
      <c r="N6" s="44" t="n">
        <v>4</v>
      </c>
    </row>
    <row r="7" customFormat="false" ht="15" hidden="false" customHeight="false" outlineLevel="0" collapsed="false">
      <c r="B7" s="52" t="s">
        <v>8263</v>
      </c>
      <c r="C7" s="53" t="n">
        <v>45597</v>
      </c>
      <c r="D7" s="44" t="s">
        <v>8264</v>
      </c>
      <c r="E7" s="8" t="n">
        <v>4</v>
      </c>
      <c r="F7" s="8" t="n">
        <v>46995</v>
      </c>
      <c r="G7" s="8" t="n">
        <v>16336</v>
      </c>
      <c r="H7" s="42" t="n">
        <f aca="false">IF(G7="","",F7/G7-1)</f>
        <v>1.87677522037218</v>
      </c>
      <c r="I7" s="55" t="str">
        <f aca="false">IF(YEAR(C7)&lt;=2024,"2023-24","2025-26")</f>
        <v>2023-24</v>
      </c>
      <c r="J7" s="8" t="n">
        <v>25167</v>
      </c>
      <c r="K7" s="8" t="n">
        <v>21328</v>
      </c>
      <c r="L7" s="56" t="n">
        <v>0.0107283347240434</v>
      </c>
      <c r="O7" s="6" t="s">
        <v>8265</v>
      </c>
    </row>
    <row r="8" customFormat="false" ht="28.35" hidden="false" customHeight="false" outlineLevel="0" collapsed="false">
      <c r="B8" s="52" t="s">
        <v>8266</v>
      </c>
      <c r="C8" s="53" t="n">
        <v>45658</v>
      </c>
      <c r="D8" s="44" t="s">
        <v>8267</v>
      </c>
      <c r="E8" s="8" t="n">
        <v>1</v>
      </c>
      <c r="F8" s="8" t="n">
        <v>7404</v>
      </c>
      <c r="G8" s="8" t="n">
        <v>4777</v>
      </c>
      <c r="H8" s="42" t="n">
        <f aca="false">IF(G8="","",F8/G8-1)</f>
        <v>0.54992673225874</v>
      </c>
      <c r="I8" s="55" t="str">
        <f aca="false">IF(YEAR(C8)&lt;=2024,"2023-24","2025-26")</f>
        <v>2025-26</v>
      </c>
      <c r="J8" s="54"/>
      <c r="K8" s="54"/>
      <c r="L8" s="57"/>
      <c r="O8" s="6" t="s">
        <v>8268</v>
      </c>
    </row>
    <row r="9" customFormat="false" ht="15" hidden="false" customHeight="false" outlineLevel="0" collapsed="false">
      <c r="B9" s="52" t="s">
        <v>8269</v>
      </c>
      <c r="C9" s="53" t="n">
        <v>45931</v>
      </c>
      <c r="D9" s="44" t="s">
        <v>8270</v>
      </c>
      <c r="E9" s="8" t="n">
        <v>7</v>
      </c>
      <c r="F9" s="8" t="n">
        <v>39156</v>
      </c>
      <c r="G9" s="8" t="n">
        <v>10195</v>
      </c>
      <c r="H9" s="42" t="n">
        <f aca="false">IF(G9="","",F9/G9-1)</f>
        <v>2.8407062285434</v>
      </c>
      <c r="I9" s="55" t="str">
        <f aca="false">IF(YEAR(C9)&lt;=2024,"2023-24","2025-26")</f>
        <v>2025-26</v>
      </c>
      <c r="J9" s="8" t="n">
        <v>27807</v>
      </c>
      <c r="K9" s="54"/>
      <c r="L9" s="56" t="n">
        <v>0.0173337648793469</v>
      </c>
      <c r="M9" s="44" t="n">
        <v>7</v>
      </c>
      <c r="N9" s="44" t="n">
        <v>7</v>
      </c>
    </row>
    <row r="10" customFormat="false" ht="15" hidden="false" customHeight="false" outlineLevel="0" collapsed="false">
      <c r="B10" s="52" t="s">
        <v>8271</v>
      </c>
      <c r="C10" s="53" t="n">
        <v>46204</v>
      </c>
      <c r="D10" s="44" t="s">
        <v>8272</v>
      </c>
      <c r="E10" s="8" t="n">
        <v>3</v>
      </c>
      <c r="F10" s="8" t="n">
        <v>7675</v>
      </c>
      <c r="G10" s="8" t="n">
        <v>4312</v>
      </c>
      <c r="H10" s="42" t="n">
        <f aca="false">IF(G10="","",F10/G10-1)</f>
        <v>0.779916512059369</v>
      </c>
      <c r="I10" s="55" t="str">
        <f aca="false">IF(YEAR(C10)&lt;=2024,"2023-24","2025-26")</f>
        <v>2025-26</v>
      </c>
      <c r="J10" s="8" t="n">
        <v>5911</v>
      </c>
      <c r="K10" s="8" t="n">
        <v>5243</v>
      </c>
      <c r="L10" s="56" t="n">
        <v>0.0128573845373033</v>
      </c>
      <c r="M10" s="44" t="n">
        <v>3</v>
      </c>
      <c r="N10" s="44" t="n">
        <v>3</v>
      </c>
    </row>
    <row r="11" customFormat="false" ht="15" hidden="false" customHeight="false" outlineLevel="0" collapsed="false">
      <c r="B11" s="52" t="s">
        <v>8273</v>
      </c>
      <c r="C11" s="53" t="n">
        <v>45261</v>
      </c>
      <c r="D11" s="44" t="s">
        <v>8274</v>
      </c>
      <c r="E11" s="8" t="n">
        <v>6</v>
      </c>
      <c r="F11" s="8" t="n">
        <v>1816</v>
      </c>
      <c r="G11" s="54"/>
      <c r="H11" s="42" t="str">
        <f aca="false">IF(G11="","",F11/G11-1)</f>
        <v/>
      </c>
      <c r="I11" s="55" t="str">
        <f aca="false">IF(YEAR(C11)&lt;=2024,"2023-24","2025-26")</f>
        <v>2023-24</v>
      </c>
      <c r="J11" s="8" t="n">
        <v>1306</v>
      </c>
      <c r="K11" s="54"/>
      <c r="L11" s="56" t="n">
        <v>0.0183767228177642</v>
      </c>
      <c r="M11" s="44" t="n">
        <v>2</v>
      </c>
      <c r="N11" s="44" t="n">
        <v>6</v>
      </c>
      <c r="O11" s="6" t="s">
        <v>8275</v>
      </c>
    </row>
    <row r="12" customFormat="false" ht="15" hidden="false" customHeight="false" outlineLevel="0" collapsed="false">
      <c r="B12" s="52" t="s">
        <v>8276</v>
      </c>
      <c r="C12" s="53" t="n">
        <v>46266</v>
      </c>
      <c r="D12" s="44" t="s">
        <v>8277</v>
      </c>
      <c r="E12" s="8" t="n">
        <v>7</v>
      </c>
      <c r="F12" s="8" t="n">
        <v>27994</v>
      </c>
      <c r="G12" s="54"/>
      <c r="H12" s="42" t="str">
        <f aca="false">IF(G12="","",F12/G12-1)</f>
        <v/>
      </c>
      <c r="I12" s="55" t="str">
        <f aca="false">IF(YEAR(C12)&lt;=2024,"2023-24","2025-26")</f>
        <v>2025-26</v>
      </c>
      <c r="J12" s="8" t="n">
        <v>22689</v>
      </c>
      <c r="K12" s="54"/>
      <c r="L12" s="56" t="n">
        <v>0.00683150425316233</v>
      </c>
      <c r="O12" s="6" t="s">
        <v>8278</v>
      </c>
    </row>
    <row r="14" customFormat="false" ht="41.75" hidden="false" customHeight="false" outlineLevel="0" collapsed="false">
      <c r="B14" s="32" t="s">
        <v>8279</v>
      </c>
      <c r="H14" s="58" t="n">
        <f aca="false">MEDIAN(H4:H7)</f>
        <v>4.05916950094411</v>
      </c>
      <c r="I14" s="58" t="str">
        <f aca="false">COUNT(H4:H7)&amp;" campaigns"</f>
        <v>4 campaigns</v>
      </c>
      <c r="O14" s="6" t="s">
        <v>8280</v>
      </c>
    </row>
    <row r="15" customFormat="false" ht="15" hidden="false" customHeight="false" outlineLevel="0" collapsed="false">
      <c r="B15" s="7" t="s">
        <v>8281</v>
      </c>
      <c r="H15" s="59" t="n">
        <f aca="false">MEDIAN(H8:H10)</f>
        <v>0.779916512059369</v>
      </c>
      <c r="I15" s="59" t="str">
        <f aca="false">COUNT(H8:H10)&amp;" campaigns"</f>
        <v>3 campaigns</v>
      </c>
    </row>
    <row r="16" customFormat="false" ht="15" hidden="false" customHeight="false" outlineLevel="0" collapsed="false">
      <c r="B16" s="4" t="s">
        <v>8282</v>
      </c>
      <c r="H16" s="42" t="n">
        <f aca="false">MEDIAN(H4:H10)</f>
        <v>2.8407062285434</v>
      </c>
    </row>
    <row r="17" customFormat="false" ht="15" hidden="false" customHeight="false" outlineLevel="0" collapsed="false">
      <c r="B17" s="4" t="s">
        <v>8283</v>
      </c>
      <c r="H17" s="27" t="n">
        <f aca="false">H10/H4</f>
        <v>0.202052234735258</v>
      </c>
    </row>
    <row r="18" customFormat="false" ht="28.35" hidden="false" customHeight="false" outlineLevel="0" collapsed="false">
      <c r="B18" s="7" t="s">
        <v>8284</v>
      </c>
      <c r="L18" s="60" t="n">
        <f aca="false">MEDIAN(L4:L12)</f>
        <v>0.0124223831203867</v>
      </c>
      <c r="O18" s="6" t="s">
        <v>8285</v>
      </c>
    </row>
    <row r="20" customFormat="false" ht="15" hidden="false" customHeight="false" outlineLevel="0" collapsed="false">
      <c r="B20" s="26" t="s">
        <v>8286</v>
      </c>
    </row>
    <row r="22" customFormat="false" ht="15" hidden="false" customHeight="false" outlineLevel="0" collapsed="false">
      <c r="B22" s="7" t="s">
        <v>8287</v>
      </c>
    </row>
    <row r="23" customFormat="false" ht="15" hidden="false" customHeight="false" outlineLevel="0" collapsed="false">
      <c r="B23" s="61" t="s">
        <v>8288</v>
      </c>
      <c r="D23" s="41" t="s">
        <v>8289</v>
      </c>
      <c r="L23" s="41" t="s">
        <v>8290</v>
      </c>
    </row>
    <row r="24" customFormat="false" ht="15" hidden="false" customHeight="false" outlineLevel="0" collapsed="false">
      <c r="B24" s="4" t="s">
        <v>8291</v>
      </c>
      <c r="D24" s="44" t="s">
        <v>8292</v>
      </c>
      <c r="L24" s="12" t="n">
        <v>0.245253915519696</v>
      </c>
    </row>
    <row r="25" customFormat="false" ht="15" hidden="false" customHeight="false" outlineLevel="0" collapsed="false">
      <c r="B25" s="4" t="s">
        <v>8293</v>
      </c>
      <c r="D25" s="44" t="s">
        <v>8294</v>
      </c>
      <c r="L25" s="12" t="n">
        <v>0.182485879159841</v>
      </c>
    </row>
    <row r="26" customFormat="false" ht="15" hidden="false" customHeight="false" outlineLevel="0" collapsed="false">
      <c r="B26" s="4" t="s">
        <v>8295</v>
      </c>
      <c r="D26" s="44" t="s">
        <v>8296</v>
      </c>
      <c r="L26" s="12" t="n">
        <v>0.214613194175559</v>
      </c>
    </row>
    <row r="27" customFormat="false" ht="15" hidden="false" customHeight="false" outlineLevel="0" collapsed="false">
      <c r="B27" s="4" t="s">
        <v>8297</v>
      </c>
      <c r="D27" s="44" t="s">
        <v>8298</v>
      </c>
      <c r="L27" s="12" t="n">
        <v>0.0806229419475458</v>
      </c>
    </row>
    <row r="28" customFormat="false" ht="28.35" hidden="false" customHeight="false" outlineLevel="0" collapsed="false">
      <c r="B28" s="32" t="s">
        <v>8299</v>
      </c>
      <c r="L28" s="36" t="n">
        <f aca="false">MEDIAN(L24:L27)</f>
        <v>0.1985495366677</v>
      </c>
      <c r="O28" s="6" t="s">
        <v>8300</v>
      </c>
    </row>
    <row r="29" customFormat="false" ht="15" hidden="false" customHeight="false" outlineLevel="0" collapsed="false">
      <c r="B29" s="4" t="s">
        <v>192</v>
      </c>
      <c r="L29" s="40" t="n">
        <f aca="false">L28/L18</f>
        <v>15.9832082736086</v>
      </c>
    </row>
    <row r="31" customFormat="false" ht="15" hidden="false" customHeight="false" outlineLevel="0" collapsed="false">
      <c r="B31" s="7" t="s">
        <v>8301</v>
      </c>
    </row>
    <row r="32" customFormat="false" ht="15" hidden="false" customHeight="false" outlineLevel="0" collapsed="false">
      <c r="B32" s="61" t="s">
        <v>8289</v>
      </c>
      <c r="C32" s="41" t="s">
        <v>8302</v>
      </c>
      <c r="D32" s="41" t="s">
        <v>8303</v>
      </c>
      <c r="F32" s="41" t="s">
        <v>8304</v>
      </c>
      <c r="G32" s="41" t="s">
        <v>8305</v>
      </c>
      <c r="H32" s="41" t="s">
        <v>8302</v>
      </c>
      <c r="O32" s="61" t="s">
        <v>8306</v>
      </c>
    </row>
    <row r="33" customFormat="false" ht="28.35" hidden="false" customHeight="false" outlineLevel="0" collapsed="false">
      <c r="B33" s="52" t="s">
        <v>8307</v>
      </c>
      <c r="C33" s="44" t="s">
        <v>8308</v>
      </c>
      <c r="D33" s="44" t="s">
        <v>8309</v>
      </c>
      <c r="F33" s="8" t="n">
        <v>70</v>
      </c>
      <c r="G33" s="8" t="n">
        <v>900</v>
      </c>
      <c r="H33" s="27" t="n">
        <f aca="false">IF(OR(F33="",G33=""),"",G33/F33-1)</f>
        <v>11.8571428571429</v>
      </c>
      <c r="O33" s="6" t="s">
        <v>8310</v>
      </c>
    </row>
    <row r="34" customFormat="false" ht="41.75" hidden="false" customHeight="false" outlineLevel="0" collapsed="false">
      <c r="B34" s="52" t="s">
        <v>8294</v>
      </c>
      <c r="C34" s="44" t="s">
        <v>8311</v>
      </c>
      <c r="D34" s="44" t="s">
        <v>8312</v>
      </c>
      <c r="F34" s="8" t="n">
        <v>195000</v>
      </c>
      <c r="G34" s="8" t="n">
        <v>280000</v>
      </c>
      <c r="H34" s="27" t="n">
        <f aca="false">IF(OR(F34="",G34=""),"",G34/F34-1)</f>
        <v>0.435897435897436</v>
      </c>
      <c r="O34" s="6" t="s">
        <v>8313</v>
      </c>
    </row>
    <row r="35" customFormat="false" ht="28.35" hidden="false" customHeight="false" outlineLevel="0" collapsed="false">
      <c r="B35" s="52" t="s">
        <v>8296</v>
      </c>
      <c r="C35" s="44" t="s">
        <v>8314</v>
      </c>
      <c r="D35" s="44" t="s">
        <v>8315</v>
      </c>
      <c r="F35" s="8" t="n">
        <v>7000</v>
      </c>
      <c r="G35" s="8" t="n">
        <v>2000</v>
      </c>
      <c r="H35" s="27" t="n">
        <f aca="false">IF(OR(F35="",G35=""),"",G35/F35-1)</f>
        <v>-0.714285714285714</v>
      </c>
      <c r="O35" s="6" t="s">
        <v>8316</v>
      </c>
    </row>
    <row r="36" customFormat="false" ht="15" hidden="false" customHeight="false" outlineLevel="0" collapsed="false">
      <c r="B36" s="52" t="s">
        <v>8317</v>
      </c>
      <c r="C36" s="44" t="s">
        <v>8318</v>
      </c>
      <c r="D36" s="44" t="s">
        <v>8319</v>
      </c>
      <c r="F36" s="8" t="n">
        <v>1000</v>
      </c>
      <c r="G36" s="8" t="n">
        <v>500</v>
      </c>
      <c r="H36" s="27" t="n">
        <f aca="false">IF(OR(F36="",G36=""),"",G36/F36-1)</f>
        <v>-0.5</v>
      </c>
      <c r="O36" s="6" t="s">
        <v>8320</v>
      </c>
    </row>
    <row r="37" customFormat="false" ht="28.35" hidden="false" customHeight="false" outlineLevel="0" collapsed="false">
      <c r="B37" s="52" t="s">
        <v>8321</v>
      </c>
      <c r="C37" s="44" t="s">
        <v>8318</v>
      </c>
      <c r="D37" s="44" t="s">
        <v>8322</v>
      </c>
      <c r="F37" s="8" t="n">
        <v>150</v>
      </c>
      <c r="G37" s="8" t="n">
        <v>4000</v>
      </c>
      <c r="H37" s="27" t="n">
        <f aca="false">IF(OR(F37="",G37=""),"",G37/F37-1)</f>
        <v>25.6666666666667</v>
      </c>
      <c r="O37" s="6" t="s">
        <v>8323</v>
      </c>
    </row>
    <row r="38" customFormat="false" ht="28.35" hidden="false" customHeight="false" outlineLevel="0" collapsed="false">
      <c r="B38" s="52" t="s">
        <v>8324</v>
      </c>
      <c r="C38" s="44" t="s">
        <v>8325</v>
      </c>
      <c r="D38" s="44" t="s">
        <v>8326</v>
      </c>
      <c r="G38" s="8" t="n">
        <v>74</v>
      </c>
      <c r="H38" s="27" t="str">
        <f aca="false">IF(OR(F38="",G38=""),"",G38/F38-1)</f>
        <v/>
      </c>
      <c r="O38" s="6" t="s">
        <v>8327</v>
      </c>
    </row>
    <row r="39" customFormat="false" ht="41.75" hidden="false" customHeight="false" outlineLevel="0" collapsed="false">
      <c r="B39" s="32" t="s">
        <v>8328</v>
      </c>
      <c r="H39" s="62" t="n">
        <f aca="false">AVERAGE(H35,H36)</f>
        <v>-0.607142857142857</v>
      </c>
      <c r="O39" s="6" t="s">
        <v>8329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9"/>
    <col collapsed="false" customWidth="true" hidden="false" outlineLevel="0" max="2" min="2" style="0" width="12"/>
    <col collapsed="false" customWidth="true" hidden="false" outlineLevel="0" max="3" min="3" style="0" width="7"/>
    <col collapsed="false" customWidth="true" hidden="false" outlineLevel="0" max="4" min="4" style="0" width="22"/>
    <col collapsed="false" customWidth="true" hidden="false" outlineLevel="0" max="5" min="5" style="0" width="13"/>
    <col collapsed="false" customWidth="true" hidden="false" outlineLevel="0" max="8" min="6" style="0" width="11"/>
    <col collapsed="false" customWidth="true" hidden="false" outlineLevel="0" max="10" min="9" style="0" width="10"/>
    <col collapsed="false" customWidth="true" hidden="false" outlineLevel="0" max="11" min="11" style="0" width="20"/>
    <col collapsed="false" customWidth="true" hidden="false" outlineLevel="0" max="12" min="12" style="0" width="70"/>
  </cols>
  <sheetData>
    <row r="2" customFormat="false" ht="15" hidden="false" customHeight="false" outlineLevel="0" collapsed="false">
      <c r="B2" s="1" t="s">
        <v>8330</v>
      </c>
      <c r="C2" s="1"/>
      <c r="D2" s="1"/>
      <c r="E2" s="1"/>
      <c r="F2" s="1"/>
      <c r="G2" s="1"/>
      <c r="H2" s="1"/>
      <c r="I2" s="1"/>
      <c r="J2" s="1"/>
      <c r="K2" s="1"/>
      <c r="L2" s="1" t="s">
        <v>5</v>
      </c>
    </row>
    <row r="3" customFormat="false" ht="45" hidden="false" customHeight="true" outlineLevel="0" collapsed="false">
      <c r="B3" s="47" t="s">
        <v>8331</v>
      </c>
      <c r="C3" s="47" t="s">
        <v>267</v>
      </c>
      <c r="D3" s="47" t="s">
        <v>8303</v>
      </c>
      <c r="E3" s="47" t="s">
        <v>8332</v>
      </c>
      <c r="F3" s="47" t="s">
        <v>8333</v>
      </c>
      <c r="G3" s="47" t="s">
        <v>8304</v>
      </c>
      <c r="H3" s="47" t="s">
        <v>8305</v>
      </c>
      <c r="I3" s="47" t="s">
        <v>8302</v>
      </c>
      <c r="J3" s="47" t="s">
        <v>8334</v>
      </c>
      <c r="K3" s="47" t="s">
        <v>8289</v>
      </c>
      <c r="L3" s="47" t="s">
        <v>8335</v>
      </c>
    </row>
    <row r="4" customFormat="false" ht="28.35" hidden="false" customHeight="false" outlineLevel="0" collapsed="false">
      <c r="B4" s="63" t="n">
        <v>45212</v>
      </c>
      <c r="C4" s="55" t="n">
        <f aca="false">YEAR(B4)</f>
        <v>2023</v>
      </c>
      <c r="D4" s="52" t="s">
        <v>8336</v>
      </c>
      <c r="E4" s="8" t="n">
        <v>37500</v>
      </c>
      <c r="F4" s="55" t="str">
        <f aca="false">IF(E4="","not stated",IF(E4&lt;10000,"Under 10k",IF(E4&lt;50000,"10k-50k","50k+")))</f>
        <v>10k-50k</v>
      </c>
      <c r="G4" s="8" t="n">
        <v>37500</v>
      </c>
      <c r="H4" s="8" t="n">
        <v>19000</v>
      </c>
      <c r="I4" s="27" t="n">
        <f aca="false">H4/G4-1</f>
        <v>-0.493333333333333</v>
      </c>
      <c r="J4" s="55" t="str">
        <f aca="false">IF(ABS(I4)&lt;0.05,"Flat",IF(I4&gt;0,"Up","Down"))</f>
        <v>Down</v>
      </c>
      <c r="K4" s="44" t="s">
        <v>8337</v>
      </c>
      <c r="L4" s="6" t="s">
        <v>8338</v>
      </c>
    </row>
    <row r="5" customFormat="false" ht="15" hidden="false" customHeight="false" outlineLevel="0" collapsed="false">
      <c r="B5" s="63" t="n">
        <v>45213</v>
      </c>
      <c r="C5" s="55" t="n">
        <f aca="false">YEAR(B5)</f>
        <v>2023</v>
      </c>
      <c r="D5" s="52" t="s">
        <v>8336</v>
      </c>
      <c r="E5" s="8" t="n">
        <v>80000</v>
      </c>
      <c r="F5" s="55" t="str">
        <f aca="false">IF(E5="","not stated",IF(E5&lt;10000,"Under 10k",IF(E5&lt;50000,"10k-50k","50k+")))</f>
        <v>50k+</v>
      </c>
      <c r="G5" s="8" t="n">
        <v>80000</v>
      </c>
      <c r="H5" s="8" t="n">
        <v>52000</v>
      </c>
      <c r="I5" s="27" t="n">
        <f aca="false">H5/G5-1</f>
        <v>-0.35</v>
      </c>
      <c r="J5" s="55" t="str">
        <f aca="false">IF(ABS(I5)&lt;0.05,"Flat",IF(I5&gt;0,"Up","Down"))</f>
        <v>Down</v>
      </c>
      <c r="K5" s="44" t="s">
        <v>8339</v>
      </c>
      <c r="L5" s="6" t="s">
        <v>8340</v>
      </c>
    </row>
    <row r="6" customFormat="false" ht="15" hidden="false" customHeight="false" outlineLevel="0" collapsed="false">
      <c r="B6" s="63" t="n">
        <v>45213</v>
      </c>
      <c r="C6" s="55" t="n">
        <f aca="false">YEAR(B6)</f>
        <v>2023</v>
      </c>
      <c r="D6" s="52" t="s">
        <v>8336</v>
      </c>
      <c r="E6" s="8" t="n">
        <v>80000</v>
      </c>
      <c r="F6" s="55" t="str">
        <f aca="false">IF(E6="","not stated",IF(E6&lt;10000,"Under 10k",IF(E6&lt;50000,"10k-50k","50k+")))</f>
        <v>50k+</v>
      </c>
      <c r="G6" s="8" t="n">
        <v>80000</v>
      </c>
      <c r="H6" s="8" t="n">
        <v>40000</v>
      </c>
      <c r="I6" s="27" t="n">
        <f aca="false">H6/G6-1</f>
        <v>-0.5</v>
      </c>
      <c r="J6" s="55" t="str">
        <f aca="false">IF(ABS(I6)&lt;0.05,"Flat",IF(I6&gt;0,"Up","Down"))</f>
        <v>Down</v>
      </c>
      <c r="K6" s="44" t="s">
        <v>8341</v>
      </c>
      <c r="L6" s="6" t="s">
        <v>8342</v>
      </c>
    </row>
    <row r="7" customFormat="false" ht="28.35" hidden="false" customHeight="false" outlineLevel="0" collapsed="false">
      <c r="B7" s="63" t="n">
        <v>45226</v>
      </c>
      <c r="C7" s="55" t="n">
        <f aca="false">YEAR(B7)</f>
        <v>2023</v>
      </c>
      <c r="D7" s="52" t="s">
        <v>8322</v>
      </c>
      <c r="E7" s="54"/>
      <c r="F7" s="55" t="str">
        <f aca="false">IF(E7="","not stated",IF(E7&lt;10000,"Under 10k",IF(E7&lt;50000,"10k-50k","50k+")))</f>
        <v>not stated</v>
      </c>
      <c r="G7" s="8" t="n">
        <v>1800</v>
      </c>
      <c r="H7" s="8" t="n">
        <v>20000</v>
      </c>
      <c r="I7" s="27" t="n">
        <f aca="false">H7/G7-1</f>
        <v>10.1111111111111</v>
      </c>
      <c r="J7" s="55" t="str">
        <f aca="false">IF(ABS(I7)&lt;0.05,"Flat",IF(I7&gt;0,"Up","Down"))</f>
        <v>Up</v>
      </c>
      <c r="K7" s="44" t="s">
        <v>8343</v>
      </c>
      <c r="L7" s="6" t="s">
        <v>8344</v>
      </c>
    </row>
    <row r="8" customFormat="false" ht="28.35" hidden="false" customHeight="false" outlineLevel="0" collapsed="false">
      <c r="B8" s="63" t="n">
        <v>45240</v>
      </c>
      <c r="C8" s="55" t="n">
        <f aca="false">YEAR(B8)</f>
        <v>2023</v>
      </c>
      <c r="D8" s="52" t="s">
        <v>8336</v>
      </c>
      <c r="E8" s="8" t="n">
        <v>30000</v>
      </c>
      <c r="F8" s="55" t="str">
        <f aca="false">IF(E8="","not stated",IF(E8&lt;10000,"Under 10k",IF(E8&lt;50000,"10k-50k","50k+")))</f>
        <v>10k-50k</v>
      </c>
      <c r="G8" s="8" t="n">
        <v>30000</v>
      </c>
      <c r="H8" s="8" t="n">
        <v>8700</v>
      </c>
      <c r="I8" s="27" t="n">
        <f aca="false">H8/G8-1</f>
        <v>-0.71</v>
      </c>
      <c r="J8" s="55" t="str">
        <f aca="false">IF(ABS(I8)&lt;0.05,"Flat",IF(I8&gt;0,"Up","Down"))</f>
        <v>Down</v>
      </c>
      <c r="K8" s="44" t="s">
        <v>8345</v>
      </c>
      <c r="L8" s="6" t="s">
        <v>8346</v>
      </c>
    </row>
    <row r="9" customFormat="false" ht="28.35" hidden="false" customHeight="false" outlineLevel="0" collapsed="false">
      <c r="B9" s="63" t="n">
        <v>45261</v>
      </c>
      <c r="C9" s="55" t="n">
        <f aca="false">YEAR(B9)</f>
        <v>2023</v>
      </c>
      <c r="D9" s="52" t="s">
        <v>8336</v>
      </c>
      <c r="E9" s="8" t="n">
        <v>30000</v>
      </c>
      <c r="F9" s="55" t="str">
        <f aca="false">IF(E9="","not stated",IF(E9&lt;10000,"Under 10k",IF(E9&lt;50000,"10k-50k","50k+")))</f>
        <v>10k-50k</v>
      </c>
      <c r="G9" s="8" t="n">
        <v>30000</v>
      </c>
      <c r="H9" s="8" t="n">
        <v>5000</v>
      </c>
      <c r="I9" s="27" t="n">
        <f aca="false">H9/G9-1</f>
        <v>-0.833333333333333</v>
      </c>
      <c r="J9" s="55" t="str">
        <f aca="false">IF(ABS(I9)&lt;0.05,"Flat",IF(I9&gt;0,"Up","Down"))</f>
        <v>Down</v>
      </c>
      <c r="K9" s="44" t="s">
        <v>8347</v>
      </c>
      <c r="L9" s="6" t="s">
        <v>8348</v>
      </c>
    </row>
    <row r="10" customFormat="false" ht="15" hidden="false" customHeight="false" outlineLevel="0" collapsed="false">
      <c r="B10" s="63" t="n">
        <v>45349</v>
      </c>
      <c r="C10" s="55" t="n">
        <f aca="false">YEAR(B10)</f>
        <v>2024</v>
      </c>
      <c r="D10" s="52" t="s">
        <v>8349</v>
      </c>
      <c r="E10" s="54"/>
      <c r="F10" s="55" t="str">
        <f aca="false">IF(E10="","not stated",IF(E10&lt;10000,"Under 10k",IF(E10&lt;50000,"10k-50k","50k+")))</f>
        <v>not stated</v>
      </c>
      <c r="G10" s="8" t="n">
        <v>10000</v>
      </c>
      <c r="H10" s="8" t="n">
        <v>50000</v>
      </c>
      <c r="I10" s="27" t="n">
        <f aca="false">H10/G10-1</f>
        <v>4</v>
      </c>
      <c r="J10" s="55" t="str">
        <f aca="false">IF(ABS(I10)&lt;0.05,"Flat",IF(I10&gt;0,"Up","Down"))</f>
        <v>Up</v>
      </c>
      <c r="K10" s="44" t="s">
        <v>8350</v>
      </c>
      <c r="L10" s="6" t="s">
        <v>8351</v>
      </c>
    </row>
    <row r="11" customFormat="false" ht="28.35" hidden="false" customHeight="false" outlineLevel="0" collapsed="false">
      <c r="B11" s="63" t="n">
        <v>45352</v>
      </c>
      <c r="C11" s="55" t="n">
        <f aca="false">YEAR(B11)</f>
        <v>2024</v>
      </c>
      <c r="D11" s="52" t="s">
        <v>8352</v>
      </c>
      <c r="E11" s="54"/>
      <c r="F11" s="55" t="str">
        <f aca="false">IF(E11="","not stated",IF(E11&lt;10000,"Under 10k",IF(E11&lt;50000,"10k-50k","50k+")))</f>
        <v>not stated</v>
      </c>
      <c r="G11" s="8" t="n">
        <v>40000</v>
      </c>
      <c r="H11" s="8" t="n">
        <v>15000</v>
      </c>
      <c r="I11" s="27" t="n">
        <f aca="false">H11/G11-1</f>
        <v>-0.625</v>
      </c>
      <c r="J11" s="55" t="str">
        <f aca="false">IF(ABS(I11)&lt;0.05,"Flat",IF(I11&gt;0,"Up","Down"))</f>
        <v>Down</v>
      </c>
      <c r="K11" s="44" t="s">
        <v>8353</v>
      </c>
      <c r="L11" s="6" t="s">
        <v>8354</v>
      </c>
    </row>
    <row r="12" customFormat="false" ht="15" hidden="false" customHeight="false" outlineLevel="0" collapsed="false">
      <c r="B12" s="63" t="n">
        <v>45352</v>
      </c>
      <c r="C12" s="55" t="n">
        <f aca="false">YEAR(B12)</f>
        <v>2024</v>
      </c>
      <c r="D12" s="52" t="s">
        <v>8322</v>
      </c>
      <c r="E12" s="54"/>
      <c r="F12" s="55" t="str">
        <f aca="false">IF(E12="","not stated",IF(E12&lt;10000,"Under 10k",IF(E12&lt;50000,"10k-50k","50k+")))</f>
        <v>not stated</v>
      </c>
      <c r="G12" s="8" t="n">
        <v>4000</v>
      </c>
      <c r="H12" s="8" t="n">
        <v>150</v>
      </c>
      <c r="I12" s="27" t="n">
        <f aca="false">H12/G12-1</f>
        <v>-0.9625</v>
      </c>
      <c r="J12" s="55" t="str">
        <f aca="false">IF(ABS(I12)&lt;0.05,"Flat",IF(I12&gt;0,"Up","Down"))</f>
        <v>Down</v>
      </c>
      <c r="K12" s="44" t="s">
        <v>8355</v>
      </c>
      <c r="L12" s="6" t="s">
        <v>8356</v>
      </c>
    </row>
    <row r="13" customFormat="false" ht="15" hidden="false" customHeight="false" outlineLevel="0" collapsed="false">
      <c r="B13" s="63" t="n">
        <v>45352</v>
      </c>
      <c r="C13" s="55" t="n">
        <f aca="false">YEAR(B13)</f>
        <v>2024</v>
      </c>
      <c r="D13" s="52" t="s">
        <v>8336</v>
      </c>
      <c r="E13" s="8" t="n">
        <v>2000</v>
      </c>
      <c r="F13" s="55" t="str">
        <f aca="false">IF(E13="","not stated",IF(E13&lt;10000,"Under 10k",IF(E13&lt;50000,"10k-50k","50k+")))</f>
        <v>Under 10k</v>
      </c>
      <c r="G13" s="8" t="n">
        <v>2000</v>
      </c>
      <c r="H13" s="8" t="n">
        <v>7500</v>
      </c>
      <c r="I13" s="27" t="n">
        <f aca="false">H13/G13-1</f>
        <v>2.75</v>
      </c>
      <c r="J13" s="55" t="str">
        <f aca="false">IF(ABS(I13)&lt;0.05,"Flat",IF(I13&gt;0,"Up","Down"))</f>
        <v>Up</v>
      </c>
      <c r="K13" s="44" t="s">
        <v>8357</v>
      </c>
    </row>
    <row r="14" customFormat="false" ht="15" hidden="false" customHeight="false" outlineLevel="0" collapsed="false">
      <c r="B14" s="63" t="n">
        <v>45364</v>
      </c>
      <c r="C14" s="55" t="n">
        <f aca="false">YEAR(B14)</f>
        <v>2024</v>
      </c>
      <c r="D14" s="52" t="s">
        <v>8349</v>
      </c>
      <c r="E14" s="54"/>
      <c r="F14" s="55" t="str">
        <f aca="false">IF(E14="","not stated",IF(E14&lt;10000,"Under 10k",IF(E14&lt;50000,"10k-50k","50k+")))</f>
        <v>not stated</v>
      </c>
      <c r="G14" s="8" t="n">
        <v>1000000</v>
      </c>
      <c r="H14" s="8" t="n">
        <v>300000</v>
      </c>
      <c r="I14" s="27" t="n">
        <f aca="false">H14/G14-1</f>
        <v>-0.7</v>
      </c>
      <c r="J14" s="55" t="str">
        <f aca="false">IF(ABS(I14)&lt;0.05,"Flat",IF(I14&gt;0,"Up","Down"))</f>
        <v>Down</v>
      </c>
      <c r="K14" s="44" t="s">
        <v>8358</v>
      </c>
      <c r="L14" s="6" t="s">
        <v>8359</v>
      </c>
    </row>
    <row r="15" customFormat="false" ht="28.35" hidden="false" customHeight="false" outlineLevel="0" collapsed="false">
      <c r="B15" s="63" t="n">
        <v>45518</v>
      </c>
      <c r="C15" s="55" t="n">
        <f aca="false">YEAR(B15)</f>
        <v>2024</v>
      </c>
      <c r="D15" s="52" t="s">
        <v>8360</v>
      </c>
      <c r="E15" s="54"/>
      <c r="F15" s="55" t="str">
        <f aca="false">IF(E15="","not stated",IF(E15&lt;10000,"Under 10k",IF(E15&lt;50000,"10k-50k","50k+")))</f>
        <v>not stated</v>
      </c>
      <c r="G15" s="8" t="n">
        <v>5000</v>
      </c>
      <c r="H15" s="8" t="n">
        <v>190</v>
      </c>
      <c r="I15" s="27" t="n">
        <f aca="false">H15/G15-1</f>
        <v>-0.962</v>
      </c>
      <c r="J15" s="55" t="str">
        <f aca="false">IF(ABS(I15)&lt;0.05,"Flat",IF(I15&gt;0,"Up","Down"))</f>
        <v>Down</v>
      </c>
      <c r="K15" s="44" t="s">
        <v>8361</v>
      </c>
      <c r="L15" s="6" t="s">
        <v>8362</v>
      </c>
    </row>
    <row r="16" customFormat="false" ht="15" hidden="false" customHeight="false" outlineLevel="0" collapsed="false">
      <c r="B16" s="63" t="n">
        <v>45649</v>
      </c>
      <c r="C16" s="55" t="n">
        <f aca="false">YEAR(B16)</f>
        <v>2024</v>
      </c>
      <c r="D16" s="52" t="s">
        <v>8336</v>
      </c>
      <c r="E16" s="8" t="n">
        <v>25000</v>
      </c>
      <c r="F16" s="55" t="str">
        <f aca="false">IF(E16="","not stated",IF(E16&lt;10000,"Under 10k",IF(E16&lt;50000,"10k-50k","50k+")))</f>
        <v>10k-50k</v>
      </c>
      <c r="G16" s="8" t="n">
        <v>25000</v>
      </c>
      <c r="H16" s="8" t="n">
        <v>60000</v>
      </c>
      <c r="I16" s="27" t="n">
        <f aca="false">H16/G16-1</f>
        <v>1.4</v>
      </c>
      <c r="J16" s="55" t="str">
        <f aca="false">IF(ABS(I16)&lt;0.05,"Flat",IF(I16&gt;0,"Up","Down"))</f>
        <v>Up</v>
      </c>
      <c r="K16" s="44" t="s">
        <v>8363</v>
      </c>
      <c r="L16" s="6" t="s">
        <v>8364</v>
      </c>
    </row>
    <row r="17" customFormat="false" ht="15" hidden="false" customHeight="false" outlineLevel="0" collapsed="false">
      <c r="B17" s="63" t="n">
        <v>45653</v>
      </c>
      <c r="C17" s="55" t="n">
        <f aca="false">YEAR(B17)</f>
        <v>2024</v>
      </c>
      <c r="D17" s="52" t="s">
        <v>8336</v>
      </c>
      <c r="E17" s="8" t="n">
        <v>5000</v>
      </c>
      <c r="F17" s="55" t="str">
        <f aca="false">IF(E17="","not stated",IF(E17&lt;10000,"Under 10k",IF(E17&lt;50000,"10k-50k","50k+")))</f>
        <v>Under 10k</v>
      </c>
      <c r="G17" s="8" t="n">
        <v>5000</v>
      </c>
      <c r="H17" s="8" t="n">
        <v>44000</v>
      </c>
      <c r="I17" s="27" t="n">
        <f aca="false">H17/G17-1</f>
        <v>7.8</v>
      </c>
      <c r="J17" s="55" t="str">
        <f aca="false">IF(ABS(I17)&lt;0.05,"Flat",IF(I17&gt;0,"Up","Down"))</f>
        <v>Up</v>
      </c>
      <c r="K17" s="44" t="s">
        <v>8365</v>
      </c>
      <c r="L17" s="6" t="s">
        <v>8366</v>
      </c>
    </row>
    <row r="18" customFormat="false" ht="28.35" hidden="false" customHeight="false" outlineLevel="0" collapsed="false">
      <c r="B18" s="63" t="n">
        <v>45690</v>
      </c>
      <c r="C18" s="55" t="n">
        <f aca="false">YEAR(B18)</f>
        <v>2025</v>
      </c>
      <c r="D18" s="52" t="s">
        <v>8349</v>
      </c>
      <c r="E18" s="8" t="n">
        <v>60000</v>
      </c>
      <c r="F18" s="55" t="str">
        <f aca="false">IF(E18="","not stated",IF(E18&lt;10000,"Under 10k",IF(E18&lt;50000,"10k-50k","50k+")))</f>
        <v>50k+</v>
      </c>
      <c r="G18" s="8" t="n">
        <v>36655</v>
      </c>
      <c r="H18" s="8" t="n">
        <v>36549</v>
      </c>
      <c r="I18" s="27" t="n">
        <f aca="false">H18/G18-1</f>
        <v>-0.00289182921838771</v>
      </c>
      <c r="J18" s="55" t="str">
        <f aca="false">IF(ABS(I18)&lt;0.05,"Flat",IF(I18&gt;0,"Up","Down"))</f>
        <v>Flat</v>
      </c>
      <c r="K18" s="44" t="s">
        <v>8367</v>
      </c>
      <c r="L18" s="6" t="s">
        <v>8368</v>
      </c>
    </row>
    <row r="19" customFormat="false" ht="15" hidden="false" customHeight="false" outlineLevel="0" collapsed="false">
      <c r="B19" s="63" t="n">
        <v>45909</v>
      </c>
      <c r="C19" s="55" t="n">
        <f aca="false">YEAR(B19)</f>
        <v>2025</v>
      </c>
      <c r="D19" s="52" t="s">
        <v>8336</v>
      </c>
      <c r="E19" s="8" t="n">
        <v>10000</v>
      </c>
      <c r="F19" s="55" t="str">
        <f aca="false">IF(E19="","not stated",IF(E19&lt;10000,"Under 10k",IF(E19&lt;50000,"10k-50k","50k+")))</f>
        <v>10k-50k</v>
      </c>
      <c r="G19" s="8" t="n">
        <v>10000</v>
      </c>
      <c r="H19" s="8" t="n">
        <v>20000</v>
      </c>
      <c r="I19" s="27" t="n">
        <f aca="false">H19/G19-1</f>
        <v>1</v>
      </c>
      <c r="J19" s="55" t="str">
        <f aca="false">IF(ABS(I19)&lt;0.05,"Flat",IF(I19&gt;0,"Up","Down"))</f>
        <v>Up</v>
      </c>
      <c r="K19" s="44" t="s">
        <v>8369</v>
      </c>
    </row>
    <row r="20" customFormat="false" ht="15" hidden="false" customHeight="false" outlineLevel="0" collapsed="false">
      <c r="B20" s="63" t="n">
        <v>45909</v>
      </c>
      <c r="C20" s="55" t="n">
        <f aca="false">YEAR(B20)</f>
        <v>2025</v>
      </c>
      <c r="D20" s="52" t="s">
        <v>8336</v>
      </c>
      <c r="E20" s="8" t="n">
        <v>100</v>
      </c>
      <c r="F20" s="55" t="str">
        <f aca="false">IF(E20="","not stated",IF(E20&lt;10000,"Under 10k",IF(E20&lt;50000,"10k-50k","50k+")))</f>
        <v>Under 10k</v>
      </c>
      <c r="G20" s="8" t="n">
        <v>100</v>
      </c>
      <c r="H20" s="8" t="n">
        <v>700</v>
      </c>
      <c r="I20" s="27" t="n">
        <f aca="false">H20/G20-1</f>
        <v>6</v>
      </c>
      <c r="J20" s="55" t="str">
        <f aca="false">IF(ABS(I20)&lt;0.05,"Flat",IF(I20&gt;0,"Up","Down"))</f>
        <v>Up</v>
      </c>
      <c r="K20" s="44" t="s">
        <v>8370</v>
      </c>
      <c r="L20" s="6" t="s">
        <v>8371</v>
      </c>
    </row>
    <row r="21" customFormat="false" ht="28.35" hidden="false" customHeight="false" outlineLevel="0" collapsed="false">
      <c r="B21" s="63" t="n">
        <v>46067</v>
      </c>
      <c r="C21" s="55" t="n">
        <f aca="false">YEAR(B21)</f>
        <v>2026</v>
      </c>
      <c r="D21" s="52" t="s">
        <v>8352</v>
      </c>
      <c r="E21" s="8" t="n">
        <v>100000</v>
      </c>
      <c r="F21" s="55" t="str">
        <f aca="false">IF(E21="","not stated",IF(E21&lt;10000,"Under 10k",IF(E21&lt;50000,"10k-50k","50k+")))</f>
        <v>50k+</v>
      </c>
      <c r="G21" s="8" t="n">
        <v>500</v>
      </c>
      <c r="H21" s="8" t="n">
        <v>1000</v>
      </c>
      <c r="I21" s="27" t="n">
        <f aca="false">H21/G21-1</f>
        <v>1</v>
      </c>
      <c r="J21" s="55" t="str">
        <f aca="false">IF(ABS(I21)&lt;0.05,"Flat",IF(I21&gt;0,"Up","Down"))</f>
        <v>Up</v>
      </c>
      <c r="K21" s="44" t="s">
        <v>8372</v>
      </c>
      <c r="L21" s="6" t="s">
        <v>8373</v>
      </c>
    </row>
    <row r="23" customFormat="false" ht="15" hidden="false" customHeight="false" outlineLevel="0" collapsed="false">
      <c r="B23" s="7" t="s">
        <v>8374</v>
      </c>
    </row>
    <row r="24" customFormat="false" ht="30" hidden="false" customHeight="true" outlineLevel="0" collapsed="false">
      <c r="B24" s="41" t="s">
        <v>267</v>
      </c>
      <c r="D24" s="41" t="s">
        <v>8375</v>
      </c>
      <c r="E24" s="41" t="s">
        <v>8376</v>
      </c>
      <c r="F24" s="41" t="s">
        <v>8377</v>
      </c>
      <c r="G24" s="41" t="s">
        <v>8378</v>
      </c>
      <c r="H24" s="64" t="s">
        <v>8379</v>
      </c>
    </row>
    <row r="25" customFormat="false" ht="15" hidden="false" customHeight="false" outlineLevel="0" collapsed="false">
      <c r="B25" s="44" t="n">
        <v>2023</v>
      </c>
      <c r="D25" s="55" t="n">
        <f aca="false">COUNTIFS($C$4:$C$21,B25,$J$4:$J$21,"Up")</f>
        <v>1</v>
      </c>
      <c r="E25" s="55" t="n">
        <f aca="false">COUNTIFS($C$4:$C$21,B25,$J$4:$J$21,"Down")</f>
        <v>5</v>
      </c>
      <c r="F25" s="55" t="n">
        <f aca="false">COUNTIFS($C$4:$C$21,B25,$J$4:$J$21,"Flat")</f>
        <v>0</v>
      </c>
      <c r="G25" s="55" t="n">
        <f aca="false">SUM(D25:F25)</f>
        <v>6</v>
      </c>
      <c r="H25" s="17" t="n">
        <f aca="false">IFERROR(AVERAGEIFS($E$4:$E$21,$C$4:$C$21,B25,$J$4:$J$21,"Down"),"size not stated")</f>
        <v>51500</v>
      </c>
    </row>
    <row r="26" customFormat="false" ht="15" hidden="false" customHeight="false" outlineLevel="0" collapsed="false">
      <c r="B26" s="44" t="n">
        <v>2024</v>
      </c>
      <c r="D26" s="55" t="n">
        <f aca="false">COUNTIFS($C$4:$C$21,B26,$J$4:$J$21,"Up")</f>
        <v>4</v>
      </c>
      <c r="E26" s="55" t="n">
        <f aca="false">COUNTIFS($C$4:$C$21,B26,$J$4:$J$21,"Down")</f>
        <v>4</v>
      </c>
      <c r="F26" s="55" t="n">
        <f aca="false">COUNTIFS($C$4:$C$21,B26,$J$4:$J$21,"Flat")</f>
        <v>0</v>
      </c>
      <c r="G26" s="55" t="n">
        <f aca="false">SUM(D26:F26)</f>
        <v>8</v>
      </c>
      <c r="H26" s="17" t="str">
        <f aca="false">IFERROR(AVERAGEIFS($E$4:$E$21,$C$4:$C$21,B26,$J$4:$J$21,"Down"),"size not stated")</f>
        <v>size not stated</v>
      </c>
    </row>
    <row r="27" customFormat="false" ht="15" hidden="false" customHeight="false" outlineLevel="0" collapsed="false">
      <c r="B27" s="44" t="n">
        <v>2025</v>
      </c>
      <c r="D27" s="55" t="n">
        <f aca="false">COUNTIFS($C$4:$C$21,B27,$J$4:$J$21,"Up")</f>
        <v>2</v>
      </c>
      <c r="E27" s="55" t="n">
        <f aca="false">COUNTIFS($C$4:$C$21,B27,$J$4:$J$21,"Down")</f>
        <v>0</v>
      </c>
      <c r="F27" s="55" t="n">
        <f aca="false">COUNTIFS($C$4:$C$21,B27,$J$4:$J$21,"Flat")</f>
        <v>1</v>
      </c>
      <c r="G27" s="55" t="n">
        <f aca="false">SUM(D27:F27)</f>
        <v>3</v>
      </c>
      <c r="H27" s="17" t="str">
        <f aca="false">IFERROR(AVERAGEIFS($E$4:$E$21,$C$4:$C$21,B27,$J$4:$J$21,"Down"),"size not stated")</f>
        <v>size not stated</v>
      </c>
    </row>
    <row r="28" customFormat="false" ht="15" hidden="false" customHeight="false" outlineLevel="0" collapsed="false">
      <c r="B28" s="44" t="n">
        <v>2026</v>
      </c>
      <c r="D28" s="55" t="n">
        <f aca="false">COUNTIFS($C$4:$C$21,B28,$J$4:$J$21,"Up")</f>
        <v>1</v>
      </c>
      <c r="E28" s="55" t="n">
        <f aca="false">COUNTIFS($C$4:$C$21,B28,$J$4:$J$21,"Down")</f>
        <v>0</v>
      </c>
      <c r="F28" s="55" t="n">
        <f aca="false">COUNTIFS($C$4:$C$21,B28,$J$4:$J$21,"Flat")</f>
        <v>0</v>
      </c>
      <c r="G28" s="55" t="n">
        <f aca="false">SUM(D28:F28)</f>
        <v>1</v>
      </c>
      <c r="H28" s="17" t="str">
        <f aca="false">IFERROR(AVERAGEIFS($E$4:$E$21,$C$4:$C$21,B28,$J$4:$J$21,"Down"),"size not stated")</f>
        <v>size not stated</v>
      </c>
    </row>
    <row r="29" customFormat="false" ht="15" hidden="false" customHeight="false" outlineLevel="0" collapsed="false">
      <c r="B29" s="26" t="s">
        <v>8380</v>
      </c>
    </row>
    <row r="31" customFormat="false" ht="15" hidden="false" customHeight="false" outlineLevel="0" collapsed="false">
      <c r="B31" s="7" t="s">
        <v>8381</v>
      </c>
    </row>
    <row r="32" customFormat="false" ht="15" hidden="false" customHeight="false" outlineLevel="0" collapsed="false">
      <c r="B32" s="41" t="s">
        <v>8333</v>
      </c>
      <c r="D32" s="41" t="s">
        <v>8375</v>
      </c>
      <c r="E32" s="41" t="s">
        <v>8382</v>
      </c>
      <c r="F32" s="41" t="s">
        <v>8376</v>
      </c>
      <c r="G32" s="41" t="s">
        <v>8378</v>
      </c>
      <c r="H32" s="41" t="s">
        <v>8383</v>
      </c>
    </row>
    <row r="33" customFormat="false" ht="15" hidden="false" customHeight="false" outlineLevel="0" collapsed="false">
      <c r="B33" s="44" t="s">
        <v>8384</v>
      </c>
      <c r="D33" s="44" t="n">
        <v>8</v>
      </c>
      <c r="E33" s="44" t="n">
        <v>0</v>
      </c>
      <c r="F33" s="44" t="n">
        <v>0</v>
      </c>
      <c r="G33" s="55" t="n">
        <f aca="false">SUM(D33:F33)</f>
        <v>8</v>
      </c>
      <c r="H33" s="27" t="n">
        <f aca="false">D33/G33</f>
        <v>1</v>
      </c>
    </row>
    <row r="34" customFormat="false" ht="15" hidden="false" customHeight="false" outlineLevel="0" collapsed="false">
      <c r="B34" s="44" t="s">
        <v>8385</v>
      </c>
      <c r="D34" s="44" t="n">
        <v>4</v>
      </c>
      <c r="E34" s="44" t="n">
        <v>1</v>
      </c>
      <c r="F34" s="44" t="n">
        <v>4</v>
      </c>
      <c r="G34" s="55" t="n">
        <f aca="false">SUM(D34:F34)</f>
        <v>9</v>
      </c>
      <c r="H34" s="27" t="n">
        <f aca="false">D34/G34</f>
        <v>0.444444444444444</v>
      </c>
    </row>
    <row r="35" customFormat="false" ht="15" hidden="false" customHeight="false" outlineLevel="0" collapsed="false">
      <c r="B35" s="44" t="s">
        <v>8386</v>
      </c>
      <c r="D35" s="44" t="n">
        <v>3</v>
      </c>
      <c r="E35" s="44" t="n">
        <v>3</v>
      </c>
      <c r="F35" s="44" t="n">
        <v>3</v>
      </c>
      <c r="G35" s="55" t="n">
        <f aca="false">SUM(D35:F35)</f>
        <v>9</v>
      </c>
      <c r="H35" s="27" t="n">
        <f aca="false">D35/G35</f>
        <v>0.333333333333333</v>
      </c>
    </row>
    <row r="36" customFormat="false" ht="15" hidden="false" customHeight="false" outlineLevel="0" collapsed="false">
      <c r="B36" s="65" t="s">
        <v>8387</v>
      </c>
      <c r="D36" s="65" t="n">
        <f aca="false">SUM(D34:D35)</f>
        <v>7</v>
      </c>
      <c r="E36" s="65" t="n">
        <f aca="false">SUM(E34:E35)</f>
        <v>4</v>
      </c>
      <c r="F36" s="65" t="n">
        <f aca="false">SUM(F34:F35)</f>
        <v>7</v>
      </c>
      <c r="G36" s="65" t="n">
        <f aca="false">SUM(G34:G35)</f>
        <v>18</v>
      </c>
      <c r="H36" s="62" t="n">
        <f aca="false">D36/G36</f>
        <v>0.388888888888889</v>
      </c>
    </row>
    <row r="38" customFormat="false" ht="15" hidden="false" customHeight="false" outlineLevel="0" collapsed="false">
      <c r="B38" s="7" t="s">
        <v>8388</v>
      </c>
    </row>
    <row r="39" customFormat="false" ht="15" hidden="false" customHeight="false" outlineLevel="0" collapsed="false">
      <c r="B39" s="4" t="s">
        <v>8389</v>
      </c>
      <c r="H39" s="8" t="n">
        <v>27088</v>
      </c>
    </row>
    <row r="40" customFormat="false" ht="15" hidden="false" customHeight="false" outlineLevel="0" collapsed="false">
      <c r="B40" s="4" t="s">
        <v>8390</v>
      </c>
      <c r="H40" s="8" t="n">
        <v>130</v>
      </c>
    </row>
    <row r="41" customFormat="false" ht="15" hidden="false" customHeight="false" outlineLevel="0" collapsed="false">
      <c r="B41" s="4" t="s">
        <v>8391</v>
      </c>
      <c r="H41" s="8" t="n">
        <v>1953</v>
      </c>
    </row>
    <row r="42" customFormat="false" ht="15" hidden="false" customHeight="false" outlineLevel="0" collapsed="false">
      <c r="B42" s="4" t="s">
        <v>8392</v>
      </c>
      <c r="H42" s="8" t="n">
        <v>73</v>
      </c>
    </row>
    <row r="43" customFormat="false" ht="15" hidden="false" customHeight="false" outlineLevel="0" collapsed="false">
      <c r="B43" s="4" t="s">
        <v>8393</v>
      </c>
      <c r="H43" s="8" t="n">
        <v>70</v>
      </c>
    </row>
    <row r="44" customFormat="false" ht="15" hidden="false" customHeight="false" outlineLevel="0" collapsed="false">
      <c r="B44" s="4" t="s">
        <v>8394</v>
      </c>
      <c r="H44" s="8" t="n">
        <v>39</v>
      </c>
    </row>
    <row r="45" customFormat="false" ht="15" hidden="false" customHeight="false" outlineLevel="0" collapsed="false">
      <c r="B45" s="4" t="s">
        <v>8395</v>
      </c>
      <c r="H45" s="8" t="n">
        <v>21</v>
      </c>
    </row>
    <row r="46" customFormat="false" ht="15" hidden="false" customHeight="false" outlineLevel="0" collapsed="false">
      <c r="B46" s="4" t="s">
        <v>8396</v>
      </c>
      <c r="H46" s="8" t="n">
        <v>7</v>
      </c>
    </row>
    <row r="47" customFormat="false" ht="15" hidden="false" customHeight="false" outlineLevel="0" collapsed="false">
      <c r="B47" s="4" t="s">
        <v>8397</v>
      </c>
      <c r="H47" s="8" t="n">
        <v>3</v>
      </c>
    </row>
    <row r="48" customFormat="false" ht="15" hidden="false" customHeight="false" outlineLevel="0" collapsed="false">
      <c r="B48" s="4" t="s">
        <v>198</v>
      </c>
      <c r="H48" s="8" t="n">
        <v>12</v>
      </c>
    </row>
    <row r="49" customFormat="false" ht="15" hidden="false" customHeight="false" outlineLevel="0" collapsed="false">
      <c r="B49" s="4" t="s">
        <v>8398</v>
      </c>
      <c r="H49" s="8" t="n">
        <v>35</v>
      </c>
    </row>
    <row r="50" customFormat="false" ht="15" hidden="false" customHeight="false" outlineLevel="0" collapsed="false">
      <c r="B50" s="32" t="s">
        <v>8399</v>
      </c>
      <c r="H50" s="62" t="n">
        <f aca="false">H44/H43</f>
        <v>0.557142857142857</v>
      </c>
    </row>
    <row r="52" customFormat="false" ht="15" hidden="false" customHeight="false" outlineLevel="0" collapsed="false">
      <c r="B52" s="7" t="s">
        <v>8400</v>
      </c>
    </row>
    <row r="53" customFormat="false" ht="15" hidden="false" customHeight="false" outlineLevel="0" collapsed="false">
      <c r="B53" s="61" t="s">
        <v>8401</v>
      </c>
      <c r="D53" s="61" t="s">
        <v>8402</v>
      </c>
      <c r="H53" s="41" t="s">
        <v>8403</v>
      </c>
      <c r="L53" s="61" t="s">
        <v>8255</v>
      </c>
    </row>
    <row r="54" customFormat="false" ht="15" hidden="false" customHeight="false" outlineLevel="0" collapsed="false">
      <c r="B54" s="49" t="s">
        <v>8404</v>
      </c>
      <c r="D54" s="4" t="s">
        <v>8405</v>
      </c>
      <c r="H54" s="12" t="n">
        <v>0.034965034965035</v>
      </c>
    </row>
    <row r="55" customFormat="false" ht="15" hidden="false" customHeight="false" outlineLevel="0" collapsed="false">
      <c r="B55" s="49" t="s">
        <v>8406</v>
      </c>
      <c r="D55" s="4" t="s">
        <v>8405</v>
      </c>
      <c r="H55" s="12" t="n">
        <v>0.04</v>
      </c>
    </row>
    <row r="56" customFormat="false" ht="15" hidden="false" customHeight="false" outlineLevel="0" collapsed="false">
      <c r="B56" s="49" t="s">
        <v>8407</v>
      </c>
      <c r="D56" s="4" t="s">
        <v>8405</v>
      </c>
      <c r="H56" s="12" t="n">
        <v>0.0387931034482759</v>
      </c>
    </row>
    <row r="57" customFormat="false" ht="15" hidden="false" customHeight="false" outlineLevel="0" collapsed="false">
      <c r="B57" s="49" t="s">
        <v>8408</v>
      </c>
      <c r="D57" s="4" t="s">
        <v>8405</v>
      </c>
      <c r="H57" s="12" t="n">
        <v>0.05</v>
      </c>
    </row>
    <row r="58" customFormat="false" ht="15" hidden="false" customHeight="false" outlineLevel="0" collapsed="false">
      <c r="B58" s="49" t="s">
        <v>8409</v>
      </c>
      <c r="D58" s="4" t="s">
        <v>8410</v>
      </c>
      <c r="H58" s="12" t="n">
        <v>0.1</v>
      </c>
    </row>
    <row r="59" customFormat="false" ht="15" hidden="false" customHeight="false" outlineLevel="0" collapsed="false">
      <c r="B59" s="49" t="s">
        <v>8411</v>
      </c>
      <c r="D59" s="4" t="s">
        <v>8412</v>
      </c>
      <c r="H59" s="12" t="n">
        <v>0.333333333333333</v>
      </c>
    </row>
    <row r="60" customFormat="false" ht="15" hidden="false" customHeight="false" outlineLevel="0" collapsed="false">
      <c r="B60" s="49" t="s">
        <v>8413</v>
      </c>
      <c r="D60" s="4" t="s">
        <v>8412</v>
      </c>
      <c r="H60" s="12" t="n">
        <v>0.333333333333333</v>
      </c>
    </row>
    <row r="61" customFormat="false" ht="15" hidden="false" customHeight="false" outlineLevel="0" collapsed="false">
      <c r="B61" s="49" t="s">
        <v>8414</v>
      </c>
      <c r="D61" s="4" t="s">
        <v>8412</v>
      </c>
      <c r="H61" s="12" t="n">
        <v>0.5</v>
      </c>
    </row>
    <row r="62" customFormat="false" ht="28.35" hidden="false" customHeight="false" outlineLevel="0" collapsed="false">
      <c r="B62" s="32" t="s">
        <v>8415</v>
      </c>
      <c r="H62" s="36" t="n">
        <f aca="false">MEDIAN(H54:H57)</f>
        <v>0.0393965517241379</v>
      </c>
      <c r="L62" s="6" t="s">
        <v>8416</v>
      </c>
    </row>
    <row r="63" customFormat="false" ht="15" hidden="false" customHeight="false" outlineLevel="0" collapsed="false">
      <c r="B63" s="4" t="s">
        <v>8417</v>
      </c>
      <c r="H63" s="11" t="n">
        <f aca="false">MEDIAN(H54:H61)</f>
        <v>0.075</v>
      </c>
    </row>
    <row r="65" customFormat="false" ht="15" hidden="false" customHeight="false" outlineLevel="0" collapsed="false">
      <c r="B65" s="7" t="s">
        <v>8418</v>
      </c>
    </row>
    <row r="66" customFormat="false" ht="15" hidden="false" customHeight="false" outlineLevel="0" collapsed="false">
      <c r="B66" s="4" t="s">
        <v>8419</v>
      </c>
      <c r="H66" s="56" t="n">
        <v>0.015</v>
      </c>
    </row>
    <row r="67" customFormat="false" ht="15" hidden="false" customHeight="false" outlineLevel="0" collapsed="false">
      <c r="B67" s="4" t="s">
        <v>8420</v>
      </c>
      <c r="H67" s="56" t="n">
        <v>0.009</v>
      </c>
    </row>
    <row r="68" customFormat="false" ht="15" hidden="false" customHeight="false" outlineLevel="0" collapsed="false">
      <c r="B68" s="4" t="s">
        <v>8421</v>
      </c>
      <c r="H68" s="56" t="n">
        <v>0.02</v>
      </c>
    </row>
    <row r="69" customFormat="false" ht="15" hidden="false" customHeight="false" outlineLevel="0" collapsed="false">
      <c r="B69" s="4" t="s">
        <v>8422</v>
      </c>
      <c r="H69" s="56" t="n">
        <v>0.0266</v>
      </c>
    </row>
    <row r="70" customFormat="false" ht="15" hidden="false" customHeight="false" outlineLevel="0" collapsed="false">
      <c r="B70" s="4" t="s">
        <v>8423</v>
      </c>
      <c r="H70" s="56" t="n">
        <v>0.01</v>
      </c>
    </row>
    <row r="71" customFormat="false" ht="15" hidden="false" customHeight="false" outlineLevel="0" collapsed="false">
      <c r="B71" s="4" t="s">
        <v>8424</v>
      </c>
      <c r="H71" s="56" t="n">
        <v>0.0079</v>
      </c>
    </row>
    <row r="72" customFormat="false" ht="15" hidden="false" customHeight="false" outlineLevel="0" collapsed="false">
      <c r="B72" s="4" t="s">
        <v>8425</v>
      </c>
      <c r="H72" s="56" t="n">
        <v>0.01</v>
      </c>
    </row>
    <row r="73" customFormat="false" ht="15" hidden="false" customHeight="false" outlineLevel="0" collapsed="false">
      <c r="B73" s="4" t="s">
        <v>8426</v>
      </c>
      <c r="H73" s="56" t="n">
        <v>0.0121</v>
      </c>
    </row>
    <row r="74" customFormat="false" ht="15" hidden="false" customHeight="false" outlineLevel="0" collapsed="false">
      <c r="B74" s="4" t="s">
        <v>8427</v>
      </c>
      <c r="H74" s="56" t="n">
        <v>0.004</v>
      </c>
    </row>
    <row r="75" customFormat="false" ht="15" hidden="false" customHeight="false" outlineLevel="0" collapsed="false">
      <c r="B75" s="4" t="s">
        <v>8428</v>
      </c>
      <c r="H75" s="56" t="n">
        <v>0.007</v>
      </c>
    </row>
    <row r="76" customFormat="false" ht="15" hidden="false" customHeight="false" outlineLevel="0" collapsed="false">
      <c r="B76" s="4" t="s">
        <v>8429</v>
      </c>
      <c r="H76" s="56" t="n">
        <v>0.009</v>
      </c>
    </row>
    <row r="77" customFormat="false" ht="15" hidden="false" customHeight="false" outlineLevel="0" collapsed="false">
      <c r="B77" s="32" t="s">
        <v>8430</v>
      </c>
      <c r="H77" s="66" t="n">
        <f aca="false">MEDIAN(H66:H76)</f>
        <v>0.01</v>
      </c>
    </row>
    <row r="79" customFormat="false" ht="15" hidden="false" customHeight="false" outlineLevel="0" collapsed="false">
      <c r="B79" s="7" t="s">
        <v>8431</v>
      </c>
    </row>
    <row r="80" customFormat="false" ht="15" hidden="false" customHeight="false" outlineLevel="0" collapsed="false">
      <c r="B80" s="4" t="s">
        <v>8432</v>
      </c>
      <c r="H80" s="67" t="n">
        <v>2.77</v>
      </c>
    </row>
    <row r="81" customFormat="false" ht="15" hidden="false" customHeight="false" outlineLevel="0" collapsed="false">
      <c r="B81" s="4" t="s">
        <v>8433</v>
      </c>
      <c r="H81" s="67" t="n">
        <v>9.15</v>
      </c>
    </row>
    <row r="82" customFormat="false" ht="15" hidden="false" customHeight="false" outlineLevel="0" collapsed="false">
      <c r="B82" s="4" t="s">
        <v>8434</v>
      </c>
      <c r="H82" s="67" t="n">
        <v>11.92</v>
      </c>
    </row>
    <row r="83" customFormat="false" ht="15" hidden="false" customHeight="false" outlineLevel="0" collapsed="false">
      <c r="B83" s="4" t="s">
        <v>8435</v>
      </c>
      <c r="H83" s="67" t="n">
        <v>1.5</v>
      </c>
    </row>
    <row r="84" customFormat="false" ht="15" hidden="false" customHeight="false" outlineLevel="0" collapsed="false">
      <c r="B84" s="4" t="s">
        <v>8436</v>
      </c>
      <c r="H84" s="67" t="n">
        <v>20</v>
      </c>
    </row>
    <row r="85" customFormat="false" ht="15" hidden="false" customHeight="false" outlineLevel="0" collapsed="false">
      <c r="B85" s="4" t="s">
        <v>8437</v>
      </c>
      <c r="H85" s="67" t="n">
        <v>30</v>
      </c>
    </row>
    <row r="86" customFormat="false" ht="15" hidden="false" customHeight="false" outlineLevel="0" collapsed="false">
      <c r="B86" s="4" t="s">
        <v>8438</v>
      </c>
      <c r="H86" s="67" t="n">
        <v>60</v>
      </c>
    </row>
    <row r="87" customFormat="false" ht="15" hidden="false" customHeight="false" outlineLevel="0" collapsed="false">
      <c r="B87" s="4" t="s">
        <v>8439</v>
      </c>
      <c r="H87" s="67" t="n">
        <v>1.53</v>
      </c>
    </row>
    <row r="88" customFormat="false" ht="15" hidden="false" customHeight="false" outlineLevel="0" collapsed="false">
      <c r="B88" s="4" t="s">
        <v>8440</v>
      </c>
      <c r="H88" s="67" t="n">
        <v>0.69</v>
      </c>
    </row>
    <row r="89" customFormat="false" ht="15" hidden="false" customHeight="false" outlineLevel="0" collapsed="false">
      <c r="B89" s="4" t="s">
        <v>8441</v>
      </c>
      <c r="H89" s="67" t="n">
        <v>0.55</v>
      </c>
    </row>
    <row r="90" customFormat="false" ht="15" hidden="false" customHeight="false" outlineLevel="0" collapsed="false">
      <c r="B90" s="4" t="s">
        <v>8442</v>
      </c>
      <c r="H90" s="67" t="n">
        <v>0.78</v>
      </c>
    </row>
    <row r="91" customFormat="false" ht="15" hidden="false" customHeight="false" outlineLevel="0" collapsed="false">
      <c r="B91" s="4" t="s">
        <v>8443</v>
      </c>
      <c r="H91" s="67" t="n">
        <v>2.14</v>
      </c>
    </row>
    <row r="92" customFormat="false" ht="15" hidden="false" customHeight="false" outlineLevel="0" collapsed="false">
      <c r="B92" s="4" t="s">
        <v>8444</v>
      </c>
      <c r="H92" s="67" t="n">
        <v>1.69</v>
      </c>
    </row>
    <row r="94" customFormat="false" ht="15" hidden="false" customHeight="false" outlineLevel="0" collapsed="false">
      <c r="B94" s="26" t="s">
        <v>8445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2026-10-02T20:32:43Z</dcterms:created>
  <dc:creator>SPOT</dc:creator>
  <dc:description/>
  <dc:language>en-US</dc:language>
  <cp:lastModifiedBy>SPOT</cp:lastModifiedBy>
  <dcterms:modified xsi:type="dcterms:W3CDTF">2026-10-02T20:32:45Z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