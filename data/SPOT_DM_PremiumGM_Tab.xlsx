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M Premium GM" sheetId="1" state="visible" r:id="rId3"/>
    <sheet name="RPM" sheetId="2" state="visible" r:id="rId4"/>
    <sheet name="Valuation" sheetId="3" state="visible" r:id="rId5"/>
    <sheet name="DM Inpu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<sst xmlns="http://schemas.openxmlformats.org/spreadsheetml/2006/main" count="78" uniqueCount="68">
  <si>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 xml:space="preserve">Discovery Mode: Premium Gross Margin Build</t>
  </si>
  <si>
    <t xml:space="preserve">FY'25</t>
  </si>
  <si>
    <t xml:space="preserve">FY'26E</t>
  </si>
  <si>
    <t xml:space="preserve">FY'27E</t>
  </si>
  <si>
    <t xml:space="preserve">FY'28E</t>
  </si>
  <si>
    <t xml:space="preserve">FY'29E</t>
  </si>
  <si>
    <t xml:space="preserve">FY'30E</t>
  </si>
  <si>
    <t xml:space="preserve">Notes</t>
  </si>
  <si>
    <t xml:space="preserve">€ in millions unless stated.  Premium revenue from the RPM; the normal label royalty rate is cut by 30% on the share of premium streams that are Discovery Mode streams (e x s); the royalty pool after the haircut over premium revenue, plus other premium cost of revenue, gives premium gross margin.</t>
  </si>
  <si>
    <t xml:space="preserve">A. Premium revenue (RPM)</t>
  </si>
  <si>
    <t xml:space="preserve">Premium revenue</t>
  </si>
  <si>
    <t xml:space="preserve">RPM row 55 (FY'25 actual; FY'26-FY'30 projection, case-driven through the RPM assumptions).</t>
  </si>
  <si>
    <t xml:space="preserve">   Total revenue (memo)</t>
  </si>
  <si>
    <t xml:space="preserve">   % y/y premium revenue growth</t>
  </si>
  <si>
    <t xml:space="preserve">B. Normal royalty rate (before Discovery Mode)</t>
  </si>
  <si>
    <t xml:space="preserve">Label and publisher royalties, % of premium revenue, before Discovery Mode</t>
  </si>
  <si>
    <t xml:space="preserve">Input. Calibration: Loud &amp; Clear puts music royalties at €10.1bn in 2025 (58.8% of total revenue); the premium tier carries a higher rate than the ad tier. 61% leaves ~8% of premium revenue for other cost of revenue at the reported 34% premium gross margin. Replace with the model's own royalty-rate line if one exists; held flat.</t>
  </si>
  <si>
    <t xml:space="preserve">C. Discovery Mode stream shares (FY'25 from DM Inputs; cases FY'26E-FY'27E as on DM Inputs; faded to flat by FY'30E)</t>
  </si>
  <si>
    <t xml:space="preserve">Fade factor: share of the FY'27E increment added in each later year</t>
  </si>
  <si>
    <t xml:space="preserve">Linear fade: FY'28E adds two thirds of the FY'27E step, FY'29E one third, FY'30E nothing, so both shares are flat by FY'30E. Set all three to 0 for flat from FY'28E, or to 1 to keep the FY'27E step going.</t>
  </si>
  <si>
    <t xml:space="preserve">e: % of premium streams served in DM-eligible contexts (Radio, Autoplay, Mixes)</t>
  </si>
  <si>
    <t xml:space="preserve">FY'25 links to DM Inputs D30. Bear/Base/Bull FY'26E-FY'27E are the levels on DM Inputs rows 32-34 (typed here so the tab does not depend on that tab's layout). Active row follows Valuation!C3 like the Assumptions tab.</t>
  </si>
  <si>
    <t xml:space="preserve">Bear</t>
  </si>
  <si>
    <t xml:space="preserve">Base</t>
  </si>
  <si>
    <t xml:space="preserve">Bull</t>
  </si>
  <si>
    <t xml:space="preserve">s: % of DM-eligible-context streams that are Discovery Mode streams</t>
  </si>
  <si>
    <t xml:space="preserve">FY'25 links to DM Inputs D35 (burner-account sampling). Bear/Base/Bull FY'26E-FY'27E from DM Inputs rows 37-39.</t>
  </si>
  <si>
    <t xml:space="preserve">e x s: Discovery Mode streams, % of premium streams</t>
  </si>
  <si>
    <t xml:space="preserve">The share of the royalty pool that takes the haircut.</t>
  </si>
  <si>
    <t xml:space="preserve">D. Royalty haircut</t>
  </si>
  <si>
    <t xml:space="preserve">Discovery Mode royalty haircut</t>
  </si>
  <si>
    <t xml:space="preserve">Program term: 30% lower royalty on streams served in DM contexts. Set a lower later-year value to model a claw-back at the major-label renewals.</t>
  </si>
  <si>
    <t xml:space="preserve">Royalty % after Discovery Mode haircut = normal royalty % x (1 - e x s x haircut)</t>
  </si>
  <si>
    <t xml:space="preserve">Royalty pool after haircut, €M = premium revenue x royalty % after haircut</t>
  </si>
  <si>
    <t xml:space="preserve">   Discovery Mode saving, €M = premium revenue x normal royalty % x e x s x haircut</t>
  </si>
  <si>
    <t xml:space="preserve">E. Premium gross margin</t>
  </si>
  <si>
    <t xml:space="preserve">Reported premium gross margin, FY'25 (calibration)</t>
  </si>
  <si>
    <t xml:space="preserve">20-F FY2025: Premium gross margin 34% (33% in FY'24). Used only to size other cost of revenue in FY'25.</t>
  </si>
  <si>
    <t xml:space="preserve">Other premium cost of revenue, % of premium revenue (payment fees, audiobook and podcast content, delivery)</t>
  </si>
  <si>
    <t xml:space="preserve">FY'25 is the plug that reproduces the reported 34%; held flat after. Audiobook cost growth is modelled on the audiobook tabs: apply that bridge's y/y headwind on top of this margin rather than raising this line.</t>
  </si>
  <si>
    <t xml:space="preserve">Premium cost of revenue, €M = premium revenue x (royalty % after haircut + other %)</t>
  </si>
  <si>
    <t xml:space="preserve">Premium gross profit, €M</t>
  </si>
  <si>
    <t xml:space="preserve">Premium Gross Margin %</t>
  </si>
  <si>
    <t xml:space="preserve">Equals 1 - royalty % after haircut - other %. FY'25 reproduces the reported 34% by construction. Link the IS premium gross margin (or the Model gross-margin row, weighted with ad-supported) to this row.</t>
  </si>
  <si>
    <t xml:space="preserve">   y/y change, bp</t>
  </si>
  <si>
    <t xml:space="preserve">F. Memo: what Discovery Mode is worth inside that margin</t>
  </si>
  <si>
    <t xml:space="preserve">Premium gross margin with no Discovery Mode = 1 - normal royalty % - other %</t>
  </si>
  <si>
    <t xml:space="preserve">Discovery Mode contribution to premium gross margin, bp = normal royalty % x e x s x haircut</t>
  </si>
  <si>
    <t xml:space="preserve">   y/y change in the contribution, bp (what the fade does)</t>
  </si>
  <si>
    <t xml:space="preserve">Positive only while e x s is still rising; zero once the shares are flat, because the saving then grows exactly with premium revenue.</t>
  </si>
  <si>
    <t xml:space="preserve">Discovery Mode saving as % of total revenue, bp (consolidated-margin equivalent)</t>
  </si>
  <si>
    <t xml:space="preserve">G. Memo: consolidated gross margin (for the Model / RDCF gross-margin row)</t>
  </si>
  <si>
    <t xml:space="preserve">Ad-Supported gross margin (input; FY'25 from 20-F, held flat)</t>
  </si>
  <si>
    <t xml:space="preserve">FY'25 20-F: Ad-Supported gross profit €330M on €1,836M = 18%. Marquee and Showcase sit here. Replace with the model's own ad-supported build.</t>
  </si>
  <si>
    <t xml:space="preserve">Ad-Supported revenue (RPM row 56)</t>
  </si>
  <si>
    <t xml:space="preserve">Consolidated gross margin = (premium GP + ad-supported revenue x ad GM) / total revenue</t>
  </si>
  <si>
    <t xml:space="preserve">FY'25 reproduces ~32.3% vs 32.0% reported; the gap is rounding in the 34% and 18% segment margins.</t>
  </si>
  <si>
    <t xml:space="preserve">Colour key: blue = hard-coded input; light gold = case-driven cell, held-flat assumption or placeholder to link to the model; yellow = output row; black = formula. Case rows under each lever follow Valuation!C3 like the Assumptions tab.</t>
  </si>
  <si>
    <t xml:space="preserve">STUB: mirrors RPM rows 2/55/56/58 for the FY columns. Delete after pasting the tab into the model.</t>
  </si>
  <si>
    <t xml:space="preserve">Premium Revenue</t>
  </si>
  <si>
    <t xml:space="preserve">Ad-Supported Revenue (Free Tier)</t>
  </si>
  <si>
    <t xml:space="preserve">Total Revenue</t>
  </si>
  <si>
    <t xml:space="preserve">Case Selector</t>
  </si>
  <si>
    <t xml:space="preserve">Toggle</t>
  </si>
  <si>
    <t xml:space="preserve">STUB: mirrors Valuation!C3. Delete after pasting.</t>
  </si>
  <si>
    <t xml:space="preserve">STUB: mirrors DM Inputs D30 and D35. Delete after pasting.</t>
  </si>
  <si>
    <t xml:space="preserve">e: share of all streams served from DM-eligible surfaces</t>
  </si>
  <si>
    <t xml:space="preserve">s: enrolled share of eligible-surface streams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</si>
</sst>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_);\(#,##0\)"/>
    <numFmt numFmtId="166" formatCode="0.0%"/>
    <numFmt numFmtId="167" formatCode="0.00"/>
    <numFmt numFmtId="168" formatCode="0%"/>
    <numFmt numFmtId="169" formatCode="0.00%"/>
    <numFmt numFmtId="170" formatCode="0_);\(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70C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.9"/>
    <col collapsed="false" customWidth="true" hidden="false" outlineLevel="0" max="2" min="2" style="0" width="62"/>
    <col collapsed="false" customWidth="true" hidden="false" outlineLevel="0" max="8" min="3" style="0" width="13"/>
    <col collapsed="false" customWidth="true" hidden="false" outlineLevel="0" max="9" min="9" style="0" width="78"/>
  </cols>
  <sheetData>
    <row r="2" customFormat="false" ht="15" hidden="false" customHeight="false" outlineLevel="0" collapsed="false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 t="s">
        <v>7</v>
      </c>
    </row>
    <row r="3" customFormat="false" ht="15" hidden="false" customHeight="false" outlineLevel="0" collapsed="false"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B4" s="4" t="s">
        <v>8</v>
      </c>
    </row>
    <row r="6" customFormat="false" ht="15" hidden="false" customHeight="false" outlineLevel="0" collapsed="false">
      <c r="B6" s="5" t="s">
        <v>9</v>
      </c>
    </row>
    <row r="7" customFormat="false" ht="28.35" hidden="false" customHeight="false" outlineLevel="0" collapsed="false">
      <c r="B7" s="6" t="s">
        <v>10</v>
      </c>
      <c r="C7" s="7" t="n">
        <f aca="false">RPM!Q55</f>
        <v>15350</v>
      </c>
      <c r="D7" s="7" t="n">
        <f aca="false">RPM!V55</f>
        <v>17502</v>
      </c>
      <c r="E7" s="7" t="n">
        <f aca="false">RPM!AA55</f>
        <v>18991</v>
      </c>
      <c r="F7" s="7" t="n">
        <f aca="false">RPM!AB55</f>
        <v>20723</v>
      </c>
      <c r="G7" s="7" t="n">
        <f aca="false">RPM!AC55</f>
        <v>22331</v>
      </c>
      <c r="H7" s="7" t="n">
        <f aca="false">RPM!AD55</f>
        <v>23581</v>
      </c>
      <c r="I7" s="8" t="s">
        <v>11</v>
      </c>
    </row>
    <row r="8" customFormat="false" ht="15" hidden="false" customHeight="false" outlineLevel="0" collapsed="false">
      <c r="B8" s="9" t="s">
        <v>12</v>
      </c>
      <c r="C8" s="7" t="n">
        <f aca="false">RPM!Q58</f>
        <v>17186</v>
      </c>
      <c r="D8" s="7" t="n">
        <f aca="false">RPM!V58</f>
        <v>19410</v>
      </c>
      <c r="E8" s="7" t="n">
        <f aca="false">RPM!AA58</f>
        <v>21175</v>
      </c>
      <c r="F8" s="7" t="n">
        <f aca="false">RPM!AB58</f>
        <v>23169</v>
      </c>
      <c r="G8" s="7" t="n">
        <f aca="false">RPM!AC58</f>
        <v>25017</v>
      </c>
      <c r="H8" s="7" t="n">
        <f aca="false">RPM!AD58</f>
        <v>26482</v>
      </c>
    </row>
    <row r="9" customFormat="false" ht="15" hidden="false" customHeight="false" outlineLevel="0" collapsed="false">
      <c r="B9" s="9" t="s">
        <v>13</v>
      </c>
      <c r="D9" s="10" t="n">
        <f aca="false">D7/C7-1</f>
        <v>0.140195439739414</v>
      </c>
      <c r="E9" s="10" t="n">
        <f aca="false">E7/D7-1</f>
        <v>0.0850759913152783</v>
      </c>
      <c r="F9" s="10" t="n">
        <f aca="false">F7/E7-1</f>
        <v>0.0912010952556475</v>
      </c>
      <c r="G9" s="10" t="n">
        <f aca="false">G7/F7-1</f>
        <v>0.0775949428171596</v>
      </c>
      <c r="H9" s="10" t="n">
        <f aca="false">H7/G7-1</f>
        <v>0.0559759974922753</v>
      </c>
    </row>
    <row r="11" customFormat="false" ht="15" hidden="false" customHeight="false" outlineLevel="0" collapsed="false">
      <c r="B11" s="5" t="s">
        <v>14</v>
      </c>
    </row>
    <row r="12" customFormat="false" ht="55.2" hidden="false" customHeight="false" outlineLevel="0" collapsed="false">
      <c r="B12" s="6" t="s">
        <v>15</v>
      </c>
      <c r="C12" s="11" t="n">
        <v>0.61</v>
      </c>
      <c r="D12" s="12" t="n">
        <f aca="false">C12</f>
        <v>0.61</v>
      </c>
      <c r="E12" s="12" t="n">
        <f aca="false">D12</f>
        <v>0.61</v>
      </c>
      <c r="F12" s="12" t="n">
        <f aca="false">E12</f>
        <v>0.61</v>
      </c>
      <c r="G12" s="12" t="n">
        <f aca="false">F12</f>
        <v>0.61</v>
      </c>
      <c r="H12" s="12" t="n">
        <f aca="false">G12</f>
        <v>0.61</v>
      </c>
      <c r="I12" s="8" t="s">
        <v>16</v>
      </c>
    </row>
    <row r="14" customFormat="false" ht="15" hidden="false" customHeight="false" outlineLevel="0" collapsed="false">
      <c r="B14" s="5" t="s">
        <v>17</v>
      </c>
    </row>
    <row r="15" customFormat="false" ht="41.75" hidden="false" customHeight="false" outlineLevel="0" collapsed="false">
      <c r="B15" s="6" t="s">
        <v>18</v>
      </c>
      <c r="F15" s="13" t="n">
        <v>0.667</v>
      </c>
      <c r="G15" s="13" t="n">
        <v>0.333</v>
      </c>
      <c r="H15" s="13" t="n">
        <v>0</v>
      </c>
      <c r="I15" s="8" t="s">
        <v>19</v>
      </c>
    </row>
    <row r="16" customFormat="false" ht="41.75" hidden="false" customHeight="false" outlineLevel="0" collapsed="false">
      <c r="B16" s="6" t="s">
        <v>20</v>
      </c>
      <c r="C16" s="10" t="n">
        <f aca="false">'DM Inputs'!D30</f>
        <v>0.512</v>
      </c>
      <c r="D16" s="12" t="n">
        <f aca="false">CHOOSE(MATCH(Valuation!$C$3, {"Bear","Base","Bull"}, 0), D17, D18, D19)</f>
        <v>0.52</v>
      </c>
      <c r="E16" s="12" t="n">
        <f aca="false">CHOOSE(MATCH(Valuation!$C$3, {"Bear","Base","Bull"}, 0), E17, E18, E19)</f>
        <v>0.525</v>
      </c>
      <c r="F16" s="12" t="n">
        <f aca="false">CHOOSE(MATCH(Valuation!$C$3, {"Bear","Base","Bull"}, 0), F17, F18, F19)</f>
        <v>0.528335</v>
      </c>
      <c r="G16" s="12" t="n">
        <f aca="false">CHOOSE(MATCH(Valuation!$C$3, {"Bear","Base","Bull"}, 0), G17, G18, G19)</f>
        <v>0.53</v>
      </c>
      <c r="H16" s="12" t="n">
        <f aca="false">CHOOSE(MATCH(Valuation!$C$3, {"Bear","Base","Bull"}, 0), H17, H18, H19)</f>
        <v>0.53</v>
      </c>
      <c r="I16" s="8" t="s">
        <v>21</v>
      </c>
    </row>
    <row r="17" customFormat="false" ht="15" hidden="false" customHeight="false" outlineLevel="0" collapsed="false">
      <c r="B17" s="14" t="s">
        <v>22</v>
      </c>
      <c r="C17" s="10" t="n">
        <f aca="false">C16</f>
        <v>0.512</v>
      </c>
      <c r="D17" s="11" t="n">
        <v>0.515</v>
      </c>
      <c r="E17" s="11" t="n">
        <v>0.52</v>
      </c>
      <c r="F17" s="10" t="n">
        <f aca="false">E17+(E17-D17)*F$15</f>
        <v>0.523335</v>
      </c>
      <c r="G17" s="10" t="n">
        <f aca="false">F17+(E17-D17)*G$15</f>
        <v>0.525</v>
      </c>
      <c r="H17" s="10" t="n">
        <f aca="false">G17+(E17-D17)*H$15</f>
        <v>0.525</v>
      </c>
    </row>
    <row r="18" customFormat="false" ht="15" hidden="false" customHeight="false" outlineLevel="0" collapsed="false">
      <c r="B18" s="15" t="s">
        <v>23</v>
      </c>
      <c r="C18" s="10" t="n">
        <f aca="false">C16</f>
        <v>0.512</v>
      </c>
      <c r="D18" s="11" t="n">
        <v>0.52</v>
      </c>
      <c r="E18" s="11" t="n">
        <v>0.525</v>
      </c>
      <c r="F18" s="10" t="n">
        <f aca="false">E18+(E18-D18)*F$15</f>
        <v>0.528335</v>
      </c>
      <c r="G18" s="10" t="n">
        <f aca="false">F18+(E18-D18)*G$15</f>
        <v>0.53</v>
      </c>
      <c r="H18" s="10" t="n">
        <f aca="false">G18+(E18-D18)*H$15</f>
        <v>0.53</v>
      </c>
    </row>
    <row r="19" customFormat="false" ht="15" hidden="false" customHeight="false" outlineLevel="0" collapsed="false">
      <c r="B19" s="16" t="s">
        <v>24</v>
      </c>
      <c r="C19" s="10" t="n">
        <f aca="false">C16</f>
        <v>0.512</v>
      </c>
      <c r="D19" s="11" t="n">
        <v>0.525</v>
      </c>
      <c r="E19" s="11" t="n">
        <v>0.53</v>
      </c>
      <c r="F19" s="10" t="n">
        <f aca="false">E19+(E19-D19)*F$15</f>
        <v>0.533335</v>
      </c>
      <c r="G19" s="10" t="n">
        <f aca="false">F19+(E19-D19)*G$15</f>
        <v>0.535</v>
      </c>
      <c r="H19" s="10" t="n">
        <f aca="false">G19+(E19-D19)*H$15</f>
        <v>0.535</v>
      </c>
    </row>
    <row r="20" customFormat="false" ht="28.35" hidden="false" customHeight="false" outlineLevel="0" collapsed="false">
      <c r="B20" s="6" t="s">
        <v>25</v>
      </c>
      <c r="C20" s="10" t="n">
        <f aca="false">'DM Inputs'!D35</f>
        <v>0.33</v>
      </c>
      <c r="D20" s="12" t="n">
        <f aca="false">CHOOSE(MATCH(Valuation!$C$3, {"Bear","Base","Bull"}, 0), D21, D22, D23)</f>
        <v>0.33</v>
      </c>
      <c r="E20" s="12" t="n">
        <f aca="false">CHOOSE(MATCH(Valuation!$C$3, {"Bear","Base","Bull"}, 0), E21, E22, E23)</f>
        <v>0.335</v>
      </c>
      <c r="F20" s="12" t="n">
        <f aca="false">CHOOSE(MATCH(Valuation!$C$3, {"Bear","Base","Bull"}, 0), F21, F22, F23)</f>
        <v>0.338335</v>
      </c>
      <c r="G20" s="12" t="n">
        <f aca="false">CHOOSE(MATCH(Valuation!$C$3, {"Bear","Base","Bull"}, 0), G21, G22, G23)</f>
        <v>0.34</v>
      </c>
      <c r="H20" s="12" t="n">
        <f aca="false">CHOOSE(MATCH(Valuation!$C$3, {"Bear","Base","Bull"}, 0), H21, H22, H23)</f>
        <v>0.34</v>
      </c>
      <c r="I20" s="8" t="s">
        <v>26</v>
      </c>
    </row>
    <row r="21" customFormat="false" ht="15" hidden="false" customHeight="false" outlineLevel="0" collapsed="false">
      <c r="B21" s="14" t="s">
        <v>22</v>
      </c>
      <c r="C21" s="10" t="n">
        <f aca="false">C20</f>
        <v>0.33</v>
      </c>
      <c r="D21" s="11" t="n">
        <v>0.32</v>
      </c>
      <c r="E21" s="11" t="n">
        <v>0.32</v>
      </c>
      <c r="F21" s="10" t="n">
        <f aca="false">E21+(E21-D21)*F$15</f>
        <v>0.32</v>
      </c>
      <c r="G21" s="10" t="n">
        <f aca="false">F21+(E21-D21)*G$15</f>
        <v>0.32</v>
      </c>
      <c r="H21" s="10" t="n">
        <f aca="false">G21+(E21-D21)*H$15</f>
        <v>0.32</v>
      </c>
    </row>
    <row r="22" customFormat="false" ht="15" hidden="false" customHeight="false" outlineLevel="0" collapsed="false">
      <c r="B22" s="15" t="s">
        <v>23</v>
      </c>
      <c r="C22" s="10" t="n">
        <f aca="false">C20</f>
        <v>0.33</v>
      </c>
      <c r="D22" s="11" t="n">
        <v>0.33</v>
      </c>
      <c r="E22" s="11" t="n">
        <v>0.335</v>
      </c>
      <c r="F22" s="10" t="n">
        <f aca="false">E22+(E22-D22)*F$15</f>
        <v>0.338335</v>
      </c>
      <c r="G22" s="10" t="n">
        <f aca="false">F22+(E22-D22)*G$15</f>
        <v>0.34</v>
      </c>
      <c r="H22" s="10" t="n">
        <f aca="false">G22+(E22-D22)*H$15</f>
        <v>0.34</v>
      </c>
    </row>
    <row r="23" customFormat="false" ht="15" hidden="false" customHeight="false" outlineLevel="0" collapsed="false">
      <c r="B23" s="16" t="s">
        <v>24</v>
      </c>
      <c r="C23" s="10" t="n">
        <f aca="false">C20</f>
        <v>0.33</v>
      </c>
      <c r="D23" s="11" t="n">
        <v>0.34</v>
      </c>
      <c r="E23" s="11" t="n">
        <v>0.35</v>
      </c>
      <c r="F23" s="10" t="n">
        <f aca="false">E23+(E23-D23)*F$15</f>
        <v>0.35667</v>
      </c>
      <c r="G23" s="10" t="n">
        <f aca="false">F23+(E23-D23)*G$15</f>
        <v>0.36</v>
      </c>
      <c r="H23" s="10" t="n">
        <f aca="false">G23+(E23-D23)*H$15</f>
        <v>0.36</v>
      </c>
    </row>
    <row r="24" customFormat="false" ht="15" hidden="false" customHeight="false" outlineLevel="0" collapsed="false">
      <c r="B24" s="17" t="s">
        <v>27</v>
      </c>
      <c r="C24" s="18" t="n">
        <f aca="false">C16*C20</f>
        <v>0.16896</v>
      </c>
      <c r="D24" s="18" t="n">
        <f aca="false">D16*D20</f>
        <v>0.1716</v>
      </c>
      <c r="E24" s="18" t="n">
        <f aca="false">E16*E20</f>
        <v>0.175875</v>
      </c>
      <c r="F24" s="18" t="n">
        <f aca="false">F16*F20</f>
        <v>0.178754222225</v>
      </c>
      <c r="G24" s="18" t="n">
        <f aca="false">G16*G20</f>
        <v>0.1802</v>
      </c>
      <c r="H24" s="18" t="n">
        <f aca="false">H16*H20</f>
        <v>0.1802</v>
      </c>
      <c r="I24" s="8" t="s">
        <v>28</v>
      </c>
    </row>
    <row r="26" customFormat="false" ht="15" hidden="false" customHeight="false" outlineLevel="0" collapsed="false">
      <c r="B26" s="5" t="s">
        <v>29</v>
      </c>
    </row>
    <row r="27" customFormat="false" ht="28.35" hidden="false" customHeight="false" outlineLevel="0" collapsed="false">
      <c r="B27" s="6" t="s">
        <v>30</v>
      </c>
      <c r="C27" s="19" t="n">
        <v>0.3</v>
      </c>
      <c r="D27" s="19" t="n">
        <v>0.3</v>
      </c>
      <c r="E27" s="19" t="n">
        <v>0.3</v>
      </c>
      <c r="F27" s="19" t="n">
        <v>0.3</v>
      </c>
      <c r="G27" s="19" t="n">
        <v>0.3</v>
      </c>
      <c r="H27" s="19" t="n">
        <v>0.3</v>
      </c>
      <c r="I27" s="8" t="s">
        <v>31</v>
      </c>
    </row>
    <row r="28" customFormat="false" ht="15" hidden="false" customHeight="false" outlineLevel="0" collapsed="false">
      <c r="B28" s="17" t="s">
        <v>32</v>
      </c>
      <c r="C28" s="20" t="n">
        <f aca="false">C12*(1-C24*C27)</f>
        <v>0.57908032</v>
      </c>
      <c r="D28" s="20" t="n">
        <f aca="false">D12*(1-D24*D27)</f>
        <v>0.5785972</v>
      </c>
      <c r="E28" s="20" t="n">
        <f aca="false">E12*(1-E24*E27)</f>
        <v>0.577814875</v>
      </c>
      <c r="F28" s="20" t="n">
        <f aca="false">F12*(1-F24*F27)</f>
        <v>0.577287977332825</v>
      </c>
      <c r="G28" s="20" t="n">
        <f aca="false">G12*(1-G24*G27)</f>
        <v>0.5770234</v>
      </c>
      <c r="H28" s="20" t="n">
        <f aca="false">H12*(1-H24*H27)</f>
        <v>0.5770234</v>
      </c>
    </row>
    <row r="29" customFormat="false" ht="15" hidden="false" customHeight="false" outlineLevel="0" collapsed="false">
      <c r="B29" s="6" t="s">
        <v>33</v>
      </c>
      <c r="C29" s="7" t="n">
        <f aca="false">C7*C28</f>
        <v>8888.882912</v>
      </c>
      <c r="D29" s="7" t="n">
        <f aca="false">D7*D28</f>
        <v>10126.6081944</v>
      </c>
      <c r="E29" s="7" t="n">
        <f aca="false">E7*E28</f>
        <v>10973.282291125</v>
      </c>
      <c r="F29" s="7" t="n">
        <f aca="false">F7*F28</f>
        <v>11963.1387542681</v>
      </c>
      <c r="G29" s="7" t="n">
        <f aca="false">G7*G28</f>
        <v>12885.5095454</v>
      </c>
      <c r="H29" s="7" t="n">
        <f aca="false">H7*H28</f>
        <v>13606.7887954</v>
      </c>
    </row>
    <row r="30" customFormat="false" ht="15" hidden="false" customHeight="false" outlineLevel="0" collapsed="false">
      <c r="B30" s="9" t="s">
        <v>34</v>
      </c>
      <c r="C30" s="7" t="n">
        <f aca="false">C7*C12*C24*C27</f>
        <v>474.617088</v>
      </c>
      <c r="D30" s="7" t="n">
        <f aca="false">D7*D12*D24*D27</f>
        <v>549.6118056</v>
      </c>
      <c r="E30" s="7" t="n">
        <f aca="false">E7*E12*E24*E27</f>
        <v>611.227708875</v>
      </c>
      <c r="F30" s="7" t="n">
        <f aca="false">F7*F12*F24*F27</f>
        <v>677.891245731868</v>
      </c>
      <c r="G30" s="7" t="n">
        <f aca="false">G7*G12*G24*G27</f>
        <v>736.4004546</v>
      </c>
      <c r="H30" s="7" t="n">
        <f aca="false">H7*H12*H24*H27</f>
        <v>777.6212046</v>
      </c>
    </row>
    <row r="32" customFormat="false" ht="15" hidden="false" customHeight="false" outlineLevel="0" collapsed="false">
      <c r="B32" s="5" t="s">
        <v>35</v>
      </c>
    </row>
    <row r="33" customFormat="false" ht="28.35" hidden="false" customHeight="false" outlineLevel="0" collapsed="false">
      <c r="B33" s="6" t="s">
        <v>36</v>
      </c>
      <c r="C33" s="11" t="n">
        <v>0.34</v>
      </c>
      <c r="I33" s="8" t="s">
        <v>37</v>
      </c>
    </row>
    <row r="34" customFormat="false" ht="41.75" hidden="false" customHeight="false" outlineLevel="0" collapsed="false">
      <c r="B34" s="6" t="s">
        <v>38</v>
      </c>
      <c r="C34" s="21" t="n">
        <f aca="false">1-C33-C28</f>
        <v>0.0809196799999999</v>
      </c>
      <c r="D34" s="22" t="n">
        <f aca="false">C34</f>
        <v>0.0809196799999999</v>
      </c>
      <c r="E34" s="22" t="n">
        <f aca="false">D34</f>
        <v>0.0809196799999999</v>
      </c>
      <c r="F34" s="22" t="n">
        <f aca="false">E34</f>
        <v>0.0809196799999999</v>
      </c>
      <c r="G34" s="22" t="n">
        <f aca="false">F34</f>
        <v>0.0809196799999999</v>
      </c>
      <c r="H34" s="22" t="n">
        <f aca="false">G34</f>
        <v>0.0809196799999999</v>
      </c>
      <c r="I34" s="8" t="s">
        <v>39</v>
      </c>
    </row>
    <row r="35" customFormat="false" ht="15" hidden="false" customHeight="false" outlineLevel="0" collapsed="false">
      <c r="B35" s="6" t="s">
        <v>40</v>
      </c>
      <c r="C35" s="7" t="n">
        <f aca="false">C7*(C28+C34)</f>
        <v>10131</v>
      </c>
      <c r="D35" s="7" t="n">
        <f aca="false">D7*(D28+D34)</f>
        <v>11542.86443376</v>
      </c>
      <c r="E35" s="7" t="n">
        <f aca="false">E7*(E28+E34)</f>
        <v>12510.027934005</v>
      </c>
      <c r="F35" s="7" t="n">
        <f aca="false">F7*(F28+F34)</f>
        <v>13640.0372829081</v>
      </c>
      <c r="G35" s="7" t="n">
        <f aca="false">G7*(G28+G34)</f>
        <v>14692.52691948</v>
      </c>
      <c r="H35" s="7" t="n">
        <f aca="false">H7*(H28+H34)</f>
        <v>15514.95576948</v>
      </c>
    </row>
    <row r="36" customFormat="false" ht="15" hidden="false" customHeight="false" outlineLevel="0" collapsed="false">
      <c r="B36" s="6" t="s">
        <v>41</v>
      </c>
      <c r="C36" s="7" t="n">
        <f aca="false">C7-C35</f>
        <v>5219</v>
      </c>
      <c r="D36" s="7" t="n">
        <f aca="false">D7-D35</f>
        <v>5959.13556624</v>
      </c>
      <c r="E36" s="7" t="n">
        <f aca="false">E7-E35</f>
        <v>6480.972065995</v>
      </c>
      <c r="F36" s="7" t="n">
        <f aca="false">F7-F35</f>
        <v>7082.96271709187</v>
      </c>
      <c r="G36" s="7" t="n">
        <f aca="false">G7-G35</f>
        <v>7638.47308052</v>
      </c>
      <c r="H36" s="7" t="n">
        <f aca="false">H7-H35</f>
        <v>8066.04423052</v>
      </c>
    </row>
    <row r="37" customFormat="false" ht="41.75" hidden="false" customHeight="false" outlineLevel="0" collapsed="false">
      <c r="B37" s="23" t="s">
        <v>42</v>
      </c>
      <c r="C37" s="24" t="n">
        <f aca="false">C36/C7</f>
        <v>0.34</v>
      </c>
      <c r="D37" s="24" t="n">
        <f aca="false">D36/D7</f>
        <v>0.34048312</v>
      </c>
      <c r="E37" s="24" t="n">
        <f aca="false">E36/E7</f>
        <v>0.341265445</v>
      </c>
      <c r="F37" s="24" t="n">
        <f aca="false">F36/F7</f>
        <v>0.341792342667175</v>
      </c>
      <c r="G37" s="24" t="n">
        <f aca="false">G36/G7</f>
        <v>0.34205692</v>
      </c>
      <c r="H37" s="24" t="n">
        <f aca="false">H36/H7</f>
        <v>0.34205692</v>
      </c>
      <c r="I37" s="8" t="s">
        <v>43</v>
      </c>
    </row>
    <row r="38" customFormat="false" ht="15" hidden="false" customHeight="false" outlineLevel="0" collapsed="false">
      <c r="B38" s="9" t="s">
        <v>44</v>
      </c>
      <c r="D38" s="25" t="n">
        <f aca="false">(D37-C37)*10000</f>
        <v>4.83119999999893</v>
      </c>
      <c r="E38" s="25" t="n">
        <f aca="false">(E37-D37)*10000</f>
        <v>7.82325000000084</v>
      </c>
      <c r="F38" s="25" t="n">
        <f aca="false">(F37-E37)*10000</f>
        <v>5.26897667174953</v>
      </c>
      <c r="G38" s="25" t="n">
        <f aca="false">(G37-F37)*10000</f>
        <v>2.64577332824978</v>
      </c>
      <c r="H38" s="25" t="n">
        <f aca="false">(H37-G37)*10000</f>
        <v>0</v>
      </c>
    </row>
    <row r="40" customFormat="false" ht="15" hidden="false" customHeight="false" outlineLevel="0" collapsed="false">
      <c r="B40" s="5" t="s">
        <v>45</v>
      </c>
    </row>
    <row r="41" customFormat="false" ht="15" hidden="false" customHeight="false" outlineLevel="0" collapsed="false">
      <c r="B41" s="6" t="s">
        <v>46</v>
      </c>
      <c r="C41" s="10" t="n">
        <f aca="false">1-C12-C34</f>
        <v>0.30908032</v>
      </c>
      <c r="D41" s="10" t="n">
        <f aca="false">1-D12-D34</f>
        <v>0.30908032</v>
      </c>
      <c r="E41" s="10" t="n">
        <f aca="false">1-E12-E34</f>
        <v>0.30908032</v>
      </c>
      <c r="F41" s="10" t="n">
        <f aca="false">1-F12-F34</f>
        <v>0.30908032</v>
      </c>
      <c r="G41" s="10" t="n">
        <f aca="false">1-G12-G34</f>
        <v>0.30908032</v>
      </c>
      <c r="H41" s="10" t="n">
        <f aca="false">1-H12-H34</f>
        <v>0.30908032</v>
      </c>
    </row>
    <row r="42" customFormat="false" ht="15" hidden="false" customHeight="false" outlineLevel="0" collapsed="false">
      <c r="B42" s="5" t="s">
        <v>47</v>
      </c>
      <c r="C42" s="26" t="n">
        <f aca="false">(C37-C41)*10000</f>
        <v>309.196800000001</v>
      </c>
      <c r="D42" s="26" t="n">
        <f aca="false">(D37-D41)*10000</f>
        <v>314.028</v>
      </c>
      <c r="E42" s="26" t="n">
        <f aca="false">(E37-E41)*10000</f>
        <v>321.85125</v>
      </c>
      <c r="F42" s="26" t="n">
        <f aca="false">(F37-F41)*10000</f>
        <v>327.12022667175</v>
      </c>
      <c r="G42" s="26" t="n">
        <f aca="false">(G37-G41)*10000</f>
        <v>329.766</v>
      </c>
      <c r="H42" s="26" t="n">
        <f aca="false">(H37-H41)*10000</f>
        <v>329.766000000001</v>
      </c>
    </row>
    <row r="43" customFormat="false" ht="28.35" hidden="false" customHeight="false" outlineLevel="0" collapsed="false">
      <c r="B43" s="9" t="s">
        <v>48</v>
      </c>
      <c r="D43" s="25" t="n">
        <f aca="false">D42-C42</f>
        <v>4.83119999999889</v>
      </c>
      <c r="E43" s="25" t="n">
        <f aca="false">E42-D42</f>
        <v>7.82325000000088</v>
      </c>
      <c r="F43" s="25" t="n">
        <f aca="false">F42-E42</f>
        <v>5.2689766717495</v>
      </c>
      <c r="G43" s="25" t="n">
        <f aca="false">G42-F42</f>
        <v>2.64577332824979</v>
      </c>
      <c r="H43" s="25" t="n">
        <f aca="false">H42-G42</f>
        <v>0</v>
      </c>
      <c r="I43" s="8" t="s">
        <v>49</v>
      </c>
    </row>
    <row r="44" customFormat="false" ht="15" hidden="false" customHeight="false" outlineLevel="0" collapsed="false">
      <c r="B44" s="9" t="s">
        <v>50</v>
      </c>
      <c r="C44" s="25" t="n">
        <f aca="false">C30/C8*10000</f>
        <v>276.164952868614</v>
      </c>
      <c r="D44" s="25" t="n">
        <f aca="false">D30/D8*10000</f>
        <v>283.159096136012</v>
      </c>
      <c r="E44" s="25" t="n">
        <f aca="false">E30/E8*10000</f>
        <v>288.655352479339</v>
      </c>
      <c r="F44" s="25" t="n">
        <f aca="false">F30/F8*10000</f>
        <v>292.585457176342</v>
      </c>
      <c r="G44" s="25" t="n">
        <f aca="false">G30/G8*10000</f>
        <v>294.360017028421</v>
      </c>
      <c r="H44" s="25" t="n">
        <f aca="false">H30/H8*10000</f>
        <v>293.641418548448</v>
      </c>
    </row>
    <row r="46" customFormat="false" ht="15" hidden="false" customHeight="false" outlineLevel="0" collapsed="false">
      <c r="B46" s="5" t="s">
        <v>51</v>
      </c>
    </row>
    <row r="47" customFormat="false" ht="28.35" hidden="false" customHeight="false" outlineLevel="0" collapsed="false">
      <c r="B47" s="6" t="s">
        <v>52</v>
      </c>
      <c r="C47" s="11" t="n">
        <v>0.18</v>
      </c>
      <c r="D47" s="12" t="n">
        <f aca="false">C47</f>
        <v>0.18</v>
      </c>
      <c r="E47" s="12" t="n">
        <f aca="false">D47</f>
        <v>0.18</v>
      </c>
      <c r="F47" s="12" t="n">
        <f aca="false">E47</f>
        <v>0.18</v>
      </c>
      <c r="G47" s="12" t="n">
        <f aca="false">F47</f>
        <v>0.18</v>
      </c>
      <c r="H47" s="12" t="n">
        <f aca="false">G47</f>
        <v>0.18</v>
      </c>
      <c r="I47" s="8" t="s">
        <v>53</v>
      </c>
    </row>
    <row r="48" customFormat="false" ht="15" hidden="false" customHeight="false" outlineLevel="0" collapsed="false">
      <c r="B48" s="6" t="s">
        <v>54</v>
      </c>
      <c r="C48" s="7" t="n">
        <f aca="false">RPM!Q56</f>
        <v>1836</v>
      </c>
      <c r="D48" s="7" t="n">
        <f aca="false">RPM!V56</f>
        <v>1908</v>
      </c>
      <c r="E48" s="7" t="n">
        <f aca="false">RPM!AA56</f>
        <v>2184</v>
      </c>
      <c r="F48" s="7" t="n">
        <f aca="false">RPM!AB56</f>
        <v>2446</v>
      </c>
      <c r="G48" s="7" t="n">
        <f aca="false">RPM!AC56</f>
        <v>2686</v>
      </c>
      <c r="H48" s="7" t="n">
        <f aca="false">RPM!AD56</f>
        <v>2901</v>
      </c>
    </row>
    <row r="49" customFormat="false" ht="28.35" hidden="false" customHeight="false" outlineLevel="0" collapsed="false">
      <c r="B49" s="17" t="s">
        <v>55</v>
      </c>
      <c r="C49" s="18" t="n">
        <f aca="false">(C36+C48*C47)/C8</f>
        <v>0.322907017339695</v>
      </c>
      <c r="D49" s="18" t="n">
        <f aca="false">(D36+D48*D47)/D8</f>
        <v>0.324707654108192</v>
      </c>
      <c r="E49" s="18" t="n">
        <f aca="false">(E36+E48*E47)/E8</f>
        <v>0.324632447036364</v>
      </c>
      <c r="F49" s="18" t="n">
        <f aca="false">(F36+F48*F47)/F8</f>
        <v>0.324711585182436</v>
      </c>
      <c r="G49" s="18" t="n">
        <f aca="false">(G36+G48*G47)/G8</f>
        <v>0.324657356218571</v>
      </c>
      <c r="H49" s="18" t="n">
        <f aca="false">(H36+H48*H47)/H8</f>
        <v>0.3243042153357</v>
      </c>
      <c r="I49" s="8" t="s">
        <v>56</v>
      </c>
    </row>
    <row r="51" customFormat="false" ht="15" hidden="false" customHeight="false" outlineLevel="0" collapsed="false">
      <c r="B51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60"/>
  </cols>
  <sheetData>
    <row r="2" customFormat="false" ht="15" hidden="false" customHeight="false" outlineLevel="0" collapsed="false">
      <c r="B2" s="4" t="s">
        <v>58</v>
      </c>
      <c r="Q2" s="4" t="s">
        <v>1</v>
      </c>
      <c r="V2" s="4" t="s">
        <v>2</v>
      </c>
      <c r="AA2" s="4" t="s">
        <v>3</v>
      </c>
      <c r="AB2" s="4" t="s">
        <v>4</v>
      </c>
      <c r="AC2" s="4" t="s">
        <v>5</v>
      </c>
      <c r="AD2" s="4" t="s">
        <v>6</v>
      </c>
    </row>
    <row r="55" customFormat="false" ht="15" hidden="false" customHeight="false" outlineLevel="0" collapsed="false">
      <c r="B55" s="4" t="s">
        <v>59</v>
      </c>
      <c r="Q55" s="27" t="n">
        <v>15350</v>
      </c>
      <c r="V55" s="27" t="n">
        <v>17502</v>
      </c>
      <c r="AA55" s="27" t="n">
        <v>18991</v>
      </c>
      <c r="AB55" s="27" t="n">
        <v>20723</v>
      </c>
      <c r="AC55" s="27" t="n">
        <v>22331</v>
      </c>
      <c r="AD55" s="27" t="n">
        <v>23581</v>
      </c>
    </row>
    <row r="56" customFormat="false" ht="15" hidden="false" customHeight="false" outlineLevel="0" collapsed="false">
      <c r="B56" s="4" t="s">
        <v>60</v>
      </c>
      <c r="Q56" s="27" t="n">
        <v>1836</v>
      </c>
      <c r="V56" s="27" t="n">
        <v>1908</v>
      </c>
      <c r="AA56" s="27" t="n">
        <v>2184</v>
      </c>
      <c r="AB56" s="27" t="n">
        <v>2446</v>
      </c>
      <c r="AC56" s="27" t="n">
        <v>2686</v>
      </c>
      <c r="AD56" s="27" t="n">
        <v>2901</v>
      </c>
    </row>
    <row r="58" customFormat="false" ht="15" hidden="false" customHeight="false" outlineLevel="0" collapsed="false">
      <c r="B58" s="4" t="s">
        <v>61</v>
      </c>
      <c r="Q58" s="27" t="n">
        <v>17186</v>
      </c>
      <c r="V58" s="27" t="n">
        <v>19410</v>
      </c>
      <c r="AA58" s="27" t="n">
        <v>21175</v>
      </c>
      <c r="AB58" s="27" t="n">
        <v>23169</v>
      </c>
      <c r="AC58" s="27" t="n">
        <v>25017</v>
      </c>
      <c r="AD58" s="27" t="n">
        <v>26482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60"/>
  </cols>
  <sheetData>
    <row r="2" customFormat="false" ht="15" hidden="false" customHeight="false" outlineLevel="0" collapsed="false">
      <c r="B2" s="4" t="s">
        <v>62</v>
      </c>
    </row>
    <row r="3" customFormat="false" ht="15" hidden="false" customHeight="false" outlineLevel="0" collapsed="false">
      <c r="B3" s="4" t="s">
        <v>63</v>
      </c>
      <c r="C3" s="4" t="s">
        <v>23</v>
      </c>
      <c r="E3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60"/>
  </cols>
  <sheetData>
    <row r="2" customFormat="false" ht="15" hidden="false" customHeight="false" outlineLevel="0" collapsed="false">
      <c r="B2" s="4" t="s">
        <v>65</v>
      </c>
    </row>
    <row r="30" customFormat="false" ht="15" hidden="false" customHeight="false" outlineLevel="0" collapsed="false">
      <c r="B30" s="4" t="s">
        <v>66</v>
      </c>
      <c r="D30" s="27" t="n">
        <v>0.512</v>
      </c>
    </row>
    <row r="35" customFormat="false" ht="15" hidden="false" customHeight="false" outlineLevel="0" collapsed="false">
      <c r="B35" s="4" t="s">
        <v>67</v>
      </c>
      <c r="D35" s="27" t="n">
        <v>0.33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2026-10-02T22:43:21Z</dcterms:created>
  <dc:creator>SPOT</dc:creator>
  <dc:description/>
  <dc:language>en-US</dc:language>
  <cp:lastModifiedBy>SPOT</cp:lastModifiedBy>
  <dcterms:modified xsi:type="dcterms:W3CDTF">2026-10-02T22:43:21Z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