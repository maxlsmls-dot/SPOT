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B_bundle" sheetId="2" state="visible" r:id="rId2"/>
    <sheet name="C_cost" sheetId="3" state="visible" r:id="rId3"/>
    <sheet name="A_paid" sheetId="4" state="visible" r:id="rId4"/>
    <sheet name="Bridge" sheetId="5" state="visible" r:id="rId5"/>
    <sheet name="Residual" sheetId="6" state="visible" r:id="rId6"/>
    <sheet name="Sensitivity" sheetId="7" state="visible" r:id="rId7"/>
    <sheet name="DecisionRules" sheetId="8" state="visible" r:id="rId8"/>
    <sheet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EEF8"/>
      </patternFill>
    </fill>
    <fill>
      <patternFill patternType="solid">
        <fgColor rgb="00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  <col width="12" customWidth="1" min="3" max="3"/>
    <col width="8" customWidth="1" min="4" max="4"/>
    <col width="12" customWidth="1" min="5" max="5"/>
    <col width="80" customWidth="1" min="6" max="6"/>
    <col width="14" customWidth="1" min="7" max="7"/>
  </cols>
  <sheetData>
    <row r="1">
      <c r="A1" s="1" t="inlineStr">
        <is>
          <t>key</t>
        </is>
      </c>
      <c r="B1" s="1" t="inlineStr">
        <is>
          <t>input</t>
        </is>
      </c>
      <c r="C1" s="1" t="inlineStr">
        <is>
          <t>value</t>
        </is>
      </c>
      <c r="D1" s="1" t="inlineStr">
        <is>
          <t>unit</t>
        </is>
      </c>
      <c r="E1" s="1" t="inlineStr">
        <is>
          <t>period</t>
        </is>
      </c>
      <c r="F1" s="1" t="inlineStr">
        <is>
          <t>source</t>
        </is>
      </c>
      <c r="G1" s="1" t="inlineStr">
        <is>
          <t>confidence (D disclosed / R reported / E estimate)</t>
        </is>
      </c>
    </row>
    <row r="2">
      <c r="A2" t="inlineStr">
        <is>
          <t>prem_rev_2022</t>
        </is>
      </c>
      <c r="B2" t="inlineStr">
        <is>
          <t>Premium revenue 2022</t>
        </is>
      </c>
      <c r="C2" t="n">
        <v>10250</v>
      </c>
      <c r="D2" t="inlineStr">
        <is>
          <t>€M</t>
        </is>
      </c>
      <c r="E2" t="inlineStr">
        <is>
          <t>FY22</t>
        </is>
      </c>
      <c r="F2" t="inlineStr">
        <is>
          <t>Spotify 20-F</t>
        </is>
      </c>
      <c r="G2" t="inlineStr">
        <is>
          <t>D</t>
        </is>
      </c>
    </row>
    <row r="3">
      <c r="A3" t="inlineStr">
        <is>
          <t>prem_rev_2023</t>
        </is>
      </c>
      <c r="B3" t="inlineStr">
        <is>
          <t>Premium revenue 2023</t>
        </is>
      </c>
      <c r="C3" t="n">
        <v>11566</v>
      </c>
      <c r="D3" t="inlineStr">
        <is>
          <t>€M</t>
        </is>
      </c>
      <c r="E3" t="inlineStr">
        <is>
          <t>FY23</t>
        </is>
      </c>
      <c r="F3" t="inlineStr">
        <is>
          <t>Spotify 20-F</t>
        </is>
      </c>
      <c r="G3" t="inlineStr">
        <is>
          <t>D</t>
        </is>
      </c>
    </row>
    <row r="4">
      <c r="A4" t="inlineStr">
        <is>
          <t>prem_rev_2024</t>
        </is>
      </c>
      <c r="B4" t="inlineStr">
        <is>
          <t>Premium revenue 2024</t>
        </is>
      </c>
      <c r="C4" t="n">
        <v>13819</v>
      </c>
      <c r="D4" t="inlineStr">
        <is>
          <t>€M</t>
        </is>
      </c>
      <c r="E4" t="inlineStr">
        <is>
          <t>FY24</t>
        </is>
      </c>
      <c r="F4" t="inlineStr">
        <is>
          <t>Spotify 20-F</t>
        </is>
      </c>
      <c r="G4" t="inlineStr">
        <is>
          <t>D</t>
        </is>
      </c>
    </row>
    <row r="5">
      <c r="A5" t="inlineStr">
        <is>
          <t>prem_rev_2025</t>
        </is>
      </c>
      <c r="B5" t="inlineStr">
        <is>
          <t>Premium revenue 2025</t>
        </is>
      </c>
      <c r="C5" t="n">
        <v>15350</v>
      </c>
      <c r="D5" t="inlineStr">
        <is>
          <t>€M</t>
        </is>
      </c>
      <c r="E5" t="inlineStr">
        <is>
          <t>FY25</t>
        </is>
      </c>
      <c r="F5" t="inlineStr">
        <is>
          <t>Spotify 20-F</t>
        </is>
      </c>
      <c r="G5" t="inlineStr">
        <is>
          <t>D</t>
        </is>
      </c>
    </row>
    <row r="6">
      <c r="A6" t="inlineStr">
        <is>
          <t>prem_rev_2026</t>
        </is>
      </c>
      <c r="B6" t="inlineStr">
        <is>
          <t>Premium revenue 2026E</t>
        </is>
      </c>
      <c r="C6" s="2" t="n">
        <v>17700</v>
      </c>
      <c r="D6" t="inlineStr">
        <is>
          <t>€M</t>
        </is>
      </c>
      <c r="E6" t="inlineStr">
        <is>
          <t>FY26E</t>
        </is>
      </c>
      <c r="F6" t="inlineStr">
        <is>
          <t>Q1+Q2 actual (4,150+4,330) + Q3/Q4 est.</t>
        </is>
      </c>
      <c r="G6" t="inlineStr">
        <is>
          <t>E</t>
        </is>
      </c>
    </row>
    <row r="7">
      <c r="A7" t="inlineStr">
        <is>
          <t>prem_rev_2027</t>
        </is>
      </c>
      <c r="B7" t="inlineStr">
        <is>
          <t>Premium revenue 2027E</t>
        </is>
      </c>
      <c r="C7" s="2" t="n">
        <v>19400</v>
      </c>
      <c r="D7" t="inlineStr">
        <is>
          <t>€M</t>
        </is>
      </c>
      <c r="E7" t="inlineStr">
        <is>
          <t>FY27E</t>
        </is>
      </c>
      <c r="F7" t="inlineStr">
        <is>
          <t>Our model (short-pitch-SPOT.md)</t>
        </is>
      </c>
      <c r="G7" t="inlineStr">
        <is>
          <t>E</t>
        </is>
      </c>
    </row>
    <row r="8">
      <c r="A8" t="inlineStr">
        <is>
          <t>grp_rev_2023</t>
        </is>
      </c>
      <c r="B8" t="inlineStr">
        <is>
          <t>Group revenue 2023</t>
        </is>
      </c>
      <c r="C8" t="n">
        <v>13247</v>
      </c>
      <c r="D8" t="inlineStr">
        <is>
          <t>€M</t>
        </is>
      </c>
      <c r="E8" t="inlineStr">
        <is>
          <t>FY23</t>
        </is>
      </c>
      <c r="F8" t="inlineStr">
        <is>
          <t>Spotify 20-F</t>
        </is>
      </c>
      <c r="G8" t="inlineStr">
        <is>
          <t>D</t>
        </is>
      </c>
    </row>
    <row r="9">
      <c r="A9" t="inlineStr">
        <is>
          <t>grp_rev_2024</t>
        </is>
      </c>
      <c r="B9" t="inlineStr">
        <is>
          <t>Group revenue 2024</t>
        </is>
      </c>
      <c r="C9" t="n">
        <v>15673</v>
      </c>
      <c r="D9" t="inlineStr">
        <is>
          <t>€M</t>
        </is>
      </c>
      <c r="E9" t="inlineStr">
        <is>
          <t>FY24</t>
        </is>
      </c>
      <c r="F9" t="inlineStr">
        <is>
          <t>Spotify 20-F</t>
        </is>
      </c>
      <c r="G9" t="inlineStr">
        <is>
          <t>D</t>
        </is>
      </c>
    </row>
    <row r="10">
      <c r="A10" t="inlineStr">
        <is>
          <t>grp_rev_2025</t>
        </is>
      </c>
      <c r="B10" t="inlineStr">
        <is>
          <t>Group revenue 2025</t>
        </is>
      </c>
      <c r="C10" t="n">
        <v>17186</v>
      </c>
      <c r="D10" t="inlineStr">
        <is>
          <t>€M</t>
        </is>
      </c>
      <c r="E10" t="inlineStr">
        <is>
          <t>FY25</t>
        </is>
      </c>
      <c r="F10" t="inlineStr">
        <is>
          <t>Spotify 20-F</t>
        </is>
      </c>
      <c r="G10" t="inlineStr">
        <is>
          <t>D</t>
        </is>
      </c>
    </row>
    <row r="11">
      <c r="A11" t="inlineStr">
        <is>
          <t>grp_rev_2026</t>
        </is>
      </c>
      <c r="B11" t="inlineStr">
        <is>
          <t>Group revenue 2026E</t>
        </is>
      </c>
      <c r="C11" s="2" t="n">
        <v>19500</v>
      </c>
      <c r="D11" t="inlineStr">
        <is>
          <t>€M</t>
        </is>
      </c>
      <c r="E11" t="inlineStr">
        <is>
          <t>FY26E</t>
        </is>
      </c>
      <c r="F11" t="inlineStr">
        <is>
          <t>Our model</t>
        </is>
      </c>
      <c r="G11" t="inlineStr">
        <is>
          <t>E</t>
        </is>
      </c>
    </row>
    <row r="12">
      <c r="A12" t="inlineStr">
        <is>
          <t>grp_rev_2027</t>
        </is>
      </c>
      <c r="B12" t="inlineStr">
        <is>
          <t>Group revenue 2027E</t>
        </is>
      </c>
      <c r="C12" s="2" t="n">
        <v>21300</v>
      </c>
      <c r="D12" t="inlineStr">
        <is>
          <t>€M</t>
        </is>
      </c>
      <c r="E12" t="inlineStr">
        <is>
          <t>FY27E</t>
        </is>
      </c>
      <c r="F12" t="inlineStr">
        <is>
          <t>Our model</t>
        </is>
      </c>
      <c r="G12" t="inlineStr">
        <is>
          <t>E</t>
        </is>
      </c>
    </row>
    <row r="13">
      <c r="A13" t="inlineStr">
        <is>
          <t>cogs_ratio_2022</t>
        </is>
      </c>
      <c r="B13" t="inlineStr">
        <is>
          <t>Premium cost of revenue / Premium revenue 2022</t>
        </is>
      </c>
      <c r="C13" t="n">
        <v>0.72</v>
      </c>
      <c r="D13" t="inlineStr">
        <is>
          <t>x</t>
        </is>
      </c>
      <c r="E13" t="inlineStr">
        <is>
          <t>FY22</t>
        </is>
      </c>
      <c r="F13" t="inlineStr">
        <is>
          <t>20-F: Premium GM 28%</t>
        </is>
      </c>
      <c r="G13" t="inlineStr">
        <is>
          <t>D</t>
        </is>
      </c>
    </row>
    <row r="14">
      <c r="A14" t="inlineStr">
        <is>
          <t>cogs_ratio_2023</t>
        </is>
      </c>
      <c r="B14" t="inlineStr">
        <is>
          <t>Premium cost of revenue / Premium revenue 2023</t>
        </is>
      </c>
      <c r="C14" t="n">
        <v>0.71</v>
      </c>
      <c r="D14" t="inlineStr">
        <is>
          <t>x</t>
        </is>
      </c>
      <c r="E14" t="inlineStr">
        <is>
          <t>FY23</t>
        </is>
      </c>
      <c r="F14" t="inlineStr">
        <is>
          <t>FY24 20-F: 71%→67%</t>
        </is>
      </c>
      <c r="G14" t="inlineStr">
        <is>
          <t>D</t>
        </is>
      </c>
    </row>
    <row r="15">
      <c r="A15" t="inlineStr">
        <is>
          <t>cogs_ratio_2024</t>
        </is>
      </c>
      <c r="B15" t="inlineStr">
        <is>
          <t>Premium cost of revenue / Premium revenue 2024</t>
        </is>
      </c>
      <c r="C15" t="n">
        <v>0.67</v>
      </c>
      <c r="D15" t="inlineStr">
        <is>
          <t>x</t>
        </is>
      </c>
      <c r="E15" t="inlineStr">
        <is>
          <t>FY24</t>
        </is>
      </c>
      <c r="F15" t="inlineStr">
        <is>
          <t>FY24 20-F</t>
        </is>
      </c>
      <c r="G15" t="inlineStr">
        <is>
          <t>D</t>
        </is>
      </c>
    </row>
    <row r="16">
      <c r="A16" t="inlineStr">
        <is>
          <t>cogs_ratio_2025</t>
        </is>
      </c>
      <c r="B16" t="inlineStr">
        <is>
          <t>Premium cost of revenue / Premium revenue 2025</t>
        </is>
      </c>
      <c r="C16" t="n">
        <v>0.66</v>
      </c>
      <c r="D16" t="inlineStr">
        <is>
          <t>x</t>
        </is>
      </c>
      <c r="E16" t="inlineStr">
        <is>
          <t>FY25</t>
        </is>
      </c>
      <c r="F16" t="inlineStr">
        <is>
          <t>FY25 20-F: Premium GM 34%</t>
        </is>
      </c>
      <c r="G16" t="inlineStr">
        <is>
          <t>D</t>
        </is>
      </c>
    </row>
    <row r="17">
      <c r="A17" t="inlineStr">
        <is>
          <t>cogs_inc_2024</t>
        </is>
      </c>
      <c r="B17" t="inlineStr">
        <is>
          <t>Premium cost of revenue increase 2024</t>
        </is>
      </c>
      <c r="C17" t="n">
        <v>1093</v>
      </c>
      <c r="D17" t="inlineStr">
        <is>
          <t>€M</t>
        </is>
      </c>
      <c r="E17" t="inlineStr">
        <is>
          <t>FY24</t>
        </is>
      </c>
      <c r="F17" t="inlineStr">
        <is>
          <t>FY24 20-F (+13%)</t>
        </is>
      </c>
      <c r="G17" t="inlineStr">
        <is>
          <t>D</t>
        </is>
      </c>
    </row>
    <row r="18">
      <c r="A18" t="inlineStr">
        <is>
          <t>royalty_inc_2024</t>
        </is>
      </c>
      <c r="B18" t="inlineStr">
        <is>
          <t>of which royalty/content costs 2024</t>
        </is>
      </c>
      <c r="C18" t="n">
        <v>1078</v>
      </c>
      <c r="D18" t="inlineStr">
        <is>
          <t>€M</t>
        </is>
      </c>
      <c r="E18" t="inlineStr">
        <is>
          <t>FY24</t>
        </is>
      </c>
      <c r="F18" t="inlineStr">
        <is>
          <t>FY24 20-F</t>
        </is>
      </c>
      <c r="G18" t="inlineStr">
        <is>
          <t>D</t>
        </is>
      </c>
    </row>
    <row r="19">
      <c r="A19" t="inlineStr">
        <is>
          <t>royalty_inc_2025</t>
        </is>
      </c>
      <c r="B19" t="inlineStr">
        <is>
          <t>Royalty/content cost increase 2025 (music + audiobooks + Partner Program, net of marketplace)</t>
        </is>
      </c>
      <c r="C19" t="n">
        <v>765</v>
      </c>
      <c r="D19" t="inlineStr">
        <is>
          <t>€M</t>
        </is>
      </c>
      <c r="E19" t="inlineStr">
        <is>
          <t>FY25</t>
        </is>
      </c>
      <c r="F19" t="inlineStr">
        <is>
          <t>FY25 20-F</t>
        </is>
      </c>
      <c r="G19" t="inlineStr">
        <is>
          <t>D</t>
        </is>
      </c>
    </row>
    <row r="20">
      <c r="A20" t="inlineStr">
        <is>
          <t>royalty_inc_9m25</t>
        </is>
      </c>
      <c r="B20" t="inlineStr">
        <is>
          <t>Royalty/content cost increase 9M-25</t>
        </is>
      </c>
      <c r="C20" t="n">
        <v>588</v>
      </c>
      <c r="D20" t="inlineStr">
        <is>
          <t>€M</t>
        </is>
      </c>
      <c r="E20" t="inlineStr">
        <is>
          <t>9M25</t>
        </is>
      </c>
      <c r="F20" t="inlineStr">
        <is>
          <t>Q3-25 6-K</t>
        </is>
      </c>
      <c r="G20" t="inlineStr">
        <is>
          <t>D</t>
        </is>
      </c>
    </row>
    <row r="21">
      <c r="A21" t="inlineStr">
        <is>
          <t>royalty_inc_h126</t>
        </is>
      </c>
      <c r="B21" t="inlineStr">
        <is>
          <t>Content cost increase H1-26</t>
        </is>
      </c>
      <c r="C21" t="n">
        <v>474</v>
      </c>
      <c r="D21" t="inlineStr">
        <is>
          <t>€M</t>
        </is>
      </c>
      <c r="E21" t="inlineStr">
        <is>
          <t>H1-26</t>
        </is>
      </c>
      <c r="F21" t="inlineStr">
        <is>
          <t>Q2-26 6-K (Premium COGS +€500M, +10%; ratio 67%→65%)</t>
        </is>
      </c>
      <c r="G21" t="inlineStr">
        <is>
          <t>D</t>
        </is>
      </c>
    </row>
    <row r="22">
      <c r="A22" t="inlineStr">
        <is>
          <t>prem_rev_h125</t>
        </is>
      </c>
      <c r="B22" t="inlineStr">
        <is>
          <t>Premium revenue H1-25</t>
        </is>
      </c>
      <c r="C22" t="n">
        <v>7508</v>
      </c>
      <c r="D22" t="inlineStr">
        <is>
          <t>€M</t>
        </is>
      </c>
      <c r="E22" t="inlineStr">
        <is>
          <t>H1-25</t>
        </is>
      </c>
      <c r="F22" t="inlineStr">
        <is>
          <t>3,771 + 3,737</t>
        </is>
      </c>
      <c r="G22" t="inlineStr">
        <is>
          <t>D</t>
        </is>
      </c>
    </row>
    <row r="23">
      <c r="A23" t="inlineStr">
        <is>
          <t>prem_rev_h126</t>
        </is>
      </c>
      <c r="B23" t="inlineStr">
        <is>
          <t>Premium revenue H1-26</t>
        </is>
      </c>
      <c r="C23" t="n">
        <v>8480</v>
      </c>
      <c r="D23" t="inlineStr">
        <is>
          <t>€M</t>
        </is>
      </c>
      <c r="E23" t="inlineStr">
        <is>
          <t>H1-26</t>
        </is>
      </c>
      <c r="F23" t="inlineStr">
        <is>
          <t>4,150 + 4,330</t>
        </is>
      </c>
      <c r="G23" t="inlineStr">
        <is>
          <t>D</t>
        </is>
      </c>
    </row>
    <row r="24">
      <c r="A24" t="inlineStr">
        <is>
          <t>prem_rev_9m24</t>
        </is>
      </c>
      <c r="B24" t="inlineStr">
        <is>
          <t>Premium revenue 9M-24</t>
        </is>
      </c>
      <c r="C24" t="n">
        <v>10114</v>
      </c>
      <c r="D24" t="inlineStr">
        <is>
          <t>€M</t>
        </is>
      </c>
      <c r="E24" t="inlineStr">
        <is>
          <t>9M24</t>
        </is>
      </c>
      <c r="F24" t="inlineStr">
        <is>
          <t>FY24 13,819 − Q4-24 3,705</t>
        </is>
      </c>
      <c r="G24" t="inlineStr">
        <is>
          <t>D</t>
        </is>
      </c>
    </row>
    <row r="25">
      <c r="A25" t="inlineStr">
        <is>
          <t>prem_rev_9m25</t>
        </is>
      </c>
      <c r="B25" t="inlineStr">
        <is>
          <t>Premium revenue 9M-25</t>
        </is>
      </c>
      <c r="C25" t="n">
        <v>11333</v>
      </c>
      <c r="D25" t="inlineStr">
        <is>
          <t>€M</t>
        </is>
      </c>
      <c r="E25" t="inlineStr">
        <is>
          <t>9M25</t>
        </is>
      </c>
      <c r="F25" t="inlineStr">
        <is>
          <t>3,771 + 3,737 + 3,825</t>
        </is>
      </c>
      <c r="G25" t="inlineStr">
        <is>
          <t>D</t>
        </is>
      </c>
    </row>
    <row r="26">
      <c r="A26" t="inlineStr">
        <is>
          <t>bundle_13m</t>
        </is>
      </c>
      <c r="B26" t="inlineStr">
        <is>
          <t>Bundle mechanical-royalty reduction, 1 Mar 2024 – 31 Mar 2025 (13 months)</t>
        </is>
      </c>
      <c r="C26" t="n">
        <v>205</v>
      </c>
      <c r="D26" t="inlineStr">
        <is>
          <t>€M</t>
        </is>
      </c>
      <c r="E26" t="inlineStr">
        <is>
          <t>Mar24–Mar25</t>
        </is>
      </c>
      <c r="F26" t="inlineStr">
        <is>
          <t>Spotify 6-K Q1-25: 'additional royalties that would be due would be approximately €205 million, plus potentially penalties and interest'</t>
        </is>
      </c>
      <c r="G26" t="inlineStr">
        <is>
          <t>D</t>
        </is>
      </c>
    </row>
    <row r="27">
      <c r="A27" t="inlineStr">
        <is>
          <t>bundle_months</t>
        </is>
      </c>
      <c r="B27" t="inlineStr">
        <is>
          <t>Months in that period</t>
        </is>
      </c>
      <c r="C27" t="n">
        <v>13</v>
      </c>
      <c r="D27" t="inlineStr">
        <is>
          <t>months</t>
        </is>
      </c>
      <c r="E27" t="inlineStr"/>
      <c r="F27" t="inlineStr"/>
      <c r="G27" t="inlineStr">
        <is>
          <t>D</t>
        </is>
      </c>
    </row>
    <row r="28">
      <c r="A28" t="inlineStr">
        <is>
          <t>nmpa_first_year</t>
        </is>
      </c>
      <c r="B28" t="inlineStr">
        <is>
          <t>NMPA estimate of first-year loss</t>
        </is>
      </c>
      <c r="C28" t="n">
        <v>230</v>
      </c>
      <c r="D28" t="inlineStr">
        <is>
          <t>$M</t>
        </is>
      </c>
      <c r="E28" t="inlineStr">
        <is>
          <t>2024-25</t>
        </is>
      </c>
      <c r="F28" t="inlineStr">
        <is>
          <t>NMPA via Billboard</t>
        </is>
      </c>
      <c r="G28" t="inlineStr">
        <is>
          <t>R</t>
        </is>
      </c>
    </row>
    <row r="29">
      <c r="A29" t="inlineStr">
        <is>
          <t>bb_q423_mech</t>
        </is>
      </c>
      <c r="B29" t="inlineStr">
        <is>
          <t>Mechanical royalties paid, Q4-23 (MLC reports)</t>
        </is>
      </c>
      <c r="C29" t="n">
        <v>97.3</v>
      </c>
      <c r="D29" t="inlineStr">
        <is>
          <t>$M</t>
        </is>
      </c>
      <c r="E29" t="inlineStr">
        <is>
          <t>Q4-23</t>
        </is>
      </c>
      <c r="F29" t="inlineStr">
        <is>
          <t>Billboard analysis</t>
        </is>
      </c>
      <c r="G29" t="inlineStr">
        <is>
          <t>R</t>
        </is>
      </c>
    </row>
    <row r="30">
      <c r="A30" t="inlineStr">
        <is>
          <t>bb_q425_mech</t>
        </is>
      </c>
      <c r="B30" t="inlineStr">
        <is>
          <t>Mechanical royalties paid, Q4-25 (MLC reports; majors now direct-licensed, so not comparable after 2025)</t>
        </is>
      </c>
      <c r="C30" t="n">
        <v>53.3</v>
      </c>
      <c r="D30" t="inlineStr">
        <is>
          <t>$M</t>
        </is>
      </c>
      <c r="E30" t="inlineStr">
        <is>
          <t>Q4-25</t>
        </is>
      </c>
      <c r="F30" t="inlineStr">
        <is>
          <t>Billboard analysis</t>
        </is>
      </c>
      <c r="G30" t="inlineStr">
        <is>
          <t>R</t>
        </is>
      </c>
    </row>
    <row r="31">
      <c r="A31" t="inlineStr">
        <is>
          <t>music_alloc</t>
        </is>
      </c>
      <c r="B31" t="inlineStr">
        <is>
          <t>Music share of bundle revenue under CRB allocation</t>
        </is>
      </c>
      <c r="C31" t="n">
        <v>0.52</v>
      </c>
      <c r="D31" t="inlineStr">
        <is>
          <t>x</t>
        </is>
      </c>
      <c r="E31" t="inlineStr"/>
      <c r="F31" t="inlineStr">
        <is>
          <t>NMPA/Billboard ('$5.70 of the bundle')</t>
        </is>
      </c>
      <c r="G31" t="inlineStr">
        <is>
          <t>R</t>
        </is>
      </c>
    </row>
    <row r="32">
      <c r="A32" t="inlineStr">
        <is>
          <t>share_umpg</t>
        </is>
      </c>
      <c r="B32" t="inlineStr">
        <is>
          <t>UMPG share of US mechanicals</t>
        </is>
      </c>
      <c r="C32" s="2" t="n">
        <v>0.22</v>
      </c>
      <c r="D32" t="inlineStr">
        <is>
          <t>x</t>
        </is>
      </c>
      <c r="E32" t="inlineStr"/>
      <c r="F32" t="inlineStr">
        <is>
          <t>Our estimate from US publishing market shares (range 0.20–0.25)</t>
        </is>
      </c>
      <c r="G32" t="inlineStr">
        <is>
          <t>E</t>
        </is>
      </c>
    </row>
    <row r="33">
      <c r="A33" t="inlineStr">
        <is>
          <t>share_wcm</t>
        </is>
      </c>
      <c r="B33" t="inlineStr">
        <is>
          <t>Warner Chappell share of US mechanicals</t>
        </is>
      </c>
      <c r="C33" s="2" t="n">
        <v>0.13</v>
      </c>
      <c r="D33" t="inlineStr">
        <is>
          <t>x</t>
        </is>
      </c>
      <c r="E33" t="inlineStr"/>
      <c r="F33" t="inlineStr">
        <is>
          <t>Our estimate (range 0.11–0.15)</t>
        </is>
      </c>
      <c r="G33" t="inlineStr">
        <is>
          <t>E</t>
        </is>
      </c>
    </row>
    <row r="34">
      <c r="A34" t="inlineStr">
        <is>
          <t>share_smp</t>
        </is>
      </c>
      <c r="B34" t="inlineStr">
        <is>
          <t>Sony Music Publishing share of US mechanicals</t>
        </is>
      </c>
      <c r="C34" s="2" t="n">
        <v>0.26</v>
      </c>
      <c r="D34" t="inlineStr">
        <is>
          <t>x</t>
        </is>
      </c>
      <c r="E34" t="inlineStr"/>
      <c r="F34" t="inlineStr">
        <is>
          <t>Our estimate; SMP ranked #1 publisher in 2025 (range 0.23–0.28)</t>
        </is>
      </c>
      <c r="G34" t="inlineStr">
        <is>
          <t>E</t>
        </is>
      </c>
    </row>
    <row r="35">
      <c r="A35" t="inlineStr">
        <is>
          <t>start_umpg</t>
        </is>
      </c>
      <c r="B35" t="inlineStr">
        <is>
          <t>UMPG direct deal start month (2025)</t>
        </is>
      </c>
      <c r="C35" t="n">
        <v>2</v>
      </c>
      <c r="D35" t="inlineStr">
        <is>
          <t>month</t>
        </is>
      </c>
      <c r="E35" t="inlineStr">
        <is>
          <t>2025</t>
        </is>
      </c>
      <c r="F35" t="inlineStr">
        <is>
          <t>Announced 26 Jan 2025; reported to 'nullify' the bundle discount going forward</t>
        </is>
      </c>
      <c r="G35" t="inlineStr">
        <is>
          <t>R</t>
        </is>
      </c>
    </row>
    <row r="36">
      <c r="A36" t="inlineStr">
        <is>
          <t>start_wcm</t>
        </is>
      </c>
      <c r="B36" t="inlineStr">
        <is>
          <t>Warner Chappell direct deal start month (2025)</t>
        </is>
      </c>
      <c r="C36" t="n">
        <v>3</v>
      </c>
      <c r="D36" t="inlineStr">
        <is>
          <t>month</t>
        </is>
      </c>
      <c r="E36" t="inlineStr">
        <is>
          <t>2025</t>
        </is>
      </c>
      <c r="F36" t="inlineStr">
        <is>
          <t>Announced 6 Feb 2025; 'supersedes the bundling payment structure' (MBW)</t>
        </is>
      </c>
      <c r="G36" t="inlineStr">
        <is>
          <t>R</t>
        </is>
      </c>
    </row>
    <row r="37">
      <c r="A37" t="inlineStr">
        <is>
          <t>start_smp</t>
        </is>
      </c>
      <c r="B37" t="inlineStr">
        <is>
          <t>Sony Music Publishing direct deal start month (2025)</t>
        </is>
      </c>
      <c r="C37" t="n">
        <v>10</v>
      </c>
      <c r="D37" t="inlineStr">
        <is>
          <t>month</t>
        </is>
      </c>
      <c r="E37" t="inlineStr">
        <is>
          <t>2025</t>
        </is>
      </c>
      <c r="F37" t="inlineStr">
        <is>
          <t>Announced Sep 2025; direct US licence</t>
        </is>
      </c>
      <c r="G37" t="inlineStr">
        <is>
          <t>R</t>
        </is>
      </c>
    </row>
    <row r="38">
      <c r="A38" t="inlineStr">
        <is>
          <t>restoration</t>
        </is>
      </c>
      <c r="B38" t="inlineStr">
        <is>
          <t>Share of the bundle discount restored to direct-deal publishers</t>
        </is>
      </c>
      <c r="C38" s="2" t="n">
        <v>1</v>
      </c>
      <c r="D38" t="inlineStr">
        <is>
          <t>x</t>
        </is>
      </c>
      <c r="E38" t="inlineStr"/>
      <c r="F38" t="inlineStr">
        <is>
          <t>Assumption per reporting ('nullified'); sensitivity 0.5</t>
        </is>
      </c>
      <c r="G38" t="inlineStr">
        <is>
          <t>E</t>
        </is>
      </c>
    </row>
    <row r="39">
      <c r="A39" t="inlineStr">
        <is>
          <t>mlc_loss_2027</t>
        </is>
      </c>
      <c r="B39" t="inlineStr">
        <is>
          <t>MLC amended complaint succeeds in 2027 (1 = yes): remaining saving goes to zero</t>
        </is>
      </c>
      <c r="C39" s="2" t="n">
        <v>0</v>
      </c>
      <c r="D39" t="inlineStr">
        <is>
          <t>flag</t>
        </is>
      </c>
      <c r="E39" t="inlineStr">
        <is>
          <t>2027</t>
        </is>
      </c>
      <c r="F39" t="inlineStr">
        <is>
          <t>Interlocutory appeal denied 1 Sep 2026; case continues at district court</t>
        </is>
      </c>
      <c r="G39" t="inlineStr">
        <is>
          <t>E</t>
        </is>
      </c>
    </row>
    <row r="40">
      <c r="A40" t="inlineStr">
        <is>
          <t>c_2023</t>
        </is>
      </c>
      <c r="B40" t="inlineStr">
        <is>
          <t>Audiobook licensing cost 2023 (Q4 only; 'tens of millions' by Feb-24)</t>
        </is>
      </c>
      <c r="C40" s="2" t="n">
        <v>25</v>
      </c>
      <c r="D40" t="inlineStr">
        <is>
          <t>€M</t>
        </is>
      </c>
      <c r="E40" t="inlineStr">
        <is>
          <t>FY23</t>
        </is>
      </c>
      <c r="F40" t="inlineStr">
        <is>
          <t>Digital Music News 5 Feb 2024; our sizing</t>
        </is>
      </c>
      <c r="G40" t="inlineStr">
        <is>
          <t>E</t>
        </is>
      </c>
    </row>
    <row r="41">
      <c r="A41" t="inlineStr">
        <is>
          <t>c_2024</t>
        </is>
      </c>
      <c r="B41" t="inlineStr">
        <is>
          <t>Audiobook licensing cost 2024 ('hundreds of millions of dollars a year' by Oct-24)</t>
        </is>
      </c>
      <c r="C41" s="2" t="n">
        <v>190</v>
      </c>
      <c r="D41" t="inlineStr">
        <is>
          <t>€M</t>
        </is>
      </c>
      <c r="E41" t="inlineStr">
        <is>
          <t>FY24</t>
        </is>
      </c>
      <c r="F41" t="inlineStr">
        <is>
          <t>Axios 15 Oct 2024; Spotify newsroom Mar-25 repeats; our sizing of a full year</t>
        </is>
      </c>
      <c r="G41" t="inlineStr">
        <is>
          <t>E</t>
        </is>
      </c>
    </row>
    <row r="42">
      <c r="A42" t="inlineStr">
        <is>
          <t>c_g_2025</t>
        </is>
      </c>
      <c r="B42" t="inlineStr">
        <is>
          <t>C growth 2025 (listeners +30–36%, hours +35–37%, DACH launch, Family members)</t>
        </is>
      </c>
      <c r="C42" s="2" t="n">
        <v>0.58</v>
      </c>
      <c r="D42" t="inlineStr">
        <is>
          <t>x</t>
        </is>
      </c>
      <c r="E42" t="inlineStr">
        <is>
          <t>FY25</t>
        </is>
      </c>
      <c r="F42" t="inlineStr">
        <is>
          <t>Spotify newsroom Mar-25, Oct-25; our estimate</t>
        </is>
      </c>
      <c r="G42" t="inlineStr">
        <is>
          <t>E</t>
        </is>
      </c>
    </row>
    <row r="43">
      <c r="A43" t="inlineStr">
        <is>
          <t>c_g_2026</t>
        </is>
      </c>
      <c r="B43" t="inlineStr">
        <is>
          <t>C growth 2026 (listeners +60%, Nordics, Audiobooks+ Europe)</t>
        </is>
      </c>
      <c r="C43" s="2" t="n">
        <v>0.43</v>
      </c>
      <c r="D43" t="inlineStr">
        <is>
          <t>x</t>
        </is>
      </c>
      <c r="E43" t="inlineStr">
        <is>
          <t>FY26</t>
        </is>
      </c>
      <c r="F43" t="inlineStr">
        <is>
          <t>Publishers Weekly 2026; our estimate</t>
        </is>
      </c>
      <c r="G43" t="inlineStr">
        <is>
          <t>E</t>
        </is>
      </c>
    </row>
    <row r="44">
      <c r="A44" t="inlineStr">
        <is>
          <t>c_g_2027</t>
        </is>
      </c>
      <c r="B44" t="inlineStr">
        <is>
          <t>C growth 2027</t>
        </is>
      </c>
      <c r="C44" s="2" t="n">
        <v>0.3</v>
      </c>
      <c r="D44" t="inlineStr">
        <is>
          <t>x</t>
        </is>
      </c>
      <c r="E44" t="inlineStr">
        <is>
          <t>FY27</t>
        </is>
      </c>
      <c r="F44" t="inlineStr">
        <is>
          <t>Our estimate (deceleration)</t>
        </is>
      </c>
      <c r="G44" t="inlineStr">
        <is>
          <t>E</t>
        </is>
      </c>
    </row>
    <row r="45">
      <c r="A45" t="inlineStr">
        <is>
          <t>c_low_mult</t>
        </is>
      </c>
      <c r="B45" t="inlineStr">
        <is>
          <t>Low-case multiplier on C</t>
        </is>
      </c>
      <c r="C45" s="2" t="n">
        <v>0.8</v>
      </c>
      <c r="D45" t="inlineStr">
        <is>
          <t>x</t>
        </is>
      </c>
      <c r="E45" t="inlineStr"/>
      <c r="F45" t="inlineStr"/>
      <c r="G45" t="inlineStr">
        <is>
          <t>E</t>
        </is>
      </c>
    </row>
    <row r="46">
      <c r="A46" t="inlineStr">
        <is>
          <t>c_high_mult</t>
        </is>
      </c>
      <c r="B46" t="inlineStr">
        <is>
          <t>High-case multiplier on C</t>
        </is>
      </c>
      <c r="C46" s="2" t="n">
        <v>1.25</v>
      </c>
      <c r="D46" t="inlineStr">
        <is>
          <t>x</t>
        </is>
      </c>
      <c r="E46" t="inlineStr"/>
      <c r="F46" t="inlineStr"/>
      <c r="G46" t="inlineStr">
        <is>
          <t>E</t>
        </is>
      </c>
    </row>
    <row r="47">
      <c r="A47" t="inlineStr">
        <is>
          <t>apa_us_2025</t>
        </is>
      </c>
      <c r="B47" t="inlineStr">
        <is>
          <t>US audiobook publisher receipts 2025</t>
        </is>
      </c>
      <c r="C47" t="n">
        <v>2430</v>
      </c>
      <c r="D47" t="inlineStr">
        <is>
          <t>$M</t>
        </is>
      </c>
      <c r="E47" t="inlineStr">
        <is>
          <t>FY25</t>
        </is>
      </c>
      <c r="F47" t="inlineStr">
        <is>
          <t>Audio Publishers Association, Jun 2026 (+9%)</t>
        </is>
      </c>
      <c r="G47" t="inlineStr">
        <is>
          <t>R</t>
        </is>
      </c>
    </row>
    <row r="48">
      <c r="A48" t="inlineStr">
        <is>
          <t>apa_us_2024</t>
        </is>
      </c>
      <c r="B48" t="inlineStr">
        <is>
          <t>US audiobook publisher receipts 2024</t>
        </is>
      </c>
      <c r="C48" t="n">
        <v>2220</v>
      </c>
      <c r="D48" t="inlineStr">
        <is>
          <t>$M</t>
        </is>
      </c>
      <c r="E48" t="inlineStr">
        <is>
          <t>FY24</t>
        </is>
      </c>
      <c r="F48" t="inlineStr">
        <is>
          <t>APA (+13%)</t>
        </is>
      </c>
      <c r="G48" t="inlineStr">
        <is>
          <t>R</t>
        </is>
      </c>
    </row>
    <row r="49">
      <c r="A49" t="inlineStr">
        <is>
          <t>spot_us_share_lo</t>
        </is>
      </c>
      <c r="B49" t="inlineStr">
        <is>
          <t>Spotify share of US publisher audiobook receipts, low</t>
        </is>
      </c>
      <c r="C49" s="2" t="n">
        <v>0.1</v>
      </c>
      <c r="D49" t="inlineStr">
        <is>
          <t>x</t>
        </is>
      </c>
      <c r="E49" t="inlineStr">
        <is>
          <t>FY25</t>
        </is>
      </c>
      <c r="F49" t="inlineStr">
        <is>
          <t>Our estimate; Audible 63.4%→59.8% (eMarketer Mar-26), Spotify #2</t>
        </is>
      </c>
      <c r="G49" t="inlineStr">
        <is>
          <t>E</t>
        </is>
      </c>
    </row>
    <row r="50">
      <c r="A50" t="inlineStr">
        <is>
          <t>spot_us_share_hi</t>
        </is>
      </c>
      <c r="B50" t="inlineStr">
        <is>
          <t>Spotify share of US publisher audiobook receipts, high</t>
        </is>
      </c>
      <c r="C50" s="2" t="n">
        <v>0.14</v>
      </c>
      <c r="D50" t="inlineStr">
        <is>
          <t>x</t>
        </is>
      </c>
      <c r="E50" t="inlineStr">
        <is>
          <t>FY25</t>
        </is>
      </c>
      <c r="F50" t="inlineStr">
        <is>
          <t>Our estimate</t>
        </is>
      </c>
      <c r="G50" t="inlineStr">
        <is>
          <t>E</t>
        </is>
      </c>
    </row>
    <row r="51">
      <c r="A51" t="inlineStr">
        <is>
          <t>nonus_uplift</t>
        </is>
      </c>
      <c r="B51" t="inlineStr">
        <is>
          <t>Non-US markets as a multiple of US cost (UK, AU, CA, IE, NZ, FR, BX, DACH, Nordics)</t>
        </is>
      </c>
      <c r="C51" s="2" t="n">
        <v>1.4</v>
      </c>
      <c r="D51" t="inlineStr">
        <is>
          <t>x</t>
        </is>
      </c>
      <c r="E51" t="inlineStr">
        <is>
          <t>FY25</t>
        </is>
      </c>
      <c r="F51" t="inlineStr">
        <is>
          <t>Our estimate</t>
        </is>
      </c>
      <c r="G51" t="inlineStr">
        <is>
          <t>E</t>
        </is>
      </c>
    </row>
    <row r="52">
      <c r="A52" t="inlineStr">
        <is>
          <t>eurusd</t>
        </is>
      </c>
      <c r="B52" t="inlineStr">
        <is>
          <t>EUR/USD</t>
        </is>
      </c>
      <c r="C52" s="2" t="n">
        <v>1.13</v>
      </c>
      <c r="D52" t="inlineStr">
        <is>
          <t>x</t>
        </is>
      </c>
      <c r="E52" t="inlineStr">
        <is>
          <t>2025 avg</t>
        </is>
      </c>
      <c r="F52" t="inlineStr">
        <is>
          <t>approx.</t>
        </is>
      </c>
      <c r="G52" t="inlineStr">
        <is>
          <t>E</t>
        </is>
      </c>
    </row>
    <row r="53">
      <c r="A53" t="inlineStr">
        <is>
          <t>ab_plus_arr</t>
        </is>
      </c>
      <c r="B53" t="inlineStr">
        <is>
          <t>Audiobooks+ annual recurring revenue</t>
        </is>
      </c>
      <c r="C53" t="n">
        <v>100</v>
      </c>
      <c r="D53" t="inlineStr">
        <is>
          <t>$M</t>
        </is>
      </c>
      <c r="E53" t="inlineStr">
        <is>
          <t>Jul-26</t>
        </is>
      </c>
      <c r="F53" t="inlineStr">
        <is>
          <t>Investor Day 21 May 2026 ('on track for $100M ARR in July'); Q2-26 call: reached</t>
        </is>
      </c>
      <c r="G53" t="inlineStr">
        <is>
          <t>D</t>
        </is>
      </c>
    </row>
    <row r="54">
      <c r="A54" t="inlineStr">
        <is>
          <t>ab_plus_payers</t>
        </is>
      </c>
      <c r="B54" t="inlineStr">
        <is>
          <t>Audiobooks+ paying users</t>
        </is>
      </c>
      <c r="C54" t="n">
        <v>1</v>
      </c>
      <c r="D54" t="inlineStr">
        <is>
          <t>M</t>
        </is>
      </c>
      <c r="E54" t="inlineStr">
        <is>
          <t>May-26</t>
        </is>
      </c>
      <c r="F54" t="inlineStr">
        <is>
          <t>Investor Day via Publishers Weekly ('more than one million')</t>
        </is>
      </c>
      <c r="G54" t="inlineStr">
        <is>
          <t>D</t>
        </is>
      </c>
    </row>
    <row r="55">
      <c r="A55" t="inlineStr">
        <is>
          <t>a_rev_2024</t>
        </is>
      </c>
      <c r="B55" t="inlineStr">
        <is>
          <t>Priced audiobook revenue 2024 (top-ups from Mar-24)</t>
        </is>
      </c>
      <c r="C55" s="2" t="n">
        <v>5</v>
      </c>
      <c r="D55" t="inlineStr">
        <is>
          <t>€M</t>
        </is>
      </c>
      <c r="E55" t="inlineStr">
        <is>
          <t>FY24</t>
        </is>
      </c>
      <c r="F55" t="inlineStr">
        <is>
          <t>Our estimate</t>
        </is>
      </c>
      <c r="G55" t="inlineStr">
        <is>
          <t>E</t>
        </is>
      </c>
    </row>
    <row r="56">
      <c r="A56" t="inlineStr">
        <is>
          <t>a_rev_2025</t>
        </is>
      </c>
      <c r="B56" t="inlineStr">
        <is>
          <t>Priced audiobook revenue 2025 (US Audiobooks+ from Aug-25; 11 EU markets late-25)</t>
        </is>
      </c>
      <c r="C56" s="2" t="n">
        <v>30</v>
      </c>
      <c r="D56" t="inlineStr">
        <is>
          <t>€M</t>
        </is>
      </c>
      <c r="E56" t="inlineStr">
        <is>
          <t>FY25</t>
        </is>
      </c>
      <c r="F56" t="inlineStr">
        <is>
          <t>Our estimate</t>
        </is>
      </c>
      <c r="G56" t="inlineStr">
        <is>
          <t>E</t>
        </is>
      </c>
    </row>
    <row r="57">
      <c r="A57" t="inlineStr">
        <is>
          <t>a_rev_2026</t>
        </is>
      </c>
      <c r="B57" t="inlineStr">
        <is>
          <t>Priced audiobook revenue 2026E</t>
        </is>
      </c>
      <c r="C57" s="2" t="n">
        <v>75</v>
      </c>
      <c r="D57" t="inlineStr">
        <is>
          <t>€M</t>
        </is>
      </c>
      <c r="E57" t="inlineStr">
        <is>
          <t>FY26E</t>
        </is>
      </c>
      <c r="F57" t="inlineStr">
        <is>
          <t>ARR $100M mid-year ≈ €88M run-rate; H1 lower</t>
        </is>
      </c>
      <c r="G57" t="inlineStr">
        <is>
          <t>E</t>
        </is>
      </c>
    </row>
    <row r="58">
      <c r="A58" t="inlineStr">
        <is>
          <t>a_rev_2027</t>
        </is>
      </c>
      <c r="B58" t="inlineStr">
        <is>
          <t>Priced audiobook revenue 2027E</t>
        </is>
      </c>
      <c r="C58" s="2" t="n">
        <v>120</v>
      </c>
      <c r="D58" t="inlineStr">
        <is>
          <t>€M</t>
        </is>
      </c>
      <c r="E58" t="inlineStr">
        <is>
          <t>FY27E</t>
        </is>
      </c>
      <c r="F58" t="inlineStr">
        <is>
          <t>Our estimate (+60%)</t>
        </is>
      </c>
      <c r="G58" t="inlineStr">
        <is>
          <t>E</t>
        </is>
      </c>
    </row>
    <row r="59">
      <c r="A59" t="inlineStr">
        <is>
          <t>a_cogs_ratio</t>
        </is>
      </c>
      <c r="B59" t="inlineStr">
        <is>
          <t>Content cost on paid hours (same publisher payments apply)</t>
        </is>
      </c>
      <c r="C59" s="2" t="n">
        <v>0.55</v>
      </c>
      <c r="D59" t="inlineStr">
        <is>
          <t>x</t>
        </is>
      </c>
      <c r="E59" t="inlineStr"/>
      <c r="F59" t="inlineStr">
        <is>
          <t>Our assumption</t>
        </is>
      </c>
      <c r="G59" t="inlineStr">
        <is>
          <t>E</t>
        </is>
      </c>
    </row>
    <row r="60">
      <c r="A60" t="inlineStr">
        <is>
          <t>subs_global</t>
        </is>
      </c>
      <c r="B60" t="inlineStr">
        <is>
          <t>Premium subscribers</t>
        </is>
      </c>
      <c r="C60" t="n">
        <v>300</v>
      </c>
      <c r="D60" t="inlineStr">
        <is>
          <t>M</t>
        </is>
      </c>
      <c r="E60" t="inlineStr">
        <is>
          <t>Q2-26</t>
        </is>
      </c>
      <c r="F60" t="inlineStr">
        <is>
          <t>Spotify Q2-26 deck</t>
        </is>
      </c>
      <c r="G60" t="inlineStr">
        <is>
          <t>D</t>
        </is>
      </c>
    </row>
    <row r="61">
      <c r="A61" t="inlineStr">
        <is>
          <t>subs_eligible</t>
        </is>
      </c>
      <c r="B61" t="inlineStr">
        <is>
          <t>Subscribers in markets with Audiobooks in Premium</t>
        </is>
      </c>
      <c r="C61" s="2" t="n">
        <v>140</v>
      </c>
      <c r="D61" t="inlineStr">
        <is>
          <t>M</t>
        </is>
      </c>
      <c r="E61" t="inlineStr">
        <is>
          <t>Q2-26</t>
        </is>
      </c>
      <c r="F61" t="inlineStr">
        <is>
          <t>Our estimate: NA 75M + eligible Europe ~60M + AU/NZ ~6M</t>
        </is>
      </c>
      <c r="G61" t="inlineStr">
        <is>
          <t>E</t>
        </is>
      </c>
    </row>
    <row r="62">
      <c r="A62" t="inlineStr">
        <is>
          <t>listen_share</t>
        </is>
      </c>
      <c r="B62" t="inlineStr">
        <is>
          <t>Share of Premium subscribers listening to audiobooks</t>
        </is>
      </c>
      <c r="C62" t="n">
        <v>0.25</v>
      </c>
      <c r="D62" t="inlineStr">
        <is>
          <t>x</t>
        </is>
      </c>
      <c r="E62" t="inlineStr">
        <is>
          <t>2025</t>
        </is>
      </c>
      <c r="F62" t="inlineStr">
        <is>
          <t>The Bookseller 2025; TechCrunch 17 Jul 2025</t>
        </is>
      </c>
      <c r="G62" t="inlineStr">
        <is>
          <t>R</t>
        </is>
      </c>
    </row>
    <row r="63">
      <c r="A63" t="inlineStr">
        <is>
          <t>tried_share</t>
        </is>
      </c>
      <c r="B63" t="inlineStr">
        <is>
          <t>Share of eligible Premium users who have ever pressed play</t>
        </is>
      </c>
      <c r="C63" t="n">
        <v>0.5</v>
      </c>
      <c r="D63" t="inlineStr">
        <is>
          <t>x</t>
        </is>
      </c>
      <c r="E63" t="inlineStr">
        <is>
          <t>Oct-25</t>
        </is>
      </c>
      <c r="F63" t="inlineStr">
        <is>
          <t>Spotify newsroom 15 Oct 2025</t>
        </is>
      </c>
      <c r="G63" t="inlineStr">
        <is>
          <t>D</t>
        </is>
      </c>
    </row>
    <row r="64">
      <c r="A64" t="inlineStr">
        <is>
          <t>basic_optout</t>
        </is>
      </c>
      <c r="B64" t="inlineStr">
        <is>
          <t>US individual subscribers who took the $1 Basic plan to drop audiobooks</t>
        </is>
      </c>
      <c r="C64" t="n">
        <v>0.155</v>
      </c>
      <c r="D64" t="inlineStr">
        <is>
          <t>x</t>
        </is>
      </c>
      <c r="E64" t="inlineStr">
        <is>
          <t>2024</t>
        </is>
      </c>
      <c r="F64" t="inlineStr">
        <is>
          <t>Morgan Stanley survey via Billboard (14–17%)</t>
        </is>
      </c>
      <c r="G64" t="inlineStr">
        <is>
          <t>R</t>
        </is>
      </c>
    </row>
    <row r="65">
      <c r="A65" t="inlineStr">
        <is>
          <t>bull_attach</t>
        </is>
      </c>
      <c r="B65" t="inlineStr">
        <is>
          <t>Bull-case Music Pro attach assumption</t>
        </is>
      </c>
      <c r="C65" s="2" t="n">
        <v>0.03</v>
      </c>
      <c r="D65" t="inlineStr">
        <is>
          <t>x</t>
        </is>
      </c>
      <c r="E65" t="inlineStr">
        <is>
          <t>2027</t>
        </is>
      </c>
      <c r="F65" t="inlineStr">
        <is>
          <t>Pitch bull case</t>
        </is>
      </c>
      <c r="G65" t="inlineStr">
        <is>
          <t>E</t>
        </is>
      </c>
    </row>
    <row r="66">
      <c r="A66" t="inlineStr">
        <is>
          <t>cons_gm_exp_2026</t>
        </is>
      </c>
      <c r="B66" t="inlineStr">
        <is>
          <t>Consensus gross-margin expansion needed 2026</t>
        </is>
      </c>
      <c r="C66" t="n">
        <v>115</v>
      </c>
      <c r="D66" t="inlineStr">
        <is>
          <t>bp</t>
        </is>
      </c>
      <c r="E66" t="inlineStr">
        <is>
          <t>FY26</t>
        </is>
      </c>
      <c r="F66" t="inlineStr">
        <is>
          <t>33.2% vs 32.0%</t>
        </is>
      </c>
      <c r="G66" t="inlineStr">
        <is>
          <t>R</t>
        </is>
      </c>
    </row>
    <row r="67">
      <c r="A67" t="inlineStr">
        <is>
          <t>cons_gm_exp_2027</t>
        </is>
      </c>
      <c r="B67" t="inlineStr">
        <is>
          <t>Consensus gross-margin expansion needed 2027</t>
        </is>
      </c>
      <c r="C67" t="n">
        <v>130</v>
      </c>
      <c r="D67" t="inlineStr">
        <is>
          <t>bp</t>
        </is>
      </c>
      <c r="E67" t="inlineStr">
        <is>
          <t>FY27</t>
        </is>
      </c>
      <c r="F67" t="inlineStr">
        <is>
          <t>~34.5% vs 33.2% (reconstructed)</t>
        </is>
      </c>
      <c r="G67" t="inlineStr">
        <is>
          <t>R</t>
        </is>
      </c>
    </row>
    <row r="68">
      <c r="A68" t="inlineStr">
        <is>
          <t>p_2024</t>
        </is>
      </c>
      <c r="B68" t="inlineStr">
        <is>
          <t>Memo: Jun-24 US price increase, annualized revenue (not in N)</t>
        </is>
      </c>
      <c r="C68" s="2" t="n">
        <v>500</v>
      </c>
      <c r="D68" t="inlineStr">
        <is>
          <t>€M</t>
        </is>
      </c>
      <c r="E68" t="inlineStr">
        <is>
          <t>run-rate</t>
        </is>
      </c>
      <c r="F68" t="inlineStr">
        <is>
          <t>Our estimate (~7% blended on ~€8B US Premium revenue)</t>
        </is>
      </c>
      <c r="G68" t="inlineStr">
        <is>
          <t>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Bundle mechanical-royalty saving, net of hand-backs (€M)</t>
        </is>
      </c>
      <c r="B1" s="1" t="inlineStr"/>
      <c r="C1" s="1" t="n">
        <v>2024</v>
      </c>
      <c r="D1" s="1" t="n">
        <v>2025</v>
      </c>
      <c r="E1" s="1" t="n">
        <v>2026</v>
      </c>
      <c r="F1" s="1" t="n">
        <v>2027</v>
      </c>
    </row>
    <row r="2">
      <c r="A2" t="inlineStr">
        <is>
          <t>Run-rate saving (€M/yr) = 13-month disclosure × 12/13</t>
        </is>
      </c>
      <c r="B2">
        <f>Inputs!$C$26/Inputs!$C$27*12</f>
        <v/>
      </c>
    </row>
    <row r="3">
      <c r="A3" t="inlineStr">
        <is>
          <t>Months bundle active in year</t>
        </is>
      </c>
      <c r="B3" t="inlineStr"/>
      <c r="C3" t="n">
        <v>10</v>
      </c>
      <c r="D3" t="n">
        <v>12</v>
      </c>
      <c r="E3" t="n">
        <v>12</v>
      </c>
      <c r="F3" t="n">
        <v>12</v>
      </c>
    </row>
    <row r="4">
      <c r="A4" t="inlineStr">
        <is>
          <t>Gross saving</t>
        </is>
      </c>
      <c r="B4" t="inlineStr"/>
      <c r="C4">
        <f>$B$2*C3/12</f>
        <v/>
      </c>
      <c r="D4">
        <f>$B$2*D3/12</f>
        <v/>
      </c>
      <c r="E4">
        <f>$B$2*E3/12</f>
        <v/>
      </c>
      <c r="F4">
        <f>$B$2*F3/12</f>
        <v/>
      </c>
    </row>
    <row r="5">
      <c r="A5" t="inlineStr">
        <is>
          <t>UMPG months on direct deal</t>
        </is>
      </c>
      <c r="B5" t="inlineStr"/>
      <c r="C5" t="n">
        <v>0</v>
      </c>
      <c r="D5">
        <f>13-Inputs!$C$35</f>
        <v/>
      </c>
      <c r="E5" t="n">
        <v>12</v>
      </c>
      <c r="F5" t="n">
        <v>12</v>
      </c>
    </row>
    <row r="6">
      <c r="A6" t="inlineStr">
        <is>
          <t>Warner Chappell months on direct deal</t>
        </is>
      </c>
      <c r="B6" t="inlineStr"/>
      <c r="C6" t="n">
        <v>0</v>
      </c>
      <c r="D6">
        <f>13-Inputs!$C$36</f>
        <v/>
      </c>
      <c r="E6" t="n">
        <v>12</v>
      </c>
      <c r="F6" t="n">
        <v>12</v>
      </c>
    </row>
    <row r="7">
      <c r="A7" t="inlineStr">
        <is>
          <t>Sony Music Publishing months on direct deal</t>
        </is>
      </c>
      <c r="B7" t="inlineStr"/>
      <c r="C7" t="n">
        <v>0</v>
      </c>
      <c r="D7">
        <f>13-Inputs!$C$37</f>
        <v/>
      </c>
      <c r="E7" t="n">
        <v>12</v>
      </c>
      <c r="F7" t="n">
        <v>12</v>
      </c>
    </row>
    <row r="8">
      <c r="A8" t="inlineStr">
        <is>
          <t>Hand-back to majors' publishers = run-rate × share × months/12 × restoration</t>
        </is>
      </c>
      <c r="B8" t="inlineStr"/>
      <c r="C8">
        <f>$B$2*(Inputs!$C$32*C5+Inputs!$C$33*C6+Inputs!$C$34*C7)/12*Inputs!$C$38</f>
        <v/>
      </c>
      <c r="D8">
        <f>$B$2*(Inputs!$C$32*D5+Inputs!$C$33*D6+Inputs!$C$34*D7)/12*Inputs!$C$38</f>
        <v/>
      </c>
      <c r="E8">
        <f>$B$2*(Inputs!$C$32*E5+Inputs!$C$33*E6+Inputs!$C$34*E7)/12*Inputs!$C$38</f>
        <v/>
      </c>
      <c r="F8">
        <f>$B$2*(Inputs!$C$32*F5+Inputs!$C$33*F6+Inputs!$C$34*F7)/12*Inputs!$C$38</f>
        <v/>
      </c>
    </row>
    <row r="9">
      <c r="A9" t="inlineStr">
        <is>
          <t>B = gross − hand-back (2027: zero if MLC flag = 1)</t>
        </is>
      </c>
      <c r="B9" t="inlineStr"/>
      <c r="C9">
        <f>C4-C8</f>
        <v/>
      </c>
      <c r="D9">
        <f>D4-D8</f>
        <v/>
      </c>
      <c r="E9">
        <f>E4-E8</f>
        <v/>
      </c>
      <c r="F9">
        <f>IF(Inputs!$C$39=1,0,F4-F8)</f>
        <v/>
      </c>
    </row>
    <row r="11">
      <c r="A11" t="inlineStr">
        <is>
          <t>Cross-checks</t>
        </is>
      </c>
      <c r="B11" t="inlineStr"/>
    </row>
    <row r="12">
      <c r="A12" t="inlineStr">
        <is>
          <t>NMPA first-year loss ($M)</t>
        </is>
      </c>
      <c r="B12">
        <f>Inputs!$C$28</f>
        <v/>
      </c>
    </row>
    <row r="13">
      <c r="A13" t="inlineStr">
        <is>
          <t>Billboard: Q4-23 → Q4-25 MLC mechanical payments ($M); −45% but majors left the MLC pool via direct deals, so post-2025 MLC data overstate the net saving</t>
        </is>
      </c>
      <c r="B13">
        <f>Inputs!$C$29</f>
        <v/>
      </c>
      <c r="C13">
        <f>Inputs!$C$30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Audiobook licensing cost on included consumption (€M)</t>
        </is>
      </c>
      <c r="B1" s="1" t="inlineStr"/>
      <c r="C1" s="1" t="n">
        <v>2023</v>
      </c>
      <c r="D1" s="1" t="n">
        <v>2024</v>
      </c>
      <c r="E1" s="1" t="n">
        <v>2025</v>
      </c>
      <c r="F1" s="1" t="n">
        <v>2026</v>
      </c>
      <c r="G1" s="1" t="n">
        <v>2027</v>
      </c>
    </row>
    <row r="2">
      <c r="A2" t="inlineStr">
        <is>
          <t>Growth assumption</t>
        </is>
      </c>
      <c r="B2" t="inlineStr"/>
      <c r="C2" t="inlineStr"/>
      <c r="D2" t="inlineStr"/>
      <c r="E2">
        <f>Inputs!$C$42</f>
        <v/>
      </c>
      <c r="F2">
        <f>Inputs!$C$43</f>
        <v/>
      </c>
      <c r="G2">
        <f>Inputs!$C$44</f>
        <v/>
      </c>
    </row>
    <row r="3">
      <c r="A3" t="inlineStr">
        <is>
          <t>C base</t>
        </is>
      </c>
      <c r="B3" t="inlineStr"/>
      <c r="C3">
        <f>Inputs!$C$40</f>
        <v/>
      </c>
      <c r="D3">
        <f>Inputs!$C$41</f>
        <v/>
      </c>
      <c r="E3">
        <f>D3*(1+E2)</f>
        <v/>
      </c>
      <c r="F3">
        <f>E3*(1+F2)</f>
        <v/>
      </c>
      <c r="G3">
        <f>F3*(1+G2)</f>
        <v/>
      </c>
    </row>
    <row r="4">
      <c r="A4" t="inlineStr">
        <is>
          <t>C low</t>
        </is>
      </c>
      <c r="B4" t="inlineStr"/>
      <c r="C4">
        <f>C3*Inputs!$C$45</f>
        <v/>
      </c>
      <c r="D4">
        <f>D3*Inputs!$C$45</f>
        <v/>
      </c>
      <c r="E4">
        <f>E3*Inputs!$C$45</f>
        <v/>
      </c>
      <c r="F4">
        <f>F3*Inputs!$C$45</f>
        <v/>
      </c>
      <c r="G4">
        <f>G3*Inputs!$C$45</f>
        <v/>
      </c>
    </row>
    <row r="5">
      <c r="A5" t="inlineStr">
        <is>
          <t>C high</t>
        </is>
      </c>
      <c r="B5" t="inlineStr"/>
      <c r="C5">
        <f>C3*Inputs!$C$46</f>
        <v/>
      </c>
      <c r="D5">
        <f>D3*Inputs!$C$46</f>
        <v/>
      </c>
      <c r="E5">
        <f>E3*Inputs!$C$46</f>
        <v/>
      </c>
      <c r="F5">
        <f>F3*Inputs!$C$46</f>
        <v/>
      </c>
      <c r="G5">
        <f>G3*Inputs!$C$46</f>
        <v/>
      </c>
    </row>
    <row r="7">
      <c r="A7" t="inlineStr">
        <is>
          <t>Triangulation 1 — market share (2025)</t>
        </is>
      </c>
      <c r="B7" t="inlineStr"/>
    </row>
    <row r="8">
      <c r="A8" t="inlineStr">
        <is>
          <t>US publisher receipts 2025 ($M)</t>
        </is>
      </c>
      <c r="B8">
        <f>Inputs!$C$47</f>
        <v/>
      </c>
    </row>
    <row r="9">
      <c r="A9" t="inlineStr">
        <is>
          <t>Spotify share low / high</t>
        </is>
      </c>
      <c r="B9">
        <f>Inputs!$C$49</f>
        <v/>
      </c>
      <c r="C9">
        <f>Inputs!$C$50</f>
        <v/>
      </c>
    </row>
    <row r="10">
      <c r="A10" t="inlineStr">
        <is>
          <t>Non-US multiple</t>
        </is>
      </c>
      <c r="B10">
        <f>Inputs!$C$51</f>
        <v/>
      </c>
    </row>
    <row r="11">
      <c r="A11" t="inlineStr">
        <is>
          <t>Implied global C 2025 low / high (€M)</t>
        </is>
      </c>
      <c r="B11">
        <f>B8*B9*B10/Inputs!$C$52</f>
        <v/>
      </c>
      <c r="C11">
        <f>B8*C9*B10/Inputs!$C$52</f>
        <v/>
      </c>
    </row>
    <row r="13">
      <c r="A13" t="inlineStr">
        <is>
          <t>Triangulation 2 — company phrases</t>
        </is>
      </c>
      <c r="B13" t="inlineStr"/>
    </row>
    <row r="14">
      <c r="A14" t="inlineStr">
        <is>
          <t>'Tens of millions' paid to publishers (Feb 2024, ~3 months after US launch)</t>
        </is>
      </c>
      <c r="B14" t="inlineStr">
        <is>
          <t>DMN 5 Feb 2024</t>
        </is>
      </c>
    </row>
    <row r="15">
      <c r="A15" t="inlineStr">
        <is>
          <t>'Hundreds of millions of dollars a year' (Oct 2024; repeated Mar 2025)</t>
        </is>
      </c>
      <c r="B15" t="inlineStr">
        <is>
          <t>Axios 15 Oct 2024; Spotify newsroom 13 Mar 2025</t>
        </is>
      </c>
    </row>
    <row r="17">
      <c r="A17" t="inlineStr">
        <is>
          <t>Triangulation 3 — residual (incremental Premium content-cost ratio)</t>
        </is>
      </c>
      <c r="B17" t="inlineStr"/>
      <c r="C17" t="inlineStr">
        <is>
          <t>ΔPremium revenue</t>
        </is>
      </c>
      <c r="D17" t="inlineStr">
        <is>
          <t>Δcontent cost</t>
        </is>
      </c>
      <c r="E17" t="inlineStr">
        <is>
          <t>incremental ratio</t>
        </is>
      </c>
    </row>
    <row r="18">
      <c r="A18" t="inlineStr">
        <is>
          <t>FY24 vs FY23</t>
        </is>
      </c>
      <c r="B18" t="inlineStr"/>
      <c r="C18">
        <f>Inputs!$C$4-Inputs!$C$3</f>
        <v/>
      </c>
      <c r="D18">
        <f>Inputs!$C$18</f>
        <v/>
      </c>
      <c r="E18">
        <f>D17/C17</f>
        <v/>
      </c>
    </row>
    <row r="19">
      <c r="A19" t="inlineStr">
        <is>
          <t>FY25 vs FY24</t>
        </is>
      </c>
      <c r="B19" t="inlineStr"/>
      <c r="C19">
        <f>Inputs!$C$5-Inputs!$C$4</f>
        <v/>
      </c>
      <c r="D19">
        <f>Inputs!$C$19</f>
        <v/>
      </c>
      <c r="E19">
        <f>D18/C18</f>
        <v/>
      </c>
    </row>
    <row r="20">
      <c r="A20" t="inlineStr">
        <is>
          <t>9M-25 vs 9M-24</t>
        </is>
      </c>
      <c r="B20" t="inlineStr"/>
      <c r="C20">
        <f>Inputs!$C$25-Inputs!$C$24</f>
        <v/>
      </c>
      <c r="D20">
        <f>Inputs!$C$20</f>
        <v/>
      </c>
      <c r="E20">
        <f>D19/C19</f>
        <v/>
      </c>
    </row>
    <row r="21">
      <c r="A21" t="inlineStr">
        <is>
          <t>H1-26 vs H1-25</t>
        </is>
      </c>
      <c r="B21" t="inlineStr"/>
      <c r="C21">
        <f>Inputs!$C$23-Inputs!$C$22</f>
        <v/>
      </c>
      <c r="D21">
        <f>Inputs!$C$21</f>
        <v/>
      </c>
      <c r="E21">
        <f>D20/C20</f>
        <v/>
      </c>
    </row>
    <row r="22">
      <c r="A22" t="inlineStr">
        <is>
          <t>Reading: the incremental content-cost ratio sits at 48–50% in every period against a ~66% average ratio. It does not isolate audiobooks: music royalties, the bundle saving, marketplace offsets and the Partner Program all move inside it. It bounds C's growth rather than measuring it.</t>
        </is>
      </c>
      <c r="B2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Priced audiobook channel (€M)</t>
        </is>
      </c>
      <c r="B1" s="1" t="inlineStr"/>
      <c r="C1" s="1" t="n">
        <v>2024</v>
      </c>
      <c r="D1" s="1" t="n">
        <v>2025</v>
      </c>
      <c r="E1" s="1" t="n">
        <v>2026</v>
      </c>
      <c r="F1" s="1" t="n">
        <v>2027</v>
      </c>
    </row>
    <row r="2">
      <c r="A2" t="inlineStr">
        <is>
          <t>Revenue (Audiobooks+, top-ups, Access, à la carte)</t>
        </is>
      </c>
      <c r="B2" t="inlineStr"/>
      <c r="C2">
        <f>Inputs!$C$55</f>
        <v/>
      </c>
      <c r="D2">
        <f>Inputs!$C$56</f>
        <v/>
      </c>
      <c r="E2">
        <f>Inputs!$C$57</f>
        <v/>
      </c>
      <c r="F2">
        <f>Inputs!$C$58</f>
        <v/>
      </c>
    </row>
    <row r="3">
      <c r="A3" t="inlineStr">
        <is>
          <t>Content cost ratio on paid hours</t>
        </is>
      </c>
      <c r="B3">
        <f>Inputs!$C$59</f>
        <v/>
      </c>
    </row>
    <row r="4">
      <c r="A4" t="inlineStr">
        <is>
          <t>A_gp = revenue × (1 − ratio)</t>
        </is>
      </c>
      <c r="B4" t="inlineStr"/>
      <c r="C4">
        <f>C2*(1-$B$3)</f>
        <v/>
      </c>
      <c r="D4">
        <f>D2*(1-$B$3)</f>
        <v/>
      </c>
      <c r="E4">
        <f>E2*(1-$B$3)</f>
        <v/>
      </c>
      <c r="F4">
        <f>F2*(1-$B$3)</f>
        <v/>
      </c>
    </row>
    <row r="6">
      <c r="A6" t="inlineStr">
        <is>
          <t>Attach</t>
        </is>
      </c>
      <c r="B6" t="inlineStr"/>
      <c r="C6" t="inlineStr">
        <is>
          <t>value</t>
        </is>
      </c>
    </row>
    <row r="7">
      <c r="A7" t="inlineStr">
        <is>
          <t>Audiobooks+ payers (M)</t>
        </is>
      </c>
      <c r="B7" t="inlineStr"/>
      <c r="C7">
        <f>Inputs!$C$54</f>
        <v/>
      </c>
    </row>
    <row r="8">
      <c r="A8" t="inlineStr">
        <is>
          <t>ARR per payer ($/yr)</t>
        </is>
      </c>
      <c r="B8" t="inlineStr"/>
      <c r="C8">
        <f>Inputs!$C$53/Inputs!$C$54</f>
        <v/>
      </c>
    </row>
    <row r="9">
      <c r="A9" t="inlineStr">
        <is>
          <t>payers / global subscribers</t>
        </is>
      </c>
      <c r="B9" t="inlineStr"/>
      <c r="C9">
        <f>C7/Inputs!$C$60</f>
        <v/>
      </c>
    </row>
    <row r="10">
      <c r="A10" t="inlineStr">
        <is>
          <t>payers / eligible-market subscribers</t>
        </is>
      </c>
      <c r="B10" t="inlineStr"/>
      <c r="C10">
        <f>C7/Inputs!$C$61</f>
        <v/>
      </c>
    </row>
    <row r="11">
      <c r="A11" t="inlineStr">
        <is>
          <t>payers / monthly listeners (25% of eligible)</t>
        </is>
      </c>
      <c r="B11" t="inlineStr"/>
      <c r="C11">
        <f>C7/(Inputs!$C$61*Inputs!$C$62)</f>
        <v/>
      </c>
    </row>
    <row r="12">
      <c r="A12" t="inlineStr">
        <is>
          <t>payers / monthly listeners (25% of global)</t>
        </is>
      </c>
      <c r="B12" t="inlineStr"/>
      <c r="C12">
        <f>C7/(Inputs!$C$60*Inputs!$C$62)</f>
        <v/>
      </c>
    </row>
    <row r="13">
      <c r="A13" t="inlineStr">
        <is>
          <t>US individual subscribers who dropped audiobooks for $1 (Basic plan)</t>
        </is>
      </c>
      <c r="B13" t="inlineStr"/>
      <c r="C13">
        <f>Inputs!$C$64</f>
        <v/>
      </c>
    </row>
    <row r="14">
      <c r="A14" t="inlineStr">
        <is>
          <t>Bull-case Music Pro attach</t>
        </is>
      </c>
      <c r="B14" t="inlineStr"/>
      <c r="C14">
        <f>Inputs!$C$65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N(t) = B + A_gp − C   (€M unless noted)</t>
        </is>
      </c>
      <c r="B1" s="1" t="inlineStr"/>
      <c r="C1" s="1" t="n">
        <v>2024</v>
      </c>
      <c r="D1" s="1" t="n">
        <v>2025</v>
      </c>
      <c r="E1" s="1" t="n">
        <v>2026</v>
      </c>
      <c r="F1" s="1" t="n">
        <v>2027</v>
      </c>
    </row>
    <row r="2">
      <c r="A2" t="inlineStr">
        <is>
          <t>B  bundle saving net of hand-backs</t>
        </is>
      </c>
      <c r="B2" t="inlineStr"/>
      <c r="C2">
        <f>B_bundle!C9</f>
        <v/>
      </c>
      <c r="D2">
        <f>B_bundle!D9</f>
        <v/>
      </c>
      <c r="E2">
        <f>B_bundle!E9</f>
        <v/>
      </c>
      <c r="F2">
        <f>B_bundle!F9</f>
        <v/>
      </c>
    </row>
    <row r="3">
      <c r="A3" t="inlineStr">
        <is>
          <t>A_gp  gross profit on priced consumption</t>
        </is>
      </c>
      <c r="B3" t="inlineStr"/>
      <c r="C3">
        <f>A_paid!C4</f>
        <v/>
      </c>
      <c r="D3">
        <f>A_paid!D4</f>
        <v/>
      </c>
      <c r="E3">
        <f>A_paid!E4</f>
        <v/>
      </c>
      <c r="F3">
        <f>A_paid!F4</f>
        <v/>
      </c>
    </row>
    <row r="4">
      <c r="A4" t="inlineStr">
        <is>
          <t>C  licensing cost on included consumption</t>
        </is>
      </c>
      <c r="B4" t="inlineStr"/>
      <c r="C4">
        <f>C_cost!D3</f>
        <v/>
      </c>
      <c r="D4">
        <f>C_cost!E3</f>
        <v/>
      </c>
      <c r="E4">
        <f>C_cost!F3</f>
        <v/>
      </c>
      <c r="F4">
        <f>C_cost!G3</f>
        <v/>
      </c>
    </row>
    <row r="5">
      <c r="A5" t="inlineStr">
        <is>
          <t>N = B + A_gp − C</t>
        </is>
      </c>
      <c r="B5" t="inlineStr"/>
      <c r="C5">
        <f>C2+C3-C4</f>
        <v/>
      </c>
      <c r="D5">
        <f>D2+D3-D4</f>
        <v/>
      </c>
      <c r="E5">
        <f>E2+E3-E4</f>
        <v/>
      </c>
      <c r="F5">
        <f>F2+F3-F4</f>
        <v/>
      </c>
    </row>
    <row r="6">
      <c r="A6" t="inlineStr">
        <is>
          <t>Group revenue</t>
        </is>
      </c>
      <c r="B6" t="inlineStr"/>
      <c r="C6">
        <f>Inputs!$C$9</f>
        <v/>
      </c>
      <c r="D6">
        <f>Inputs!$C$10</f>
        <v/>
      </c>
      <c r="E6">
        <f>Inputs!$C$11</f>
        <v/>
      </c>
      <c r="F6">
        <f>Inputs!$C$12</f>
        <v/>
      </c>
    </row>
    <row r="7">
      <c r="A7" t="inlineStr">
        <is>
          <t>N as bp of group revenue</t>
        </is>
      </c>
      <c r="B7" t="inlineStr"/>
      <c r="C7">
        <f>C5/C6*10000</f>
        <v/>
      </c>
      <c r="D7">
        <f>D5/D6*10000</f>
        <v/>
      </c>
      <c r="E7">
        <f>E5/E6*10000</f>
        <v/>
      </c>
      <c r="F7">
        <f>F5/F6*10000</f>
        <v/>
      </c>
    </row>
    <row r="8">
      <c r="A8" t="inlineStr">
        <is>
          <t>ΔN y/y (the gross-margin headwind), €M</t>
        </is>
      </c>
      <c r="B8" t="inlineStr"/>
      <c r="C8" t="inlineStr"/>
      <c r="D8">
        <f>D5-C5</f>
        <v/>
      </c>
      <c r="E8">
        <f>E5-D5</f>
        <v/>
      </c>
      <c r="F8">
        <f>F5-E5</f>
        <v/>
      </c>
    </row>
    <row r="9">
      <c r="A9" t="inlineStr">
        <is>
          <t>ΔN y/y, bp of group revenue</t>
        </is>
      </c>
      <c r="B9" t="inlineStr"/>
      <c r="C9" t="inlineStr"/>
      <c r="D9">
        <f>D8/D6*10000</f>
        <v/>
      </c>
      <c r="E9">
        <f>E8/E6*10000</f>
        <v/>
      </c>
      <c r="F9">
        <f>F8/F6*10000</f>
        <v/>
      </c>
    </row>
    <row r="10">
      <c r="A10" t="inlineStr">
        <is>
          <t xml:space="preserve">  of which music publishers (ΔB)</t>
        </is>
      </c>
      <c r="B10" t="inlineStr"/>
      <c r="C10" t="inlineStr"/>
      <c r="D10">
        <f>D2-C2</f>
        <v/>
      </c>
      <c r="E10">
        <f>E2-D2</f>
        <v/>
      </c>
      <c r="F10">
        <f>F2-E2</f>
        <v/>
      </c>
    </row>
    <row r="11">
      <c r="A11" t="inlineStr">
        <is>
          <t xml:space="preserve">  of which book publishers (−ΔC)</t>
        </is>
      </c>
      <c r="B11" t="inlineStr"/>
      <c r="C11" t="inlineStr"/>
      <c r="D11">
        <f>-(D4-C4)</f>
        <v/>
      </c>
      <c r="E11">
        <f>-(E4-D4)</f>
        <v/>
      </c>
      <c r="F11">
        <f>-(F4-E4)</f>
        <v/>
      </c>
    </row>
    <row r="12">
      <c r="A12" t="inlineStr">
        <is>
          <t xml:space="preserve">  of which priced channel (ΔA_gp)</t>
        </is>
      </c>
      <c r="B12" t="inlineStr"/>
      <c r="C12" t="inlineStr"/>
      <c r="D12">
        <f>D3-C3</f>
        <v/>
      </c>
      <c r="E12">
        <f>E3-D3</f>
        <v/>
      </c>
      <c r="F12">
        <f>F3-E3</f>
        <v/>
      </c>
    </row>
    <row r="13">
      <c r="A13" t="inlineStr">
        <is>
          <t>Consensus gross-margin expansion needed, bp</t>
        </is>
      </c>
      <c r="B13" t="inlineStr"/>
      <c r="C13" t="inlineStr"/>
      <c r="D13" t="inlineStr"/>
      <c r="E13">
        <f>Inputs!$C$66</f>
        <v/>
      </c>
      <c r="F13">
        <f>Inputs!$C$67</f>
        <v/>
      </c>
    </row>
    <row r="14">
      <c r="A14" t="inlineStr">
        <is>
          <t>Audiobook headwind as share of needed expansion</t>
        </is>
      </c>
      <c r="B14" t="inlineStr"/>
      <c r="C14" t="inlineStr"/>
      <c r="D14" t="inlineStr"/>
      <c r="E14">
        <f>-E9/E13</f>
        <v/>
      </c>
      <c r="F14">
        <f>-F9/F13</f>
        <v/>
      </c>
    </row>
    <row r="16">
      <c r="A16" t="inlineStr">
        <is>
          <t>Memo (excluded from N): Jun-24 US price increase annualized, €M — the item management credits to audiobooks</t>
        </is>
      </c>
      <c r="B16" t="inlineStr"/>
      <c r="C16">
        <f>Inputs!$C$68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Premium cost of revenue, annual</t>
        </is>
      </c>
      <c r="B1" s="1" t="inlineStr"/>
      <c r="C1" s="1" t="n">
        <v>2022</v>
      </c>
      <c r="D1" s="1" t="n">
        <v>2023</v>
      </c>
      <c r="E1" s="1" t="n">
        <v>2024</v>
      </c>
      <c r="F1" s="1" t="n">
        <v>2025</v>
      </c>
    </row>
    <row r="2">
      <c r="A2" t="inlineStr">
        <is>
          <t>Premium revenue</t>
        </is>
      </c>
      <c r="B2" t="inlineStr"/>
      <c r="C2">
        <f>Inputs!$C$2</f>
        <v/>
      </c>
      <c r="D2">
        <f>Inputs!$C$3</f>
        <v/>
      </c>
      <c r="E2">
        <f>Inputs!$C$4</f>
        <v/>
      </c>
      <c r="F2">
        <f>Inputs!$C$5</f>
        <v/>
      </c>
    </row>
    <row r="3">
      <c r="A3" t="inlineStr">
        <is>
          <t>Cost of revenue / revenue</t>
        </is>
      </c>
      <c r="B3" t="inlineStr"/>
      <c r="C3">
        <f>Inputs!$C$13</f>
        <v/>
      </c>
      <c r="D3">
        <f>Inputs!$C$14</f>
        <v/>
      </c>
      <c r="E3">
        <f>Inputs!$C$15</f>
        <v/>
      </c>
      <c r="F3">
        <f>Inputs!$C$16</f>
        <v/>
      </c>
    </row>
    <row r="4">
      <c r="A4" t="inlineStr">
        <is>
          <t>Premium cost of revenue</t>
        </is>
      </c>
      <c r="B4" t="inlineStr"/>
      <c r="C4">
        <f>C2*C3</f>
        <v/>
      </c>
      <c r="D4">
        <f>D2*D3</f>
        <v/>
      </c>
      <c r="E4">
        <f>E2*E3</f>
        <v/>
      </c>
      <c r="F4">
        <f>F2*F3</f>
        <v/>
      </c>
    </row>
    <row r="5">
      <c r="A5" t="inlineStr">
        <is>
          <t>ΔCost of revenue</t>
        </is>
      </c>
      <c r="B5" t="inlineStr"/>
      <c r="C5" t="inlineStr"/>
      <c r="D5">
        <f>D4-C4</f>
        <v/>
      </c>
      <c r="E5">
        <f>E4-D4</f>
        <v/>
      </c>
      <c r="F5">
        <f>F4-E4</f>
        <v/>
      </c>
    </row>
    <row r="6">
      <c r="A6" t="inlineStr">
        <is>
          <t>ΔPremium revenue</t>
        </is>
      </c>
      <c r="B6" t="inlineStr"/>
      <c r="C6" t="inlineStr"/>
      <c r="D6">
        <f>D2-C2</f>
        <v/>
      </c>
      <c r="E6">
        <f>E2-D2</f>
        <v/>
      </c>
      <c r="F6">
        <f>F2-E2</f>
        <v/>
      </c>
    </row>
    <row r="7">
      <c r="A7" t="inlineStr">
        <is>
          <t>Incremental cost ratio (all-in)</t>
        </is>
      </c>
      <c r="B7" t="inlineStr"/>
      <c r="C7" t="inlineStr"/>
      <c r="D7">
        <f>D5/D6</f>
        <v/>
      </c>
      <c r="E7">
        <f>E5/E6</f>
        <v/>
      </c>
      <c r="F7">
        <f>F5/F6</f>
        <v/>
      </c>
    </row>
    <row r="8">
      <c r="A8" t="inlineStr">
        <is>
          <t>Reading: rounded ratios carry ±0.5pt, i.e. ±€75M on 2025 cost, so the annual residual cannot resolve a €100–150M audiobook step. Use the disclosed royalty-component increases on C_cost instead.</t>
        </is>
      </c>
      <c r="B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28" customWidth="1" min="3" max="3"/>
    <col width="28" customWidth="1" min="4" max="4"/>
  </cols>
  <sheetData>
    <row r="1">
      <c r="A1" s="3" t="inlineStr">
        <is>
          <t>ΔN 2027 (bp of group revenue) — C growth 2026–27 (rows) × bundle restoration / MLC (columns)</t>
        </is>
      </c>
    </row>
    <row r="2">
      <c r="A2" t="inlineStr">
        <is>
          <t>C growth p.a.</t>
        </is>
      </c>
      <c r="B2" t="inlineStr">
        <is>
          <t>restoration 0.5, MLC no</t>
        </is>
      </c>
      <c r="C2" t="inlineStr">
        <is>
          <t>restoration 1.0, MLC no</t>
        </is>
      </c>
      <c r="D2" t="inlineStr">
        <is>
          <t>restoration 1.0, MLC loss 2027</t>
        </is>
      </c>
    </row>
    <row r="3">
      <c r="A3" t="n">
        <v>0.2</v>
      </c>
      <c r="B3" t="n">
        <v>-24</v>
      </c>
      <c r="C3" t="n">
        <v>-24</v>
      </c>
      <c r="D3" t="n">
        <v>-59</v>
      </c>
    </row>
    <row r="4">
      <c r="A4" t="n">
        <v>0.3</v>
      </c>
      <c r="B4" t="n">
        <v>-45</v>
      </c>
      <c r="C4" t="n">
        <v>-45</v>
      </c>
      <c r="D4" t="n">
        <v>-80</v>
      </c>
    </row>
    <row r="5">
      <c r="A5" t="n">
        <v>0.45</v>
      </c>
      <c r="B5" t="n">
        <v>-82</v>
      </c>
      <c r="C5" t="n">
        <v>-82</v>
      </c>
      <c r="D5" t="n">
        <v>-117</v>
      </c>
    </row>
    <row r="6">
      <c r="A6" t="n">
        <v>0.6</v>
      </c>
      <c r="B6" t="n">
        <v>-126</v>
      </c>
      <c r="C6" t="n">
        <v>-126</v>
      </c>
      <c r="D6" t="n">
        <v>-160</v>
      </c>
    </row>
    <row r="8">
      <c r="A8" t="inlineStr">
        <is>
          <t>N 2027 (€M), same grid</t>
        </is>
      </c>
    </row>
    <row r="9">
      <c r="A9" t="inlineStr">
        <is>
          <t>C growth p.a.</t>
        </is>
      </c>
      <c r="B9" t="inlineStr">
        <is>
          <t>restoration 0.5, MLC no</t>
        </is>
      </c>
      <c r="C9" t="inlineStr">
        <is>
          <t>restoration 1.0, MLC no</t>
        </is>
      </c>
      <c r="D9" t="inlineStr">
        <is>
          <t>restoration 1.0, MLC loss 2027</t>
        </is>
      </c>
    </row>
    <row r="10">
      <c r="A10" t="n">
        <v>0.2</v>
      </c>
      <c r="B10" t="n">
        <v>-247</v>
      </c>
      <c r="C10" t="n">
        <v>-304</v>
      </c>
      <c r="D10" t="n">
        <v>-378</v>
      </c>
    </row>
    <row r="11">
      <c r="A11" t="n">
        <v>0.3</v>
      </c>
      <c r="B11" t="n">
        <v>-322</v>
      </c>
      <c r="C11" t="n">
        <v>-380</v>
      </c>
      <c r="D11" t="n">
        <v>-453</v>
      </c>
    </row>
    <row r="12">
      <c r="A12" t="n">
        <v>0.45</v>
      </c>
      <c r="B12" t="n">
        <v>-446</v>
      </c>
      <c r="C12" t="n">
        <v>-503</v>
      </c>
      <c r="D12" t="n">
        <v>-577</v>
      </c>
    </row>
    <row r="13">
      <c r="A13" t="n">
        <v>0.6</v>
      </c>
      <c r="B13" t="n">
        <v>-583</v>
      </c>
      <c r="C13" t="n">
        <v>-641</v>
      </c>
      <c r="D13" t="n">
        <v>-715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70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Test</t>
        </is>
      </c>
      <c r="B1" s="1" t="inlineStr">
        <is>
          <t>Threshold</t>
        </is>
      </c>
      <c r="C1" s="1" t="inlineStr">
        <is>
          <t>Result</t>
        </is>
      </c>
      <c r="D1" s="1" t="inlineStr">
        <is>
          <t>Verdict</t>
        </is>
      </c>
    </row>
    <row r="2">
      <c r="A2" t="inlineStr">
        <is>
          <t>1. Book publishers' cost (ΔC, €M) grows faster than priced-channel gross profit (ΔA_gp, €M)</t>
        </is>
      </c>
      <c r="B2" t="inlineStr">
        <is>
          <t>ΔC &gt; ΔA_gp in 2025 and 2026</t>
        </is>
      </c>
      <c r="C2" t="inlineStr">
        <is>
          <t>2025: ΔC +110 vs ΔA_gp +11; 2026: ΔC +129 vs ΔA_gp +20</t>
        </is>
      </c>
      <c r="D2" t="inlineStr">
        <is>
          <t>CONFIRMED</t>
        </is>
      </c>
    </row>
    <row r="3">
      <c r="A3" t="inlineStr">
        <is>
          <t>2. Music publishers claw back the bundle saving (B falls)</t>
        </is>
      </c>
      <c r="B3" t="inlineStr">
        <is>
          <t>B(2026) &lt; B(2024)</t>
        </is>
      </c>
      <c r="C3" t="inlineStr">
        <is>
          <t>B: 2024 158 → 2025 118 → 2026 74 (direct deals reported to nullify the discount; restoration factor is an assumption)</t>
        </is>
      </c>
      <c r="D3" t="inlineStr">
        <is>
          <t>SUPPORTED</t>
        </is>
      </c>
    </row>
    <row r="4">
      <c r="A4" t="inlineStr">
        <is>
          <t>3. Net contribution N is negative by 2026</t>
        </is>
      </c>
      <c r="B4" t="inlineStr">
        <is>
          <t>N(2026) ≤ 0</t>
        </is>
      </c>
      <c r="C4" t="inlineStr">
        <is>
          <t>N: 2024 -30, 2025 -168, 2026 -322, 2027 -430 (€M). Negative in every year once the price increase is excluded</t>
        </is>
      </c>
      <c r="D4" t="inlineStr">
        <is>
          <t>CONFIRMED</t>
        </is>
      </c>
    </row>
    <row r="5">
      <c r="A5" t="inlineStr">
        <is>
          <t>4. Paid attach is low after a full year</t>
        </is>
      </c>
      <c r="B5" t="inlineStr">
        <is>
          <t>&lt; 1% of eligible subscribers; &lt; 3% of listeners</t>
        </is>
      </c>
      <c r="C5" t="inlineStr">
        <is>
          <t>payers / global subscribers: 0.3%; payers / eligible-market subscribers: 0.7%; payers / monthly listeners (25% of eligible): 2.9%; payers / monthly listeners (25% of global): 1.3%</t>
        </is>
      </c>
      <c r="D5" t="inlineStr">
        <is>
          <t>CONFIRMED</t>
        </is>
      </c>
    </row>
    <row r="6">
      <c r="A6" t="inlineStr">
        <is>
          <t>5. C grows faster than Premium revenue</t>
        </is>
      </c>
      <c r="B6" t="inlineStr">
        <is>
          <t>C growth &gt; Premium revenue growth</t>
        </is>
      </c>
      <c r="C6" t="inlineStr">
        <is>
          <t>C +58% / +43% vs Premium revenue +11% / +15%</t>
        </is>
      </c>
      <c r="D6" t="inlineStr">
        <is>
          <t>CONFIRMED</t>
        </is>
      </c>
    </row>
    <row r="7">
      <c r="A7" t="inlineStr">
        <is>
          <t>6. Residual cross-check (incremental content-cost ratio) shows an audiobook step</t>
        </is>
      </c>
      <c r="B7" t="inlineStr">
        <is>
          <t>Visible jump in FY25 or H1-26 ratio</t>
        </is>
      </c>
      <c r="C7" t="inlineStr">
        <is>
          <t>FY24 (royalty component): 47.8%; FY25 (royalty component): 50.0%; 9M-25 (royalty component): 48.2%; H1-26 (content component): 48.8%. Flat at 48–50%: inconclusive, bounds C's growth to ~€100–150M/yr</t>
        </is>
      </c>
      <c r="D7" t="inlineStr">
        <is>
          <t>INCONCLUSIVE</t>
        </is>
      </c>
    </row>
    <row r="8">
      <c r="A8" t="inlineStr">
        <is>
          <t>7. Market-share triangulation agrees with C(2025)</t>
        </is>
      </c>
      <c r="B8" t="inlineStr">
        <is>
          <t>Base C(2025) inside the triangulated range</t>
        </is>
      </c>
      <c r="C8" t="inlineStr">
        <is>
          <t>C(2025) base 300 vs triangulation 301–421 €M</t>
        </is>
      </c>
      <c r="D8" t="inlineStr">
        <is>
          <t>CHECK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Spotify Form 6-K, Q1-25 (bundle: ~€205M additional royalties for 1 Mar 2024–31 Mar 2025 if the MLC prevailed): sec.gov/Archives/edgar/data/1639920/000163992025000006/spot-20250331x6xk.htm</t>
        </is>
      </c>
    </row>
    <row r="2">
      <c r="A2" t="inlineStr">
        <is>
          <t>Spotify Form 20-F FY2024 and FY2025 (Premium cost of revenue drivers, royalty component increases, Premium GM): sec.gov/Archives/edgar/data/1639920/000163992025000003/ck0001639920-20241231.htm ; .../000162828026006874/ck0001639920-20251231.htm</t>
        </is>
      </c>
    </row>
    <row r="3">
      <c r="A3" t="inlineStr">
        <is>
          <t>Spotify Form 6-K Q2-26 (H1-26 Premium cost of revenue +€500M, content +€474M, ratio 67%→65%): sec.gov/Archives/edgar/data/0001639920/000162828026052543/spot-20260630x6xk.htm</t>
        </is>
      </c>
    </row>
    <row r="4">
      <c r="A4" t="inlineStr">
        <is>
          <t>Spotify Form 6-K Q3-25 (9M-25 royalty component +€588M): sec.gov/Archives/edgar/data/1639920/000162828025048927/spot-20250930x6xk.htm</t>
        </is>
      </c>
    </row>
    <row r="5">
      <c r="A5" t="inlineStr">
        <is>
          <t>Billboard, 'How much have Spotify bundles decreased the mechanical per-stream rate' (Q4-23 $97.3M → Q4-25 $53.3M; per-stream −51%)</t>
        </is>
      </c>
    </row>
    <row r="6">
      <c r="A6" t="inlineStr">
        <is>
          <t>NMPA statements: $150M (May 2024), $230M first-year loss, ~$500M cumulative with Amazon (2025–26); Billboard 'bundling controversy one year later'</t>
        </is>
      </c>
    </row>
    <row r="7">
      <c r="A7" t="inlineStr">
        <is>
          <t>Direct deals: UMPG (26 Jan 2025, DMN/Billboard: bundle discount 'nullified going forward'); Warner Chappell (6 Feb 2025, MBW: 'supersedes the bundling payment structure'); Sony Music Publishing (Sep 2025, MBW)</t>
        </is>
      </c>
    </row>
    <row r="8">
      <c r="A8" t="inlineStr">
        <is>
          <t>MLC v. Spotify: dismissal Jan 2025 (Variety); amended complaint late 2025; interlocutory appeal denied 1 Sep 2026 (MBW, Soundstock)</t>
        </is>
      </c>
    </row>
    <row r="9">
      <c r="A9" t="inlineStr">
        <is>
          <t>Audiobook cost phrases: Digital Music News 5 Feb 2024 ('tens of millions'); Axios 15 Oct 2024 ('hundreds of millions annually'); Spotify newsroom 13 Mar 2025</t>
        </is>
      </c>
    </row>
    <row r="10">
      <c r="A10" t="inlineStr">
        <is>
          <t>Spotify newsroom 15 Oct 2025 (two-year stats: listeners +36%, hours +37%, &gt;50% tried); Mar 2025 (listeners +30%, hours +35%, 400k titles); Publishers Weekly 2026 (listeners +60%, Audiobooks+ $100M ARR, &gt;1M payers)</t>
        </is>
      </c>
    </row>
    <row r="11">
      <c r="A11" t="inlineStr">
        <is>
          <t>The Bookseller 2025 / TechCrunch 17 Jul 2025 ('more than 25% of Premium subscribers listening')</t>
        </is>
      </c>
    </row>
    <row r="12">
      <c r="A12" t="inlineStr">
        <is>
          <t>Audio Publishers Association sales surveys: 2022 $1.8B, 2023 $2.0B, 2024 $2.22B, 2025 $2.43B; eMarketer Mar 2026 (Audible 63.4%→59.8%)</t>
        </is>
      </c>
    </row>
    <row r="13">
      <c r="A13" t="inlineStr">
        <is>
          <t>Publisher confirmations: Bloomsbury AR 2025 (audio +57% 'in part Spotify'); News Corp/HarperCollins (audio +18% FY, +28% Q4, citing Spotify)</t>
        </is>
      </c>
    </row>
    <row r="14">
      <c r="A14" t="inlineStr">
        <is>
          <t>Audible Standard plan $8.99 (Audible newsroom, 3 Mar 2026); Amazon Music Unlimited + Audible (Nov 2024)</t>
        </is>
      </c>
    </row>
    <row r="15">
      <c r="A15" t="inlineStr">
        <is>
          <t>Basic plan opt-out 14–17% (Morgan Stanley survey via Billboard, 2024)</t>
        </is>
      </c>
    </row>
    <row r="16">
      <c r="A16" t="inlineStr">
        <is>
          <t>Audiobooks+ launch and pricing: 9to5Mac 5 Aug 2025; Publishers Weekly (11 EU markets); Spotify newsroom Mar 2024 (Access tier, top-ups)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2026-10-02T02:29:28Z</dcterms:created>
  <dcterms:modified xsi:type="dcterms:W3CDTF">2026-10-02T02:29:28Z</dcterms:modified>
</cp:coreProperties>
</file>