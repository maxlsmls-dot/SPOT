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obooks_Inputs" sheetId="1" state="visible" r:id="rId1"/>
    <sheet name="Audiobooks_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0.00000"/>
    <numFmt numFmtId="167" formatCode="0_);(0)"/>
  </numFmts>
  <fonts count="7">
    <font>
      <name val="Calibri"/>
      <family val="2"/>
      <color theme="1"/>
      <sz val="11"/>
      <scheme val="minor"/>
    </font>
    <font>
      <b val="1"/>
      <sz val="12"/>
    </font>
    <font>
      <b val="1"/>
    </font>
    <font>
      <color rgb="000000FF"/>
    </font>
    <font>
      <b val="1"/>
      <color rgb="00C00000"/>
    </font>
    <font>
      <color rgb="00008000"/>
    </font>
    <font>
      <color rgb="0000000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37" fontId="3" fillId="0" borderId="0" pivotButton="0" quotePrefix="0" xfId="0"/>
    <xf numFmtId="37" fontId="4" fillId="3" borderId="0" pivotButton="0" quotePrefix="0" xfId="0"/>
    <xf numFmtId="0" fontId="4" fillId="3" borderId="0" pivotButton="0" quotePrefix="0" xfId="0"/>
    <xf numFmtId="164" fontId="3" fillId="0" borderId="0" pivotButton="0" quotePrefix="0" xfId="0"/>
    <xf numFmtId="0" fontId="3" fillId="0" borderId="0" pivotButton="0" quotePrefix="0" xfId="0"/>
    <xf numFmtId="2" fontId="3" fillId="4" borderId="0" pivotButton="0" quotePrefix="0" xfId="0"/>
    <xf numFmtId="164" fontId="3" fillId="4" borderId="0" pivotButton="0" quotePrefix="0" xfId="0"/>
    <xf numFmtId="1" fontId="3" fillId="0" borderId="0" pivotButton="0" quotePrefix="0" xfId="0"/>
    <xf numFmtId="1" fontId="3" fillId="4" borderId="0" pivotButton="0" quotePrefix="0" xfId="0"/>
    <xf numFmtId="37" fontId="3" fillId="4" borderId="0" pivotButton="0" quotePrefix="0" xfId="0"/>
    <xf numFmtId="164" fontId="4" fillId="3" borderId="0" pivotButton="0" quotePrefix="0" xfId="0"/>
    <xf numFmtId="165" fontId="3" fillId="0" borderId="0" pivotButton="0" quotePrefix="0" xfId="0"/>
    <xf numFmtId="165" fontId="3" fillId="4" borderId="0" pivotButton="0" quotePrefix="0" xfId="0"/>
    <xf numFmtId="1" fontId="4" fillId="3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horizontal="right"/>
    </xf>
    <xf numFmtId="0" fontId="2" fillId="0" borderId="0" applyAlignment="1" pivotButton="0" quotePrefix="0" xfId="0">
      <alignment horizontal="right"/>
    </xf>
    <xf numFmtId="37" fontId="5" fillId="0" borderId="0" pivotButton="0" quotePrefix="0" xfId="0"/>
    <xf numFmtId="37" fontId="6" fillId="0" borderId="0" pivotButton="0" quotePrefix="0" xfId="0"/>
    <xf numFmtId="165" fontId="6" fillId="0" borderId="0" pivotButton="0" quotePrefix="0" xfId="0"/>
    <xf numFmtId="165" fontId="5" fillId="0" borderId="0" pivotButton="0" quotePrefix="0" xfId="0"/>
    <xf numFmtId="166" fontId="5" fillId="0" borderId="0" pivotButton="0" quotePrefix="0" xfId="0"/>
    <xf numFmtId="2" fontId="5" fillId="0" borderId="0" pivotButton="0" quotePrefix="0" xfId="0"/>
    <xf numFmtId="0" fontId="0" fillId="0" borderId="0" applyAlignment="1" pivotButton="0" quotePrefix="0" xfId="0">
      <alignment horizontal="left"/>
    </xf>
    <xf numFmtId="9" fontId="5" fillId="0" borderId="0" pivotButton="0" quotePrefix="0" xfId="0"/>
    <xf numFmtId="1" fontId="5" fillId="0" borderId="0" pivotButton="0" quotePrefix="0" xfId="0"/>
    <xf numFmtId="9" fontId="6" fillId="0" borderId="0" pivotButton="0" quotePrefix="0" xfId="0"/>
    <xf numFmtId="167" fontId="6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4" fontId="6" fillId="0" borderId="0" pivotButton="0" quotePrefix="0" xfId="0"/>
    <xf numFmtId="9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8" customWidth="1" min="1" max="1"/>
    <col width="12" customWidth="1" min="2" max="2"/>
    <col width="8" customWidth="1" min="3" max="3"/>
    <col width="12" customWidth="1" min="4" max="4"/>
    <col width="16" customWidth="1" min="5" max="5"/>
    <col width="110" customWidth="1" min="6" max="6"/>
  </cols>
  <sheetData>
    <row r="1">
      <c r="A1" s="1" t="inlineStr">
        <is>
          <t>Audiobooks: inputs</t>
        </is>
      </c>
    </row>
    <row r="2">
      <c r="A2" t="inlineStr">
        <is>
          <t>Blue text = hard-coded input. Orange fill = estimate. Yellow fill with red text = forecast placeholder: replace with a link to the main model before use. No forecasts beyond FY27.</t>
        </is>
      </c>
    </row>
    <row r="4">
      <c r="A4" s="2" t="inlineStr">
        <is>
          <t>Input</t>
        </is>
      </c>
      <c r="B4" s="2" t="inlineStr">
        <is>
          <t>Value</t>
        </is>
      </c>
      <c r="C4" s="2" t="inlineStr">
        <is>
          <t>Unit</t>
        </is>
      </c>
      <c r="D4" s="2" t="inlineStr">
        <is>
          <t>Period</t>
        </is>
      </c>
      <c r="E4" s="2" t="inlineStr">
        <is>
          <t>Type</t>
        </is>
      </c>
      <c r="F4" s="2" t="inlineStr">
        <is>
          <t>Source / note</t>
        </is>
      </c>
    </row>
    <row r="5">
      <c r="A5" t="inlineStr">
        <is>
          <t>Premium revenue 2022</t>
        </is>
      </c>
      <c r="B5" s="3" t="n">
        <v>10250</v>
      </c>
      <c r="C5" t="inlineStr">
        <is>
          <t>€M</t>
        </is>
      </c>
      <c r="D5" t="inlineStr">
        <is>
          <t>FY22</t>
        </is>
      </c>
      <c r="E5" t="inlineStr">
        <is>
          <t>Actual</t>
        </is>
      </c>
      <c r="F5" t="inlineStr">
        <is>
          <t>Spotify 20-F</t>
        </is>
      </c>
    </row>
    <row r="6">
      <c r="A6" t="inlineStr">
        <is>
          <t>Premium revenue 2023</t>
        </is>
      </c>
      <c r="B6" s="3" t="n">
        <v>11566</v>
      </c>
      <c r="C6" t="inlineStr">
        <is>
          <t>€M</t>
        </is>
      </c>
      <c r="D6" t="inlineStr">
        <is>
          <t>FY23</t>
        </is>
      </c>
      <c r="E6" t="inlineStr">
        <is>
          <t>Actual</t>
        </is>
      </c>
      <c r="F6" t="inlineStr">
        <is>
          <t>Spotify 20-F</t>
        </is>
      </c>
    </row>
    <row r="7">
      <c r="A7" t="inlineStr">
        <is>
          <t>Premium revenue 2024</t>
        </is>
      </c>
      <c r="B7" s="3" t="n">
        <v>13819</v>
      </c>
      <c r="C7" t="inlineStr">
        <is>
          <t>€M</t>
        </is>
      </c>
      <c r="D7" t="inlineStr">
        <is>
          <t>FY24</t>
        </is>
      </c>
      <c r="E7" t="inlineStr">
        <is>
          <t>Actual</t>
        </is>
      </c>
      <c r="F7" t="inlineStr">
        <is>
          <t>Spotify 20-F</t>
        </is>
      </c>
    </row>
    <row r="8">
      <c r="A8" t="inlineStr">
        <is>
          <t>Premium revenue 2025</t>
        </is>
      </c>
      <c r="B8" s="3" t="n">
        <v>15350</v>
      </c>
      <c r="C8" t="inlineStr">
        <is>
          <t>€M</t>
        </is>
      </c>
      <c r="D8" t="inlineStr">
        <is>
          <t>FY25</t>
        </is>
      </c>
      <c r="E8" t="inlineStr">
        <is>
          <t>Actual</t>
        </is>
      </c>
      <c r="F8" t="inlineStr">
        <is>
          <t>Spotify 20-F</t>
        </is>
      </c>
    </row>
    <row r="9">
      <c r="A9" t="inlineStr">
        <is>
          <t>Premium revenue 2026E</t>
        </is>
      </c>
      <c r="B9" s="4" t="n">
        <v>17700</v>
      </c>
      <c r="C9" t="inlineStr">
        <is>
          <t>€M</t>
        </is>
      </c>
      <c r="D9" t="inlineStr">
        <is>
          <t>FY26E</t>
        </is>
      </c>
      <c r="E9" s="5" t="inlineStr">
        <is>
          <t>LINK TO MODEL</t>
        </is>
      </c>
      <c r="F9" t="inlineStr">
        <is>
          <t>Placeholder: H1 actual (4,150 + 4,330) plus H2 estimate. Link to model: Premium revenue FY26E</t>
        </is>
      </c>
    </row>
    <row r="10">
      <c r="A10" t="inlineStr">
        <is>
          <t>Premium revenue 2027E</t>
        </is>
      </c>
      <c r="B10" s="4" t="n">
        <v>19400</v>
      </c>
      <c r="C10" t="inlineStr">
        <is>
          <t>€M</t>
        </is>
      </c>
      <c r="D10" t="inlineStr">
        <is>
          <t>FY27E</t>
        </is>
      </c>
      <c r="E10" s="5" t="inlineStr">
        <is>
          <t>LINK TO MODEL</t>
        </is>
      </c>
      <c r="F10" t="inlineStr">
        <is>
          <t>Placeholder. Link to model: Premium revenue FY27E</t>
        </is>
      </c>
    </row>
    <row r="11">
      <c r="A11" t="inlineStr">
        <is>
          <t>Group revenue 2023</t>
        </is>
      </c>
      <c r="B11" s="3" t="n">
        <v>13247</v>
      </c>
      <c r="C11" t="inlineStr">
        <is>
          <t>€M</t>
        </is>
      </c>
      <c r="D11" t="inlineStr">
        <is>
          <t>FY23</t>
        </is>
      </c>
      <c r="E11" t="inlineStr">
        <is>
          <t>Actual</t>
        </is>
      </c>
      <c r="F11" t="inlineStr">
        <is>
          <t>Spotify 20-F</t>
        </is>
      </c>
    </row>
    <row r="12">
      <c r="A12" t="inlineStr">
        <is>
          <t>Group revenue 2024</t>
        </is>
      </c>
      <c r="B12" s="3" t="n">
        <v>15673</v>
      </c>
      <c r="C12" t="inlineStr">
        <is>
          <t>€M</t>
        </is>
      </c>
      <c r="D12" t="inlineStr">
        <is>
          <t>FY24</t>
        </is>
      </c>
      <c r="E12" t="inlineStr">
        <is>
          <t>Actual</t>
        </is>
      </c>
      <c r="F12" t="inlineStr">
        <is>
          <t>Spotify 20-F</t>
        </is>
      </c>
    </row>
    <row r="13">
      <c r="A13" t="inlineStr">
        <is>
          <t>Group revenue 2025</t>
        </is>
      </c>
      <c r="B13" s="3" t="n">
        <v>17186</v>
      </c>
      <c r="C13" t="inlineStr">
        <is>
          <t>€M</t>
        </is>
      </c>
      <c r="D13" t="inlineStr">
        <is>
          <t>FY25</t>
        </is>
      </c>
      <c r="E13" t="inlineStr">
        <is>
          <t>Actual</t>
        </is>
      </c>
      <c r="F13" t="inlineStr">
        <is>
          <t>Spotify 20-F</t>
        </is>
      </c>
    </row>
    <row r="14">
      <c r="A14" t="inlineStr">
        <is>
          <t>Group revenue 2026E</t>
        </is>
      </c>
      <c r="B14" s="4" t="n">
        <v>19500</v>
      </c>
      <c r="C14" t="inlineStr">
        <is>
          <t>€M</t>
        </is>
      </c>
      <c r="D14" t="inlineStr">
        <is>
          <t>FY26E</t>
        </is>
      </c>
      <c r="E14" s="5" t="inlineStr">
        <is>
          <t>LINK TO MODEL</t>
        </is>
      </c>
      <c r="F14" t="inlineStr">
        <is>
          <t>Placeholder. Link to model: total revenue FY26E</t>
        </is>
      </c>
    </row>
    <row r="15">
      <c r="A15" t="inlineStr">
        <is>
          <t>Group revenue 2027E</t>
        </is>
      </c>
      <c r="B15" s="4" t="n">
        <v>21300</v>
      </c>
      <c r="C15" t="inlineStr">
        <is>
          <t>€M</t>
        </is>
      </c>
      <c r="D15" t="inlineStr">
        <is>
          <t>FY27E</t>
        </is>
      </c>
      <c r="E15" s="5" t="inlineStr">
        <is>
          <t>LINK TO MODEL</t>
        </is>
      </c>
      <c r="F15" t="inlineStr">
        <is>
          <t>Placeholder. Link to model: total revenue FY27E</t>
        </is>
      </c>
    </row>
    <row r="16">
      <c r="A16" t="inlineStr">
        <is>
          <t>Premium cost of revenue / Premium revenue 2022</t>
        </is>
      </c>
      <c r="B16" s="6" t="n">
        <v>0.72</v>
      </c>
      <c r="C16" t="inlineStr">
        <is>
          <t>%</t>
        </is>
      </c>
      <c r="D16" t="inlineStr">
        <is>
          <t>FY22</t>
        </is>
      </c>
      <c r="E16" t="inlineStr">
        <is>
          <t>Actual</t>
        </is>
      </c>
      <c r="F16" t="inlineStr">
        <is>
          <t>20-F: Premium gross margin 28%</t>
        </is>
      </c>
    </row>
    <row r="17">
      <c r="A17" t="inlineStr">
        <is>
          <t>Premium cost of revenue / Premium revenue 2023</t>
        </is>
      </c>
      <c r="B17" s="6" t="n">
        <v>0.71</v>
      </c>
      <c r="C17" t="inlineStr">
        <is>
          <t>%</t>
        </is>
      </c>
      <c r="D17" t="inlineStr">
        <is>
          <t>FY23</t>
        </is>
      </c>
      <c r="E17" t="inlineStr">
        <is>
          <t>Actual</t>
        </is>
      </c>
      <c r="F17" t="inlineStr">
        <is>
          <t>FY24 20-F: 71% to 67%</t>
        </is>
      </c>
    </row>
    <row r="18">
      <c r="A18" t="inlineStr">
        <is>
          <t>Premium cost of revenue / Premium revenue 2024</t>
        </is>
      </c>
      <c r="B18" s="6" t="n">
        <v>0.67</v>
      </c>
      <c r="C18" t="inlineStr">
        <is>
          <t>%</t>
        </is>
      </c>
      <c r="D18" t="inlineStr">
        <is>
          <t>FY24</t>
        </is>
      </c>
      <c r="E18" t="inlineStr">
        <is>
          <t>Actual</t>
        </is>
      </c>
      <c r="F18" t="inlineStr">
        <is>
          <t>FY24 20-F</t>
        </is>
      </c>
    </row>
    <row r="19">
      <c r="A19" t="inlineStr">
        <is>
          <t>Premium cost of revenue / Premium revenue 2025</t>
        </is>
      </c>
      <c r="B19" s="6" t="n">
        <v>0.66</v>
      </c>
      <c r="C19" t="inlineStr">
        <is>
          <t>%</t>
        </is>
      </c>
      <c r="D19" t="inlineStr">
        <is>
          <t>FY25</t>
        </is>
      </c>
      <c r="E19" t="inlineStr">
        <is>
          <t>Actual</t>
        </is>
      </c>
      <c r="F19" t="inlineStr">
        <is>
          <t>FY25 20-F: Premium gross margin 34%</t>
        </is>
      </c>
    </row>
    <row r="20">
      <c r="A20" t="inlineStr">
        <is>
          <t>Premium cost of revenue increase 2024</t>
        </is>
      </c>
      <c r="B20" s="3" t="n">
        <v>1093</v>
      </c>
      <c r="C20" t="inlineStr">
        <is>
          <t>€M</t>
        </is>
      </c>
      <c r="D20" t="inlineStr">
        <is>
          <t>FY24</t>
        </is>
      </c>
      <c r="E20" t="inlineStr">
        <is>
          <t>Actual</t>
        </is>
      </c>
      <c r="F20" t="inlineStr">
        <is>
          <t>FY24 20-F (+13%)</t>
        </is>
      </c>
    </row>
    <row r="21">
      <c r="A21" t="inlineStr">
        <is>
          <t>of which royalty / content costs 2024</t>
        </is>
      </c>
      <c r="B21" s="3" t="n">
        <v>1078</v>
      </c>
      <c r="C21" t="inlineStr">
        <is>
          <t>€M</t>
        </is>
      </c>
      <c r="D21" t="inlineStr">
        <is>
          <t>FY24</t>
        </is>
      </c>
      <c r="E21" t="inlineStr">
        <is>
          <t>Actual</t>
        </is>
      </c>
      <c r="F21" t="inlineStr">
        <is>
          <t>FY24 20-F</t>
        </is>
      </c>
    </row>
    <row r="22">
      <c r="A22" t="inlineStr">
        <is>
          <t>Royalty / content cost increase 2025 (music + audiobooks + Partner Program, net of marketplace)</t>
        </is>
      </c>
      <c r="B22" s="3" t="n">
        <v>765</v>
      </c>
      <c r="C22" t="inlineStr">
        <is>
          <t>€M</t>
        </is>
      </c>
      <c r="D22" t="inlineStr">
        <is>
          <t>FY25</t>
        </is>
      </c>
      <c r="E22" t="inlineStr">
        <is>
          <t>Actual</t>
        </is>
      </c>
      <c r="F22" t="inlineStr">
        <is>
          <t>FY25 20-F</t>
        </is>
      </c>
    </row>
    <row r="23">
      <c r="A23" t="inlineStr">
        <is>
          <t>Royalty / content cost increase 9M-25</t>
        </is>
      </c>
      <c r="B23" s="3" t="n">
        <v>588</v>
      </c>
      <c r="C23" t="inlineStr">
        <is>
          <t>€M</t>
        </is>
      </c>
      <c r="D23" t="inlineStr">
        <is>
          <t>9M25</t>
        </is>
      </c>
      <c r="E23" t="inlineStr">
        <is>
          <t>Actual</t>
        </is>
      </c>
      <c r="F23" t="inlineStr">
        <is>
          <t>Q3-25 6-K</t>
        </is>
      </c>
    </row>
    <row r="24">
      <c r="A24" t="inlineStr">
        <is>
          <t>Content cost increase H1-26</t>
        </is>
      </c>
      <c r="B24" s="3" t="n">
        <v>474</v>
      </c>
      <c r="C24" t="inlineStr">
        <is>
          <t>€M</t>
        </is>
      </c>
      <c r="D24" t="inlineStr">
        <is>
          <t>H1-26</t>
        </is>
      </c>
      <c r="E24" t="inlineStr">
        <is>
          <t>Actual</t>
        </is>
      </c>
      <c r="F24" t="inlineStr">
        <is>
          <t>Q2-26 6-K (Premium cost of revenue +€500M, +10%; ratio 67% to 65%)</t>
        </is>
      </c>
    </row>
    <row r="25">
      <c r="A25" t="inlineStr">
        <is>
          <t>Premium revenue H1-25</t>
        </is>
      </c>
      <c r="B25" s="3" t="n">
        <v>7508</v>
      </c>
      <c r="C25" t="inlineStr">
        <is>
          <t>€M</t>
        </is>
      </c>
      <c r="D25" t="inlineStr">
        <is>
          <t>H1-25</t>
        </is>
      </c>
      <c r="E25" t="inlineStr">
        <is>
          <t>Actual</t>
        </is>
      </c>
      <c r="F25" t="inlineStr">
        <is>
          <t>3,771 + 3,737</t>
        </is>
      </c>
    </row>
    <row r="26">
      <c r="A26" t="inlineStr">
        <is>
          <t>Premium revenue H1-26</t>
        </is>
      </c>
      <c r="B26" s="3" t="n">
        <v>8480</v>
      </c>
      <c r="C26" t="inlineStr">
        <is>
          <t>€M</t>
        </is>
      </c>
      <c r="D26" t="inlineStr">
        <is>
          <t>H1-26</t>
        </is>
      </c>
      <c r="E26" t="inlineStr">
        <is>
          <t>Actual</t>
        </is>
      </c>
      <c r="F26" t="inlineStr">
        <is>
          <t>4,150 + 4,330</t>
        </is>
      </c>
    </row>
    <row r="27">
      <c r="A27" t="inlineStr">
        <is>
          <t>Premium revenue 9M-24</t>
        </is>
      </c>
      <c r="B27" s="3" t="n">
        <v>10114</v>
      </c>
      <c r="C27" t="inlineStr">
        <is>
          <t>€M</t>
        </is>
      </c>
      <c r="D27" t="inlineStr">
        <is>
          <t>9M24</t>
        </is>
      </c>
      <c r="E27" t="inlineStr">
        <is>
          <t>Actual</t>
        </is>
      </c>
      <c r="F27" t="inlineStr">
        <is>
          <t>FY24 13,819 less Q4-24 3,705</t>
        </is>
      </c>
    </row>
    <row r="28">
      <c r="A28" t="inlineStr">
        <is>
          <t>Premium revenue 9M-25</t>
        </is>
      </c>
      <c r="B28" s="3" t="n">
        <v>11333</v>
      </c>
      <c r="C28" t="inlineStr">
        <is>
          <t>€M</t>
        </is>
      </c>
      <c r="D28" t="inlineStr">
        <is>
          <t>9M25</t>
        </is>
      </c>
      <c r="E28" t="inlineStr">
        <is>
          <t>Actual</t>
        </is>
      </c>
      <c r="F28" t="inlineStr">
        <is>
          <t>3,771 + 3,737 + 3,825</t>
        </is>
      </c>
    </row>
    <row r="29">
      <c r="A29" t="inlineStr">
        <is>
          <t>MLC contingency, cumulative 1 Mar 2024 to 30 Jun 2024</t>
        </is>
      </c>
      <c r="B29" s="3" t="n">
        <v>46</v>
      </c>
      <c r="C29" t="inlineStr">
        <is>
          <t>€M</t>
        </is>
      </c>
      <c r="D29" t="inlineStr">
        <is>
          <t>Q2-24</t>
        </is>
      </c>
      <c r="E29" t="inlineStr">
        <is>
          <t>Actual</t>
        </is>
      </c>
      <c r="F29" t="inlineStr">
        <is>
          <t>6-K Q2-24: 'approximately €46 million, of which approximately €35 million relates to the three months ended June 30, 2024'</t>
        </is>
      </c>
    </row>
    <row r="30">
      <c r="A30" t="inlineStr">
        <is>
          <t>of which the three months April to June 2024</t>
        </is>
      </c>
      <c r="B30" s="3" t="n">
        <v>35</v>
      </c>
      <c r="C30" t="inlineStr">
        <is>
          <t>€M</t>
        </is>
      </c>
      <c r="D30" t="inlineStr">
        <is>
          <t>Q2-24</t>
        </is>
      </c>
      <c r="E30" t="inlineStr">
        <is>
          <t>Actual</t>
        </is>
      </c>
      <c r="F30" t="inlineStr">
        <is>
          <t>6-K Q2-24 (same sentence)</t>
        </is>
      </c>
    </row>
    <row r="31">
      <c r="A31" t="inlineStr">
        <is>
          <t>MLC contingency, cumulative to 30 Sep 2024</t>
        </is>
      </c>
      <c r="B31" s="3" t="n">
        <v>94</v>
      </c>
      <c r="C31" t="inlineStr">
        <is>
          <t>€M</t>
        </is>
      </c>
      <c r="D31" t="inlineStr">
        <is>
          <t>Q3-24</t>
        </is>
      </c>
      <c r="E31" t="inlineStr">
        <is>
          <t>Actual</t>
        </is>
      </c>
      <c r="F31" t="inlineStr">
        <is>
          <t>6-K Q3-24</t>
        </is>
      </c>
    </row>
    <row r="32">
      <c r="A32" t="inlineStr">
        <is>
          <t>MLC contingency, cumulative to 31 Dec 2024</t>
        </is>
      </c>
      <c r="B32" s="3" t="n">
        <v>150</v>
      </c>
      <c r="C32" t="inlineStr">
        <is>
          <t>€M</t>
        </is>
      </c>
      <c r="D32" t="inlineStr">
        <is>
          <t>Q4-24</t>
        </is>
      </c>
      <c r="E32" t="inlineStr">
        <is>
          <t>Actual</t>
        </is>
      </c>
      <c r="F32" t="inlineStr">
        <is>
          <t>20-F FY24</t>
        </is>
      </c>
    </row>
    <row r="33">
      <c r="A33" t="inlineStr">
        <is>
          <t>MLC contingency, cumulative to 31 Mar 2025</t>
        </is>
      </c>
      <c r="B33" s="3" t="n">
        <v>205</v>
      </c>
      <c r="C33" t="inlineStr">
        <is>
          <t>€M</t>
        </is>
      </c>
      <c r="D33" t="inlineStr">
        <is>
          <t>Q1-25</t>
        </is>
      </c>
      <c r="E33" t="inlineStr">
        <is>
          <t>Actual</t>
        </is>
      </c>
      <c r="F33" t="inlineStr">
        <is>
          <t>6-K Q1-25</t>
        </is>
      </c>
    </row>
    <row r="34">
      <c r="A34" t="inlineStr">
        <is>
          <t>MLC contingency, cumulative to 30 Jun 2025</t>
        </is>
      </c>
      <c r="B34" s="3" t="n">
        <v>256</v>
      </c>
      <c r="C34" t="inlineStr">
        <is>
          <t>€M</t>
        </is>
      </c>
      <c r="D34" t="inlineStr">
        <is>
          <t>Q2-25</t>
        </is>
      </c>
      <c r="E34" t="inlineStr">
        <is>
          <t>Actual</t>
        </is>
      </c>
      <c r="F34" t="inlineStr">
        <is>
          <t>6-K Q2-25</t>
        </is>
      </c>
    </row>
    <row r="35">
      <c r="A35" t="inlineStr">
        <is>
          <t>MLC contingency, cumulative to 30 Sep 2025</t>
        </is>
      </c>
      <c r="B35" s="3" t="n">
        <v>308</v>
      </c>
      <c r="C35" t="inlineStr">
        <is>
          <t>€M</t>
        </is>
      </c>
      <c r="D35" t="inlineStr">
        <is>
          <t>Q3-25</t>
        </is>
      </c>
      <c r="E35" t="inlineStr">
        <is>
          <t>Actual</t>
        </is>
      </c>
      <c r="F35" t="inlineStr">
        <is>
          <t>6-K Q3-25: first filing to add 'Any liability would be partially offset by direct deals with publishers'</t>
        </is>
      </c>
    </row>
    <row r="36">
      <c r="A36" t="inlineStr">
        <is>
          <t>MLC contingency, cumulative to 31 Dec 2025</t>
        </is>
      </c>
      <c r="B36" s="3" t="n">
        <v>358</v>
      </c>
      <c r="C36" t="inlineStr">
        <is>
          <t>€M</t>
        </is>
      </c>
      <c r="D36" t="inlineStr">
        <is>
          <t>Q4-25</t>
        </is>
      </c>
      <c r="E36" t="inlineStr">
        <is>
          <t>Actual</t>
        </is>
      </c>
      <c r="F36" t="inlineStr">
        <is>
          <t>20-F FY25</t>
        </is>
      </c>
    </row>
    <row r="37">
      <c r="A37" t="inlineStr">
        <is>
          <t>MLC contingency, cumulative to 31 Mar 2026</t>
        </is>
      </c>
      <c r="B37" s="3" t="n">
        <v>410</v>
      </c>
      <c r="C37" t="inlineStr">
        <is>
          <t>€M</t>
        </is>
      </c>
      <c r="D37" t="inlineStr">
        <is>
          <t>Q1-26</t>
        </is>
      </c>
      <c r="E37" t="inlineStr">
        <is>
          <t>Actual</t>
        </is>
      </c>
      <c r="F37" t="inlineStr">
        <is>
          <t>6-K Q1-26 (USD 473M at the time, per NMPA 'nearly $480 million by Spotify's own admission')</t>
        </is>
      </c>
    </row>
    <row r="38">
      <c r="A38" t="inlineStr">
        <is>
          <t>MLC contingency, cumulative to 30 Jun 2026</t>
        </is>
      </c>
      <c r="B38" s="3" t="n">
        <v>437</v>
      </c>
      <c r="C38" t="inlineStr">
        <is>
          <t>€M</t>
        </is>
      </c>
      <c r="D38" t="inlineStr">
        <is>
          <t>Q2-26</t>
        </is>
      </c>
      <c r="E38" t="inlineStr">
        <is>
          <t>Actual</t>
        </is>
      </c>
      <c r="F38" t="inlineStr">
        <is>
          <t>6-K Q2-26 as quoted by Music Ally, 7 Sep 2026. A second reading of the same filing gives €473M (which is also the USD value of the Q1-26 figure). Verify against the Q2-26 6-K legal-proceedings note before quoting</t>
        </is>
      </c>
    </row>
    <row r="39">
      <c r="A39" t="inlineStr">
        <is>
          <t>Gross bundle saving 2026E</t>
        </is>
      </c>
      <c r="B39" s="4" t="n">
        <v>205</v>
      </c>
      <c r="C39" t="inlineStr">
        <is>
          <t>€M</t>
        </is>
      </c>
      <c r="D39" t="inlineStr">
        <is>
          <t>FY26E</t>
        </is>
      </c>
      <c r="E39" s="5" t="inlineStr">
        <is>
          <t>LINK TO MODEL</t>
        </is>
      </c>
      <c r="F39" t="inlineStr">
        <is>
          <t>Placeholder: 4 x average quarterly contingency increment Q2-25 to Q1-26 (€51M). Link to model: bundle saving FY26E</t>
        </is>
      </c>
    </row>
    <row r="40">
      <c r="A40" t="inlineStr">
        <is>
          <t>Gross bundle saving 2027E</t>
        </is>
      </c>
      <c r="B40" s="4" t="n">
        <v>205</v>
      </c>
      <c r="C40" t="inlineStr">
        <is>
          <t>€M</t>
        </is>
      </c>
      <c r="D40" t="inlineStr">
        <is>
          <t>FY27E</t>
        </is>
      </c>
      <c r="E40" s="5" t="inlineStr">
        <is>
          <t>LINK TO MODEL</t>
        </is>
      </c>
      <c r="F40" t="inlineStr">
        <is>
          <t>Placeholder: flat on 2026E; Phonorecords IV settlement runs to end-2027. Link to model: bundle saving FY27E</t>
        </is>
      </c>
    </row>
    <row r="41">
      <c r="A41" t="inlineStr">
        <is>
          <t>NMPA estimate of first-year publisher loss</t>
        </is>
      </c>
      <c r="B41" s="3" t="n">
        <v>230</v>
      </c>
      <c r="C41" t="inlineStr">
        <is>
          <t>$M</t>
        </is>
      </c>
      <c r="D41" t="inlineStr">
        <is>
          <t>2024-25</t>
        </is>
      </c>
      <c r="E41" t="inlineStr">
        <is>
          <t>Reported</t>
        </is>
      </c>
      <c r="F41" t="inlineStr">
        <is>
          <t>NMPA via Billboard</t>
        </is>
      </c>
    </row>
    <row r="42">
      <c r="A42" t="inlineStr">
        <is>
          <t>NMPA estimate of cumulative publisher loss to Spotify and Amazon bundling since 2024</t>
        </is>
      </c>
      <c r="B42" s="3" t="n">
        <v>495</v>
      </c>
      <c r="C42" t="inlineStr">
        <is>
          <t>$M</t>
        </is>
      </c>
      <c r="D42" t="inlineStr">
        <is>
          <t>Jun-26</t>
        </is>
      </c>
      <c r="E42" t="inlineStr">
        <is>
          <t>Reported</t>
        </is>
      </c>
      <c r="F42" t="inlineStr">
        <is>
          <t>NMPA annual meeting, Jun 2026 ('nearly $500 million')</t>
        </is>
      </c>
    </row>
    <row r="43">
      <c r="A43" t="inlineStr">
        <is>
          <t>Mechanical royalties paid to the MLC, paid tiers, Q4-23</t>
        </is>
      </c>
      <c r="B43" s="3" t="n">
        <v>97.3</v>
      </c>
      <c r="C43" t="inlineStr">
        <is>
          <t>$M</t>
        </is>
      </c>
      <c r="D43" t="inlineStr">
        <is>
          <t>Q4-23</t>
        </is>
      </c>
      <c r="E43" t="inlineStr">
        <is>
          <t>Reported</t>
        </is>
      </c>
      <c r="F43" t="inlineStr">
        <is>
          <t>Billboard analysis of Spotify's MLC reports</t>
        </is>
      </c>
    </row>
    <row r="44">
      <c r="A44" t="inlineStr">
        <is>
          <t>Mechanical royalties paid to the MLC, paid tiers, Q4-25</t>
        </is>
      </c>
      <c r="B44" s="3" t="n">
        <v>53.3</v>
      </c>
      <c r="C44" t="inlineStr">
        <is>
          <t>$M</t>
        </is>
      </c>
      <c r="D44" t="inlineStr">
        <is>
          <t>Q4-25</t>
        </is>
      </c>
      <c r="E44" t="inlineStr">
        <is>
          <t>Reported</t>
        </is>
      </c>
      <c r="F44" t="inlineStr">
        <is>
          <t>Billboard analysis (-45%)</t>
        </is>
      </c>
    </row>
    <row r="45">
      <c r="A45" t="inlineStr">
        <is>
          <t>Blended mechanical per-stream rate, paid tiers, Q4-23</t>
        </is>
      </c>
      <c r="B45" s="7" t="n">
        <v>0.00068</v>
      </c>
      <c r="C45" t="inlineStr">
        <is>
          <t>$/stream</t>
        </is>
      </c>
      <c r="D45" t="inlineStr">
        <is>
          <t>Q4-23</t>
        </is>
      </c>
      <c r="E45" t="inlineStr">
        <is>
          <t>Reported</t>
        </is>
      </c>
      <c r="F45" t="inlineStr">
        <is>
          <t>Billboard analysis</t>
        </is>
      </c>
    </row>
    <row r="46">
      <c r="A46" t="inlineStr">
        <is>
          <t>Blended mechanical per-stream rate, paid tiers, Q4-25</t>
        </is>
      </c>
      <c r="B46" s="7" t="n">
        <v>0.00033</v>
      </c>
      <c r="C46" t="inlineStr">
        <is>
          <t>$/stream</t>
        </is>
      </c>
      <c r="D46" t="inlineStr">
        <is>
          <t>Q4-25</t>
        </is>
      </c>
      <c r="E46" t="inlineStr">
        <is>
          <t>Reported</t>
        </is>
      </c>
      <c r="F46" t="inlineStr">
        <is>
          <t>Billboard analysis (-51%)</t>
        </is>
      </c>
    </row>
    <row r="47">
      <c r="A47" t="inlineStr">
        <is>
          <t>EUR/USD, Q4-25 average</t>
        </is>
      </c>
      <c r="B47" s="8" t="n">
        <v>1.16</v>
      </c>
      <c r="C47" t="inlineStr">
        <is>
          <t>x</t>
        </is>
      </c>
      <c r="D47" t="inlineStr">
        <is>
          <t>Q4-25</t>
        </is>
      </c>
      <c r="E47" t="inlineStr">
        <is>
          <t>Estimate</t>
        </is>
      </c>
      <c r="F47" t="inlineStr">
        <is>
          <t>Approximate</t>
        </is>
      </c>
    </row>
    <row r="48">
      <c r="A48" t="inlineStr">
        <is>
          <t>Music share of bundle revenue under CRB allocation</t>
        </is>
      </c>
      <c r="B48" s="6" t="n">
        <v>0.52</v>
      </c>
      <c r="C48" t="inlineStr">
        <is>
          <t>%</t>
        </is>
      </c>
      <c r="D48" t="inlineStr"/>
      <c r="E48" t="inlineStr">
        <is>
          <t>Reported</t>
        </is>
      </c>
      <c r="F48" t="inlineStr">
        <is>
          <t>NMPA / Billboard ('$5.70 of the bundle')</t>
        </is>
      </c>
    </row>
    <row r="49">
      <c r="A49" t="inlineStr">
        <is>
          <t>UMPG share of US mechanicals</t>
        </is>
      </c>
      <c r="B49" s="9" t="n">
        <v>0.22</v>
      </c>
      <c r="C49" t="inlineStr">
        <is>
          <t>%</t>
        </is>
      </c>
      <c r="D49" t="inlineStr"/>
      <c r="E49" t="inlineStr">
        <is>
          <t>Estimate</t>
        </is>
      </c>
      <c r="F49" t="inlineStr">
        <is>
          <t>Estimate from US publishing market shares (range 20-25%)</t>
        </is>
      </c>
    </row>
    <row r="50">
      <c r="A50" t="inlineStr">
        <is>
          <t>Warner Chappell share of US mechanicals</t>
        </is>
      </c>
      <c r="B50" s="9" t="n">
        <v>0.13</v>
      </c>
      <c r="C50" t="inlineStr">
        <is>
          <t>%</t>
        </is>
      </c>
      <c r="D50" t="inlineStr"/>
      <c r="E50" t="inlineStr">
        <is>
          <t>Estimate</t>
        </is>
      </c>
      <c r="F50" t="inlineStr">
        <is>
          <t>Estimate (range 11-15%)</t>
        </is>
      </c>
    </row>
    <row r="51">
      <c r="A51" t="inlineStr">
        <is>
          <t>Kobalt share of US mechanicals</t>
        </is>
      </c>
      <c r="B51" s="9" t="n">
        <v>0.05</v>
      </c>
      <c r="C51" t="inlineStr">
        <is>
          <t>%</t>
        </is>
      </c>
      <c r="D51" t="inlineStr"/>
      <c r="E51" t="inlineStr">
        <is>
          <t>Estimate</t>
        </is>
      </c>
      <c r="F51" t="inlineStr">
        <is>
          <t>Estimate; largest independent (range 4-7%)</t>
        </is>
      </c>
    </row>
    <row r="52">
      <c r="A52" t="inlineStr">
        <is>
          <t>Sony Music Publishing share of US mechanicals</t>
        </is>
      </c>
      <c r="B52" s="9" t="n">
        <v>0.26</v>
      </c>
      <c r="C52" t="inlineStr">
        <is>
          <t>%</t>
        </is>
      </c>
      <c r="D52" t="inlineStr"/>
      <c r="E52" t="inlineStr">
        <is>
          <t>Estimate</t>
        </is>
      </c>
      <c r="F52" t="inlineStr">
        <is>
          <t>Estimate; SMP ranked #1 publisher in every quarter of 2025 (range 23-28%)</t>
        </is>
      </c>
    </row>
    <row r="53">
      <c r="A53" t="inlineStr">
        <is>
          <t>BMG share of US mechanicals</t>
        </is>
      </c>
      <c r="B53" s="9" t="n">
        <v>0.03</v>
      </c>
      <c r="C53" t="inlineStr">
        <is>
          <t>%</t>
        </is>
      </c>
      <c r="D53" t="inlineStr"/>
      <c r="E53" t="inlineStr">
        <is>
          <t>Estimate</t>
        </is>
      </c>
      <c r="F53" t="inlineStr">
        <is>
          <t>Estimate (range 2-4%)</t>
        </is>
      </c>
    </row>
    <row r="54">
      <c r="A54" t="inlineStr">
        <is>
          <t>UMPG direct licence start month (2025)</t>
        </is>
      </c>
      <c r="B54" s="10" t="n">
        <v>2</v>
      </c>
      <c r="C54" t="inlineStr">
        <is>
          <t>month</t>
        </is>
      </c>
      <c r="D54" t="inlineStr">
        <is>
          <t>2025</t>
        </is>
      </c>
      <c r="E54" t="inlineStr">
        <is>
          <t>Reported</t>
        </is>
      </c>
      <c r="F54" t="inlineStr">
        <is>
          <t>Announced 26 Jan 2025; reported to 'nullify' the bundle discount going forward</t>
        </is>
      </c>
    </row>
    <row r="55">
      <c r="A55" t="inlineStr">
        <is>
          <t>Warner Chappell direct licence start month (2025)</t>
        </is>
      </c>
      <c r="B55" s="10" t="n">
        <v>3</v>
      </c>
      <c r="C55" t="inlineStr">
        <is>
          <t>month</t>
        </is>
      </c>
      <c r="D55" t="inlineStr">
        <is>
          <t>2025</t>
        </is>
      </c>
      <c r="E55" t="inlineStr">
        <is>
          <t>Reported</t>
        </is>
      </c>
      <c r="F55" t="inlineStr">
        <is>
          <t>Announced 6 Feb 2025; 'supersedes the bundling payment structure' (MBW)</t>
        </is>
      </c>
    </row>
    <row r="56">
      <c r="A56" t="inlineStr">
        <is>
          <t>Kobalt direct licence start month (2025)</t>
        </is>
      </c>
      <c r="B56" s="10" t="n">
        <v>9</v>
      </c>
      <c r="C56" t="inlineStr">
        <is>
          <t>month</t>
        </is>
      </c>
      <c r="D56" t="inlineStr">
        <is>
          <t>2025</t>
        </is>
      </c>
      <c r="E56" t="inlineStr">
        <is>
          <t>Reported</t>
        </is>
      </c>
      <c r="F56" t="inlineStr">
        <is>
          <t>Announced 13 Aug 2025; 'bespoke terms rather than the compulsory licence rates'</t>
        </is>
      </c>
    </row>
    <row r="57">
      <c r="A57" t="inlineStr">
        <is>
          <t>Sony Music Publishing direct licence start month (2025)</t>
        </is>
      </c>
      <c r="B57" s="10" t="n">
        <v>10</v>
      </c>
      <c r="C57" t="inlineStr">
        <is>
          <t>month</t>
        </is>
      </c>
      <c r="D57" t="inlineStr">
        <is>
          <t>2025</t>
        </is>
      </c>
      <c r="E57" t="inlineStr">
        <is>
          <t>Reported</t>
        </is>
      </c>
      <c r="F57" t="inlineStr">
        <is>
          <t>Announced 18 Sep 2025; direct US licence</t>
        </is>
      </c>
    </row>
    <row r="58">
      <c r="A58" t="inlineStr">
        <is>
          <t>BMG direct licence start month (2025)</t>
        </is>
      </c>
      <c r="B58" s="10" t="n">
        <v>11</v>
      </c>
      <c r="C58" t="inlineStr">
        <is>
          <t>month</t>
        </is>
      </c>
      <c r="D58" t="inlineStr">
        <is>
          <t>2025</t>
        </is>
      </c>
      <c r="E58" t="inlineStr">
        <is>
          <t>Reported</t>
        </is>
      </c>
      <c r="F58" t="inlineStr">
        <is>
          <t>Announced 9 Oct 2025</t>
        </is>
      </c>
    </row>
    <row r="59">
      <c r="A59" t="inlineStr">
        <is>
          <t>Share of the bundle discount restored to direct-licensed publishers</t>
        </is>
      </c>
      <c r="B59" s="9" t="n">
        <v>0.75</v>
      </c>
      <c r="C59" t="inlineStr">
        <is>
          <t>%</t>
        </is>
      </c>
      <c r="D59" t="inlineStr"/>
      <c r="E59" t="inlineStr">
        <is>
          <t>Estimate</t>
        </is>
      </c>
      <c r="F59" t="inlineStr">
        <is>
          <t>Estimate. Spotify: liability 'partially offset by direct deals'. MBW on the Warner deal: terms 'continue to recognize a difference between bundled and music-only listeners' but payments 'substantially improved'. Range 50-100%</t>
        </is>
      </c>
    </row>
    <row r="60">
      <c r="A60" t="inlineStr">
        <is>
          <t>MLC amended complaint succeeds in 2027 (1 = yes): the independents' share of the saving goes to zero</t>
        </is>
      </c>
      <c r="B60" s="11" t="n">
        <v>0</v>
      </c>
      <c r="C60" t="inlineStr">
        <is>
          <t>flag</t>
        </is>
      </c>
      <c r="D60" t="inlineStr">
        <is>
          <t>2027</t>
        </is>
      </c>
      <c r="E60" t="inlineStr">
        <is>
          <t>Estimate</t>
        </is>
      </c>
      <c r="F60" t="inlineStr">
        <is>
          <t>Scenario switch. Interlocutory appeal denied 1 Sep 2026; fact discovery cutoff 13 Mar 2027; no trial date set</t>
        </is>
      </c>
    </row>
    <row r="61">
      <c r="A61" t="inlineStr">
        <is>
          <t>Audiobook licensing cost 2024 ('hundreds of millions of dollars a year' by Oct-24)</t>
        </is>
      </c>
      <c r="B61" s="12" t="n">
        <v>190</v>
      </c>
      <c r="C61" t="inlineStr">
        <is>
          <t>€M</t>
        </is>
      </c>
      <c r="D61" t="inlineStr">
        <is>
          <t>FY24</t>
        </is>
      </c>
      <c r="E61" t="inlineStr">
        <is>
          <t>Estimate</t>
        </is>
      </c>
      <c r="F61" t="inlineStr">
        <is>
          <t>Axios 15 Oct 2024; Spotify newsroom Mar-25 repeats; 'tens of millions' by Feb-24 (Digital Music News). Sized as a full year</t>
        </is>
      </c>
    </row>
    <row r="62">
      <c r="A62" t="inlineStr">
        <is>
          <t>Audiobook licensing cost growth 2025 (listeners +30-36%, hours +35-37%, DACH launch, Family members)</t>
        </is>
      </c>
      <c r="B62" s="9" t="n">
        <v>0.58</v>
      </c>
      <c r="C62" t="inlineStr">
        <is>
          <t>%</t>
        </is>
      </c>
      <c r="D62" t="inlineStr">
        <is>
          <t>FY25</t>
        </is>
      </c>
      <c r="E62" t="inlineStr">
        <is>
          <t>Estimate</t>
        </is>
      </c>
      <c r="F62" t="inlineStr">
        <is>
          <t>Spotify newsroom Mar-25, Oct-25; estimate</t>
        </is>
      </c>
    </row>
    <row r="63">
      <c r="A63" t="inlineStr">
        <is>
          <t>Audiobook licensing cost growth 2026E (listeners +60%, Nordics, Audiobooks+ Europe)</t>
        </is>
      </c>
      <c r="B63" s="13" t="n">
        <v>0.43</v>
      </c>
      <c r="C63" t="inlineStr">
        <is>
          <t>%</t>
        </is>
      </c>
      <c r="D63" t="inlineStr">
        <is>
          <t>FY26E</t>
        </is>
      </c>
      <c r="E63" s="5" t="inlineStr">
        <is>
          <t>LINK TO MODEL</t>
        </is>
      </c>
      <c r="F63" t="inlineStr">
        <is>
          <t>Placeholder: Publishers Weekly 2026. Link to model: audiobook cost growth FY26E</t>
        </is>
      </c>
    </row>
    <row r="64">
      <c r="A64" t="inlineStr">
        <is>
          <t>Audiobook licensing cost growth 2027E</t>
        </is>
      </c>
      <c r="B64" s="13" t="n">
        <v>0.3</v>
      </c>
      <c r="C64" t="inlineStr">
        <is>
          <t>%</t>
        </is>
      </c>
      <c r="D64" t="inlineStr">
        <is>
          <t>FY27E</t>
        </is>
      </c>
      <c r="E64" s="5" t="inlineStr">
        <is>
          <t>LINK TO MODEL</t>
        </is>
      </c>
      <c r="F64" t="inlineStr">
        <is>
          <t>Placeholder: assumes deceleration. Link to model: audiobook cost growth FY27E</t>
        </is>
      </c>
    </row>
    <row r="65">
      <c r="A65" t="inlineStr">
        <is>
          <t>Low-case multiplier on audiobook licensing cost</t>
        </is>
      </c>
      <c r="B65" s="8" t="n">
        <v>0.8</v>
      </c>
      <c r="C65" t="inlineStr">
        <is>
          <t>x</t>
        </is>
      </c>
      <c r="D65" t="inlineStr"/>
      <c r="E65" t="inlineStr">
        <is>
          <t>Estimate</t>
        </is>
      </c>
      <c r="F65" t="inlineStr">
        <is>
          <t>Sensitivity band</t>
        </is>
      </c>
    </row>
    <row r="66">
      <c r="A66" t="inlineStr">
        <is>
          <t>High-case multiplier on audiobook licensing cost</t>
        </is>
      </c>
      <c r="B66" s="8" t="n">
        <v>1.25</v>
      </c>
      <c r="C66" t="inlineStr">
        <is>
          <t>x</t>
        </is>
      </c>
      <c r="D66" t="inlineStr"/>
      <c r="E66" t="inlineStr">
        <is>
          <t>Estimate</t>
        </is>
      </c>
      <c r="F66" t="inlineStr">
        <is>
          <t>Sensitivity band</t>
        </is>
      </c>
    </row>
    <row r="67">
      <c r="A67" t="inlineStr">
        <is>
          <t>US audiobook publisher receipts 2025</t>
        </is>
      </c>
      <c r="B67" s="3" t="n">
        <v>2430</v>
      </c>
      <c r="C67" t="inlineStr">
        <is>
          <t>$M</t>
        </is>
      </c>
      <c r="D67" t="inlineStr">
        <is>
          <t>FY25</t>
        </is>
      </c>
      <c r="E67" t="inlineStr">
        <is>
          <t>Reported</t>
        </is>
      </c>
      <c r="F67" t="inlineStr">
        <is>
          <t>Audio Publishers Association, Jun 2026 (+9%)</t>
        </is>
      </c>
    </row>
    <row r="68">
      <c r="A68" t="inlineStr">
        <is>
          <t>US audiobook publisher receipts 2024</t>
        </is>
      </c>
      <c r="B68" s="3" t="n">
        <v>2220</v>
      </c>
      <c r="C68" t="inlineStr">
        <is>
          <t>$M</t>
        </is>
      </c>
      <c r="D68" t="inlineStr">
        <is>
          <t>FY24</t>
        </is>
      </c>
      <c r="E68" t="inlineStr">
        <is>
          <t>Reported</t>
        </is>
      </c>
      <c r="F68" t="inlineStr">
        <is>
          <t>Audio Publishers Association (+13%)</t>
        </is>
      </c>
    </row>
    <row r="69">
      <c r="A69" t="inlineStr">
        <is>
          <t>Spotify share of US publisher audiobook receipts, low</t>
        </is>
      </c>
      <c r="B69" s="9" t="n">
        <v>0.1</v>
      </c>
      <c r="C69" t="inlineStr">
        <is>
          <t>%</t>
        </is>
      </c>
      <c r="D69" t="inlineStr">
        <is>
          <t>FY25</t>
        </is>
      </c>
      <c r="E69" t="inlineStr">
        <is>
          <t>Estimate</t>
        </is>
      </c>
      <c r="F69" t="inlineStr">
        <is>
          <t>Estimate; Audible 63.4% to 59.8% (eMarketer Mar-26), Spotify #2</t>
        </is>
      </c>
    </row>
    <row r="70">
      <c r="A70" t="inlineStr">
        <is>
          <t>Spotify share of US publisher audiobook receipts, high</t>
        </is>
      </c>
      <c r="B70" s="9" t="n">
        <v>0.14</v>
      </c>
      <c r="C70" t="inlineStr">
        <is>
          <t>%</t>
        </is>
      </c>
      <c r="D70" t="inlineStr">
        <is>
          <t>FY25</t>
        </is>
      </c>
      <c r="E70" t="inlineStr">
        <is>
          <t>Estimate</t>
        </is>
      </c>
      <c r="F70" t="inlineStr">
        <is>
          <t>Estimate</t>
        </is>
      </c>
    </row>
    <row r="71">
      <c r="A71" t="inlineStr">
        <is>
          <t>Non-US markets as a multiple of US cost (UK, AU, CA, IE, NZ, FR, BX, DACH, Nordics)</t>
        </is>
      </c>
      <c r="B71" s="8" t="n">
        <v>1.4</v>
      </c>
      <c r="C71" t="inlineStr">
        <is>
          <t>x</t>
        </is>
      </c>
      <c r="D71" t="inlineStr">
        <is>
          <t>FY25</t>
        </is>
      </c>
      <c r="E71" t="inlineStr">
        <is>
          <t>Estimate</t>
        </is>
      </c>
      <c r="F71" t="inlineStr">
        <is>
          <t>Estimate</t>
        </is>
      </c>
    </row>
    <row r="72">
      <c r="A72" t="inlineStr">
        <is>
          <t>EUR/USD</t>
        </is>
      </c>
      <c r="B72" s="8" t="n">
        <v>1.13</v>
      </c>
      <c r="C72" t="inlineStr">
        <is>
          <t>x</t>
        </is>
      </c>
      <c r="D72" t="inlineStr">
        <is>
          <t>2025 avg</t>
        </is>
      </c>
      <c r="E72" t="inlineStr">
        <is>
          <t>Estimate</t>
        </is>
      </c>
      <c r="F72" t="inlineStr">
        <is>
          <t>Approximate 2025 average</t>
        </is>
      </c>
    </row>
    <row r="73">
      <c r="A73" t="inlineStr">
        <is>
          <t>Audiobooks+ annual recurring revenue</t>
        </is>
      </c>
      <c r="B73" s="3" t="n">
        <v>100</v>
      </c>
      <c r="C73" t="inlineStr">
        <is>
          <t>$M</t>
        </is>
      </c>
      <c r="D73" t="inlineStr">
        <is>
          <t>Jul-26</t>
        </is>
      </c>
      <c r="E73" t="inlineStr">
        <is>
          <t>Actual</t>
        </is>
      </c>
      <c r="F73" t="inlineStr">
        <is>
          <t>Investor Day 21 May 2026 ('on track for $100M ARR in July'); Q2-26 call: reached</t>
        </is>
      </c>
    </row>
    <row r="74">
      <c r="A74" t="inlineStr">
        <is>
          <t>Audiobooks+ paying users</t>
        </is>
      </c>
      <c r="B74" s="14" t="n">
        <v>1</v>
      </c>
      <c r="C74" t="inlineStr">
        <is>
          <t>M</t>
        </is>
      </c>
      <c r="D74" t="inlineStr">
        <is>
          <t>May-26</t>
        </is>
      </c>
      <c r="E74" t="inlineStr">
        <is>
          <t>Actual</t>
        </is>
      </c>
      <c r="F74" t="inlineStr">
        <is>
          <t>Investor Day via Publishers Weekly ('more than one million')</t>
        </is>
      </c>
    </row>
    <row r="75">
      <c r="A75" t="inlineStr">
        <is>
          <t>Priced audiobook revenue 2024 (top-ups from Mar-24)</t>
        </is>
      </c>
      <c r="B75" s="12" t="n">
        <v>5</v>
      </c>
      <c r="C75" t="inlineStr">
        <is>
          <t>€M</t>
        </is>
      </c>
      <c r="D75" t="inlineStr">
        <is>
          <t>FY24</t>
        </is>
      </c>
      <c r="E75" t="inlineStr">
        <is>
          <t>Estimate</t>
        </is>
      </c>
      <c r="F75" t="inlineStr">
        <is>
          <t>Estimate</t>
        </is>
      </c>
    </row>
    <row r="76">
      <c r="A76" t="inlineStr">
        <is>
          <t>Priced audiobook revenue 2025 (US Audiobooks+ from Aug-25; 11 EU markets late-25)</t>
        </is>
      </c>
      <c r="B76" s="12" t="n">
        <v>30</v>
      </c>
      <c r="C76" t="inlineStr">
        <is>
          <t>€M</t>
        </is>
      </c>
      <c r="D76" t="inlineStr">
        <is>
          <t>FY25</t>
        </is>
      </c>
      <c r="E76" t="inlineStr">
        <is>
          <t>Estimate</t>
        </is>
      </c>
      <c r="F76" t="inlineStr">
        <is>
          <t>Estimate</t>
        </is>
      </c>
    </row>
    <row r="77">
      <c r="A77" t="inlineStr">
        <is>
          <t>Priced audiobook revenue 2026E</t>
        </is>
      </c>
      <c r="B77" s="4" t="n">
        <v>75</v>
      </c>
      <c r="C77" t="inlineStr">
        <is>
          <t>€M</t>
        </is>
      </c>
      <c r="D77" t="inlineStr">
        <is>
          <t>FY26E</t>
        </is>
      </c>
      <c r="E77" s="5" t="inlineStr">
        <is>
          <t>LINK TO MODEL</t>
        </is>
      </c>
      <c r="F77" t="inlineStr">
        <is>
          <t>Placeholder: ARR $100M mid-year is about €88M run-rate; H1 lower. Link to model: paid audiobook revenue FY26E</t>
        </is>
      </c>
    </row>
    <row r="78">
      <c r="A78" t="inlineStr">
        <is>
          <t>Priced audiobook revenue 2027E</t>
        </is>
      </c>
      <c r="B78" s="4" t="n">
        <v>120</v>
      </c>
      <c r="C78" t="inlineStr">
        <is>
          <t>€M</t>
        </is>
      </c>
      <c r="D78" t="inlineStr">
        <is>
          <t>FY27E</t>
        </is>
      </c>
      <c r="E78" s="5" t="inlineStr">
        <is>
          <t>LINK TO MODEL</t>
        </is>
      </c>
      <c r="F78" t="inlineStr">
        <is>
          <t>Placeholder (+60%). Link to model: paid audiobook revenue FY27E</t>
        </is>
      </c>
    </row>
    <row r="79">
      <c r="A79" t="inlineStr">
        <is>
          <t>Content cost ratio on paid hours (same publisher payments apply)</t>
        </is>
      </c>
      <c r="B79" s="9" t="n">
        <v>0.55</v>
      </c>
      <c r="C79" t="inlineStr">
        <is>
          <t>%</t>
        </is>
      </c>
      <c r="D79" t="inlineStr"/>
      <c r="E79" t="inlineStr">
        <is>
          <t>Estimate</t>
        </is>
      </c>
      <c r="F79" t="inlineStr">
        <is>
          <t>Assumption</t>
        </is>
      </c>
    </row>
    <row r="80">
      <c r="A80" t="inlineStr">
        <is>
          <t>Premium subscribers</t>
        </is>
      </c>
      <c r="B80" s="14" t="n">
        <v>300</v>
      </c>
      <c r="C80" t="inlineStr">
        <is>
          <t>M</t>
        </is>
      </c>
      <c r="D80" t="inlineStr">
        <is>
          <t>Q2-26</t>
        </is>
      </c>
      <c r="E80" t="inlineStr">
        <is>
          <t>Actual</t>
        </is>
      </c>
      <c r="F80" t="inlineStr">
        <is>
          <t>Spotify Q2-26 deck</t>
        </is>
      </c>
    </row>
    <row r="81">
      <c r="A81" t="inlineStr">
        <is>
          <t>Subscribers in markets with audiobooks in Premium</t>
        </is>
      </c>
      <c r="B81" s="15" t="n">
        <v>140</v>
      </c>
      <c r="C81" t="inlineStr">
        <is>
          <t>M</t>
        </is>
      </c>
      <c r="D81" t="inlineStr">
        <is>
          <t>Q2-26</t>
        </is>
      </c>
      <c r="E81" t="inlineStr">
        <is>
          <t>Estimate</t>
        </is>
      </c>
      <c r="F81" t="inlineStr">
        <is>
          <t>Estimate: North America 75M + eligible Europe ~60M + AU/NZ ~6M</t>
        </is>
      </c>
    </row>
    <row r="82">
      <c r="A82" t="inlineStr">
        <is>
          <t>Share of Premium subscribers listening to audiobooks</t>
        </is>
      </c>
      <c r="B82" s="6" t="n">
        <v>0.25</v>
      </c>
      <c r="C82" t="inlineStr">
        <is>
          <t>%</t>
        </is>
      </c>
      <c r="D82" t="inlineStr">
        <is>
          <t>2025</t>
        </is>
      </c>
      <c r="E82" t="inlineStr">
        <is>
          <t>Reported</t>
        </is>
      </c>
      <c r="F82" t="inlineStr">
        <is>
          <t>The Bookseller 2025; TechCrunch 17 Jul 2025</t>
        </is>
      </c>
    </row>
    <row r="83">
      <c r="A83" t="inlineStr">
        <is>
          <t>Share of eligible Premium users who have ever pressed play</t>
        </is>
      </c>
      <c r="B83" s="6" t="n">
        <v>0.5</v>
      </c>
      <c r="C83" t="inlineStr">
        <is>
          <t>%</t>
        </is>
      </c>
      <c r="D83" t="inlineStr">
        <is>
          <t>Oct-25</t>
        </is>
      </c>
      <c r="E83" t="inlineStr">
        <is>
          <t>Actual</t>
        </is>
      </c>
      <c r="F83" t="inlineStr">
        <is>
          <t>Spotify newsroom 15 Oct 2025</t>
        </is>
      </c>
    </row>
    <row r="84">
      <c r="A84" t="inlineStr">
        <is>
          <t>US individual subscribers who took the $1 Basic plan to drop audiobooks</t>
        </is>
      </c>
      <c r="B84" s="6" t="n">
        <v>0.155</v>
      </c>
      <c r="C84" t="inlineStr">
        <is>
          <t>%</t>
        </is>
      </c>
      <c r="D84" t="inlineStr">
        <is>
          <t>2024</t>
        </is>
      </c>
      <c r="E84" t="inlineStr">
        <is>
          <t>Reported</t>
        </is>
      </c>
      <c r="F84" t="inlineStr">
        <is>
          <t>Morgan Stanley survey via Billboard (14-17%)</t>
        </is>
      </c>
    </row>
    <row r="85">
      <c r="A85" t="inlineStr">
        <is>
          <t>Music Pro attach assumption, bull case</t>
        </is>
      </c>
      <c r="B85" s="13" t="n">
        <v>0.03</v>
      </c>
      <c r="C85" t="inlineStr">
        <is>
          <t>%</t>
        </is>
      </c>
      <c r="D85" t="inlineStr">
        <is>
          <t>2027</t>
        </is>
      </c>
      <c r="E85" s="5" t="inlineStr">
        <is>
          <t>LINK TO MODEL</t>
        </is>
      </c>
      <c r="F85" t="inlineStr">
        <is>
          <t>Placeholder. Link to model: bull-case Music Pro attach</t>
        </is>
      </c>
    </row>
    <row r="86">
      <c r="A86" t="inlineStr">
        <is>
          <t>Consensus gross-margin expansion 2026E</t>
        </is>
      </c>
      <c r="B86" s="16" t="n">
        <v>115</v>
      </c>
      <c r="C86" t="inlineStr">
        <is>
          <t>bp</t>
        </is>
      </c>
      <c r="D86" t="inlineStr">
        <is>
          <t>FY26E</t>
        </is>
      </c>
      <c r="E86" s="5" t="inlineStr">
        <is>
          <t>LINK TO MODEL</t>
        </is>
      </c>
      <c r="F86" t="inlineStr">
        <is>
          <t>Placeholder: 33.2% vs 32.0%. Link to model: consensus gross margin FY26E</t>
        </is>
      </c>
    </row>
    <row r="87">
      <c r="A87" t="inlineStr">
        <is>
          <t>Consensus gross-margin expansion 2027E</t>
        </is>
      </c>
      <c r="B87" s="16" t="n">
        <v>130</v>
      </c>
      <c r="C87" t="inlineStr">
        <is>
          <t>bp</t>
        </is>
      </c>
      <c r="D87" t="inlineStr">
        <is>
          <t>FY27E</t>
        </is>
      </c>
      <c r="E87" s="5" t="inlineStr">
        <is>
          <t>LINK TO MODEL</t>
        </is>
      </c>
      <c r="F87" t="inlineStr">
        <is>
          <t>Placeholder: ~34.5% vs 33.2%. Link to model: consensus gross margin FY27E</t>
        </is>
      </c>
    </row>
    <row r="88">
      <c r="A88" t="inlineStr">
        <is>
          <t>Memo: Jun-24 US price increase, annualized revenue (not in N)</t>
        </is>
      </c>
      <c r="B88" s="12" t="n">
        <v>500</v>
      </c>
      <c r="C88" t="inlineStr">
        <is>
          <t>€M</t>
        </is>
      </c>
      <c r="D88" t="inlineStr">
        <is>
          <t>run-rate</t>
        </is>
      </c>
      <c r="E88" t="inlineStr">
        <is>
          <t>Estimate</t>
        </is>
      </c>
      <c r="F88" t="inlineStr">
        <is>
          <t>Estimate: ~7% blended on ~€8B US Premium revenue</t>
        </is>
      </c>
    </row>
    <row r="90">
      <c r="A90" s="17" t="inlineStr">
        <is>
          <t>Sources</t>
        </is>
      </c>
    </row>
    <row r="91">
      <c r="A91" t="inlineStr">
        <is>
          <t>MLC contingency series (legal proceedings note in each filing): 6-K Q2-24 sec.gov/Archives/edgar/data/1639920/000163992024000009/spot-20240630x6xk.htm; 6-K Q3-24 .../000163992024000013/spot-20240930x6xk.htm; 20-F FY24 .../000163992025000003/ck0001639920-20241231.htm; 6-K Q1-25 .../000163992025000006/spot-20250331x6xk.htm; 6-K Q2-25 .../000163992025000012/spot-20250630x6xk.htm; 6-K Q3-25 .../000162828025048927/spot-20250930x6xk.htm; 20-F FY25 .../000162828026006874/ck0001639920-20251231.htm; 6-K Q1-26 .../000162828026027951/spot-20260331x6xk.htm; 6-K Q2-26 .../000162828026052543/spot-20260630x6xk.htm</t>
        </is>
      </c>
    </row>
    <row r="92">
      <c r="A92" t="inlineStr">
        <is>
          <t>Billboard, 'How Much Have Spotify Bundles Decreased the Mechanical Per-Stream Rate? (Analysis)': Q4-23 $97.3M at $0.00068 per stream; Q4-25 $53.3M at $0.00033; streams +19.3bn</t>
        </is>
      </c>
    </row>
    <row r="93">
      <c r="A93" t="inlineStr">
        <is>
          <t>Direct deals: UMPG 26 Jan 2025 (MBW); Warner Chappell 6 Feb 2025 (MBW: 'supersedes the bundling payment structure'; terms 'continue to recognize a difference between bundled and music-only listeners'); Kobalt 13 Aug 2025 (CMU, MBW); Sony Music Publishing 18 Sep 2025 (MBW, Variety); BMG 9 Oct 2025 (CMU)</t>
        </is>
      </c>
    </row>
    <row r="94">
      <c r="A94" t="inlineStr">
        <is>
          <t>MLC v. Spotify USA Inc., S.D.N.Y. 1:24-cv-03809: dismissed with prejudice 29 Jan 2025; reconsideration granted Sep 2025; amended complaint 1 Oct 2025 (valuation of the bundle components and the Audiobook Access tier); jury demand 8 Oct 2025; interlocutory appeal denied 1 Sep 2026; fact discovery cutoff 13 Mar 2027</t>
        </is>
      </c>
    </row>
    <row r="95">
      <c r="A95" t="inlineStr">
        <is>
          <t>Spotify Form 20-F FY2024 and FY2025 (Premium cost of revenue drivers, royalty component increases, Premium GM): sec.gov/Archives/edgar/data/1639920/000163992025000003/ck0001639920-20241231.htm ; .../000162828026006874/ck0001639920-20251231.htm</t>
        </is>
      </c>
    </row>
    <row r="96">
      <c r="A96" t="inlineStr">
        <is>
          <t>Spotify Form 6-K Q2-26 (H1-26 Premium cost of revenue +€500M, content +€474M, ratio 67%→65%): sec.gov/Archives/edgar/data/0001639920/000162828026052543/spot-20260630x6xk.htm</t>
        </is>
      </c>
    </row>
    <row r="97">
      <c r="A97" t="inlineStr">
        <is>
          <t>Spotify Form 6-K Q3-25 (9M-25 royalty component +€588M): sec.gov/Archives/edgar/data/1639920/000162828025048927/spot-20250930x6xk.htm</t>
        </is>
      </c>
    </row>
    <row r="98">
      <c r="A98" t="inlineStr">
        <is>
          <t>NMPA statements: $150M (May 2024), $230M first-year loss, nearly $500M cumulative with Amazon (annual meeting, Jun 2026; 'nearly $480 million by Spotify's own admission')</t>
        </is>
      </c>
    </row>
    <row r="99">
      <c r="A99" t="inlineStr">
        <is>
          <t>Audiobook cost phrases: Digital Music News 5 Feb 2024 ('tens of millions'); Axios 15 Oct 2024 ('hundreds of millions annually'); Spotify newsroom 13 Mar 2025</t>
        </is>
      </c>
    </row>
    <row r="100">
      <c r="A100" t="inlineStr">
        <is>
          <t>Spotify newsroom 15 Oct 2025 (two-year stats: listeners +36%, hours +37%, &gt;50% tried); Mar 2025 (listeners +30%, hours +35%, 400k titles); Publishers Weekly 2026 (listeners +60%, Audiobooks+ $100M ARR, &gt;1M payers)</t>
        </is>
      </c>
    </row>
    <row r="101">
      <c r="A101" t="inlineStr">
        <is>
          <t>The Bookseller 2025 / TechCrunch 17 Jul 2025 ('more than 25% of Premium subscribers listening')</t>
        </is>
      </c>
    </row>
    <row r="102">
      <c r="A102" t="inlineStr">
        <is>
          <t>Audio Publishers Association sales surveys: 2022 $1.8B, 2023 $2.0B, 2024 $2.22B, 2025 $2.43B; eMarketer Mar 2026 (Audible 63.4%→59.8%)</t>
        </is>
      </c>
    </row>
    <row r="103">
      <c r="A103" t="inlineStr">
        <is>
          <t>Publisher confirmations: Bloomsbury AR 2025 (audio +57% 'in part Spotify'); News Corp/HarperCollins (audio +18% FY, +28% Q4, citing Spotify)</t>
        </is>
      </c>
    </row>
    <row r="104">
      <c r="A104" t="inlineStr">
        <is>
          <t>Audible Standard plan $8.99 (Audible newsroom, 3 Mar 2026); Amazon Music Unlimited + Audible (Nov 2024)</t>
        </is>
      </c>
    </row>
    <row r="105">
      <c r="A105" t="inlineStr">
        <is>
          <t>Basic plan opt-out 14–17% (Morgan Stanley survey via Billboard, 2024)</t>
        </is>
      </c>
    </row>
    <row r="106">
      <c r="A106" t="inlineStr">
        <is>
          <t>Audiobooks+ launch and pricing: 9to5Mac 5 Aug 2025; Publishers Weekly (11 EU markets); Spotify newsroom Mar 2024 (Access tier, top-ups)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8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Audiobooks: gross-margin build (€M unless stated)</t>
        </is>
      </c>
    </row>
    <row r="2">
      <c r="A2" t="inlineStr">
        <is>
          <t>2026E and 2027E are driven by placeholder inputs on the inputs tab flagged LINK TO MODEL. Blue = hard-coded; green = reference to inputs tab; black = formula.</t>
        </is>
      </c>
    </row>
    <row r="3">
      <c r="A3" t="inlineStr"/>
    </row>
    <row r="4">
      <c r="A4" s="2" t="inlineStr"/>
      <c r="B4" s="18" t="n"/>
      <c r="C4" s="19" t="inlineStr">
        <is>
          <t>2024A</t>
        </is>
      </c>
      <c r="D4" s="19" t="inlineStr">
        <is>
          <t>2025A</t>
        </is>
      </c>
      <c r="E4" s="19" t="inlineStr">
        <is>
          <t>2026E</t>
        </is>
      </c>
      <c r="F4" s="19" t="inlineStr">
        <is>
          <t>2027E</t>
        </is>
      </c>
    </row>
    <row r="5">
      <c r="A5" s="17" t="inlineStr">
        <is>
          <t>1. Bundle mechanical-royalty saving (B)</t>
        </is>
      </c>
    </row>
    <row r="6">
      <c r="A6" s="17" t="inlineStr">
        <is>
          <t>a. MLC contingency disclosed in Spotify filings: additional royalties due if Premium were not a bundle, cumulative from 1 Mar 2024 (€M)</t>
        </is>
      </c>
    </row>
    <row r="7">
      <c r="A7" s="17" t="inlineStr">
        <is>
          <t>Filing (period end)</t>
        </is>
      </c>
      <c r="C7" s="20" t="inlineStr">
        <is>
          <t>Cumulative</t>
        </is>
      </c>
      <c r="D7" s="20" t="inlineStr">
        <is>
          <t>Increment</t>
        </is>
      </c>
      <c r="E7" s="20" t="inlineStr">
        <is>
          <t>Months</t>
        </is>
      </c>
      <c r="F7" s="20" t="inlineStr">
        <is>
          <t>€M per month</t>
        </is>
      </c>
    </row>
    <row r="8">
      <c r="A8" t="inlineStr">
        <is>
          <t>6-K Q2-24 (30 Jun 2024)</t>
        </is>
      </c>
      <c r="C8" s="21">
        <f>Audiobooks_Inputs!$B$29</f>
        <v/>
      </c>
      <c r="D8" s="22">
        <f>C8</f>
        <v/>
      </c>
      <c r="E8" s="3" t="n">
        <v>4</v>
      </c>
      <c r="F8" s="23">
        <f>D8/E8</f>
        <v/>
      </c>
    </row>
    <row r="9">
      <c r="A9" t="inlineStr">
        <is>
          <t>6-K Q3-24 (30 Sep 2024)</t>
        </is>
      </c>
      <c r="C9" s="21">
        <f>Audiobooks_Inputs!$B$31</f>
        <v/>
      </c>
      <c r="D9" s="22">
        <f>C9-C8</f>
        <v/>
      </c>
      <c r="E9" s="3" t="n">
        <v>3</v>
      </c>
      <c r="F9" s="23">
        <f>D9/E9</f>
        <v/>
      </c>
    </row>
    <row r="10">
      <c r="A10" t="inlineStr">
        <is>
          <t>20-F FY24 (31 Dec 2024)</t>
        </is>
      </c>
      <c r="C10" s="21">
        <f>Audiobooks_Inputs!$B$32</f>
        <v/>
      </c>
      <c r="D10" s="22">
        <f>C10-C9</f>
        <v/>
      </c>
      <c r="E10" s="3" t="n">
        <v>3</v>
      </c>
      <c r="F10" s="23">
        <f>D10/E10</f>
        <v/>
      </c>
    </row>
    <row r="11">
      <c r="A11" t="inlineStr">
        <is>
          <t>6-K Q1-25 (31 Mar 2025)</t>
        </is>
      </c>
      <c r="C11" s="21">
        <f>Audiobooks_Inputs!$B$33</f>
        <v/>
      </c>
      <c r="D11" s="22">
        <f>C11-C10</f>
        <v/>
      </c>
      <c r="E11" s="3" t="n">
        <v>3</v>
      </c>
      <c r="F11" s="23">
        <f>D11/E11</f>
        <v/>
      </c>
    </row>
    <row r="12">
      <c r="A12" t="inlineStr">
        <is>
          <t>6-K Q2-25 (30 Jun 2025)</t>
        </is>
      </c>
      <c r="C12" s="21">
        <f>Audiobooks_Inputs!$B$34</f>
        <v/>
      </c>
      <c r="D12" s="22">
        <f>C12-C11</f>
        <v/>
      </c>
      <c r="E12" s="3" t="n">
        <v>3</v>
      </c>
      <c r="F12" s="23">
        <f>D12/E12</f>
        <v/>
      </c>
    </row>
    <row r="13">
      <c r="A13" t="inlineStr">
        <is>
          <t>6-K Q3-25 (30 Sep 2025)</t>
        </is>
      </c>
      <c r="C13" s="21">
        <f>Audiobooks_Inputs!$B$35</f>
        <v/>
      </c>
      <c r="D13" s="22">
        <f>C13-C12</f>
        <v/>
      </c>
      <c r="E13" s="3" t="n">
        <v>3</v>
      </c>
      <c r="F13" s="23">
        <f>D13/E13</f>
        <v/>
      </c>
    </row>
    <row r="14">
      <c r="A14" t="inlineStr">
        <is>
          <t>20-F FY25 (31 Dec 2025)</t>
        </is>
      </c>
      <c r="C14" s="21">
        <f>Audiobooks_Inputs!$B$36</f>
        <v/>
      </c>
      <c r="D14" s="22">
        <f>C14-C13</f>
        <v/>
      </c>
      <c r="E14" s="3" t="n">
        <v>3</v>
      </c>
      <c r="F14" s="23">
        <f>D14/E14</f>
        <v/>
      </c>
    </row>
    <row r="15">
      <c r="A15" t="inlineStr">
        <is>
          <t>6-K Q1-26 (31 Mar 2026)</t>
        </is>
      </c>
      <c r="C15" s="21">
        <f>Audiobooks_Inputs!$B$37</f>
        <v/>
      </c>
      <c r="D15" s="22">
        <f>C15-C14</f>
        <v/>
      </c>
      <c r="E15" s="3" t="n">
        <v>3</v>
      </c>
      <c r="F15" s="23">
        <f>D15/E15</f>
        <v/>
      </c>
    </row>
    <row r="16">
      <c r="A16" t="inlineStr">
        <is>
          <t>6-K Q2-26 (30 Jun 2026): verify, see inputs note</t>
        </is>
      </c>
      <c r="C16" s="21">
        <f>Audiobooks_Inputs!$B$38</f>
        <v/>
      </c>
      <c r="D16" s="22">
        <f>C16-C15</f>
        <v/>
      </c>
      <c r="E16" s="3" t="n">
        <v>3</v>
      </c>
      <c r="F16" s="23">
        <f>D16/E16</f>
        <v/>
      </c>
    </row>
    <row r="17">
      <c r="A17" t="inlineStr">
        <is>
          <t xml:space="preserve">   of which April to June 2024 (so March 2024 alone was about €11M)</t>
        </is>
      </c>
      <c r="C17" s="21">
        <f>Audiobooks_Inputs!$B$30</f>
        <v/>
      </c>
      <c r="E17" s="3" t="n">
        <v>3</v>
      </c>
      <c r="F17" s="23">
        <f>C17/E17</f>
        <v/>
      </c>
    </row>
    <row r="18">
      <c r="A18" t="inlineStr">
        <is>
          <t>Average quarterly increment, Q2-25 to Q1-26</t>
        </is>
      </c>
      <c r="B18" s="23">
        <f>AVERAGE(D12:D15)</f>
        <v/>
      </c>
    </row>
    <row r="19">
      <c r="A19" t="inlineStr">
        <is>
          <t>Annualised</t>
        </is>
      </c>
      <c r="B19" s="22">
        <f>B18*4</f>
        <v/>
      </c>
    </row>
    <row r="20">
      <c r="A20" t="inlineStr">
        <is>
          <t>Reading: the increment ran at €50-56M a quarter from Q4-24 to Q1-26 with no step down after the direct deals, so the figure is gross: Spotify still reports every paid-tier stream through the MLC at the bundle rate and pays the direct-licensed publishers a top-up outside it. The Q2-26 increment of €27M is either an FX translation effect or the first filing to net out direct-deal publishers; the 6-K wording decides which.</t>
        </is>
      </c>
    </row>
    <row r="21">
      <c r="A21" t="inlineStr"/>
    </row>
    <row r="22">
      <c r="A22" s="17" t="inlineStr">
        <is>
          <t>b. Gross bundle saving by year</t>
        </is>
      </c>
    </row>
    <row r="23">
      <c r="A23" s="17" t="inlineStr">
        <is>
          <t>Gross saving (2024-25 from filings; 2026E-27E placeholders on the inputs tab)</t>
        </is>
      </c>
      <c r="C23" s="21">
        <f>Audiobooks_Inputs!$B$32</f>
        <v/>
      </c>
      <c r="D23" s="21">
        <f>Audiobooks_Inputs!$B$36-Audiobooks_Inputs!$B$32</f>
        <v/>
      </c>
      <c r="E23" s="21">
        <f>Audiobooks_Inputs!$B$39</f>
        <v/>
      </c>
      <c r="F23" s="21">
        <f>Audiobooks_Inputs!$B$40</f>
        <v/>
      </c>
    </row>
    <row r="24">
      <c r="A24" t="inlineStr">
        <is>
          <t>NMPA: first-year loss $230M; cumulative to Jun-26 (with Amazon) nearly $500M</t>
        </is>
      </c>
      <c r="B24" s="21">
        <f>Audiobooks_Inputs!$B$41</f>
        <v/>
      </c>
      <c r="C24" s="21">
        <f>Audiobooks_Inputs!$B$42</f>
        <v/>
      </c>
    </row>
    <row r="25">
      <c r="A25" t="inlineStr"/>
    </row>
    <row r="26">
      <c r="A26" s="17" t="inlineStr">
        <is>
          <t>c. Cross-check: Billboard analysis of Spotify's MLC reports, paid tiers</t>
        </is>
      </c>
    </row>
    <row r="27">
      <c r="A27" t="inlineStr">
        <is>
          <t>Mechanical royalties paid to the MLC, $M: Q4-23 (col B), Q4-25 (col C)</t>
        </is>
      </c>
      <c r="B27" s="24">
        <f>Audiobooks_Inputs!$B$43</f>
        <v/>
      </c>
      <c r="C27" s="24">
        <f>Audiobooks_Inputs!$B$44</f>
        <v/>
      </c>
    </row>
    <row r="28">
      <c r="A28" t="inlineStr">
        <is>
          <t>Blended per-stream rate, $: Q4-23 (col B), Q4-25 (col C)</t>
        </is>
      </c>
      <c r="B28" s="25">
        <f>Audiobooks_Inputs!$B$45</f>
        <v/>
      </c>
      <c r="C28" s="25">
        <f>Audiobooks_Inputs!$B$46</f>
        <v/>
      </c>
    </row>
    <row r="29">
      <c r="A29" t="inlineStr">
        <is>
          <t>Implied paid-tier streams, bn: Q4-23 (col B), Q4-25 (col C)</t>
        </is>
      </c>
      <c r="B29" s="23">
        <f>B27/B28/1000</f>
        <v/>
      </c>
      <c r="C29" s="23">
        <f>C27/C28/1000</f>
        <v/>
      </c>
    </row>
    <row r="30">
      <c r="A30" t="inlineStr">
        <is>
          <t>Counterfactual Q4-25 payment at the Q4-23 rate, $M</t>
        </is>
      </c>
      <c r="B30" s="23">
        <f>C29*B28*1000</f>
        <v/>
      </c>
    </row>
    <row r="31">
      <c r="A31" t="inlineStr">
        <is>
          <t>Implied quarterly bundle discount, $M</t>
        </is>
      </c>
      <c r="B31" s="23">
        <f>B30-C27</f>
        <v/>
      </c>
    </row>
    <row r="32">
      <c r="A32" t="inlineStr">
        <is>
          <t>EUR/USD, Q4-25</t>
        </is>
      </c>
      <c r="B32" s="26">
        <f>Audiobooks_Inputs!$B$47</f>
        <v/>
      </c>
    </row>
    <row r="33">
      <c r="A33" t="inlineStr">
        <is>
          <t>Implied quarterly discount, €M (col B) vs 6-K Q4-25 increment (col C)</t>
        </is>
      </c>
      <c r="B33" s="23">
        <f>B31/B32</f>
        <v/>
      </c>
      <c r="C33" s="23">
        <f>D14</f>
        <v/>
      </c>
    </row>
    <row r="34">
      <c r="A34" t="inlineStr">
        <is>
          <t>Reading: streams in the MLC reports grew 19bn between the two quarters, so direct-licensed publishers have not left the blanket licence. Two independent sources put the gross discount at about €50M a quarter.</t>
        </is>
      </c>
    </row>
    <row r="35">
      <c r="A35" t="inlineStr"/>
    </row>
    <row r="36">
      <c r="A36" s="17" t="inlineStr">
        <is>
          <t>d. Hand-back to direct-licensed publishers</t>
        </is>
      </c>
    </row>
    <row r="37">
      <c r="A37" s="17" t="inlineStr">
        <is>
          <t>Publisher (share of US mechanicals in col B)</t>
        </is>
      </c>
      <c r="C37" s="27" t="inlineStr">
        <is>
          <t>Months on direct licence</t>
        </is>
      </c>
    </row>
    <row r="38">
      <c r="A38" t="inlineStr">
        <is>
          <t>UMPG</t>
        </is>
      </c>
      <c r="B38" s="28">
        <f>Audiobooks_Inputs!$B$49</f>
        <v/>
      </c>
      <c r="C38" s="10" t="n">
        <v>0</v>
      </c>
      <c r="D38" s="29">
        <f>13-Audiobooks_Inputs!$B$54</f>
        <v/>
      </c>
      <c r="E38" s="10" t="n">
        <v>12</v>
      </c>
      <c r="F38" s="10" t="n">
        <v>12</v>
      </c>
    </row>
    <row r="39">
      <c r="A39" t="inlineStr">
        <is>
          <t>Warner Chappell</t>
        </is>
      </c>
      <c r="B39" s="28">
        <f>Audiobooks_Inputs!$B$50</f>
        <v/>
      </c>
      <c r="C39" s="10" t="n">
        <v>0</v>
      </c>
      <c r="D39" s="29">
        <f>13-Audiobooks_Inputs!$B$55</f>
        <v/>
      </c>
      <c r="E39" s="10" t="n">
        <v>12</v>
      </c>
      <c r="F39" s="10" t="n">
        <v>12</v>
      </c>
    </row>
    <row r="40">
      <c r="A40" t="inlineStr">
        <is>
          <t>Kobalt</t>
        </is>
      </c>
      <c r="B40" s="28">
        <f>Audiobooks_Inputs!$B$51</f>
        <v/>
      </c>
      <c r="C40" s="10" t="n">
        <v>0</v>
      </c>
      <c r="D40" s="29">
        <f>13-Audiobooks_Inputs!$B$56</f>
        <v/>
      </c>
      <c r="E40" s="10" t="n">
        <v>12</v>
      </c>
      <c r="F40" s="10" t="n">
        <v>12</v>
      </c>
    </row>
    <row r="41">
      <c r="A41" t="inlineStr">
        <is>
          <t>Sony Music Publishing</t>
        </is>
      </c>
      <c r="B41" s="28">
        <f>Audiobooks_Inputs!$B$52</f>
        <v/>
      </c>
      <c r="C41" s="10" t="n">
        <v>0</v>
      </c>
      <c r="D41" s="29">
        <f>13-Audiobooks_Inputs!$B$57</f>
        <v/>
      </c>
      <c r="E41" s="10" t="n">
        <v>12</v>
      </c>
      <c r="F41" s="10" t="n">
        <v>12</v>
      </c>
    </row>
    <row r="42">
      <c r="A42" t="inlineStr">
        <is>
          <t>BMG</t>
        </is>
      </c>
      <c r="B42" s="28">
        <f>Audiobooks_Inputs!$B$53</f>
        <v/>
      </c>
      <c r="C42" s="10" t="n">
        <v>0</v>
      </c>
      <c r="D42" s="29">
        <f>13-Audiobooks_Inputs!$B$58</f>
        <v/>
      </c>
      <c r="E42" s="10" t="n">
        <v>12</v>
      </c>
      <c r="F42" s="10" t="n">
        <v>12</v>
      </c>
    </row>
    <row r="43">
      <c r="A43" t="inlineStr">
        <is>
          <t>Sum of shares on direct licences (independents are the remainder, still paid at the bundle rate via the MLC)</t>
        </is>
      </c>
      <c r="B43" s="30">
        <f>SUM(B38:B42)</f>
        <v/>
      </c>
    </row>
    <row r="44">
      <c r="A44" t="inlineStr">
        <is>
          <t>Restoration of the bundle discount in the direct deals</t>
        </is>
      </c>
      <c r="B44" s="28">
        <f>Audiobooks_Inputs!$B$59</f>
        <v/>
      </c>
    </row>
    <row r="45">
      <c r="A45" t="inlineStr">
        <is>
          <t>Hand-back = gross x sum(share x months / 12) x restoration</t>
        </is>
      </c>
      <c r="C45" s="22">
        <f>C23*SUMPRODUCT($B$38:$B$42,C38:C42)/12*$B$44</f>
        <v/>
      </c>
      <c r="D45" s="22">
        <f>D23*SUMPRODUCT($B$38:$B$42,D38:D42)/12*$B$44</f>
        <v/>
      </c>
      <c r="E45" s="22">
        <f>E23*SUMPRODUCT($B$38:$B$42,E38:E42)/12*$B$44</f>
        <v/>
      </c>
      <c r="F45" s="22">
        <f>F23*SUMPRODUCT($B$38:$B$42,F38:F42)/12*$B$44</f>
        <v/>
      </c>
    </row>
    <row r="46">
      <c r="A46" s="17" t="inlineStr">
        <is>
          <t>B  Net bundle saving (2027: if MLC switch = 1, the independents' share goes to zero)</t>
        </is>
      </c>
      <c r="C46" s="22">
        <f>C23-C45</f>
        <v/>
      </c>
      <c r="D46" s="22">
        <f>D23-D45</f>
        <v/>
      </c>
      <c r="E46" s="22">
        <f>E23-E45</f>
        <v/>
      </c>
      <c r="F46" s="21">
        <f>IF(Audiobooks_Inputs!$B$60=1,F23*$B$43*(1-$B$44),F23-F45)</f>
        <v/>
      </c>
    </row>
    <row r="47">
      <c r="A47" t="inlineStr"/>
    </row>
    <row r="48">
      <c r="A48" s="17" t="inlineStr">
        <is>
          <t>2. Audiobook licensing cost on included hours (C)</t>
        </is>
      </c>
    </row>
    <row r="49">
      <c r="A49" t="inlineStr">
        <is>
          <t>Growth y/y</t>
        </is>
      </c>
      <c r="D49" s="28">
        <f>Audiobooks_Inputs!$B$62</f>
        <v/>
      </c>
      <c r="E49" s="28">
        <f>Audiobooks_Inputs!$B$63</f>
        <v/>
      </c>
      <c r="F49" s="28">
        <f>Audiobooks_Inputs!$B$64</f>
        <v/>
      </c>
    </row>
    <row r="50">
      <c r="A50" s="17" t="inlineStr">
        <is>
          <t>C  Base case</t>
        </is>
      </c>
      <c r="C50" s="21">
        <f>Audiobooks_Inputs!$B$61</f>
        <v/>
      </c>
      <c r="D50" s="22">
        <f>C50*(1+D49)</f>
        <v/>
      </c>
      <c r="E50" s="22">
        <f>D50*(1+E49)</f>
        <v/>
      </c>
      <c r="F50" s="22">
        <f>E50*(1+F49)</f>
        <v/>
      </c>
    </row>
    <row r="51">
      <c r="A51" t="inlineStr">
        <is>
          <t>C  Low case</t>
        </is>
      </c>
      <c r="C51" s="21">
        <f>C50*Audiobooks_Inputs!$B$65</f>
        <v/>
      </c>
      <c r="D51" s="21">
        <f>D50*Audiobooks_Inputs!$B$65</f>
        <v/>
      </c>
      <c r="E51" s="21">
        <f>E50*Audiobooks_Inputs!$B$65</f>
        <v/>
      </c>
      <c r="F51" s="21">
        <f>F50*Audiobooks_Inputs!$B$65</f>
        <v/>
      </c>
    </row>
    <row r="52">
      <c r="A52" t="inlineStr">
        <is>
          <t>C  High case</t>
        </is>
      </c>
      <c r="C52" s="21">
        <f>C50*Audiobooks_Inputs!$B$66</f>
        <v/>
      </c>
      <c r="D52" s="21">
        <f>D50*Audiobooks_Inputs!$B$66</f>
        <v/>
      </c>
      <c r="E52" s="21">
        <f>E50*Audiobooks_Inputs!$B$66</f>
        <v/>
      </c>
      <c r="F52" s="21">
        <f>F50*Audiobooks_Inputs!$B$66</f>
        <v/>
      </c>
    </row>
    <row r="53">
      <c r="A53" t="inlineStr"/>
    </row>
    <row r="54">
      <c r="A54" s="17" t="inlineStr">
        <is>
          <t>3. Priced channel (Audiobooks+, top-ups, a la carte)</t>
        </is>
      </c>
    </row>
    <row r="55">
      <c r="A55" t="inlineStr">
        <is>
          <t>Revenue</t>
        </is>
      </c>
      <c r="C55" s="21">
        <f>Audiobooks_Inputs!$B$75</f>
        <v/>
      </c>
      <c r="D55" s="21">
        <f>Audiobooks_Inputs!$B$76</f>
        <v/>
      </c>
      <c r="E55" s="21">
        <f>Audiobooks_Inputs!$B$77</f>
        <v/>
      </c>
      <c r="F55" s="21">
        <f>Audiobooks_Inputs!$B$78</f>
        <v/>
      </c>
    </row>
    <row r="56">
      <c r="A56" t="inlineStr">
        <is>
          <t>Content cost ratio on paid hours</t>
        </is>
      </c>
      <c r="B56" s="28">
        <f>Audiobooks_Inputs!$B$79</f>
        <v/>
      </c>
    </row>
    <row r="57">
      <c r="A57" s="17" t="inlineStr">
        <is>
          <t>A  Gross profit on paid hours = revenue x (1 - ratio)</t>
        </is>
      </c>
      <c r="C57" s="22">
        <f>C55*(1-$B$56)</f>
        <v/>
      </c>
      <c r="D57" s="22">
        <f>D55*(1-$B$56)</f>
        <v/>
      </c>
      <c r="E57" s="22">
        <f>E55*(1-$B$56)</f>
        <v/>
      </c>
      <c r="F57" s="22">
        <f>F55*(1-$B$56)</f>
        <v/>
      </c>
    </row>
    <row r="58">
      <c r="A58" t="inlineStr"/>
    </row>
    <row r="59">
      <c r="A59" s="17" t="inlineStr">
        <is>
          <t>4. Net contribution to gross profit: N = B + A - C</t>
        </is>
      </c>
    </row>
    <row r="60">
      <c r="A60" t="inlineStr">
        <is>
          <t>B  Net bundle saving</t>
        </is>
      </c>
      <c r="C60" s="22">
        <f>C46</f>
        <v/>
      </c>
      <c r="D60" s="22">
        <f>D46</f>
        <v/>
      </c>
      <c r="E60" s="22">
        <f>E46</f>
        <v/>
      </c>
      <c r="F60" s="22">
        <f>F46</f>
        <v/>
      </c>
    </row>
    <row r="61">
      <c r="A61" t="inlineStr">
        <is>
          <t>A  Gross profit on paid hours</t>
        </is>
      </c>
      <c r="C61" s="22">
        <f>C57</f>
        <v/>
      </c>
      <c r="D61" s="22">
        <f>D57</f>
        <v/>
      </c>
      <c r="E61" s="22">
        <f>E57</f>
        <v/>
      </c>
      <c r="F61" s="22">
        <f>F57</f>
        <v/>
      </c>
    </row>
    <row r="62">
      <c r="A62" t="inlineStr">
        <is>
          <t>C  Licensing cost on included hours</t>
        </is>
      </c>
      <c r="C62" s="22">
        <f>C50</f>
        <v/>
      </c>
      <c r="D62" s="22">
        <f>D50</f>
        <v/>
      </c>
      <c r="E62" s="22">
        <f>E50</f>
        <v/>
      </c>
      <c r="F62" s="22">
        <f>F50</f>
        <v/>
      </c>
    </row>
    <row r="63">
      <c r="A63" s="17" t="inlineStr">
        <is>
          <t>N  Net contribution</t>
        </is>
      </c>
      <c r="C63" s="22">
        <f>C60+C61-C62</f>
        <v/>
      </c>
      <c r="D63" s="22">
        <f>D60+D61-D62</f>
        <v/>
      </c>
      <c r="E63" s="22">
        <f>E60+E61-E62</f>
        <v/>
      </c>
      <c r="F63" s="22">
        <f>F60+F61-F62</f>
        <v/>
      </c>
    </row>
    <row r="64">
      <c r="A64" t="inlineStr">
        <is>
          <t>Group revenue</t>
        </is>
      </c>
      <c r="C64" s="21">
        <f>Audiobooks_Inputs!$B$12</f>
        <v/>
      </c>
      <c r="D64" s="21">
        <f>Audiobooks_Inputs!$B$13</f>
        <v/>
      </c>
      <c r="E64" s="21">
        <f>Audiobooks_Inputs!$B$14</f>
        <v/>
      </c>
      <c r="F64" s="21">
        <f>Audiobooks_Inputs!$B$15</f>
        <v/>
      </c>
    </row>
    <row r="65">
      <c r="A65" t="inlineStr">
        <is>
          <t>N, bp of group revenue</t>
        </is>
      </c>
      <c r="C65" s="31">
        <f>C63/C64*10000</f>
        <v/>
      </c>
      <c r="D65" s="31">
        <f>D63/D64*10000</f>
        <v/>
      </c>
      <c r="E65" s="31">
        <f>E63/E64*10000</f>
        <v/>
      </c>
      <c r="F65" s="31">
        <f>F63/F64*10000</f>
        <v/>
      </c>
    </row>
    <row r="66">
      <c r="A66" s="17" t="inlineStr">
        <is>
          <t>Change in N y/y, €M (gross-margin headwind)</t>
        </is>
      </c>
      <c r="D66" s="22">
        <f>D63-C63</f>
        <v/>
      </c>
      <c r="E66" s="22">
        <f>E63-D63</f>
        <v/>
      </c>
      <c r="F66" s="22">
        <f>F63-E63</f>
        <v/>
      </c>
    </row>
    <row r="67">
      <c r="A67" s="17" t="inlineStr">
        <is>
          <t>Change in N y/y, bp of group revenue</t>
        </is>
      </c>
      <c r="D67" s="31">
        <f>D66/D64*10000</f>
        <v/>
      </c>
      <c r="E67" s="31">
        <f>E66/E64*10000</f>
        <v/>
      </c>
      <c r="F67" s="31">
        <f>F66/F64*10000</f>
        <v/>
      </c>
    </row>
    <row r="68">
      <c r="A68" t="inlineStr">
        <is>
          <t xml:space="preserve">   of which music publishers reclaim the bundle saving (change in B)</t>
        </is>
      </c>
      <c r="D68" s="22">
        <f>D60-C60</f>
        <v/>
      </c>
      <c r="E68" s="22">
        <f>E60-D60</f>
        <v/>
      </c>
      <c r="F68" s="22">
        <f>F60-E60</f>
        <v/>
      </c>
    </row>
    <row r="69">
      <c r="A69" t="inlineStr">
        <is>
          <t xml:space="preserve">   of which book publishers paid on consumption (change in C, negative)</t>
        </is>
      </c>
      <c r="D69" s="22">
        <f>-(D62-C62)</f>
        <v/>
      </c>
      <c r="E69" s="22">
        <f>-(E62-D62)</f>
        <v/>
      </c>
      <c r="F69" s="22">
        <f>-(F62-E62)</f>
        <v/>
      </c>
    </row>
    <row r="70">
      <c r="A70" t="inlineStr">
        <is>
          <t xml:space="preserve">   of which paid hours (change in A)</t>
        </is>
      </c>
      <c r="D70" s="22">
        <f>D61-C61</f>
        <v/>
      </c>
      <c r="E70" s="22">
        <f>E61-D61</f>
        <v/>
      </c>
      <c r="F70" s="22">
        <f>F61-E61</f>
        <v/>
      </c>
    </row>
    <row r="71">
      <c r="A71" t="inlineStr">
        <is>
          <t>Consensus gross-margin expansion, bp</t>
        </is>
      </c>
      <c r="E71" s="32">
        <f>Audiobooks_Inputs!$B$86</f>
        <v/>
      </c>
      <c r="F71" s="32">
        <f>Audiobooks_Inputs!$B$87</f>
        <v/>
      </c>
    </row>
    <row r="72">
      <c r="A72" t="inlineStr">
        <is>
          <t>Audiobook headwind as share of consensus expansion</t>
        </is>
      </c>
      <c r="E72" s="30">
        <f>-E67/E71</f>
        <v/>
      </c>
      <c r="F72" s="30">
        <f>-F67/F71</f>
        <v/>
      </c>
    </row>
    <row r="73">
      <c r="A73" t="inlineStr">
        <is>
          <t>Memo (excluded from N): Jun-24 US price increase, annualized €M</t>
        </is>
      </c>
      <c r="C73" s="21">
        <f>Audiobooks_Inputs!$B$88</f>
        <v/>
      </c>
    </row>
    <row r="74">
      <c r="A74" t="inlineStr"/>
    </row>
    <row r="75">
      <c r="A75" s="17" t="inlineStr">
        <is>
          <t>5. Paid attach</t>
        </is>
      </c>
    </row>
    <row r="76">
      <c r="A76" t="inlineStr">
        <is>
          <t>Audiobooks+ paying users (M)</t>
        </is>
      </c>
      <c r="B76" s="24">
        <f>Audiobooks_Inputs!$B$74</f>
        <v/>
      </c>
    </row>
    <row r="77">
      <c r="A77" t="inlineStr">
        <is>
          <t>ARR per payer ($ per year)</t>
        </is>
      </c>
      <c r="B77" s="29">
        <f>Audiobooks_Inputs!$B$73/Audiobooks_Inputs!$B$74</f>
        <v/>
      </c>
    </row>
    <row r="78">
      <c r="A78" t="inlineStr">
        <is>
          <t>Payers / global Premium subscribers</t>
        </is>
      </c>
      <c r="B78" s="33">
        <f>$B$76/Audiobooks_Inputs!$B$80</f>
        <v/>
      </c>
    </row>
    <row r="79">
      <c r="A79" t="inlineStr">
        <is>
          <t>Payers / Premium subscribers in eligible markets</t>
        </is>
      </c>
      <c r="B79" s="33">
        <f>$B$76/Audiobooks_Inputs!$B$81</f>
        <v/>
      </c>
    </row>
    <row r="80">
      <c r="A80" t="inlineStr">
        <is>
          <t>Payers / monthly audiobook listeners, eligible markets</t>
        </is>
      </c>
      <c r="B80" s="33">
        <f>$B$76/(Audiobooks_Inputs!$B$81*Audiobooks_Inputs!$B$82)</f>
        <v/>
      </c>
    </row>
    <row r="81">
      <c r="A81" t="inlineStr">
        <is>
          <t>Payers / monthly audiobook listeners, global</t>
        </is>
      </c>
      <c r="B81" s="33">
        <f>$B$76/(Audiobooks_Inputs!$B$80*Audiobooks_Inputs!$B$82)</f>
        <v/>
      </c>
    </row>
    <row r="82">
      <c r="A82" t="inlineStr">
        <is>
          <t>Eligible Premium users who have ever pressed play</t>
        </is>
      </c>
      <c r="B82" s="33">
        <f>Audiobooks_Inputs!$B$83</f>
        <v/>
      </c>
    </row>
    <row r="83">
      <c r="A83" t="inlineStr">
        <is>
          <t>US individual subscribers who took the $1 Basic plan (opt-out)</t>
        </is>
      </c>
      <c r="B83" s="33">
        <f>Audiobooks_Inputs!$B$84</f>
        <v/>
      </c>
    </row>
    <row r="84">
      <c r="A84" t="inlineStr">
        <is>
          <t>Music Pro attach assumption, bull case</t>
        </is>
      </c>
      <c r="B84" s="33">
        <f>Audiobooks_Inputs!$B$85</f>
        <v/>
      </c>
    </row>
    <row r="85">
      <c r="A85" t="inlineStr"/>
    </row>
    <row r="86">
      <c r="A86" s="17" t="inlineStr">
        <is>
          <t>6. Cross-checks</t>
        </is>
      </c>
    </row>
    <row r="87">
      <c r="A87" s="17" t="inlineStr">
        <is>
          <t>a. Market-share triangulation of C (2025)</t>
        </is>
      </c>
    </row>
    <row r="88">
      <c r="A88" t="inlineStr">
        <is>
          <t>US audiobook publisher receipts 2025 ($M)</t>
        </is>
      </c>
      <c r="B88" s="21">
        <f>Audiobooks_Inputs!$B$67</f>
        <v/>
      </c>
    </row>
    <row r="89">
      <c r="A89" t="inlineStr">
        <is>
          <t>Spotify share of US receipts: low (col B), high (col C)</t>
        </is>
      </c>
      <c r="B89" s="28">
        <f>Audiobooks_Inputs!$B$69</f>
        <v/>
      </c>
      <c r="C89" s="28">
        <f>Audiobooks_Inputs!$B$70</f>
        <v/>
      </c>
    </row>
    <row r="90">
      <c r="A90" t="inlineStr">
        <is>
          <t>Non-US markets, multiple of US cost</t>
        </is>
      </c>
      <c r="B90" s="26">
        <f>Audiobooks_Inputs!$B$71</f>
        <v/>
      </c>
    </row>
    <row r="91">
      <c r="A91" t="inlineStr">
        <is>
          <t>EUR/USD</t>
        </is>
      </c>
      <c r="B91" s="26">
        <f>Audiobooks_Inputs!$B$72</f>
        <v/>
      </c>
    </row>
    <row r="92">
      <c r="A92" t="inlineStr">
        <is>
          <t>Implied global C 2025, €M: low (col B), high (col C)</t>
        </is>
      </c>
      <c r="B92" s="22">
        <f>B88*B89*B90/B91</f>
        <v/>
      </c>
      <c r="C92" s="22">
        <f>B88*C89*B90/B91</f>
        <v/>
      </c>
    </row>
    <row r="93">
      <c r="A93" t="inlineStr">
        <is>
          <t>Base case C 2025, €M</t>
        </is>
      </c>
      <c r="B93" s="22">
        <f>D50</f>
        <v/>
      </c>
    </row>
    <row r="94">
      <c r="A94" t="inlineStr">
        <is>
          <t>Base case vs implied range: vs low (col B), vs high (col C)</t>
        </is>
      </c>
      <c r="B94" s="34">
        <f>B93/B92-1</f>
        <v/>
      </c>
      <c r="C94" s="34">
        <f>B93/C92-1</f>
        <v/>
      </c>
    </row>
    <row r="95">
      <c r="A95" t="inlineStr"/>
    </row>
    <row r="96">
      <c r="A96" s="17" t="inlineStr">
        <is>
          <t>b. Incremental Premium content-cost ratio (does the P&amp;L show an audiobook step?)</t>
        </is>
      </c>
    </row>
    <row r="97">
      <c r="A97" s="17" t="inlineStr"/>
      <c r="C97" s="20" t="inlineStr">
        <is>
          <t>Premium revenue change</t>
        </is>
      </c>
      <c r="D97" s="20" t="inlineStr">
        <is>
          <t>Content cost change</t>
        </is>
      </c>
      <c r="E97" s="20" t="inlineStr">
        <is>
          <t>Incremental ratio</t>
        </is>
      </c>
    </row>
    <row r="98">
      <c r="A98" t="inlineStr">
        <is>
          <t>FY24 vs FY23</t>
        </is>
      </c>
      <c r="C98" s="21">
        <f>Audiobooks_Inputs!$B$7-Audiobooks_Inputs!$B$6</f>
        <v/>
      </c>
      <c r="D98" s="21">
        <f>Audiobooks_Inputs!$B$21</f>
        <v/>
      </c>
      <c r="E98" s="34">
        <f>D98/C98</f>
        <v/>
      </c>
    </row>
    <row r="99">
      <c r="A99" t="inlineStr">
        <is>
          <t>FY25 vs FY24</t>
        </is>
      </c>
      <c r="C99" s="21">
        <f>Audiobooks_Inputs!$B$8-Audiobooks_Inputs!$B$7</f>
        <v/>
      </c>
      <c r="D99" s="21">
        <f>Audiobooks_Inputs!$B$22</f>
        <v/>
      </c>
      <c r="E99" s="34">
        <f>D99/C99</f>
        <v/>
      </c>
    </row>
    <row r="100">
      <c r="A100" t="inlineStr">
        <is>
          <t>9M-25 vs 9M-24</t>
        </is>
      </c>
      <c r="C100" s="21">
        <f>Audiobooks_Inputs!$B$28-Audiobooks_Inputs!$B$27</f>
        <v/>
      </c>
      <c r="D100" s="21">
        <f>Audiobooks_Inputs!$B$23</f>
        <v/>
      </c>
      <c r="E100" s="34">
        <f>D100/C100</f>
        <v/>
      </c>
    </row>
    <row r="101">
      <c r="A101" t="inlineStr">
        <is>
          <t>H1-26 vs H1-25</t>
        </is>
      </c>
      <c r="C101" s="21">
        <f>Audiobooks_Inputs!$B$26-Audiobooks_Inputs!$B$25</f>
        <v/>
      </c>
      <c r="D101" s="21">
        <f>Audiobooks_Inputs!$B$24</f>
        <v/>
      </c>
      <c r="E101" s="34">
        <f>D101/C101</f>
        <v/>
      </c>
    </row>
    <row r="102">
      <c r="A102" t="inlineStr">
        <is>
          <t>Note: the incremental ratio holds at 48-50% in every period against a ~66% average ratio. It bounds the growth in C rather than measuring it: music royalties, the bundle saving, marketplace offsets and the Partner Program all move inside the same line.</t>
        </is>
      </c>
    </row>
    <row r="103">
      <c r="A103" t="inlineStr"/>
    </row>
    <row r="104">
      <c r="A104" s="17" t="inlineStr">
        <is>
          <t>7. Sensitivity: 2027E, by audiobook cost growth (rows) and bundle-discount restoration / MLC outcome (columns)</t>
        </is>
      </c>
    </row>
    <row r="105">
      <c r="A105" t="inlineStr">
        <is>
          <t>Restoration of bundle discount</t>
        </is>
      </c>
      <c r="C105" s="35" t="n">
        <v>0.5</v>
      </c>
      <c r="D105" s="35" t="n">
        <v>0.75</v>
      </c>
      <c r="E105" s="35" t="n">
        <v>0.75</v>
      </c>
    </row>
    <row r="106">
      <c r="A106" t="inlineStr">
        <is>
          <t>MLC complaint succeeds in 2027 (1 = yes)</t>
        </is>
      </c>
      <c r="C106" s="10" t="n">
        <v>0</v>
      </c>
      <c r="D106" s="10" t="n">
        <v>0</v>
      </c>
      <c r="E106" s="10" t="n">
        <v>1</v>
      </c>
    </row>
    <row r="107">
      <c r="A107" s="17" t="inlineStr">
        <is>
          <t>Cost growth p.a. 2026-27 (col A)</t>
        </is>
      </c>
      <c r="C107" s="20" t="inlineStr">
        <is>
          <t>Change in N 2027, bp</t>
        </is>
      </c>
      <c r="D107" s="20" t="inlineStr">
        <is>
          <t>Change in N 2027, bp</t>
        </is>
      </c>
      <c r="E107" s="20" t="inlineStr">
        <is>
          <t>Change in N 2027, bp</t>
        </is>
      </c>
    </row>
    <row r="108">
      <c r="A108" s="35" t="n">
        <v>0.2</v>
      </c>
      <c r="C108" s="31">
        <f>((IF(C$106=1,$F$23*$B$43*(1-C$105),$F$23*(1-$B$43*C$105))-$E$23*(1-$B$43*C$105))+($F$57-$E$57)-$D$50*(1+$A108)*$A108)/$F$64*10000</f>
        <v/>
      </c>
      <c r="D108" s="31">
        <f>((IF(D$106=1,$F$23*$B$43*(1-D$105),$F$23*(1-$B$43*D$105))-$E$23*(1-$B$43*D$105))+($F$57-$E$57)-$D$50*(1+$A108)*$A108)/$F$64*10000</f>
        <v/>
      </c>
      <c r="E108" s="31">
        <f>((IF(E$106=1,$F$23*$B$43*(1-E$105),$F$23*(1-$B$43*E$105))-$E$23*(1-$B$43*E$105))+($F$57-$E$57)-$D$50*(1+$A108)*$A108)/$F$64*10000</f>
        <v/>
      </c>
    </row>
    <row r="109">
      <c r="A109" s="35" t="n">
        <v>0.3</v>
      </c>
      <c r="C109" s="31">
        <f>((IF(C$106=1,$F$23*$B$43*(1-C$105),$F$23*(1-$B$43*C$105))-$E$23*(1-$B$43*C$105))+($F$57-$E$57)-$D$50*(1+$A109)*$A109)/$F$64*10000</f>
        <v/>
      </c>
      <c r="D109" s="31">
        <f>((IF(D$106=1,$F$23*$B$43*(1-D$105),$F$23*(1-$B$43*D$105))-$E$23*(1-$B$43*D$105))+($F$57-$E$57)-$D$50*(1+$A109)*$A109)/$F$64*10000</f>
        <v/>
      </c>
      <c r="E109" s="31">
        <f>((IF(E$106=1,$F$23*$B$43*(1-E$105),$F$23*(1-$B$43*E$105))-$E$23*(1-$B$43*E$105))+($F$57-$E$57)-$D$50*(1+$A109)*$A109)/$F$64*10000</f>
        <v/>
      </c>
    </row>
    <row r="110">
      <c r="A110" s="35" t="n">
        <v>0.45</v>
      </c>
      <c r="C110" s="31">
        <f>((IF(C$106=1,$F$23*$B$43*(1-C$105),$F$23*(1-$B$43*C$105))-$E$23*(1-$B$43*C$105))+($F$57-$E$57)-$D$50*(1+$A110)*$A110)/$F$64*10000</f>
        <v/>
      </c>
      <c r="D110" s="31">
        <f>((IF(D$106=1,$F$23*$B$43*(1-D$105),$F$23*(1-$B$43*D$105))-$E$23*(1-$B$43*D$105))+($F$57-$E$57)-$D$50*(1+$A110)*$A110)/$F$64*10000</f>
        <v/>
      </c>
      <c r="E110" s="31">
        <f>((IF(E$106=1,$F$23*$B$43*(1-E$105),$F$23*(1-$B$43*E$105))-$E$23*(1-$B$43*E$105))+($F$57-$E$57)-$D$50*(1+$A110)*$A110)/$F$64*10000</f>
        <v/>
      </c>
    </row>
    <row r="111">
      <c r="A111" s="35" t="n">
        <v>0.6</v>
      </c>
      <c r="C111" s="31">
        <f>((IF(C$106=1,$F$23*$B$43*(1-C$105),$F$23*(1-$B$43*C$105))-$E$23*(1-$B$43*C$105))+($F$57-$E$57)-$D$50*(1+$A111)*$A111)/$F$64*10000</f>
        <v/>
      </c>
      <c r="D111" s="31">
        <f>((IF(D$106=1,$F$23*$B$43*(1-D$105),$F$23*(1-$B$43*D$105))-$E$23*(1-$B$43*D$105))+($F$57-$E$57)-$D$50*(1+$A111)*$A111)/$F$64*10000</f>
        <v/>
      </c>
      <c r="E111" s="31">
        <f>((IF(E$106=1,$F$23*$B$43*(1-E$105),$F$23*(1-$B$43*E$105))-$E$23*(1-$B$43*E$105))+($F$57-$E$57)-$D$50*(1+$A111)*$A111)/$F$64*10000</f>
        <v/>
      </c>
    </row>
    <row r="112">
      <c r="A112" s="17" t="inlineStr">
        <is>
          <t>Cost growth p.a. 2026-27 (col A)</t>
        </is>
      </c>
      <c r="C112" s="20" t="inlineStr">
        <is>
          <t>N 2027, €M</t>
        </is>
      </c>
      <c r="D112" s="20" t="inlineStr">
        <is>
          <t>N 2027, €M</t>
        </is>
      </c>
      <c r="E112" s="20" t="inlineStr">
        <is>
          <t>N 2027, €M</t>
        </is>
      </c>
    </row>
    <row r="113">
      <c r="A113" s="35" t="n">
        <v>0.2</v>
      </c>
      <c r="C113" s="22">
        <f>IF(C$106=1,$F$23*$B$43*(1-C$105),$F$23*(1-$B$43*C$105))+$F$57-$D$50*(1+$A113)^2</f>
        <v/>
      </c>
      <c r="D113" s="22">
        <f>IF(D$106=1,$F$23*$B$43*(1-D$105),$F$23*(1-$B$43*D$105))+$F$57-$D$50*(1+$A113)^2</f>
        <v/>
      </c>
      <c r="E113" s="22">
        <f>IF(E$106=1,$F$23*$B$43*(1-E$105),$F$23*(1-$B$43*E$105))+$F$57-$D$50*(1+$A113)^2</f>
        <v/>
      </c>
    </row>
    <row r="114">
      <c r="A114" s="35" t="n">
        <v>0.3</v>
      </c>
      <c r="C114" s="22">
        <f>IF(C$106=1,$F$23*$B$43*(1-C$105),$F$23*(1-$B$43*C$105))+$F$57-$D$50*(1+$A114)^2</f>
        <v/>
      </c>
      <c r="D114" s="22">
        <f>IF(D$106=1,$F$23*$B$43*(1-D$105),$F$23*(1-$B$43*D$105))+$F$57-$D$50*(1+$A114)^2</f>
        <v/>
      </c>
      <c r="E114" s="22">
        <f>IF(E$106=1,$F$23*$B$43*(1-E$105),$F$23*(1-$B$43*E$105))+$F$57-$D$50*(1+$A114)^2</f>
        <v/>
      </c>
    </row>
    <row r="115">
      <c r="A115" s="35" t="n">
        <v>0.45</v>
      </c>
      <c r="C115" s="22">
        <f>IF(C$106=1,$F$23*$B$43*(1-C$105),$F$23*(1-$B$43*C$105))+$F$57-$D$50*(1+$A115)^2</f>
        <v/>
      </c>
      <c r="D115" s="22">
        <f>IF(D$106=1,$F$23*$B$43*(1-D$105),$F$23*(1-$B$43*D$105))+$F$57-$D$50*(1+$A115)^2</f>
        <v/>
      </c>
      <c r="E115" s="22">
        <f>IF(E$106=1,$F$23*$B$43*(1-E$105),$F$23*(1-$B$43*E$105))+$F$57-$D$50*(1+$A115)^2</f>
        <v/>
      </c>
    </row>
    <row r="116">
      <c r="A116" s="35" t="n">
        <v>0.6</v>
      </c>
      <c r="C116" s="22">
        <f>IF(C$106=1,$F$23*$B$43*(1-C$105),$F$23*(1-$B$43*C$105))+$F$57-$D$50*(1+$A116)^2</f>
        <v/>
      </c>
      <c r="D116" s="22">
        <f>IF(D$106=1,$F$23*$B$43*(1-D$105),$F$23*(1-$B$43*D$105))+$F$57-$D$50*(1+$A116)^2</f>
        <v/>
      </c>
      <c r="E116" s="22">
        <f>IF(E$106=1,$F$23*$B$43*(1-E$105),$F$23*(1-$B$43*E$105))+$F$57-$D$50*(1+$A116)^2</f>
        <v/>
      </c>
    </row>
    <row r="117">
      <c r="A117" t="inlineStr">
        <is>
          <t>Restoration does not change the 2027 headwind (B is flat 2026 to 2027 once every direct deal is a full year old); it changes the level of N. An MLC win removes the independents' share of the gross saving.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SPOT</dc:creator>
  <dcterms:created xsi:type="dcterms:W3CDTF">2026-10-02T16:12:48Z</dcterms:created>
  <dcterms:modified xsi:type="dcterms:W3CDTF">2026-10-02T16:12:48Z</dcterms:modified>
  <cp:lastModifiedBy>SPOT</cp:lastModifiedBy>
</cp:coreProperties>
</file>