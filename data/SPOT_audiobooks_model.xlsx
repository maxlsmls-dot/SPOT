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_Inputs" sheetId="1" state="visible" r:id="rId1"/>
    <sheet name="AB_Bridge" sheetId="2" state="visible" r:id="rId2"/>
    <sheet name="AB_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0"/>
    <numFmt numFmtId="165" formatCode="0.0%"/>
    <numFmt numFmtId="166" formatCode="0.0"/>
    <numFmt numFmtId="167" formatCode="0_);(0)"/>
  </numFmts>
  <fonts count="8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FF"/>
    </font>
    <font>
      <b val="1"/>
      <color rgb="00C00000"/>
    </font>
    <font>
      <color rgb="00008000"/>
    </font>
    <font>
      <color rgb="00000000"/>
    </font>
    <font>
      <i val="1"/>
    </font>
  </fonts>
  <fills count="7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BDD7EE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0" fillId="3" borderId="0" pivotButton="0" quotePrefix="0" xfId="0"/>
    <xf numFmtId="37" fontId="3" fillId="0" borderId="0" pivotButton="0" quotePrefix="0" xfId="0"/>
    <xf numFmtId="0" fontId="0" fillId="0" borderId="0" applyAlignment="1" pivotButton="0" quotePrefix="0" xfId="0">
      <alignment vertical="top" wrapText="1"/>
    </xf>
    <xf numFmtId="37" fontId="4" fillId="4" borderId="0" pivotButton="0" quotePrefix="0" xfId="0"/>
    <xf numFmtId="0" fontId="4" fillId="4" borderId="0" pivotButton="0" quotePrefix="0" xfId="0"/>
    <xf numFmtId="164" fontId="3" fillId="0" borderId="0" pivotButton="0" quotePrefix="0" xfId="0"/>
    <xf numFmtId="2" fontId="3" fillId="5" borderId="0" pivotButton="0" quotePrefix="0" xfId="0"/>
    <xf numFmtId="165" fontId="3" fillId="5" borderId="0" pivotButton="0" quotePrefix="0" xfId="0"/>
    <xf numFmtId="1" fontId="3" fillId="0" borderId="0" pivotButton="0" quotePrefix="0" xfId="0"/>
    <xf numFmtId="1" fontId="3" fillId="5" borderId="0" pivotButton="0" quotePrefix="0" xfId="0"/>
    <xf numFmtId="37" fontId="3" fillId="5" borderId="0" pivotButton="0" quotePrefix="0" xfId="0"/>
    <xf numFmtId="165" fontId="4" fillId="4" borderId="0" pivotButton="0" quotePrefix="0" xfId="0"/>
    <xf numFmtId="166" fontId="3" fillId="0" borderId="0" pivotButton="0" quotePrefix="0" xfId="0"/>
    <xf numFmtId="1" fontId="4" fillId="4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right"/>
    </xf>
    <xf numFmtId="37" fontId="5" fillId="0" borderId="0" pivotButton="0" quotePrefix="0" xfId="0"/>
    <xf numFmtId="37" fontId="6" fillId="0" borderId="0" pivotButton="0" quotePrefix="0" xfId="0"/>
    <xf numFmtId="166" fontId="6" fillId="0" borderId="0" pivotButton="0" quotePrefix="0" xfId="0"/>
    <xf numFmtId="166" fontId="5" fillId="0" borderId="0" pivotButton="0" quotePrefix="0" xfId="0"/>
    <xf numFmtId="164" fontId="5" fillId="0" borderId="0" pivotButton="0" quotePrefix="0" xfId="0"/>
    <xf numFmtId="0" fontId="0" fillId="2" borderId="0" pivotButton="0" quotePrefix="0" xfId="0"/>
    <xf numFmtId="0" fontId="2" fillId="2" borderId="0" applyAlignment="1" pivotButton="0" quotePrefix="0" xfId="0">
      <alignment horizontal="right"/>
    </xf>
    <xf numFmtId="9" fontId="5" fillId="0" borderId="0" pivotButton="0" quotePrefix="0" xfId="0"/>
    <xf numFmtId="1" fontId="5" fillId="0" borderId="0" pivotButton="0" quotePrefix="0" xfId="0"/>
    <xf numFmtId="9" fontId="6" fillId="0" borderId="0" pivotButton="0" quotePrefix="0" xfId="0"/>
    <xf numFmtId="0" fontId="2" fillId="6" borderId="0" pivotButton="0" quotePrefix="0" xfId="0"/>
    <xf numFmtId="0" fontId="0" fillId="6" borderId="0" pivotButton="0" quotePrefix="0" xfId="0"/>
    <xf numFmtId="37" fontId="6" fillId="6" borderId="0" pivotButton="0" quotePrefix="0" xfId="0"/>
    <xf numFmtId="37" fontId="5" fillId="6" borderId="0" pivotButton="0" quotePrefix="0" xfId="0"/>
    <xf numFmtId="167" fontId="6" fillId="6" borderId="0" pivotButton="0" quotePrefix="0" xfId="0"/>
    <xf numFmtId="167" fontId="5" fillId="0" borderId="0" pivotButton="0" quotePrefix="0" xfId="0"/>
    <xf numFmtId="0" fontId="2" fillId="2" borderId="0" applyAlignment="1" pivotButton="0" quotePrefix="0" xfId="0">
      <alignment horizontal="right" wrapText="1"/>
    </xf>
    <xf numFmtId="9" fontId="3" fillId="0" borderId="0" pivotButton="0" quotePrefix="0" xfId="0"/>
    <xf numFmtId="0" fontId="7" fillId="0" borderId="0" pivotButton="0" quotePrefix="0" xfId="0"/>
    <xf numFmtId="167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4" customWidth="1" min="1" max="1"/>
    <col width="12" customWidth="1" min="2" max="2"/>
    <col width="9" customWidth="1" min="3" max="3"/>
    <col width="12" customWidth="1" min="4" max="4"/>
    <col width="16" customWidth="1" min="5" max="5"/>
    <col width="120" customWidth="1" min="6" max="6"/>
  </cols>
  <sheetData>
    <row r="1">
      <c r="A1" s="1" t="inlineStr">
        <is>
          <t>Audiobooks: inputs</t>
        </is>
      </c>
    </row>
    <row r="2">
      <c r="A2" t="inlineStr">
        <is>
          <t>Blue text = hard-coded input. Orange fill = estimate (the note says how it was derived). Yellow fill with red text = forecast placeholder: replace with a link to the main model before use. No forecasts beyond FY27.</t>
        </is>
      </c>
    </row>
    <row r="4">
      <c r="A4" s="2" t="inlineStr">
        <is>
          <t>Input</t>
        </is>
      </c>
      <c r="B4" s="2" t="inlineStr">
        <is>
          <t>Value</t>
        </is>
      </c>
      <c r="C4" s="2" t="inlineStr">
        <is>
          <t>Unit</t>
        </is>
      </c>
      <c r="D4" s="2" t="inlineStr">
        <is>
          <t>Period</t>
        </is>
      </c>
      <c r="E4" s="2" t="inlineStr">
        <is>
          <t>Type</t>
        </is>
      </c>
      <c r="F4" s="2" t="inlineStr">
        <is>
          <t>Source / how obtained</t>
        </is>
      </c>
    </row>
    <row r="5">
      <c r="A5" s="3" t="inlineStr">
        <is>
          <t>A. Group revenue (denominator for basis points)</t>
        </is>
      </c>
      <c r="B5" s="4" t="n"/>
      <c r="C5" s="4" t="n"/>
      <c r="D5" s="4" t="n"/>
      <c r="E5" s="4" t="n"/>
      <c r="F5" s="4" t="n"/>
    </row>
    <row r="6">
      <c r="A6" t="inlineStr">
        <is>
          <t>Group revenue 2024</t>
        </is>
      </c>
      <c r="B6" s="5" t="n">
        <v>15673</v>
      </c>
      <c r="C6" t="inlineStr">
        <is>
          <t>€M</t>
        </is>
      </c>
      <c r="D6" t="inlineStr">
        <is>
          <t>FY24</t>
        </is>
      </c>
      <c r="E6" t="inlineStr">
        <is>
          <t>Actual</t>
        </is>
      </c>
      <c r="F6" s="6" t="inlineStr">
        <is>
          <t>Spotify 20-F</t>
        </is>
      </c>
    </row>
    <row r="7">
      <c r="A7" t="inlineStr">
        <is>
          <t>Group revenue 2025</t>
        </is>
      </c>
      <c r="B7" s="5" t="n">
        <v>17186</v>
      </c>
      <c r="C7" t="inlineStr">
        <is>
          <t>€M</t>
        </is>
      </c>
      <c r="D7" t="inlineStr">
        <is>
          <t>FY25</t>
        </is>
      </c>
      <c r="E7" t="inlineStr">
        <is>
          <t>Actual</t>
        </is>
      </c>
      <c r="F7" s="6" t="inlineStr">
        <is>
          <t>Spotify 20-F</t>
        </is>
      </c>
    </row>
    <row r="8">
      <c r="A8" t="inlineStr">
        <is>
          <t>Group revenue 2026E</t>
        </is>
      </c>
      <c r="B8" s="7" t="n">
        <v>19500</v>
      </c>
      <c r="C8" t="inlineStr">
        <is>
          <t>€M</t>
        </is>
      </c>
      <c r="D8" t="inlineStr">
        <is>
          <t>FY26E</t>
        </is>
      </c>
      <c r="E8" s="8" t="inlineStr">
        <is>
          <t>LINK TO MODEL</t>
        </is>
      </c>
      <c r="F8" s="6" t="inlineStr">
        <is>
          <t>Placeholder. Link to model: total revenue FY26E</t>
        </is>
      </c>
    </row>
    <row r="9">
      <c r="A9" t="inlineStr">
        <is>
          <t>Group revenue 2027E</t>
        </is>
      </c>
      <c r="B9" s="7" t="n">
        <v>21300</v>
      </c>
      <c r="C9" t="inlineStr">
        <is>
          <t>€M</t>
        </is>
      </c>
      <c r="D9" t="inlineStr">
        <is>
          <t>FY27E</t>
        </is>
      </c>
      <c r="E9" s="8" t="inlineStr">
        <is>
          <t>LINK TO MODEL</t>
        </is>
      </c>
      <c r="F9" s="6" t="inlineStr">
        <is>
          <t>Placeholder. Link to model: total revenue FY27E</t>
        </is>
      </c>
    </row>
    <row r="11">
      <c r="A11" s="3" t="inlineStr">
        <is>
          <t>B. Bundle saving: MLC contingency disclosed in Spotify filings (gross mechanical-royalty discount, cumulative from 1 Mar 2024)</t>
        </is>
      </c>
      <c r="B11" s="4" t="n"/>
      <c r="C11" s="4" t="n"/>
      <c r="D11" s="4" t="n"/>
      <c r="E11" s="4" t="n"/>
      <c r="F11" s="4" t="n"/>
    </row>
    <row r="12">
      <c r="A12" t="inlineStr">
        <is>
          <t>MLC contingency, cumulative 1 Mar 2024 to 30 Jun 2024</t>
        </is>
      </c>
      <c r="B12" s="5" t="n">
        <v>46</v>
      </c>
      <c r="C12" t="inlineStr">
        <is>
          <t>€M</t>
        </is>
      </c>
      <c r="D12" t="inlineStr">
        <is>
          <t>Q2-24</t>
        </is>
      </c>
      <c r="E12" t="inlineStr">
        <is>
          <t>Actual</t>
        </is>
      </c>
      <c r="F12" s="6" t="inlineStr">
        <is>
          <t>6-K Q2-24: 'approximately €46 million, of which approximately €35 million relates to the three months ended June 30, 2024'</t>
        </is>
      </c>
    </row>
    <row r="13">
      <c r="A13" t="inlineStr">
        <is>
          <t>of which the three months April to June 2024</t>
        </is>
      </c>
      <c r="B13" s="5" t="n">
        <v>35</v>
      </c>
      <c r="C13" t="inlineStr">
        <is>
          <t>€M</t>
        </is>
      </c>
      <c r="D13" t="inlineStr">
        <is>
          <t>Q2-24</t>
        </is>
      </c>
      <c r="E13" t="inlineStr">
        <is>
          <t>Actual</t>
        </is>
      </c>
      <c r="F13" s="6" t="inlineStr">
        <is>
          <t>6-K Q2-24 (same sentence)</t>
        </is>
      </c>
    </row>
    <row r="14">
      <c r="A14" t="inlineStr">
        <is>
          <t>MLC contingency, cumulative to 30 Sep 2024</t>
        </is>
      </c>
      <c r="B14" s="5" t="n">
        <v>94</v>
      </c>
      <c r="C14" t="inlineStr">
        <is>
          <t>€M</t>
        </is>
      </c>
      <c r="D14" t="inlineStr">
        <is>
          <t>Q3-24</t>
        </is>
      </c>
      <c r="E14" t="inlineStr">
        <is>
          <t>Actual</t>
        </is>
      </c>
      <c r="F14" s="6" t="inlineStr">
        <is>
          <t>6-K Q3-24</t>
        </is>
      </c>
    </row>
    <row r="15">
      <c r="A15" t="inlineStr">
        <is>
          <t>MLC contingency, cumulative to 31 Dec 2024</t>
        </is>
      </c>
      <c r="B15" s="5" t="n">
        <v>150</v>
      </c>
      <c r="C15" t="inlineStr">
        <is>
          <t>€M</t>
        </is>
      </c>
      <c r="D15" t="inlineStr">
        <is>
          <t>Q4-24</t>
        </is>
      </c>
      <c r="E15" t="inlineStr">
        <is>
          <t>Actual</t>
        </is>
      </c>
      <c r="F15" s="6" t="inlineStr">
        <is>
          <t>20-F FY24</t>
        </is>
      </c>
    </row>
    <row r="16">
      <c r="A16" t="inlineStr">
        <is>
          <t>MLC contingency, cumulative to 31 Mar 2025</t>
        </is>
      </c>
      <c r="B16" s="5" t="n">
        <v>205</v>
      </c>
      <c r="C16" t="inlineStr">
        <is>
          <t>€M</t>
        </is>
      </c>
      <c r="D16" t="inlineStr">
        <is>
          <t>Q1-25</t>
        </is>
      </c>
      <c r="E16" t="inlineStr">
        <is>
          <t>Actual</t>
        </is>
      </c>
      <c r="F16" s="6" t="inlineStr">
        <is>
          <t>6-K Q1-25</t>
        </is>
      </c>
    </row>
    <row r="17">
      <c r="A17" t="inlineStr">
        <is>
          <t>MLC contingency, cumulative to 30 Jun 2025</t>
        </is>
      </c>
      <c r="B17" s="5" t="n">
        <v>256</v>
      </c>
      <c r="C17" t="inlineStr">
        <is>
          <t>€M</t>
        </is>
      </c>
      <c r="D17" t="inlineStr">
        <is>
          <t>Q2-25</t>
        </is>
      </c>
      <c r="E17" t="inlineStr">
        <is>
          <t>Actual</t>
        </is>
      </c>
      <c r="F17" s="6" t="inlineStr">
        <is>
          <t>6-K Q2-25</t>
        </is>
      </c>
    </row>
    <row r="18">
      <c r="A18" t="inlineStr">
        <is>
          <t>MLC contingency, cumulative to 30 Sep 2025</t>
        </is>
      </c>
      <c r="B18" s="5" t="n">
        <v>308</v>
      </c>
      <c r="C18" t="inlineStr">
        <is>
          <t>€M</t>
        </is>
      </c>
      <c r="D18" t="inlineStr">
        <is>
          <t>Q3-25</t>
        </is>
      </c>
      <c r="E18" t="inlineStr">
        <is>
          <t>Actual</t>
        </is>
      </c>
      <c r="F18" s="6" t="inlineStr">
        <is>
          <t>6-K Q3-25: first filing to add 'Any liability would be partially offset by direct deals with publishers'</t>
        </is>
      </c>
    </row>
    <row r="19">
      <c r="A19" t="inlineStr">
        <is>
          <t>MLC contingency, cumulative to 31 Dec 2025</t>
        </is>
      </c>
      <c r="B19" s="5" t="n">
        <v>358</v>
      </c>
      <c r="C19" t="inlineStr">
        <is>
          <t>€M</t>
        </is>
      </c>
      <c r="D19" t="inlineStr">
        <is>
          <t>Q4-25</t>
        </is>
      </c>
      <c r="E19" t="inlineStr">
        <is>
          <t>Actual</t>
        </is>
      </c>
      <c r="F19" s="6" t="inlineStr">
        <is>
          <t>20-F FY25</t>
        </is>
      </c>
    </row>
    <row r="20">
      <c r="A20" t="inlineStr">
        <is>
          <t>MLC contingency, cumulative to 31 Mar 2026</t>
        </is>
      </c>
      <c r="B20" s="5" t="n">
        <v>410</v>
      </c>
      <c r="C20" t="inlineStr">
        <is>
          <t>€M</t>
        </is>
      </c>
      <c r="D20" t="inlineStr">
        <is>
          <t>Q1-26</t>
        </is>
      </c>
      <c r="E20" t="inlineStr">
        <is>
          <t>Actual</t>
        </is>
      </c>
      <c r="F20" s="6" t="inlineStr">
        <is>
          <t>6-K Q1-26 (USD 473M at the time, per NMPA 'nearly $480 million by Spotify's own admission')</t>
        </is>
      </c>
    </row>
    <row r="21">
      <c r="A21" t="inlineStr">
        <is>
          <t>MLC contingency, cumulative to 30 Jun 2026</t>
        </is>
      </c>
      <c r="B21" s="5" t="n">
        <v>437</v>
      </c>
      <c r="C21" t="inlineStr">
        <is>
          <t>€M</t>
        </is>
      </c>
      <c r="D21" t="inlineStr">
        <is>
          <t>Q2-26</t>
        </is>
      </c>
      <c r="E21" t="inlineStr">
        <is>
          <t>Actual</t>
        </is>
      </c>
      <c r="F21" s="6" t="inlineStr">
        <is>
          <t>6-K Q2-26 as quoted by Music Ally, 7 Sep 2026. A second reading of the same filing gives €473M (which is also the USD value of the Q1-26 figure). Verify against the Q2-26 6-K legal-proceedings note before quoting</t>
        </is>
      </c>
    </row>
    <row r="22">
      <c r="A22" t="inlineStr">
        <is>
          <t>Gross bundle saving 2026E</t>
        </is>
      </c>
      <c r="B22" s="7" t="n">
        <v>205</v>
      </c>
      <c r="C22" t="inlineStr">
        <is>
          <t>€M</t>
        </is>
      </c>
      <c r="D22" t="inlineStr">
        <is>
          <t>FY26E</t>
        </is>
      </c>
      <c r="E22" s="8" t="inlineStr">
        <is>
          <t>LINK TO MODEL</t>
        </is>
      </c>
      <c r="F22" s="6" t="inlineStr">
        <is>
          <t>Placeholder: 4 x the average quarterly contingency increment from Q2-25 to Q1-26 (€51M). Link to model</t>
        </is>
      </c>
    </row>
    <row r="23">
      <c r="A23" t="inlineStr">
        <is>
          <t>Gross bundle saving 2027E</t>
        </is>
      </c>
      <c r="B23" s="7" t="n">
        <v>205</v>
      </c>
      <c r="C23" t="inlineStr">
        <is>
          <t>€M</t>
        </is>
      </c>
      <c r="D23" t="inlineStr">
        <is>
          <t>FY27E</t>
        </is>
      </c>
      <c r="E23" s="8" t="inlineStr">
        <is>
          <t>LINK TO MODEL</t>
        </is>
      </c>
      <c r="F23" s="6" t="inlineStr">
        <is>
          <t>Placeholder: flat on 2026E; the Phonorecords IV settlement that permits the bundle rate runs to end-2027. Link to model</t>
        </is>
      </c>
    </row>
    <row r="25">
      <c r="A25" s="3" t="inlineStr">
        <is>
          <t>C. Bundle saving: independent cross-check (Billboard analysis of Spotify's MLC reports)</t>
        </is>
      </c>
      <c r="B25" s="4" t="n"/>
      <c r="C25" s="4" t="n"/>
      <c r="D25" s="4" t="n"/>
      <c r="E25" s="4" t="n"/>
      <c r="F25" s="4" t="n"/>
    </row>
    <row r="26">
      <c r="A26" t="inlineStr">
        <is>
          <t>Mechanical royalties paid to the MLC, paid tiers, Q4-23</t>
        </is>
      </c>
      <c r="B26" s="5" t="n">
        <v>97.3</v>
      </c>
      <c r="C26" t="inlineStr">
        <is>
          <t>$M</t>
        </is>
      </c>
      <c r="D26" t="inlineStr">
        <is>
          <t>Q4-23</t>
        </is>
      </c>
      <c r="E26" t="inlineStr">
        <is>
          <t>Reported</t>
        </is>
      </c>
      <c r="F26" s="6" t="inlineStr">
        <is>
          <t>Billboard analysis of Spotify's MLC reports</t>
        </is>
      </c>
    </row>
    <row r="27">
      <c r="A27" t="inlineStr">
        <is>
          <t>Mechanical royalties paid to the MLC, paid tiers, Q4-25</t>
        </is>
      </c>
      <c r="B27" s="5" t="n">
        <v>53.3</v>
      </c>
      <c r="C27" t="inlineStr">
        <is>
          <t>$M</t>
        </is>
      </c>
      <c r="D27" t="inlineStr">
        <is>
          <t>Q4-25</t>
        </is>
      </c>
      <c r="E27" t="inlineStr">
        <is>
          <t>Reported</t>
        </is>
      </c>
      <c r="F27" s="6" t="inlineStr">
        <is>
          <t>Billboard analysis (-45%)</t>
        </is>
      </c>
    </row>
    <row r="28">
      <c r="A28" t="inlineStr">
        <is>
          <t>Blended mechanical per-stream rate, paid tiers, Q4-23</t>
        </is>
      </c>
      <c r="B28" s="9" t="n">
        <v>0.00068</v>
      </c>
      <c r="C28" t="inlineStr">
        <is>
          <t>$/stream</t>
        </is>
      </c>
      <c r="D28" t="inlineStr">
        <is>
          <t>Q4-23</t>
        </is>
      </c>
      <c r="E28" t="inlineStr">
        <is>
          <t>Reported</t>
        </is>
      </c>
      <c r="F28" s="6" t="inlineStr">
        <is>
          <t>Billboard analysis</t>
        </is>
      </c>
    </row>
    <row r="29">
      <c r="A29" t="inlineStr">
        <is>
          <t>Blended mechanical per-stream rate, paid tiers, Q4-25</t>
        </is>
      </c>
      <c r="B29" s="9" t="n">
        <v>0.00033</v>
      </c>
      <c r="C29" t="inlineStr">
        <is>
          <t>$/stream</t>
        </is>
      </c>
      <c r="D29" t="inlineStr">
        <is>
          <t>Q4-25</t>
        </is>
      </c>
      <c r="E29" t="inlineStr">
        <is>
          <t>Reported</t>
        </is>
      </c>
      <c r="F29" s="6" t="inlineStr">
        <is>
          <t>Billboard analysis (-51%)</t>
        </is>
      </c>
    </row>
    <row r="30">
      <c r="A30" t="inlineStr">
        <is>
          <t>EUR/USD, Q4-25 average</t>
        </is>
      </c>
      <c r="B30" s="10" t="n">
        <v>1.16</v>
      </c>
      <c r="C30" t="inlineStr">
        <is>
          <t>x</t>
        </is>
      </c>
      <c r="D30" t="inlineStr">
        <is>
          <t>Q4-25</t>
        </is>
      </c>
      <c r="E30" t="inlineStr">
        <is>
          <t>Estimate</t>
        </is>
      </c>
      <c r="F30" s="6" t="inlineStr">
        <is>
          <t>Approximate</t>
        </is>
      </c>
    </row>
    <row r="32">
      <c r="A32" s="3" t="inlineStr">
        <is>
          <t>D. Direct publisher deals that hand part of the saving back</t>
        </is>
      </c>
      <c r="B32" s="4" t="n"/>
      <c r="C32" s="4" t="n"/>
      <c r="D32" s="4" t="n"/>
      <c r="E32" s="4" t="n"/>
      <c r="F32" s="4" t="n"/>
    </row>
    <row r="33">
      <c r="A33" t="inlineStr">
        <is>
          <t>UMPG share of US mechanicals</t>
        </is>
      </c>
      <c r="B33" s="11" t="n">
        <v>0.22</v>
      </c>
      <c r="C33" t="inlineStr">
        <is>
          <t>%</t>
        </is>
      </c>
      <c r="D33" t="inlineStr"/>
      <c r="E33" t="inlineStr">
        <is>
          <t>Estimate</t>
        </is>
      </c>
      <c r="F33" s="6" t="inlineStr">
        <is>
          <t>Estimate from US publishing market shares (range 20-25%)</t>
        </is>
      </c>
    </row>
    <row r="34">
      <c r="A34" t="inlineStr">
        <is>
          <t>UMPG direct licence start month (2025)</t>
        </is>
      </c>
      <c r="B34" s="12" t="n">
        <v>2</v>
      </c>
      <c r="C34" t="inlineStr">
        <is>
          <t>month</t>
        </is>
      </c>
      <c r="D34" t="inlineStr">
        <is>
          <t>2025</t>
        </is>
      </c>
      <c r="E34" t="inlineStr">
        <is>
          <t>Reported</t>
        </is>
      </c>
      <c r="F34" s="6" t="inlineStr">
        <is>
          <t>Announced 26 Jan 2025; reported to 'nullify' the bundle discount going forward</t>
        </is>
      </c>
    </row>
    <row r="35">
      <c r="A35" t="inlineStr">
        <is>
          <t>Warner Chappell share of US mechanicals</t>
        </is>
      </c>
      <c r="B35" s="11" t="n">
        <v>0.13</v>
      </c>
      <c r="C35" t="inlineStr">
        <is>
          <t>%</t>
        </is>
      </c>
      <c r="D35" t="inlineStr"/>
      <c r="E35" t="inlineStr">
        <is>
          <t>Estimate</t>
        </is>
      </c>
      <c r="F35" s="6" t="inlineStr">
        <is>
          <t>Estimate (range 11-15%)</t>
        </is>
      </c>
    </row>
    <row r="36">
      <c r="A36" t="inlineStr">
        <is>
          <t>Warner Chappell direct licence start month (2025)</t>
        </is>
      </c>
      <c r="B36" s="12" t="n">
        <v>3</v>
      </c>
      <c r="C36" t="inlineStr">
        <is>
          <t>month</t>
        </is>
      </c>
      <c r="D36" t="inlineStr">
        <is>
          <t>2025</t>
        </is>
      </c>
      <c r="E36" t="inlineStr">
        <is>
          <t>Reported</t>
        </is>
      </c>
      <c r="F36" s="6" t="inlineStr">
        <is>
          <t>Announced 6 Feb 2025; 'supersedes the bundling payment structure' (MBW)</t>
        </is>
      </c>
    </row>
    <row r="37">
      <c r="A37" t="inlineStr">
        <is>
          <t>Kobalt share of US mechanicals</t>
        </is>
      </c>
      <c r="B37" s="11" t="n">
        <v>0.05</v>
      </c>
      <c r="C37" t="inlineStr">
        <is>
          <t>%</t>
        </is>
      </c>
      <c r="D37" t="inlineStr"/>
      <c r="E37" t="inlineStr">
        <is>
          <t>Estimate</t>
        </is>
      </c>
      <c r="F37" s="6" t="inlineStr">
        <is>
          <t>Estimate; largest independent (range 4-7%)</t>
        </is>
      </c>
    </row>
    <row r="38">
      <c r="A38" t="inlineStr">
        <is>
          <t>Kobalt direct licence start month (2025)</t>
        </is>
      </c>
      <c r="B38" s="12" t="n">
        <v>9</v>
      </c>
      <c r="C38" t="inlineStr">
        <is>
          <t>month</t>
        </is>
      </c>
      <c r="D38" t="inlineStr">
        <is>
          <t>2025</t>
        </is>
      </c>
      <c r="E38" t="inlineStr">
        <is>
          <t>Reported</t>
        </is>
      </c>
      <c r="F38" s="6" t="inlineStr">
        <is>
          <t>Announced 13 Aug 2025; 'bespoke terms rather than the compulsory licence rates'</t>
        </is>
      </c>
    </row>
    <row r="39">
      <c r="A39" t="inlineStr">
        <is>
          <t>Sony Music Publishing share of US mechanicals</t>
        </is>
      </c>
      <c r="B39" s="11" t="n">
        <v>0.26</v>
      </c>
      <c r="C39" t="inlineStr">
        <is>
          <t>%</t>
        </is>
      </c>
      <c r="D39" t="inlineStr"/>
      <c r="E39" t="inlineStr">
        <is>
          <t>Estimate</t>
        </is>
      </c>
      <c r="F39" s="6" t="inlineStr">
        <is>
          <t>Estimate; SMP ranked #1 publisher in every quarter of 2025 (range 23-28%)</t>
        </is>
      </c>
    </row>
    <row r="40">
      <c r="A40" t="inlineStr">
        <is>
          <t>Sony Music Publishing direct licence start month (2025)</t>
        </is>
      </c>
      <c r="B40" s="12" t="n">
        <v>10</v>
      </c>
      <c r="C40" t="inlineStr">
        <is>
          <t>month</t>
        </is>
      </c>
      <c r="D40" t="inlineStr">
        <is>
          <t>2025</t>
        </is>
      </c>
      <c r="E40" t="inlineStr">
        <is>
          <t>Reported</t>
        </is>
      </c>
      <c r="F40" s="6" t="inlineStr">
        <is>
          <t>Announced 18 Sep 2025; direct US licence</t>
        </is>
      </c>
    </row>
    <row r="41">
      <c r="A41" t="inlineStr">
        <is>
          <t>BMG share of US mechanicals</t>
        </is>
      </c>
      <c r="B41" s="11" t="n">
        <v>0.03</v>
      </c>
      <c r="C41" t="inlineStr">
        <is>
          <t>%</t>
        </is>
      </c>
      <c r="D41" t="inlineStr"/>
      <c r="E41" t="inlineStr">
        <is>
          <t>Estimate</t>
        </is>
      </c>
      <c r="F41" s="6" t="inlineStr">
        <is>
          <t>Estimate (range 2-4%)</t>
        </is>
      </c>
    </row>
    <row r="42">
      <c r="A42" t="inlineStr">
        <is>
          <t>BMG direct licence start month (2025)</t>
        </is>
      </c>
      <c r="B42" s="12" t="n">
        <v>11</v>
      </c>
      <c r="C42" t="inlineStr">
        <is>
          <t>month</t>
        </is>
      </c>
      <c r="D42" t="inlineStr">
        <is>
          <t>2025</t>
        </is>
      </c>
      <c r="E42" t="inlineStr">
        <is>
          <t>Reported</t>
        </is>
      </c>
      <c r="F42" s="6" t="inlineStr">
        <is>
          <t>Announced 9 Oct 2025</t>
        </is>
      </c>
    </row>
    <row r="43">
      <c r="A43" t="inlineStr">
        <is>
          <t>Share of the bundle discount restored to direct-licensed publishers</t>
        </is>
      </c>
      <c r="B43" s="11" t="n">
        <v>0.75</v>
      </c>
      <c r="C43" t="inlineStr">
        <is>
          <t>%</t>
        </is>
      </c>
      <c r="D43" t="inlineStr"/>
      <c r="E43" t="inlineStr">
        <is>
          <t>Estimate</t>
        </is>
      </c>
      <c r="F43" s="6" t="inlineStr">
        <is>
          <t>Estimate. Spotify: liability 'partially offset by direct deals'. MBW on the Warner deal: terms 'continue to recognize a difference between bundled and music-only listeners' but payments 'substantially improved'. Range 50-100%</t>
        </is>
      </c>
    </row>
    <row r="44">
      <c r="A44" t="inlineStr">
        <is>
          <t>MLC amended complaint succeeds in 2027 (1 = yes): the independents' share of the saving goes to zero</t>
        </is>
      </c>
      <c r="B44" s="13" t="n">
        <v>0</v>
      </c>
      <c r="C44" t="inlineStr">
        <is>
          <t>flag</t>
        </is>
      </c>
      <c r="D44" t="inlineStr">
        <is>
          <t>2027</t>
        </is>
      </c>
      <c r="E44" t="inlineStr">
        <is>
          <t>Estimate</t>
        </is>
      </c>
      <c r="F44" s="6" t="inlineStr">
        <is>
          <t>Scenario switch. Interlocutory appeal denied 1 Sep 2026; fact discovery cutoff 13 Mar 2027; no trial date set</t>
        </is>
      </c>
    </row>
    <row r="46">
      <c r="A46" s="3" t="inlineStr">
        <is>
          <t>E. Audiobook licensing cost paid to book publishers</t>
        </is>
      </c>
      <c r="B46" s="4" t="n"/>
      <c r="C46" s="4" t="n"/>
      <c r="D46" s="4" t="n"/>
      <c r="E46" s="4" t="n"/>
      <c r="F46" s="4" t="n"/>
    </row>
    <row r="47">
      <c r="A47" t="inlineStr">
        <is>
          <t>Audiobook licensing cost paid to book publishers, 2024 (included and paid hours)</t>
        </is>
      </c>
      <c r="B47" s="14" t="n">
        <v>190</v>
      </c>
      <c r="C47" t="inlineStr">
        <is>
          <t>€M</t>
        </is>
      </c>
      <c r="D47" t="inlineStr">
        <is>
          <t>FY24</t>
        </is>
      </c>
      <c r="E47" t="inlineStr">
        <is>
          <t>Estimate</t>
        </is>
      </c>
      <c r="F47" s="6" t="inlineStr">
        <is>
          <t>Spotify via Axios, 15 Oct 2024: paying publishers 'hundreds of millions of dollars a year' (repeated in the Mar-25 newsroom post; 'tens of millions' by Feb-24 per Digital Music News). Read as about $205M for the full year, below the October exit rate because markets were still launching; converted at the 2024 average rate of 1.08. Cross-check: APA 2025 US publisher receipts $2.43B x 10-14% Spotify share x 1.4 for non-US markets / 1.13 = €301-421M for 2025 against €300M modelled</t>
        </is>
      </c>
    </row>
    <row r="48">
      <c r="A48" t="inlineStr">
        <is>
          <t>Audiobook licensing cost growth 2025</t>
        </is>
      </c>
      <c r="B48" s="11" t="n">
        <v>0.58</v>
      </c>
      <c r="C48" t="inlineStr">
        <is>
          <t>%</t>
        </is>
      </c>
      <c r="D48" t="inlineStr">
        <is>
          <t>FY25</t>
        </is>
      </c>
      <c r="E48" t="inlineStr">
        <is>
          <t>Estimate</t>
        </is>
      </c>
      <c r="F48" s="6" t="inlineStr">
        <is>
          <t>Spotify newsroom, Oct 2025: hours listened +37% y/y like-for-like, listeners +36%. Plus about 15% for the wider paying base not in the like-for-like stat (Family and Duo members gaining access, DACH launch, France and Benelux annualising): 1.37 x 1.15 = 1.58. The 37% is disclosed; the 15% is an estimate</t>
        </is>
      </c>
    </row>
    <row r="49">
      <c r="A49" t="inlineStr">
        <is>
          <t>Audiobook licensing cost growth 2026E</t>
        </is>
      </c>
      <c r="B49" s="15" t="n">
        <v>0.43</v>
      </c>
      <c r="C49" t="inlineStr">
        <is>
          <t>%</t>
        </is>
      </c>
      <c r="D49" t="inlineStr">
        <is>
          <t>FY26E</t>
        </is>
      </c>
      <c r="E49" s="8" t="inlineStr">
        <is>
          <t>LINK TO MODEL</t>
        </is>
      </c>
      <c r="F49" s="6" t="inlineStr">
        <is>
          <t>Investor Day, May 2026 (via Publishers Weekly): listeners +60% y/y. Cost assumed to grow at about 0.7x listener growth because new listeners are lighter users and the hour cap binds heavy ones. Placeholder; link to model and see AB_Sensitivity</t>
        </is>
      </c>
    </row>
    <row r="50">
      <c r="A50" t="inlineStr">
        <is>
          <t>Audiobook licensing cost growth 2027E</t>
        </is>
      </c>
      <c r="B50" s="15" t="n">
        <v>0.3</v>
      </c>
      <c r="C50" t="inlineStr">
        <is>
          <t>%</t>
        </is>
      </c>
      <c r="D50" t="inlineStr">
        <is>
          <t>FY27E</t>
        </is>
      </c>
      <c r="E50" s="8" t="inlineStr">
        <is>
          <t>LINK TO MODEL</t>
        </is>
      </c>
      <c r="F50" s="6" t="inlineStr">
        <is>
          <t>No disclosure. Assumed deceleration from 58% to 43% to 30%. Placeholder; link to model and see AB_Sensitivity</t>
        </is>
      </c>
    </row>
    <row r="52">
      <c r="A52" s="3" t="inlineStr">
        <is>
          <t>F. Paid audiobook revenue (Audiobooks+, top-ups, a la carte)</t>
        </is>
      </c>
      <c r="B52" s="4" t="n"/>
      <c r="C52" s="4" t="n"/>
      <c r="D52" s="4" t="n"/>
      <c r="E52" s="4" t="n"/>
      <c r="F52" s="4" t="n"/>
    </row>
    <row r="53">
      <c r="A53" t="inlineStr">
        <is>
          <t>Audiobooks+ annual recurring revenue</t>
        </is>
      </c>
      <c r="B53" s="5" t="n">
        <v>100</v>
      </c>
      <c r="C53" t="inlineStr">
        <is>
          <t>$M</t>
        </is>
      </c>
      <c r="D53" t="inlineStr">
        <is>
          <t>Jul-26</t>
        </is>
      </c>
      <c r="E53" t="inlineStr">
        <is>
          <t>Actual</t>
        </is>
      </c>
      <c r="F53" s="6" t="inlineStr">
        <is>
          <t>Investor Day 21 May 2026 ('on track for $100M ARR in July'); Q2-26 call: reached</t>
        </is>
      </c>
    </row>
    <row r="54">
      <c r="A54" t="inlineStr">
        <is>
          <t>Audiobooks+ paying users</t>
        </is>
      </c>
      <c r="B54" s="16" t="n">
        <v>1</v>
      </c>
      <c r="C54" t="inlineStr">
        <is>
          <t>M</t>
        </is>
      </c>
      <c r="D54" t="inlineStr">
        <is>
          <t>May-26</t>
        </is>
      </c>
      <c r="E54" t="inlineStr">
        <is>
          <t>Actual</t>
        </is>
      </c>
      <c r="F54" s="6" t="inlineStr">
        <is>
          <t>Investor Day via Publishers Weekly ('more than one million')</t>
        </is>
      </c>
    </row>
    <row r="55">
      <c r="A55" t="inlineStr">
        <is>
          <t>Paid audiobook revenue 2024 (top-ups only, from Mar-24)</t>
        </is>
      </c>
      <c r="B55" s="14" t="n">
        <v>5</v>
      </c>
      <c r="C55" t="inlineStr">
        <is>
          <t>€M</t>
        </is>
      </c>
      <c r="D55" t="inlineStr">
        <is>
          <t>FY24</t>
        </is>
      </c>
      <c r="E55" t="inlineStr">
        <is>
          <t>Estimate</t>
        </is>
      </c>
      <c r="F55" s="6" t="inlineStr">
        <is>
          <t>Estimate: top-ups launched Mar-24 with low uptake; no disclosure</t>
        </is>
      </c>
    </row>
    <row r="56">
      <c r="A56" t="inlineStr">
        <is>
          <t>Paid audiobook revenue 2025 (US Audiobooks+ from Aug-25 at $11.99; 11 EU markets late-25)</t>
        </is>
      </c>
      <c r="B56" s="14" t="n">
        <v>30</v>
      </c>
      <c r="C56" t="inlineStr">
        <is>
          <t>€M</t>
        </is>
      </c>
      <c r="D56" t="inlineStr">
        <is>
          <t>FY25</t>
        </is>
      </c>
      <c r="E56" t="inlineStr">
        <is>
          <t>Estimate</t>
        </is>
      </c>
      <c r="F56" s="6" t="inlineStr">
        <is>
          <t>Estimate: roughly a $5M monthly exit rate for the last few months of 2025 plus top-ups; consistent with $100M ARR by Jul-26</t>
        </is>
      </c>
    </row>
    <row r="57">
      <c r="A57" t="inlineStr">
        <is>
          <t>Paid audiobook revenue 2026E</t>
        </is>
      </c>
      <c r="B57" s="7" t="n">
        <v>75</v>
      </c>
      <c r="C57" t="inlineStr">
        <is>
          <t>€M</t>
        </is>
      </c>
      <c r="D57" t="inlineStr">
        <is>
          <t>FY26E</t>
        </is>
      </c>
      <c r="E57" s="8" t="inlineStr">
        <is>
          <t>LINK TO MODEL</t>
        </is>
      </c>
      <c r="F57" s="6" t="inlineStr">
        <is>
          <t>Placeholder: $100M ARR reached Jul-26 (Q2-26 call) is about €88M run-rate; full year lower because H1 was still ramping. Link to model</t>
        </is>
      </c>
    </row>
    <row r="58">
      <c r="A58" t="inlineStr">
        <is>
          <t>Paid audiobook revenue 2027E</t>
        </is>
      </c>
      <c r="B58" s="7" t="n">
        <v>120</v>
      </c>
      <c r="C58" t="inlineStr">
        <is>
          <t>€M</t>
        </is>
      </c>
      <c r="D58" t="inlineStr">
        <is>
          <t>FY27E</t>
        </is>
      </c>
      <c r="E58" s="8" t="inlineStr">
        <is>
          <t>LINK TO MODEL</t>
        </is>
      </c>
      <c r="F58" s="6" t="inlineStr">
        <is>
          <t>Placeholder: +60% as payer growth decelerates from doubling. Link to model</t>
        </is>
      </c>
    </row>
    <row r="60">
      <c r="A60" s="3" t="inlineStr">
        <is>
          <t>G. Consensus (for context only)</t>
        </is>
      </c>
      <c r="B60" s="4" t="n"/>
      <c r="C60" s="4" t="n"/>
      <c r="D60" s="4" t="n"/>
      <c r="E60" s="4" t="n"/>
      <c r="F60" s="4" t="n"/>
    </row>
    <row r="61">
      <c r="A61" t="inlineStr">
        <is>
          <t>Consensus gross-margin expansion 2026E</t>
        </is>
      </c>
      <c r="B61" s="17" t="n">
        <v>115</v>
      </c>
      <c r="C61" t="inlineStr">
        <is>
          <t>bp</t>
        </is>
      </c>
      <c r="D61" t="inlineStr">
        <is>
          <t>FY26E</t>
        </is>
      </c>
      <c r="E61" s="8" t="inlineStr">
        <is>
          <t>LINK TO MODEL</t>
        </is>
      </c>
      <c r="F61" s="6" t="inlineStr">
        <is>
          <t>Placeholder: 33.2% vs 32.0%. Link to model: consensus gross margin FY26E</t>
        </is>
      </c>
    </row>
    <row r="62">
      <c r="A62" t="inlineStr">
        <is>
          <t>Consensus gross-margin expansion 2027E</t>
        </is>
      </c>
      <c r="B62" s="17" t="n">
        <v>130</v>
      </c>
      <c r="C62" t="inlineStr">
        <is>
          <t>bp</t>
        </is>
      </c>
      <c r="D62" t="inlineStr">
        <is>
          <t>FY27E</t>
        </is>
      </c>
      <c r="E62" s="8" t="inlineStr">
        <is>
          <t>LINK TO MODEL</t>
        </is>
      </c>
      <c r="F62" s="6" t="inlineStr">
        <is>
          <t>Placeholder: ~34.5% vs 33.2%. Link to model: consensus gross margin FY27E</t>
        </is>
      </c>
    </row>
    <row r="64">
      <c r="A64" s="3" t="inlineStr">
        <is>
          <t>H. Memo, excluded from the bridge</t>
        </is>
      </c>
      <c r="B64" s="4" t="n"/>
      <c r="C64" s="4" t="n"/>
      <c r="D64" s="4" t="n"/>
      <c r="E64" s="4" t="n"/>
      <c r="F64" s="4" t="n"/>
    </row>
    <row r="65">
      <c r="A65" t="inlineStr">
        <is>
          <t>Memo: Jun-24 US price increase, annualized revenue (not in N)</t>
        </is>
      </c>
      <c r="B65" s="14" t="n">
        <v>500</v>
      </c>
      <c r="C65" t="inlineStr">
        <is>
          <t>€M</t>
        </is>
      </c>
      <c r="D65" t="inlineStr">
        <is>
          <t>run-rate</t>
        </is>
      </c>
      <c r="E65" t="inlineStr">
        <is>
          <t>Estimate</t>
        </is>
      </c>
      <c r="F65" s="6" t="inlineStr">
        <is>
          <t>Estimate: ~7% blended on ~€8B US Premium revenue</t>
        </is>
      </c>
    </row>
    <row r="67">
      <c r="A67" s="18" t="inlineStr">
        <is>
          <t>Sources</t>
        </is>
      </c>
    </row>
    <row r="68">
      <c r="A68" t="inlineStr">
        <is>
          <t>MLC contingency series (legal proceedings note in each filing): 6-K Q2-24 sec.gov/Archives/edgar/data/1639920/000163992024000009/spot-20240630x6xk.htm; 6-K Q3-24 .../000163992024000013/spot-20240930x6xk.htm; 20-F FY24 .../000163992025000003/ck0001639920-20241231.htm; 6-K Q1-25 .../000163992025000006/spot-20250331x6xk.htm; 6-K Q2-25 .../000163992025000012/spot-20250630x6xk.htm; 6-K Q3-25 .../000162828025048927/spot-20250930x6xk.htm; 20-F FY25 .../000162828026006874/ck0001639920-20251231.htm; 6-K Q1-26 .../000162828026027951/spot-20260331x6xk.htm; 6-K Q2-26 .../000162828026052543/spot-20260630x6xk.htm</t>
        </is>
      </c>
    </row>
    <row r="69">
      <c r="A69" t="inlineStr">
        <is>
          <t>Billboard, 'How Much Have Spotify Bundles Decreased the Mechanical Per-Stream Rate? (Analysis)': Q4-23 $97.3M at $0.00068 per stream; Q4-25 $53.3M at $0.00033; streams +19.3bn</t>
        </is>
      </c>
    </row>
    <row r="70">
      <c r="A70" t="inlineStr">
        <is>
          <t>Direct deals: UMPG 26 Jan 2025 (MBW); Warner Chappell 6 Feb 2025 (MBW: 'supersedes the bundling payment structure'; terms 'continue to recognize a difference between bundled and music-only listeners'); Kobalt 13 Aug 2025 (CMU, MBW); Sony Music Publishing 18 Sep 2025 (MBW, Variety); BMG 9 Oct 2025 (CMU)</t>
        </is>
      </c>
    </row>
    <row r="71">
      <c r="A71" t="inlineStr">
        <is>
          <t>MLC v. Spotify USA Inc., S.D.N.Y. 1:24-cv-03809: dismissed with prejudice 29 Jan 2025; reconsideration granted Sep 2025; amended complaint 1 Oct 2025 (valuation of the bundle components and the Audiobook Access tier); jury demand 8 Oct 2025; interlocutory appeal denied 1 Sep 2026; fact discovery cutoff 13 Mar 2027</t>
        </is>
      </c>
    </row>
    <row r="72">
      <c r="A72" t="inlineStr">
        <is>
          <t>Spotify Form 20-F FY2024 and FY2025 (Premium cost of revenue drivers, royalty component increases, Premium GM): sec.gov/Archives/edgar/data/1639920/000163992025000003/ck0001639920-20241231.htm ; .../000162828026006874/ck0001639920-20251231.htm</t>
        </is>
      </c>
    </row>
    <row r="73">
      <c r="A73" t="inlineStr">
        <is>
          <t>Spotify Form 6-K Q2-26 (H1-26 Premium cost of revenue +€500M, content +€474M, ratio 67%→65%): sec.gov/Archives/edgar/data/0001639920/000162828026052543/spot-20260630x6xk.htm</t>
        </is>
      </c>
    </row>
    <row r="74">
      <c r="A74" t="inlineStr">
        <is>
          <t>Spotify Form 6-K Q3-25 (9M-25 royalty component +€588M): sec.gov/Archives/edgar/data/1639920/000162828025048927/spot-20250930x6xk.htm</t>
        </is>
      </c>
    </row>
    <row r="75">
      <c r="A75" t="inlineStr">
        <is>
          <t>NMPA statements: $150M (May 2024), $230M first-year loss, nearly $500M cumulative with Amazon (annual meeting, Jun 2026; 'nearly $480 million by Spotify's own admission')</t>
        </is>
      </c>
    </row>
    <row r="76">
      <c r="A76" t="inlineStr">
        <is>
          <t>Audiobook cost phrases: Digital Music News 5 Feb 2024 ('tens of millions'); Axios 15 Oct 2024 ('hundreds of millions annually'); Spotify newsroom 13 Mar 2025</t>
        </is>
      </c>
    </row>
    <row r="77">
      <c r="A77" t="inlineStr">
        <is>
          <t>Spotify newsroom 15 Oct 2025 (two-year stats: listeners +36%, hours +37%, &gt;50% tried); Mar 2025 (listeners +30%, hours +35%, 400k titles); Publishers Weekly 2026 (listeners +60%, Audiobooks+ $100M ARR, &gt;1M payers)</t>
        </is>
      </c>
    </row>
    <row r="78">
      <c r="A78" t="inlineStr">
        <is>
          <t>The Bookseller 2025 / TechCrunch 17 Jul 2025 ('more than 25% of Premium subscribers listening')</t>
        </is>
      </c>
    </row>
    <row r="79">
      <c r="A79" t="inlineStr">
        <is>
          <t>Audio Publishers Association sales surveys: 2022 $1.8B, 2023 $2.0B, 2024 $2.22B, 2025 $2.43B; eMarketer Mar 2026 (Audible 63.4%→59.8%)</t>
        </is>
      </c>
    </row>
    <row r="80">
      <c r="A80" t="inlineStr">
        <is>
          <t>Publisher confirmations: Bloomsbury AR 2025 (audio +57% 'in part Spotify'); News Corp/HarperCollins (audio +18% FY, +28% Q4, citing Spotify)</t>
        </is>
      </c>
    </row>
    <row r="81">
      <c r="A81" t="inlineStr">
        <is>
          <t>Audible Standard plan $8.99 (Audible newsroom, 3 Mar 2026); Amazon Music Unlimited + Audible (Nov 2024)</t>
        </is>
      </c>
    </row>
    <row r="82">
      <c r="A82" t="inlineStr">
        <is>
          <t>Basic plan opt-out 14–17% (Morgan Stanley survey via Billboard, 2024)</t>
        </is>
      </c>
    </row>
    <row r="83">
      <c r="A83" t="inlineStr">
        <is>
          <t>Audiobooks+ launch and pricing: 9to5Mac 5 Aug 2025; Publishers Weekly (11 EU markets); Spotify newsroom Mar 2024 (Access tier, top-ups)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Audiobooks: bridge from inputs to the gross-margin contribution (€M unless stated)</t>
        </is>
      </c>
    </row>
    <row r="2">
      <c r="A2" t="inlineStr">
        <is>
          <t>N = B + A - C.  B = bundle royalty saving retained;  A = paid audiobook revenue;  C = audiobook licensing cost paid to book publishers.  The June 2024 price increase is excluded (memo on the inputs tab).</t>
        </is>
      </c>
    </row>
    <row r="3">
      <c r="A3" t="inlineStr"/>
    </row>
    <row r="4">
      <c r="A4" s="3" t="inlineStr">
        <is>
          <t>1. Bundle mechanical-royalty saving (B)</t>
        </is>
      </c>
      <c r="B4" s="4" t="n"/>
      <c r="C4" s="4" t="n"/>
      <c r="D4" s="4" t="n"/>
      <c r="E4" s="4" t="n"/>
      <c r="F4" s="4" t="n"/>
      <c r="G4" s="4" t="n"/>
    </row>
    <row r="5">
      <c r="A5" s="18" t="inlineStr">
        <is>
          <t>1a. Quarterly increments in the MLC contingency = the gross bundle discount per quarter</t>
        </is>
      </c>
    </row>
    <row r="6">
      <c r="A6" s="18" t="inlineStr">
        <is>
          <t>Filing (period end)</t>
        </is>
      </c>
      <c r="C6" s="19" t="inlineStr">
        <is>
          <t>Cumulative</t>
        </is>
      </c>
      <c r="D6" s="19" t="inlineStr">
        <is>
          <t>Increment</t>
        </is>
      </c>
      <c r="E6" s="19" t="inlineStr">
        <is>
          <t>Months</t>
        </is>
      </c>
      <c r="F6" s="19" t="inlineStr">
        <is>
          <t>€M per month</t>
        </is>
      </c>
    </row>
    <row r="7">
      <c r="A7" t="inlineStr">
        <is>
          <t>6-K Q2-24 (30 Jun 2024)</t>
        </is>
      </c>
      <c r="C7" s="20">
        <f>AB_Inputs!$B$12</f>
        <v>46.0</v>
      </c>
      <c r="D7" s="21">
        <f>C7</f>
        <v>46.0</v>
      </c>
      <c r="E7" s="5" t="n">
        <v>4</v>
      </c>
      <c r="F7" s="22">
        <f>D7/E7</f>
        <v>11.5</v>
      </c>
    </row>
    <row r="8">
      <c r="A8" t="inlineStr">
        <is>
          <t>6-K Q3-24 (30 Sep 2024)</t>
        </is>
      </c>
      <c r="C8" s="20">
        <f>AB_Inputs!$B$14</f>
        <v>94.0</v>
      </c>
      <c r="D8" s="21">
        <f>C8-C7</f>
        <v>48.0</v>
      </c>
      <c r="E8" s="5" t="n">
        <v>3</v>
      </c>
      <c r="F8" s="22">
        <f>D8/E8</f>
        <v>16.0</v>
      </c>
    </row>
    <row r="9">
      <c r="A9" t="inlineStr">
        <is>
          <t>20-F FY24 (31 Dec 2024)</t>
        </is>
      </c>
      <c r="C9" s="20">
        <f>AB_Inputs!$B$15</f>
        <v>150.0</v>
      </c>
      <c r="D9" s="21">
        <f>C9-C8</f>
        <v>56.0</v>
      </c>
      <c r="E9" s="5" t="n">
        <v>3</v>
      </c>
      <c r="F9" s="22">
        <f>D9/E9</f>
        <v>18.666666666666668</v>
      </c>
    </row>
    <row r="10">
      <c r="A10" t="inlineStr">
        <is>
          <t>6-K Q1-25 (31 Mar 2025)</t>
        </is>
      </c>
      <c r="C10" s="20">
        <f>AB_Inputs!$B$16</f>
        <v>205.0</v>
      </c>
      <c r="D10" s="21">
        <f>C10-C9</f>
        <v>55.0</v>
      </c>
      <c r="E10" s="5" t="n">
        <v>3</v>
      </c>
      <c r="F10" s="22">
        <f>D10/E10</f>
        <v>18.333333333333332</v>
      </c>
    </row>
    <row r="11">
      <c r="A11" t="inlineStr">
        <is>
          <t>6-K Q2-25 (30 Jun 2025)</t>
        </is>
      </c>
      <c r="C11" s="20">
        <f>AB_Inputs!$B$17</f>
        <v>256.0</v>
      </c>
      <c r="D11" s="21">
        <f>C11-C10</f>
        <v>51.0</v>
      </c>
      <c r="E11" s="5" t="n">
        <v>3</v>
      </c>
      <c r="F11" s="22">
        <f>D11/E11</f>
        <v>17.0</v>
      </c>
    </row>
    <row r="12">
      <c r="A12" t="inlineStr">
        <is>
          <t>6-K Q3-25 (30 Sep 2025)</t>
        </is>
      </c>
      <c r="C12" s="20">
        <f>AB_Inputs!$B$18</f>
        <v>308.0</v>
      </c>
      <c r="D12" s="21">
        <f>C12-C11</f>
        <v>52.0</v>
      </c>
      <c r="E12" s="5" t="n">
        <v>3</v>
      </c>
      <c r="F12" s="22">
        <f>D12/E12</f>
        <v>17.333333333333332</v>
      </c>
    </row>
    <row r="13">
      <c r="A13" t="inlineStr">
        <is>
          <t>20-F FY25 (31 Dec 2025)</t>
        </is>
      </c>
      <c r="C13" s="20">
        <f>AB_Inputs!$B$19</f>
        <v>358.0</v>
      </c>
      <c r="D13" s="21">
        <f>C13-C12</f>
        <v>50.0</v>
      </c>
      <c r="E13" s="5" t="n">
        <v>3</v>
      </c>
      <c r="F13" s="22">
        <f>D13/E13</f>
        <v>16.666666666666668</v>
      </c>
    </row>
    <row r="14">
      <c r="A14" t="inlineStr">
        <is>
          <t>6-K Q1-26 (31 Mar 2026)</t>
        </is>
      </c>
      <c r="C14" s="20">
        <f>AB_Inputs!$B$20</f>
        <v>410.0</v>
      </c>
      <c r="D14" s="21">
        <f>C14-C13</f>
        <v>52.0</v>
      </c>
      <c r="E14" s="5" t="n">
        <v>3</v>
      </c>
      <c r="F14" s="22">
        <f>D14/E14</f>
        <v>17.333333333333332</v>
      </c>
    </row>
    <row r="15">
      <c r="A15" t="inlineStr">
        <is>
          <t>6-K Q2-26 (30 Jun 2026): verify, see inputs note</t>
        </is>
      </c>
      <c r="C15" s="20">
        <f>AB_Inputs!$B$21</f>
        <v>437.0</v>
      </c>
      <c r="D15" s="21">
        <f>C15-C14</f>
        <v>27.0</v>
      </c>
      <c r="E15" s="5" t="n">
        <v>3</v>
      </c>
      <c r="F15" s="22">
        <f>D15/E15</f>
        <v>9.0</v>
      </c>
    </row>
    <row r="16">
      <c r="A16" t="inlineStr">
        <is>
          <t xml:space="preserve">   of which April to June 2024 (so March 2024 alone was about €11M)</t>
        </is>
      </c>
      <c r="C16" s="20">
        <f>AB_Inputs!$B$13</f>
        <v>35.0</v>
      </c>
      <c r="E16" s="5" t="n">
        <v>3</v>
      </c>
      <c r="F16" s="22">
        <f>C16/E16</f>
        <v>11.666666666666666</v>
      </c>
    </row>
    <row r="17">
      <c r="A17" t="inlineStr">
        <is>
          <t>Average quarterly increment, Q2-25 to Q1-26 (x4 = basis for the 2026E-27E placeholders)</t>
        </is>
      </c>
      <c r="B17" s="22">
        <f>AVERAGE(D11:D14)</f>
        <v>51.25</v>
      </c>
      <c r="C17" s="22">
        <f>B17*4</f>
        <v>205.0</v>
      </c>
    </row>
    <row r="18">
      <c r="A18" t="inlineStr">
        <is>
          <t>Reading: €50-56M a quarter from Q4-24 to Q1-26 with no step down after the direct deals, so the figure is gross. Every paid-tier stream is still reported through the MLC at the bundle rate; the direct-licensed publishers receive a top-up outside it.</t>
        </is>
      </c>
    </row>
    <row r="19">
      <c r="A19" t="inlineStr"/>
    </row>
    <row r="20">
      <c r="A20" s="18" t="inlineStr">
        <is>
          <t>1b. Cross-check from Billboard's analysis of the MLC reports (paid tiers)</t>
        </is>
      </c>
    </row>
    <row r="21">
      <c r="A21" t="inlineStr">
        <is>
          <t>Mechanical royalties paid to the MLC, $M: Q4-23 (col B), Q4-25 (col C)</t>
        </is>
      </c>
      <c r="B21" s="23">
        <f>AB_Inputs!$B$26</f>
        <v>97.3</v>
      </c>
      <c r="C21" s="23">
        <f>AB_Inputs!$B$27</f>
        <v>53.3</v>
      </c>
    </row>
    <row r="22">
      <c r="A22" t="inlineStr">
        <is>
          <t>Blended per-stream rate, $: Q4-23 (col B), Q4-25 (col C)</t>
        </is>
      </c>
      <c r="B22" s="24">
        <f>AB_Inputs!$B$28</f>
        <v>0.00068</v>
      </c>
      <c r="C22" s="24">
        <f>AB_Inputs!$B$29</f>
        <v>0.00033</v>
      </c>
    </row>
    <row r="23">
      <c r="A23" t="inlineStr">
        <is>
          <t>Implied streams, bn: Q4-23 (col B), Q4-25 (col C)</t>
        </is>
      </c>
      <c r="B23" s="22">
        <f>B21/B22/1000</f>
        <v>143.08823529411762</v>
      </c>
      <c r="C23" s="22">
        <f>C21/C22/1000</f>
        <v>161.51515151515153</v>
      </c>
    </row>
    <row r="24">
      <c r="A24" t="inlineStr">
        <is>
          <t>Implied Q4-25 discount, $M = Q4-25 streams x Q4-23 rate - paid</t>
        </is>
      </c>
      <c r="B24" s="22">
        <f>C23*B22*1000-C21</f>
        <v>56.530303030303045</v>
      </c>
    </row>
    <row r="25">
      <c r="A25" t="inlineStr">
        <is>
          <t>Implied Q4-25 discount in €M (col B) vs the 20-F FY25 increment (col C)</t>
        </is>
      </c>
      <c r="B25" s="23">
        <f>B24/AB_Inputs!$B$30</f>
        <v>48.73301985370953</v>
      </c>
      <c r="C25" s="22">
        <f>D13</f>
        <v>50.0</v>
      </c>
    </row>
    <row r="26">
      <c r="A26" t="inlineStr"/>
    </row>
    <row r="27">
      <c r="A27" s="18" t="inlineStr">
        <is>
          <t>1c. Gross saving by year, hand-back, and B</t>
        </is>
      </c>
    </row>
    <row r="28">
      <c r="A28" s="2" t="inlineStr"/>
      <c r="B28" s="25" t="n"/>
      <c r="C28" s="26" t="inlineStr">
        <is>
          <t>2024A</t>
        </is>
      </c>
      <c r="D28" s="26" t="inlineStr">
        <is>
          <t>2025A</t>
        </is>
      </c>
      <c r="E28" s="26" t="inlineStr">
        <is>
          <t>2026E</t>
        </is>
      </c>
      <c r="F28" s="26" t="inlineStr">
        <is>
          <t>2027E</t>
        </is>
      </c>
      <c r="G28" s="25" t="n"/>
    </row>
    <row r="29">
      <c r="A29" s="18" t="inlineStr">
        <is>
          <t>Gross bundle saving (2024-25 from the filings; 2026E-27E placeholders)</t>
        </is>
      </c>
      <c r="C29" s="20">
        <f>AB_Inputs!$B$15</f>
        <v>150.0</v>
      </c>
      <c r="D29" s="20">
        <f>AB_Inputs!$B$19-AB_Inputs!$B$15</f>
        <v>208.0</v>
      </c>
      <c r="E29" s="20">
        <f>AB_Inputs!$B$22</f>
        <v>205.0</v>
      </c>
      <c r="F29" s="20">
        <f>AB_Inputs!$B$23</f>
        <v>205.0</v>
      </c>
    </row>
    <row r="30">
      <c r="A30" s="18" t="inlineStr">
        <is>
          <t>Publisher (share of US mechanicals in col B; months on direct licence by year)</t>
        </is>
      </c>
    </row>
    <row r="31">
      <c r="A31" t="inlineStr">
        <is>
          <t>UMPG</t>
        </is>
      </c>
      <c r="B31" s="27">
        <f>AB_Inputs!$B$33</f>
        <v>0.22</v>
      </c>
      <c r="C31" s="12" t="n">
        <v>0</v>
      </c>
      <c r="D31" s="28">
        <f>13-AB_Inputs!$B$34</f>
        <v>11.0</v>
      </c>
      <c r="E31" s="12" t="n">
        <v>12</v>
      </c>
      <c r="F31" s="12" t="n">
        <v>12</v>
      </c>
    </row>
    <row r="32">
      <c r="A32" t="inlineStr">
        <is>
          <t>Warner Chappell</t>
        </is>
      </c>
      <c r="B32" s="27">
        <f>AB_Inputs!$B$35</f>
        <v>0.13</v>
      </c>
      <c r="C32" s="12" t="n">
        <v>0</v>
      </c>
      <c r="D32" s="28">
        <f>13-AB_Inputs!$B$36</f>
        <v>10.0</v>
      </c>
      <c r="E32" s="12" t="n">
        <v>12</v>
      </c>
      <c r="F32" s="12" t="n">
        <v>12</v>
      </c>
    </row>
    <row r="33">
      <c r="A33" t="inlineStr">
        <is>
          <t>Kobalt</t>
        </is>
      </c>
      <c r="B33" s="27">
        <f>AB_Inputs!$B$37</f>
        <v>0.05</v>
      </c>
      <c r="C33" s="12" t="n">
        <v>0</v>
      </c>
      <c r="D33" s="28">
        <f>13-AB_Inputs!$B$38</f>
        <v>4.0</v>
      </c>
      <c r="E33" s="12" t="n">
        <v>12</v>
      </c>
      <c r="F33" s="12" t="n">
        <v>12</v>
      </c>
    </row>
    <row r="34">
      <c r="A34" t="inlineStr">
        <is>
          <t>Sony Music Publishing</t>
        </is>
      </c>
      <c r="B34" s="27">
        <f>AB_Inputs!$B$39</f>
        <v>0.26</v>
      </c>
      <c r="C34" s="12" t="n">
        <v>0</v>
      </c>
      <c r="D34" s="28">
        <f>13-AB_Inputs!$B$40</f>
        <v>3.0</v>
      </c>
      <c r="E34" s="12" t="n">
        <v>12</v>
      </c>
      <c r="F34" s="12" t="n">
        <v>12</v>
      </c>
    </row>
    <row r="35">
      <c r="A35" t="inlineStr">
        <is>
          <t>BMG</t>
        </is>
      </c>
      <c r="B35" s="27">
        <f>AB_Inputs!$B$41</f>
        <v>0.03</v>
      </c>
      <c r="C35" s="12" t="n">
        <v>0</v>
      </c>
      <c r="D35" s="28">
        <f>13-AB_Inputs!$B$42</f>
        <v>2.0</v>
      </c>
      <c r="E35" s="12" t="n">
        <v>12</v>
      </c>
      <c r="F35" s="12" t="n">
        <v>12</v>
      </c>
    </row>
    <row r="36">
      <c r="A36" t="inlineStr">
        <is>
          <t>Sum of shares on direct licences (independents are the remainder, still paid at the bundle rate via the MLC)</t>
        </is>
      </c>
      <c r="B36" s="29">
        <f>SUM(B31:B35)</f>
        <v>0.69</v>
      </c>
    </row>
    <row r="37">
      <c r="A37" t="inlineStr">
        <is>
          <t>Restoration of the discount in the direct deals</t>
        </is>
      </c>
      <c r="B37" s="27">
        <f>AB_Inputs!$B$43</f>
        <v>0.75</v>
      </c>
    </row>
    <row r="38">
      <c r="A38" t="inlineStr">
        <is>
          <t>Hand-back = gross x sum(share x months / 12) x restoration</t>
        </is>
      </c>
      <c r="C38" s="21">
        <f>C29*SUMPRODUCT($B$31:$B$35,C31:C35)/12*$B$37</f>
        <v>0.0</v>
      </c>
      <c r="D38" s="21">
        <f>D29*SUMPRODUCT($B$31:$B$35,D31:D35)/12*$B$37</f>
        <v>61.879999999999995</v>
      </c>
      <c r="E38" s="21">
        <f>E29*SUMPRODUCT($B$31:$B$35,E31:E35)/12*$B$37</f>
        <v>106.0875</v>
      </c>
      <c r="F38" s="21">
        <f>F29*SUMPRODUCT($B$31:$B$35,F31:F35)/12*$B$37</f>
        <v>106.0875</v>
      </c>
    </row>
    <row r="39">
      <c r="A39" s="30" t="inlineStr">
        <is>
          <t>B  Net bundle saving retained (2027: if MLC switch = 1, the independents' share goes to zero)</t>
        </is>
      </c>
      <c r="B39" s="31" t="n"/>
      <c r="C39" s="32">
        <f>C29-C38</f>
        <v>150.0</v>
      </c>
      <c r="D39" s="32">
        <f>D29-D38</f>
        <v>146.12</v>
      </c>
      <c r="E39" s="32">
        <f>E29-E38</f>
        <v>98.9125</v>
      </c>
      <c r="F39" s="33">
        <f>IF(AB_Inputs!$B$44=1,F29*$B$36*(1-$B$37),F29-F38)</f>
        <v>98.9125</v>
      </c>
      <c r="G39" s="31" t="n"/>
    </row>
    <row r="40">
      <c r="A40" t="inlineStr"/>
    </row>
    <row r="41">
      <c r="A41" s="3" t="inlineStr">
        <is>
          <t>2. Audiobook licensing cost paid to book publishers (C)</t>
        </is>
      </c>
      <c r="B41" s="4" t="n"/>
      <c r="C41" s="4" t="n"/>
      <c r="D41" s="4" t="n"/>
      <c r="E41" s="4" t="n"/>
      <c r="F41" s="4" t="n"/>
      <c r="G41" s="4" t="n"/>
    </row>
    <row r="42">
      <c r="A42" s="2" t="inlineStr"/>
      <c r="B42" s="25" t="n"/>
      <c r="C42" s="26" t="inlineStr">
        <is>
          <t>2024A</t>
        </is>
      </c>
      <c r="D42" s="26" t="inlineStr">
        <is>
          <t>2025A</t>
        </is>
      </c>
      <c r="E42" s="26" t="inlineStr">
        <is>
          <t>2026E</t>
        </is>
      </c>
      <c r="F42" s="26" t="inlineStr">
        <is>
          <t>2027E</t>
        </is>
      </c>
      <c r="G42" s="25" t="n"/>
    </row>
    <row r="43">
      <c r="A43" t="inlineStr">
        <is>
          <t>Growth y/y (2025 from reported hours growth; 2026E-27E placeholders, see AB_Sensitivity)</t>
        </is>
      </c>
      <c r="D43" s="27">
        <f>AB_Inputs!$B$48</f>
        <v>0.58</v>
      </c>
      <c r="E43" s="27">
        <f>AB_Inputs!$B$49</f>
        <v>0.43</v>
      </c>
      <c r="F43" s="27">
        <f>AB_Inputs!$B$50</f>
        <v>0.3</v>
      </c>
    </row>
    <row r="44">
      <c r="A44" s="30" t="inlineStr">
        <is>
          <t>C  (2024 anchored on 'hundreds of millions of dollars a year', Oct-24)</t>
        </is>
      </c>
      <c r="B44" s="31" t="n"/>
      <c r="C44" s="33">
        <f>AB_Inputs!$B$47</f>
        <v>190.0</v>
      </c>
      <c r="D44" s="32">
        <f>C44*(1+D43)</f>
        <v>300.2</v>
      </c>
      <c r="E44" s="32">
        <f>D44*(1+E43)</f>
        <v>429.28599999999994</v>
      </c>
      <c r="F44" s="32">
        <f>E44*(1+F43)</f>
        <v>558.0717999999999</v>
      </c>
      <c r="G44" s="31" t="n"/>
    </row>
    <row r="45">
      <c r="A45" t="inlineStr"/>
    </row>
    <row r="46">
      <c r="A46" s="3" t="inlineStr">
        <is>
          <t>3. Paid audiobook revenue (A)</t>
        </is>
      </c>
      <c r="B46" s="4" t="n"/>
      <c r="C46" s="4" t="n"/>
      <c r="D46" s="4" t="n"/>
      <c r="E46" s="4" t="n"/>
      <c r="F46" s="4" t="n"/>
      <c r="G46" s="4" t="n"/>
    </row>
    <row r="47">
      <c r="A47" s="2" t="inlineStr"/>
      <c r="B47" s="25" t="n"/>
      <c r="C47" s="26" t="inlineStr">
        <is>
          <t>2024A</t>
        </is>
      </c>
      <c r="D47" s="26" t="inlineStr">
        <is>
          <t>2025A</t>
        </is>
      </c>
      <c r="E47" s="26" t="inlineStr">
        <is>
          <t>2026E</t>
        </is>
      </c>
      <c r="F47" s="26" t="inlineStr">
        <is>
          <t>2027E</t>
        </is>
      </c>
      <c r="G47" s="25" t="n"/>
    </row>
    <row r="48">
      <c r="A48" s="30" t="inlineStr">
        <is>
          <t>A  Paid audiobook revenue (counted in full: C already carries the publisher cost of paid hours)</t>
        </is>
      </c>
      <c r="B48" s="31" t="n"/>
      <c r="C48" s="33">
        <f>AB_Inputs!$B$55</f>
        <v>5.0</v>
      </c>
      <c r="D48" s="33">
        <f>AB_Inputs!$B$56</f>
        <v>30.0</v>
      </c>
      <c r="E48" s="33">
        <f>AB_Inputs!$B$57</f>
        <v>75.0</v>
      </c>
      <c r="F48" s="33">
        <f>AB_Inputs!$B$58</f>
        <v>120.0</v>
      </c>
      <c r="G48" s="31" t="n"/>
    </row>
    <row r="49">
      <c r="A49" t="inlineStr"/>
    </row>
    <row r="50">
      <c r="A50" s="3" t="inlineStr">
        <is>
          <t>4. Net contribution to gross profit: N = B + A - C</t>
        </is>
      </c>
      <c r="B50" s="4" t="n"/>
      <c r="C50" s="4" t="n"/>
      <c r="D50" s="4" t="n"/>
      <c r="E50" s="4" t="n"/>
      <c r="F50" s="4" t="n"/>
      <c r="G50" s="4" t="n"/>
    </row>
    <row r="51">
      <c r="A51" s="2" t="inlineStr"/>
      <c r="B51" s="25" t="n"/>
      <c r="C51" s="26" t="inlineStr">
        <is>
          <t>2024A</t>
        </is>
      </c>
      <c r="D51" s="26" t="inlineStr">
        <is>
          <t>2025A</t>
        </is>
      </c>
      <c r="E51" s="26" t="inlineStr">
        <is>
          <t>2026E</t>
        </is>
      </c>
      <c r="F51" s="26" t="inlineStr">
        <is>
          <t>2027E</t>
        </is>
      </c>
      <c r="G51" s="25" t="n"/>
    </row>
    <row r="52">
      <c r="A52" t="inlineStr">
        <is>
          <t>B  Net bundle saving</t>
        </is>
      </c>
      <c r="C52" s="21">
        <f>C39</f>
        <v>150.0</v>
      </c>
      <c r="D52" s="21">
        <f>D39</f>
        <v>146.12</v>
      </c>
      <c r="E52" s="21">
        <f>E39</f>
        <v>98.9125</v>
      </c>
      <c r="F52" s="21">
        <f>F39</f>
        <v>98.9125</v>
      </c>
    </row>
    <row r="53">
      <c r="A53" t="inlineStr">
        <is>
          <t>A  Paid audiobook revenue</t>
        </is>
      </c>
      <c r="C53" s="21">
        <f>C48</f>
        <v>5.0</v>
      </c>
      <c r="D53" s="21">
        <f>D48</f>
        <v>30.0</v>
      </c>
      <c r="E53" s="21">
        <f>E48</f>
        <v>75.0</v>
      </c>
      <c r="F53" s="21">
        <f>F48</f>
        <v>120.0</v>
      </c>
    </row>
    <row r="54">
      <c r="A54" t="inlineStr">
        <is>
          <t>C  Audiobook licensing cost</t>
        </is>
      </c>
      <c r="C54" s="21">
        <f>-C44</f>
        <v>-190.0</v>
      </c>
      <c r="D54" s="21">
        <f>-D44</f>
        <v>-300.2</v>
      </c>
      <c r="E54" s="21">
        <f>-E44</f>
        <v>-429.28599999999994</v>
      </c>
      <c r="F54" s="21">
        <f>-F44</f>
        <v>-558.0717999999999</v>
      </c>
    </row>
    <row r="55">
      <c r="A55" s="18" t="inlineStr">
        <is>
          <t>N  Net contribution to gross profit</t>
        </is>
      </c>
      <c r="C55" s="21">
        <f>C52+C53+C54</f>
        <v>-35.0</v>
      </c>
      <c r="D55" s="21">
        <f>D52+D53+D54</f>
        <v>-124.07999999999998</v>
      </c>
      <c r="E55" s="21">
        <f>E52+E53+E54</f>
        <v>-255.37349999999995</v>
      </c>
      <c r="F55" s="21">
        <f>F52+F53+F54</f>
        <v>-339.1592999999999</v>
      </c>
    </row>
    <row r="56">
      <c r="A56" t="inlineStr">
        <is>
          <t>Group revenue</t>
        </is>
      </c>
      <c r="C56" s="20">
        <f>AB_Inputs!$B$6</f>
        <v>15673.0</v>
      </c>
      <c r="D56" s="20">
        <f>AB_Inputs!$B$7</f>
        <v>17186.0</v>
      </c>
      <c r="E56" s="20">
        <f>AB_Inputs!$B$8</f>
        <v>19500.0</v>
      </c>
      <c r="F56" s="20">
        <f>AB_Inputs!$B$9</f>
        <v>21300.0</v>
      </c>
    </row>
    <row r="57">
      <c r="A57" t="inlineStr"/>
    </row>
    <row r="58">
      <c r="A58" s="3" t="inlineStr">
        <is>
          <t>5. AUDIOBOOK CONTRIBUTION TO GROSS MARGIN: past two years and forecast</t>
        </is>
      </c>
      <c r="B58" s="4" t="n"/>
      <c r="C58" s="4" t="n"/>
      <c r="D58" s="4" t="n"/>
      <c r="E58" s="4" t="n"/>
      <c r="F58" s="4" t="n"/>
      <c r="G58" s="4" t="n"/>
    </row>
    <row r="59">
      <c r="A59" s="2" t="inlineStr"/>
      <c r="B59" s="25" t="n"/>
      <c r="C59" s="26" t="inlineStr">
        <is>
          <t>2024A</t>
        </is>
      </c>
      <c r="D59" s="26" t="inlineStr">
        <is>
          <t>2025A</t>
        </is>
      </c>
      <c r="E59" s="26" t="inlineStr">
        <is>
          <t>2026E</t>
        </is>
      </c>
      <c r="F59" s="26" t="inlineStr">
        <is>
          <t>2027E</t>
        </is>
      </c>
      <c r="G59" s="25" t="n"/>
    </row>
    <row r="60">
      <c r="A60" s="30" t="inlineStr">
        <is>
          <t>Contribution to gross profit, €M</t>
        </is>
      </c>
      <c r="B60" s="31" t="n"/>
      <c r="C60" s="32">
        <f>C55</f>
        <v>-35.0</v>
      </c>
      <c r="D60" s="32">
        <f>D55</f>
        <v>-124.07999999999998</v>
      </c>
      <c r="E60" s="32">
        <f>E55</f>
        <v>-255.37349999999995</v>
      </c>
      <c r="F60" s="32">
        <f>F55</f>
        <v>-339.1592999999999</v>
      </c>
      <c r="G60" s="31" t="n"/>
    </row>
    <row r="61">
      <c r="A61" s="30" t="inlineStr">
        <is>
          <t>Contribution to gross margin, bp of group revenue (level)</t>
        </is>
      </c>
      <c r="B61" s="31" t="n"/>
      <c r="C61" s="34">
        <f>C55/C56*10000</f>
        <v>-22.331397945511387</v>
      </c>
      <c r="D61" s="34">
        <f>D55/D56*10000</f>
        <v>-72.19830094262771</v>
      </c>
      <c r="E61" s="34">
        <f>E55/E56*10000</f>
        <v>-130.96076923076922</v>
      </c>
      <c r="F61" s="34">
        <f>F55/F56*10000</f>
        <v>-159.22971830985912</v>
      </c>
      <c r="G61" s="31" t="n"/>
    </row>
    <row r="62">
      <c r="A62" s="31" t="inlineStr">
        <is>
          <t>Y/y change in contribution, €M</t>
        </is>
      </c>
      <c r="B62" s="31" t="n"/>
      <c r="C62" s="31" t="n"/>
      <c r="D62" s="32">
        <f>D55-C55</f>
        <v>-89.07999999999998</v>
      </c>
      <c r="E62" s="32">
        <f>E55-D55</f>
        <v>-131.29349999999997</v>
      </c>
      <c r="F62" s="32">
        <f>F55-E55</f>
        <v>-83.78579999999997</v>
      </c>
      <c r="G62" s="31" t="n"/>
    </row>
    <row r="63">
      <c r="A63" s="30" t="inlineStr">
        <is>
          <t>Y/y change, bp of group revenue  =  gross-margin headwind (negative) or tailwind (positive)</t>
        </is>
      </c>
      <c r="B63" s="31" t="n"/>
      <c r="C63" s="31" t="n"/>
      <c r="D63" s="34">
        <f>D62/D56*10000</f>
        <v>-51.832887233794935</v>
      </c>
      <c r="E63" s="34">
        <f>E62/E56*10000</f>
        <v>-67.32999999999998</v>
      </c>
      <c r="F63" s="34">
        <f>F62/F56*10000</f>
        <v>-39.33605633802816</v>
      </c>
      <c r="G63" s="31" t="n"/>
    </row>
    <row r="64">
      <c r="A64" t="inlineStr">
        <is>
          <t xml:space="preserve">   of which music publishers reclaim the bundle saving (change in B)</t>
        </is>
      </c>
      <c r="D64" s="21">
        <f>D52-C52</f>
        <v>-3.8799999999999955</v>
      </c>
      <c r="E64" s="21">
        <f>E52-D52</f>
        <v>-47.20750000000001</v>
      </c>
      <c r="F64" s="21">
        <f>F52-E52</f>
        <v>0.0</v>
      </c>
    </row>
    <row r="65">
      <c r="A65" t="inlineStr">
        <is>
          <t xml:space="preserve">   of which book publishers paid on consumption (change in C)</t>
        </is>
      </c>
      <c r="D65" s="21">
        <f>D54-C54</f>
        <v>-110.19999999999999</v>
      </c>
      <c r="E65" s="21">
        <f>E54-D54</f>
        <v>-129.08599999999996</v>
      </c>
      <c r="F65" s="21">
        <f>F54-E54</f>
        <v>-128.7858</v>
      </c>
    </row>
    <row r="66">
      <c r="A66" t="inlineStr">
        <is>
          <t xml:space="preserve">   of which paid audiobook revenue (change in A)</t>
        </is>
      </c>
      <c r="D66" s="21">
        <f>D53-C53</f>
        <v>25.0</v>
      </c>
      <c r="E66" s="21">
        <f>E53-D53</f>
        <v>45.0</v>
      </c>
      <c r="F66" s="21">
        <f>F53-E53</f>
        <v>45.0</v>
      </c>
    </row>
    <row r="67">
      <c r="A67" t="inlineStr">
        <is>
          <t>Consensus gross-margin expansion, bp (context)</t>
        </is>
      </c>
      <c r="E67" s="35">
        <f>AB_Inputs!$B$61</f>
        <v>115.0</v>
      </c>
      <c r="F67" s="35">
        <f>AB_Inputs!$B$62</f>
        <v>130.0</v>
      </c>
    </row>
    <row r="68">
      <c r="A68" t="inlineStr">
        <is>
          <t>Headwind as share of consensus expansion (context)</t>
        </is>
      </c>
      <c r="E68" s="29">
        <f>-E63/E67</f>
        <v>0.5854782608695651</v>
      </c>
      <c r="F68" s="29">
        <f>-F63/F67</f>
        <v>0.3025850487540627</v>
      </c>
    </row>
    <row r="69">
      <c r="A69" t="inlineStr">
        <is>
          <t>Memo, excluded: June 2024 US price increase, annualised €M</t>
        </is>
      </c>
      <c r="C69" s="20">
        <f>AB_Inputs!$B$65</f>
        <v>500.0</v>
      </c>
    </row>
    <row r="70">
      <c r="A70" t="inlineStr">
        <is>
          <t>Use in the operating model: add the €M contribution row to gross profit (level), or subtract the bp headwind row from y/y gross-margin expansion (change). Not both.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Audiobooks: sensitivity to the growth assigned to audiobook licensing cost</t>
        </is>
      </c>
    </row>
    <row r="2">
      <c r="A2" t="inlineStr">
        <is>
          <t>Only C moves. B, A and group revenue are held at the AB_Bridge values. The row's growth rate is applied to both 2026E and 2027E; 2025 growth stays at the inputs value. Blue cells can be edited.</t>
        </is>
      </c>
    </row>
    <row r="3">
      <c r="A3" t="inlineStr"/>
    </row>
    <row r="4">
      <c r="A4" s="2" t="inlineStr">
        <is>
          <t>Licensing-cost growth p.a., 2026E and 2027E</t>
        </is>
      </c>
      <c r="B4" s="36" t="inlineStr">
        <is>
          <t>C 2026E, €M</t>
        </is>
      </c>
      <c r="C4" s="36" t="inlineStr">
        <is>
          <t>C 2027E, €M</t>
        </is>
      </c>
      <c r="D4" s="36" t="inlineStr">
        <is>
          <t>Contribution 2026E, €M</t>
        </is>
      </c>
      <c r="E4" s="36" t="inlineStr">
        <is>
          <t>Contribution 2027E, €M</t>
        </is>
      </c>
      <c r="F4" s="36" t="inlineStr">
        <is>
          <t>Headwind 2026E, bp</t>
        </is>
      </c>
      <c r="G4" s="36" t="inlineStr">
        <is>
          <t>Headwind 2027E, bp</t>
        </is>
      </c>
    </row>
    <row r="5">
      <c r="A5" s="37" t="n">
        <v>0.2</v>
      </c>
      <c r="B5" s="20">
        <f>AB_Bridge!$D$44*(1+$A5)</f>
        <v>360.23999999999995</v>
      </c>
      <c r="C5" s="20">
        <f>AB_Bridge!$D$44*(1+$A5)^2</f>
        <v>432.28799999999995</v>
      </c>
      <c r="D5" s="20">
        <f>AB_Bridge!$E$39+AB_Bridge!$E$48-B5</f>
        <v>-186.32749999999996</v>
      </c>
      <c r="E5" s="20">
        <f>AB_Bridge!$F$39+AB_Bridge!$F$48-C5</f>
        <v>-213.37549999999996</v>
      </c>
      <c r="F5" s="35">
        <f>(D5-AB_Bridge!$D$55)/AB_Bridge!$E$56*10000</f>
        <v>-31.92179487179486</v>
      </c>
      <c r="G5" s="35">
        <f>(E5-D5)/AB_Bridge!$F$56*10000</f>
        <v>-12.698591549295775</v>
      </c>
    </row>
    <row r="6">
      <c r="A6" s="37" t="n">
        <v>0.3</v>
      </c>
      <c r="B6" s="20">
        <f>AB_Bridge!$D$44*(1+$A6)</f>
        <v>390.26</v>
      </c>
      <c r="C6" s="20">
        <f>AB_Bridge!$D$44*(1+$A6)^2</f>
        <v>507.338</v>
      </c>
      <c r="D6" s="20">
        <f>AB_Bridge!$E$39+AB_Bridge!$E$48-B6</f>
        <v>-216.3475</v>
      </c>
      <c r="E6" s="20">
        <f>AB_Bridge!$F$39+AB_Bridge!$F$48-C6</f>
        <v>-288.42550000000006</v>
      </c>
      <c r="F6" s="35">
        <f>(D6-AB_Bridge!$D$55)/AB_Bridge!$E$56*10000</f>
        <v>-47.31666666666667</v>
      </c>
      <c r="G6" s="35">
        <f>(E6-D6)/AB_Bridge!$F$56*10000</f>
        <v>-33.839436619718334</v>
      </c>
    </row>
    <row r="7">
      <c r="A7" s="37" t="n">
        <v>0.4</v>
      </c>
      <c r="B7" s="20">
        <f>AB_Bridge!$D$44*(1+$A7)</f>
        <v>420.28</v>
      </c>
      <c r="C7" s="20">
        <f>AB_Bridge!$D$44*(1+$A7)^2</f>
        <v>588.3919999999999</v>
      </c>
      <c r="D7" s="20">
        <f>AB_Bridge!$E$39+AB_Bridge!$E$48-B7</f>
        <v>-246.36749999999998</v>
      </c>
      <c r="E7" s="20">
        <f>AB_Bridge!$F$39+AB_Bridge!$F$48-C7</f>
        <v>-369.4794999999999</v>
      </c>
      <c r="F7" s="35">
        <f>(D7-AB_Bridge!$D$55)/AB_Bridge!$E$56*10000</f>
        <v>-62.71153846153845</v>
      </c>
      <c r="G7" s="35">
        <f>(E7-D7)/AB_Bridge!$F$56*10000</f>
        <v>-57.79906103286382</v>
      </c>
    </row>
    <row r="8">
      <c r="A8" s="37" t="n">
        <v>0.43</v>
      </c>
      <c r="B8" s="20">
        <f>AB_Bridge!$D$44*(1+$A8)</f>
        <v>429.28599999999994</v>
      </c>
      <c r="C8" s="20">
        <f>AB_Bridge!$D$44*(1+$A8)^2</f>
        <v>613.8789799999998</v>
      </c>
      <c r="D8" s="20">
        <f>AB_Bridge!$E$39+AB_Bridge!$E$48-B8</f>
        <v>-255.37349999999995</v>
      </c>
      <c r="E8" s="20">
        <f>AB_Bridge!$F$39+AB_Bridge!$F$48-C8</f>
        <v>-394.9664799999998</v>
      </c>
      <c r="F8" s="35">
        <f>(D8-AB_Bridge!$D$55)/AB_Bridge!$E$56*10000</f>
        <v>-67.32999999999998</v>
      </c>
      <c r="G8" s="35">
        <f>(E8-D8)/AB_Bridge!$F$56*10000</f>
        <v>-65.53661032863843</v>
      </c>
      <c r="H8" s="38" t="inlineStr">
        <is>
          <t>base 2026E growth</t>
        </is>
      </c>
    </row>
    <row r="9">
      <c r="A9" s="37" t="n">
        <v>0.5</v>
      </c>
      <c r="B9" s="20">
        <f>AB_Bridge!$D$44*(1+$A9)</f>
        <v>450.29999999999995</v>
      </c>
      <c r="C9" s="20">
        <f>AB_Bridge!$D$44*(1+$A9)^2</f>
        <v>675.4499999999999</v>
      </c>
      <c r="D9" s="20">
        <f>AB_Bridge!$E$39+AB_Bridge!$E$48-B9</f>
        <v>-276.38749999999993</v>
      </c>
      <c r="E9" s="20">
        <f>AB_Bridge!$F$39+AB_Bridge!$F$48-C9</f>
        <v>-456.5374999999999</v>
      </c>
      <c r="F9" s="35">
        <f>(D9-AB_Bridge!$D$55)/AB_Bridge!$E$56*10000</f>
        <v>-78.10641025641023</v>
      </c>
      <c r="G9" s="35">
        <f>(E9-D9)/AB_Bridge!$F$56*10000</f>
        <v>-84.57746478873239</v>
      </c>
    </row>
    <row r="10">
      <c r="A10" s="37" t="n">
        <v>0.6</v>
      </c>
      <c r="B10" s="20">
        <f>AB_Bridge!$D$44*(1+$A10)</f>
        <v>480.32</v>
      </c>
      <c r="C10" s="20">
        <f>AB_Bridge!$D$44*(1+$A10)^2</f>
        <v>768.5120000000002</v>
      </c>
      <c r="D10" s="20">
        <f>AB_Bridge!$E$39+AB_Bridge!$E$48-B10</f>
        <v>-306.4075</v>
      </c>
      <c r="E10" s="20">
        <f>AB_Bridge!$F$39+AB_Bridge!$F$48-C10</f>
        <v>-549.5995000000001</v>
      </c>
      <c r="F10" s="35">
        <f>(D10-AB_Bridge!$D$55)/AB_Bridge!$E$56*10000</f>
        <v>-93.50128205128208</v>
      </c>
      <c r="G10" s="35">
        <f>(E10-D10)/AB_Bridge!$F$56*10000</f>
        <v>-114.174647887324</v>
      </c>
    </row>
    <row r="11">
      <c r="A11" s="37" t="n">
        <v>0.7</v>
      </c>
      <c r="B11" s="20">
        <f>AB_Bridge!$D$44*(1+$A11)</f>
        <v>510.34</v>
      </c>
      <c r="C11" s="20">
        <f>AB_Bridge!$D$44*(1+$A11)^2</f>
        <v>867.5779999999999</v>
      </c>
      <c r="D11" s="20">
        <f>AB_Bridge!$E$39+AB_Bridge!$E$48-B11</f>
        <v>-336.4275</v>
      </c>
      <c r="E11" s="20">
        <f>AB_Bridge!$F$39+AB_Bridge!$F$48-C11</f>
        <v>-648.6654999999998</v>
      </c>
      <c r="F11" s="35">
        <f>(D11-AB_Bridge!$D$55)/AB_Bridge!$E$56*10000</f>
        <v>-108.89615384615387</v>
      </c>
      <c r="G11" s="35">
        <f>(E11-D11)/AB_Bridge!$F$56*10000</f>
        <v>-146.5906103286384</v>
      </c>
    </row>
    <row r="12">
      <c r="A12" t="inlineStr"/>
    </row>
    <row r="13">
      <c r="A13" s="30" t="inlineStr">
        <is>
          <t>Base case on AB_Bridge (43% in 2026E, 30% in 2027E)</t>
        </is>
      </c>
      <c r="B13" s="33">
        <f>AB_Bridge!$E$44</f>
        <v>429.28599999999994</v>
      </c>
      <c r="C13" s="33">
        <f>AB_Bridge!$F$44</f>
        <v>558.0717999999999</v>
      </c>
      <c r="D13" s="33">
        <f>AB_Bridge!$E$55</f>
        <v>-255.37349999999995</v>
      </c>
      <c r="E13" s="33">
        <f>AB_Bridge!$F$55</f>
        <v>-339.1592999999999</v>
      </c>
      <c r="F13" s="39">
        <f>AB_Bridge!$E$63</f>
        <v>-67.32999999999998</v>
      </c>
      <c r="G13" s="39">
        <f>AB_Bridge!$F$63</f>
        <v>-39.33605633802816</v>
      </c>
    </row>
    <row r="14">
      <c r="A14" t="inlineStr"/>
    </row>
    <row r="15">
      <c r="A15" t="inlineStr">
        <is>
          <t>Reading: the headwind is negative in every row. Its size scales with the growth assigned to licensing cost, which rests on listeners +60% (disclosed) and a 0.7x haircut from listeners to cost (estimate).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SPOT</dc:creator>
  <dcterms:created xsi:type="dcterms:W3CDTF">2026-10-02T17:26:39Z</dcterms:created>
  <dcterms:modified xsi:type="dcterms:W3CDTF">2026-10-02T17:26:39Z</dcterms:modified>
  <cp:lastModifiedBy>SPOT</cp:lastModifiedBy>
</cp:coreProperties>
</file>