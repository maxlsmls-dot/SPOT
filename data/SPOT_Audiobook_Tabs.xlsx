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obook Inputs" sheetId="1" state="visible" r:id="rId1"/>
    <sheet name="Audiobook GM Brid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_);\(#,##0\)"/>
    <numFmt numFmtId="165" formatCode="0.0"/>
    <numFmt numFmtId="166" formatCode="0.00000"/>
    <numFmt numFmtId="167" formatCode="0.0%"/>
    <numFmt numFmtId="168" formatCode="0_);\(0\)"/>
  </numFmts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color rgb="FF0070C0"/>
      <sz val="11"/>
    </font>
    <font>
      <name val="Calibri"/>
      <i val="1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FF002060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FFFF00"/>
      </patternFill>
    </fill>
  </fills>
  <borders count="8">
    <border>
      <left/>
      <right/>
      <top/>
      <bottom/>
      <diagonal/>
    </border>
    <border>
      <left style="thin"/>
      <top style="thin"/>
    </border>
    <border>
      <left style="thin"/>
    </border>
    <border>
      <left style="thin"/>
      <bottom style="thin"/>
    </border>
    <border>
      <bottom style="thin"/>
    </border>
    <border>
      <top style="thin"/>
    </border>
    <border>
      <left style="thin"/>
      <top style="thin"/>
      <bottom style="thin"/>
    </border>
    <border>
      <top style="thin"/>
      <bottom style="thin"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  <xf numFmtId="0" fontId="3" fillId="4" borderId="0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3" fillId="0" borderId="0" applyAlignment="1" pivotButton="0" quotePrefix="0" xfId="0">
      <alignment horizontal="center"/>
    </xf>
    <xf numFmtId="164" fontId="3" fillId="4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166" fontId="3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9" fontId="3" fillId="0" borderId="0" applyAlignment="1" pivotButton="0" quotePrefix="0" xfId="0">
      <alignment horizontal="center"/>
    </xf>
    <xf numFmtId="1" fontId="3" fillId="0" borderId="0" applyAlignment="1" pivotButton="0" quotePrefix="0" xfId="0">
      <alignment horizontal="center"/>
    </xf>
    <xf numFmtId="167" fontId="3" fillId="0" borderId="0" applyAlignment="1" pivotButton="0" quotePrefix="0" xfId="0">
      <alignment horizontal="center"/>
    </xf>
    <xf numFmtId="167" fontId="2" fillId="4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168" fontId="3" fillId="4" borderId="0" applyAlignment="1" pivotButton="0" quotePrefix="0" xfId="0">
      <alignment horizontal="center"/>
    </xf>
    <xf numFmtId="0" fontId="4" fillId="0" borderId="0" pivotButton="0" quotePrefix="0" xfId="0"/>
    <xf numFmtId="0" fontId="5" fillId="0" borderId="4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166" fontId="2" fillId="0" borderId="0" applyAlignment="1" pivotButton="0" quotePrefix="0" xfId="0">
      <alignment horizontal="center"/>
    </xf>
    <xf numFmtId="0" fontId="5" fillId="0" borderId="5" pivotButton="0" quotePrefix="0" xfId="0"/>
    <xf numFmtId="164" fontId="5" fillId="0" borderId="5" applyAlignment="1" pivotButton="0" quotePrefix="0" xfId="0">
      <alignment horizontal="center"/>
    </xf>
    <xf numFmtId="1" fontId="2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167" fontId="2" fillId="0" borderId="0" applyAlignment="1" pivotButton="0" quotePrefix="0" xfId="0">
      <alignment horizontal="center"/>
    </xf>
    <xf numFmtId="0" fontId="5" fillId="5" borderId="6" pivotButton="0" quotePrefix="0" xfId="0"/>
    <xf numFmtId="164" fontId="5" fillId="5" borderId="7" applyAlignment="1" pivotButton="0" quotePrefix="0" xfId="0">
      <alignment horizontal="center"/>
    </xf>
    <xf numFmtId="168" fontId="2" fillId="0" borderId="0" applyAlignment="1" pivotButton="0" quotePrefix="0" xfId="0">
      <alignment horizontal="center"/>
    </xf>
    <xf numFmtId="0" fontId="0" fillId="5" borderId="7" pivotButton="0" quotePrefix="0" xfId="0"/>
    <xf numFmtId="168" fontId="5" fillId="5" borderId="7" applyAlignment="1" pivotButton="0" quotePrefix="0" xfId="0">
      <alignment horizontal="center"/>
    </xf>
    <xf numFmtId="0" fontId="0" fillId="0" borderId="5" pivotButton="0" quotePrefix="0" xfId="0"/>
    <xf numFmtId="168" fontId="5" fillId="0" borderId="5" applyAlignment="1" pivotButton="0" quotePrefix="0" xfId="0">
      <alignment horizontal="center"/>
    </xf>
    <xf numFmtId="168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.9" customWidth="1" min="1" max="1"/>
    <col width="5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78" customWidth="1" min="8" max="8"/>
  </cols>
  <sheetData>
    <row r="2">
      <c r="B2" s="1" t="inlineStr">
        <is>
          <t>Audiobook Assumptions</t>
        </is>
      </c>
      <c r="C2" s="2" t="inlineStr">
        <is>
          <t>FY'24</t>
        </is>
      </c>
      <c r="D2" s="2" t="inlineStr">
        <is>
          <t>FY'25</t>
        </is>
      </c>
      <c r="E2" s="2" t="inlineStr">
        <is>
          <t>FY'26E</t>
        </is>
      </c>
      <c r="F2" s="2" t="inlineStr">
        <is>
          <t>FY'27E</t>
        </is>
      </c>
      <c r="G2" s="1" t="n"/>
      <c r="H2" s="1" t="inlineStr">
        <is>
          <t>Notes</t>
        </is>
      </c>
    </row>
    <row r="3">
      <c r="B3" s="3" t="n"/>
      <c r="C3" s="3" t="n"/>
      <c r="D3" s="3" t="n"/>
      <c r="E3" s="3" t="n"/>
      <c r="F3" s="3" t="n"/>
      <c r="G3" s="3" t="n"/>
      <c r="H3" s="3" t="n"/>
    </row>
    <row r="4">
      <c r="B4" s="4" t="inlineStr">
        <is>
          <t>Case selector (repoint to Valuation!$C$3 when the tabs are added to the model)</t>
        </is>
      </c>
      <c r="C4" s="5" t="inlineStr">
        <is>
          <t>Base</t>
        </is>
      </c>
      <c r="H4" s="6" t="inlineStr">
        <is>
          <t>Drives the licensing-cost growth assumption in section E. Bear = adverse for SPOT (faster cost growth).</t>
        </is>
      </c>
    </row>
    <row r="6">
      <c r="B6" s="7" t="inlineStr">
        <is>
          <t>A. Group revenue, €M (denominator for basis points)</t>
        </is>
      </c>
    </row>
    <row r="7">
      <c r="B7" s="4" t="inlineStr">
        <is>
          <t>Total revenue</t>
        </is>
      </c>
      <c r="C7" s="8" t="n">
        <v>15673</v>
      </c>
      <c r="D7" s="8" t="n">
        <v>17186</v>
      </c>
      <c r="E7" s="9" t="n">
        <v>19500</v>
      </c>
      <c r="F7" s="9" t="n">
        <v>21300</v>
      </c>
      <c r="H7" s="6" t="inlineStr">
        <is>
          <t>FY'24-FY'25: Form 20-F. FY'26E-FY'27E: placeholders, link to IS total revenue.</t>
        </is>
      </c>
    </row>
    <row r="9">
      <c r="B9" s="7" t="inlineStr">
        <is>
          <t>B. Bundle royalty saving: MLC contingency disclosed in Spotify filings, €M cumulative from 1 Mar 2024</t>
        </is>
      </c>
    </row>
    <row r="10">
      <c r="B10" s="4" t="inlineStr">
        <is>
          <t>6-K Q2-24: cumulative to 30 Jun 2024</t>
        </is>
      </c>
      <c r="C10" s="8" t="n">
        <v>46</v>
      </c>
      <c r="H10" s="6" t="inlineStr">
        <is>
          <t>6-K Q2-24 legal proceedings note: 'approximately €46 million, of which approximately €35 million relates to the three months ended June 30, 2024'. Additional royalties due to the MLC if Premium were not a bundle.</t>
        </is>
      </c>
    </row>
    <row r="11">
      <c r="B11" s="4" t="inlineStr">
        <is>
          <t xml:space="preserve">   of which Apr-Jun 2024</t>
        </is>
      </c>
      <c r="C11" s="8" t="n">
        <v>35</v>
      </c>
      <c r="H11" s="6" t="inlineStr">
        <is>
          <t>Same sentence; implies March 2024 alone was about €11M.</t>
        </is>
      </c>
    </row>
    <row r="12">
      <c r="B12" s="4" t="inlineStr">
        <is>
          <t>6-K Q3-24: cumulative to 30 Sep 2024</t>
        </is>
      </c>
      <c r="C12" s="8" t="n">
        <v>94</v>
      </c>
      <c r="H12" s="6" t="inlineStr">
        <is>
          <t>6-K Q3-24 legal proceedings note.</t>
        </is>
      </c>
    </row>
    <row r="13">
      <c r="B13" s="4" t="inlineStr">
        <is>
          <t>20-F FY24: cumulative to 31 Dec 2024</t>
        </is>
      </c>
      <c r="C13" s="8" t="n">
        <v>150</v>
      </c>
      <c r="H13" s="6" t="inlineStr">
        <is>
          <t>Form 20-F FY2024, legal proceedings.</t>
        </is>
      </c>
    </row>
    <row r="14">
      <c r="B14" s="4" t="inlineStr">
        <is>
          <t>6-K Q1-25: cumulative to 31 Mar 2025</t>
        </is>
      </c>
      <c r="C14" s="8" t="n">
        <v>205</v>
      </c>
      <c r="H14" s="6" t="inlineStr">
        <is>
          <t>6-K Q1-25 legal proceedings note.</t>
        </is>
      </c>
    </row>
    <row r="15">
      <c r="B15" s="4" t="inlineStr">
        <is>
          <t>6-K Q2-25: cumulative to 30 Jun 2025</t>
        </is>
      </c>
      <c r="C15" s="8" t="n">
        <v>256</v>
      </c>
      <c r="H15" s="6" t="inlineStr">
        <is>
          <t>6-K Q2-25 legal proceedings note.</t>
        </is>
      </c>
    </row>
    <row r="16">
      <c r="B16" s="4" t="inlineStr">
        <is>
          <t>6-K Q3-25: cumulative to 30 Sep 2025</t>
        </is>
      </c>
      <c r="C16" s="8" t="n">
        <v>308</v>
      </c>
      <c r="H16" s="6" t="inlineStr">
        <is>
          <t>6-K Q3-25: first filing to add 'any liability would be partially offset by direct deals with publishers'.</t>
        </is>
      </c>
    </row>
    <row r="17">
      <c r="B17" s="4" t="inlineStr">
        <is>
          <t>20-F FY25: cumulative to 31 Dec 2025</t>
        </is>
      </c>
      <c r="C17" s="8" t="n">
        <v>358</v>
      </c>
      <c r="H17" s="6" t="inlineStr">
        <is>
          <t>Form 20-F FY2025, legal proceedings.</t>
        </is>
      </c>
    </row>
    <row r="18">
      <c r="B18" s="4" t="inlineStr">
        <is>
          <t>6-K Q1-26: cumulative to 31 Mar 2026</t>
        </is>
      </c>
      <c r="C18" s="8" t="n">
        <v>410</v>
      </c>
      <c r="H18" s="6" t="inlineStr">
        <is>
          <t>6-K Q1-26 (about $473M at the time; NMPA cited 'nearly $480 million by Spotify's own admission').</t>
        </is>
      </c>
    </row>
    <row r="19">
      <c r="B19" s="4" t="inlineStr">
        <is>
          <t>6-K Q2-26: cumulative to 30 Jun 2026 (verify)</t>
        </is>
      </c>
      <c r="C19" s="8" t="n">
        <v>437</v>
      </c>
      <c r="H19" s="6" t="inlineStr">
        <is>
          <t>Quoted by Music Ally, 7 Sep 2026, as €437M. A second reading of the same filing gives €473M, which is also the dollar value of the Q1-26 figure. Verify in the Q2-26 6-K before quoting.</t>
        </is>
      </c>
    </row>
    <row r="20">
      <c r="B20" s="4" t="inlineStr">
        <is>
          <t>Gross bundle saving, forecast placeholders</t>
        </is>
      </c>
      <c r="E20" s="9" t="n">
        <v>205</v>
      </c>
      <c r="F20" s="9" t="n">
        <v>205</v>
      </c>
      <c r="H20" s="6" t="inlineStr">
        <is>
          <t>FY'26E: 4 x the average quarterly increment from Q2-25 to Q1-26 (€51M). FY'27E: flat; the Phonorecords IV settlement that permits the bundle rate runs to end-2027. Link to model.</t>
        </is>
      </c>
    </row>
    <row r="22">
      <c r="B22" s="7" t="inlineStr">
        <is>
          <t>C. Bundle saving cross-check: Billboard analysis of Spotify's MLC reports, paid tiers</t>
        </is>
      </c>
    </row>
    <row r="23">
      <c r="B23" s="4" t="inlineStr">
        <is>
          <t>Mechanical royalties paid to the MLC, Q4-23, $M</t>
        </is>
      </c>
      <c r="C23" s="10" t="n">
        <v>97.3</v>
      </c>
      <c r="H23" s="6" t="inlineStr">
        <is>
          <t>Billboard, 'How Much Have Spotify Bundles Decreased the Mechanical Per-Stream Rate? (Analysis)'.</t>
        </is>
      </c>
    </row>
    <row r="24">
      <c r="B24" s="4" t="inlineStr">
        <is>
          <t>Mechanical royalties paid to the MLC, Q4-25, $M</t>
        </is>
      </c>
      <c r="C24" s="10" t="n">
        <v>53.3</v>
      </c>
      <c r="H24" s="6" t="inlineStr">
        <is>
          <t>Same analysis; down 45%.</t>
        </is>
      </c>
    </row>
    <row r="25">
      <c r="B25" s="4" t="inlineStr">
        <is>
          <t>Blended per-stream mechanical rate, Q4-23, $</t>
        </is>
      </c>
      <c r="C25" s="11" t="n">
        <v>0.00068</v>
      </c>
      <c r="H25" s="6" t="inlineStr">
        <is>
          <t>Same analysis.</t>
        </is>
      </c>
    </row>
    <row r="26">
      <c r="B26" s="4" t="inlineStr">
        <is>
          <t>Blended per-stream mechanical rate, Q4-25, $</t>
        </is>
      </c>
      <c r="C26" s="11" t="n">
        <v>0.00033</v>
      </c>
      <c r="H26" s="6" t="inlineStr">
        <is>
          <t>Same analysis; down 51%. Streams grew about 19bn between the two quarters.</t>
        </is>
      </c>
    </row>
    <row r="27">
      <c r="B27" s="4" t="inlineStr">
        <is>
          <t>EUR/USD, Q4-25 average</t>
        </is>
      </c>
      <c r="C27" s="12" t="n">
        <v>1.16</v>
      </c>
      <c r="H27" s="6" t="inlineStr">
        <is>
          <t>Approximate.</t>
        </is>
      </c>
    </row>
    <row r="29">
      <c r="B29" s="7" t="inlineStr">
        <is>
          <t>D. Direct publisher deals that hand part of the saving back (share of US mechanicals in FY'24 column; start month in FY'25 column)</t>
        </is>
      </c>
    </row>
    <row r="30">
      <c r="B30" s="4" t="inlineStr">
        <is>
          <t>Universal Music Publishing Group</t>
        </is>
      </c>
      <c r="C30" s="13" t="n">
        <v>0.22</v>
      </c>
      <c r="D30" s="14" t="n">
        <v>2</v>
      </c>
      <c r="H30" s="6" t="inlineStr">
        <is>
          <t>Announced 26 Jan 2025 (MBW); reported to nullify the bundle discount going forward. Share: estimate from US publishing market rankings (range 20-25%).</t>
        </is>
      </c>
    </row>
    <row r="31">
      <c r="B31" s="4" t="inlineStr">
        <is>
          <t>Warner Chappell Music</t>
        </is>
      </c>
      <c r="C31" s="13" t="n">
        <v>0.13</v>
      </c>
      <c r="D31" s="14" t="n">
        <v>3</v>
      </c>
      <c r="H31" s="6" t="inlineStr">
        <is>
          <t>Announced 6 Feb 2025 (MBW): 'supersedes the bundling payment structure'; terms 'continue to recognize a difference between bundled and music-only listeners'. Share: estimate (11-15%).</t>
        </is>
      </c>
    </row>
    <row r="32">
      <c r="B32" s="4" t="inlineStr">
        <is>
          <t>Kobalt</t>
        </is>
      </c>
      <c r="C32" s="13" t="n">
        <v>0.05</v>
      </c>
      <c r="D32" s="14" t="n">
        <v>9</v>
      </c>
      <c r="H32" s="6" t="inlineStr">
        <is>
          <t>Announced 13 Aug 2025 (CMU, MBW): 'bespoke terms rather than the compulsory licence rates'. Share: estimate (4-7%).</t>
        </is>
      </c>
    </row>
    <row r="33">
      <c r="B33" s="4" t="inlineStr">
        <is>
          <t>Sony Music Publishing</t>
        </is>
      </c>
      <c r="C33" s="13" t="n">
        <v>0.26</v>
      </c>
      <c r="D33" s="14" t="n">
        <v>10</v>
      </c>
      <c r="H33" s="6" t="inlineStr">
        <is>
          <t>Announced 18 Sep 2025 (MBW, Variety); SMP ranked #1 publisher in every quarter of 2025. Share: estimate (23-28%).</t>
        </is>
      </c>
    </row>
    <row r="34">
      <c r="B34" s="4" t="inlineStr">
        <is>
          <t>BMG</t>
        </is>
      </c>
      <c r="C34" s="13" t="n">
        <v>0.03</v>
      </c>
      <c r="D34" s="14" t="n">
        <v>11</v>
      </c>
      <c r="H34" s="6" t="inlineStr">
        <is>
          <t>Announced 9 Oct 2025 (CMU). Share: estimate (2-4%).</t>
        </is>
      </c>
    </row>
    <row r="35">
      <c r="B35" s="4" t="inlineStr">
        <is>
          <t>Restoration of the bundle discount in the direct deals</t>
        </is>
      </c>
      <c r="C35" s="13" t="n">
        <v>0.75</v>
      </c>
      <c r="H35" s="6" t="inlineStr">
        <is>
          <t>Estimate. Spotify calls the offset 'partial'; the Warner terms still distinguish bundled from music-only listeners while payments are 'substantially improved'. Range 50-100%.</t>
        </is>
      </c>
    </row>
    <row r="36">
      <c r="B36" s="4" t="inlineStr">
        <is>
          <t>MLC amended complaint succeeds in FY'27 (1 = yes)</t>
        </is>
      </c>
      <c r="C36" s="14" t="n">
        <v>0</v>
      </c>
      <c r="H36" s="6" t="inlineStr">
        <is>
          <t>Scenario switch: the independents' share of the saving goes to zero. Dismissed Jan 2025; amended complaint Oct 2025; interlocutory appeal denied 1 Sep 2026; fact discovery cutoff 13 Mar 2027; no trial date.</t>
        </is>
      </c>
    </row>
    <row r="38">
      <c r="B38" s="7" t="inlineStr">
        <is>
          <t>E. Audiobook licensing cost paid to book publishers (included and paid hours)</t>
        </is>
      </c>
    </row>
    <row r="39">
      <c r="B39" s="4" t="inlineStr">
        <is>
          <t>FY'24 cost anchor, €M</t>
        </is>
      </c>
      <c r="C39" s="8" t="n">
        <v>190</v>
      </c>
      <c r="H39" s="6" t="inlineStr">
        <is>
          <t>Spotify via Axios, 15 Oct 2024: paying publishers 'hundreds of millions of dollars a year' (repeated Mar-25; 'tens of millions' by Feb-24 per Digital Music News). Read as about $205M for the full year at a 1.08 average rate. Cross-check: APA 2025 US publisher receipts $2.43B x 10-14% Spotify share x 1.4 non-US / 1.13 = €301-421M for 2025 vs €300M modelled.</t>
        </is>
      </c>
    </row>
    <row r="40">
      <c r="B40" s="4" t="inlineStr">
        <is>
          <t>Licensing cost growth, % y/y</t>
        </is>
      </c>
      <c r="D40" s="15" t="n">
        <v>0.58</v>
      </c>
      <c r="E40" s="16">
        <f>IF('Audiobook Inputs'!$C$4="Bear",E41,IF('Audiobook Inputs'!$C$4="Bull",E43,E42))</f>
        <v>0.43</v>
      </c>
      <c r="F40" s="16">
        <f>IF('Audiobook Inputs'!$C$4="Bear",F41,IF('Audiobook Inputs'!$C$4="Bull",F43,F42))</f>
        <v>0.3</v>
      </c>
      <c r="H40" s="6" t="inlineStr">
        <is>
          <t>FY'25: Spotify newsroom Oct 2025, hours +37% like-for-like, times about 1.15 for the wider paying base (Family and Duo members, DACH, France and Benelux annualising). FY'26E: Investor Day May 2026, listeners +60%, cost at about 0.7x listener growth. FY'27E: assumed deceleration. Scenario rows below; Bear = faster cost growth.</t>
        </is>
      </c>
    </row>
    <row r="41">
      <c r="B41" s="17" t="inlineStr">
        <is>
          <t>Bear</t>
        </is>
      </c>
      <c r="E41" s="15" t="n">
        <v>0.6</v>
      </c>
      <c r="F41" s="15" t="n">
        <v>0.45</v>
      </c>
    </row>
    <row r="42">
      <c r="B42" s="18" t="inlineStr">
        <is>
          <t>Base</t>
        </is>
      </c>
      <c r="E42" s="15" t="n">
        <v>0.43</v>
      </c>
      <c r="F42" s="15" t="n">
        <v>0.3</v>
      </c>
    </row>
    <row r="43">
      <c r="B43" s="19" t="inlineStr">
        <is>
          <t>Bull</t>
        </is>
      </c>
      <c r="E43" s="15" t="n">
        <v>0.3</v>
      </c>
      <c r="F43" s="15" t="n">
        <v>0.2</v>
      </c>
    </row>
    <row r="45">
      <c r="B45" s="7" t="inlineStr">
        <is>
          <t>F. Paid audiobook revenue, €M (Audiobooks+, top-ups, a la carte)</t>
        </is>
      </c>
    </row>
    <row r="46">
      <c r="B46" s="4" t="inlineStr">
        <is>
          <t>Paid audiobook revenue</t>
        </is>
      </c>
      <c r="C46" s="8" t="n">
        <v>5</v>
      </c>
      <c r="D46" s="8" t="n">
        <v>30</v>
      </c>
      <c r="E46" s="9" t="n">
        <v>75</v>
      </c>
      <c r="F46" s="9" t="n">
        <v>120</v>
      </c>
      <c r="H46" s="6" t="inlineStr">
        <is>
          <t>FY'24: top-ups only from Mar-24, estimate. FY'25: US Audiobooks+ from Aug-25 at $11.99 plus 11 EU markets late in the year, estimate. FY'26E: $100M ARR reached Jul-26 (Q2-26 call) is about €88M run-rate; full year lower. FY'27E: +60%. Link to model.</t>
        </is>
      </c>
    </row>
    <row r="47">
      <c r="B47" s="4" t="inlineStr">
        <is>
          <t xml:space="preserve">   Context: Audiobooks+ ARR, $M (Jul-26) and paying users, M (May-26)</t>
        </is>
      </c>
      <c r="C47" s="10" t="n">
        <v>100</v>
      </c>
      <c r="D47" s="10" t="n">
        <v>1</v>
      </c>
      <c r="H47" s="6" t="inlineStr">
        <is>
          <t>Investor Day 21 May 2026 via Publishers Weekly: 'more than one million' payers, 'on track for $100M ARR in July'; Q2-26 call: reached.</t>
        </is>
      </c>
    </row>
    <row r="49">
      <c r="B49" s="7" t="inlineStr">
        <is>
          <t>G. Consensus gross-margin expansion, bp (context only)</t>
        </is>
      </c>
    </row>
    <row r="50">
      <c r="B50" s="4" t="inlineStr">
        <is>
          <t>Consensus y/y gross-margin expansion</t>
        </is>
      </c>
      <c r="E50" s="20" t="n">
        <v>115</v>
      </c>
      <c r="F50" s="20" t="n">
        <v>130</v>
      </c>
      <c r="H50" s="6" t="inlineStr">
        <is>
          <t>Placeholders: 33.2% vs 32.0% and ~34.5% vs 33.2%. Link to the consensus tab.</t>
        </is>
      </c>
    </row>
    <row r="52">
      <c r="B52" s="7" t="inlineStr">
        <is>
          <t>H. Memo, excluded from the bridge</t>
        </is>
      </c>
    </row>
    <row r="53">
      <c r="B53" s="4" t="inlineStr">
        <is>
          <t>June 2024 US price increase, annualised revenue, €M</t>
        </is>
      </c>
      <c r="C53" s="8" t="n">
        <v>500</v>
      </c>
      <c r="H53" s="6" t="inlineStr">
        <is>
          <t>Estimate (~7% blended on US Premium revenue). The item management credits to audiobooks; a pricing effect, so it stays outside N.</t>
        </is>
      </c>
    </row>
    <row r="55">
      <c r="B55" s="21" t="inlineStr">
        <is>
          <t>Colour key: blue = hard-coded input (notes give source or derivation); light gold = forecast assumption or placeholder to link to the model; black = formula.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.9" customWidth="1" min="1" max="1"/>
    <col width="5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78" customWidth="1" min="8" max="8"/>
  </cols>
  <sheetData>
    <row r="2">
      <c r="B2" s="1" t="inlineStr">
        <is>
          <t>Audiobook Gross Margin Bridge</t>
        </is>
      </c>
      <c r="C2" s="2" t="inlineStr">
        <is>
          <t>FY'24</t>
        </is>
      </c>
      <c r="D2" s="2" t="inlineStr">
        <is>
          <t>FY'25</t>
        </is>
      </c>
      <c r="E2" s="2" t="inlineStr">
        <is>
          <t>FY'26E</t>
        </is>
      </c>
      <c r="F2" s="2" t="inlineStr">
        <is>
          <t>FY'27E</t>
        </is>
      </c>
      <c r="G2" s="1" t="n"/>
      <c r="H2" s="1" t="inlineStr">
        <is>
          <t>Notes</t>
        </is>
      </c>
    </row>
    <row r="3">
      <c r="B3" s="3" t="n"/>
      <c r="C3" s="3" t="n"/>
      <c r="D3" s="3" t="n"/>
      <c r="E3" s="3" t="n"/>
      <c r="F3" s="3" t="n"/>
      <c r="G3" s="3" t="n"/>
      <c r="H3" s="3" t="n"/>
    </row>
    <row r="4">
      <c r="B4" s="21" t="inlineStr">
        <is>
          <t>€ in millions unless stated.  N = B + A - C:  B = bundle royalty saving retained,  A = paid audiobook revenue,  C = audiobook licensing cost paid to book publishers.</t>
        </is>
      </c>
    </row>
    <row r="6">
      <c r="B6" s="7" t="inlineStr">
        <is>
          <t>1. Bundle Royalty Saving (B)</t>
        </is>
      </c>
    </row>
    <row r="7">
      <c r="B7" s="21" t="inlineStr">
        <is>
          <t>MLC contingency by filing, €M</t>
        </is>
      </c>
      <c r="C7" s="22" t="inlineStr">
        <is>
          <t>Cumulative</t>
        </is>
      </c>
      <c r="D7" s="22" t="inlineStr">
        <is>
          <t>Increment</t>
        </is>
      </c>
      <c r="E7" s="22" t="inlineStr">
        <is>
          <t>Months</t>
        </is>
      </c>
      <c r="F7" s="22" t="inlineStr">
        <is>
          <t>€M / month</t>
        </is>
      </c>
    </row>
    <row r="8">
      <c r="B8" s="4" t="inlineStr">
        <is>
          <t>6-K Q2-24 (30 Jun 2024)</t>
        </is>
      </c>
      <c r="C8" s="23">
        <f>'Audiobook Inputs'!$C$10</f>
        <v>46.0</v>
      </c>
      <c r="D8" s="23">
        <f>C8</f>
        <v>46.0</v>
      </c>
      <c r="E8" s="14" t="n">
        <v>4</v>
      </c>
      <c r="F8" s="24">
        <f>D8/E8</f>
        <v>11.5</v>
      </c>
    </row>
    <row r="9">
      <c r="B9" s="4" t="inlineStr">
        <is>
          <t>6-K Q3-24 (30 Sep 2024)</t>
        </is>
      </c>
      <c r="C9" s="23">
        <f>'Audiobook Inputs'!$C$12</f>
        <v>94.0</v>
      </c>
      <c r="D9" s="23">
        <f>C9-C8</f>
        <v>48.0</v>
      </c>
      <c r="E9" s="14" t="n">
        <v>3</v>
      </c>
      <c r="F9" s="24">
        <f>D9/E9</f>
        <v>16.0</v>
      </c>
    </row>
    <row r="10">
      <c r="B10" s="4" t="inlineStr">
        <is>
          <t>20-F FY24 (31 Dec 2024)</t>
        </is>
      </c>
      <c r="C10" s="23">
        <f>'Audiobook Inputs'!$C$13</f>
        <v>150.0</v>
      </c>
      <c r="D10" s="23">
        <f>C10-C9</f>
        <v>56.0</v>
      </c>
      <c r="E10" s="14" t="n">
        <v>3</v>
      </c>
      <c r="F10" s="24">
        <f>D10/E10</f>
        <v>18.666666666666668</v>
      </c>
    </row>
    <row r="11">
      <c r="B11" s="4" t="inlineStr">
        <is>
          <t>6-K Q1-25 (31 Mar 2025)</t>
        </is>
      </c>
      <c r="C11" s="23">
        <f>'Audiobook Inputs'!$C$14</f>
        <v>205.0</v>
      </c>
      <c r="D11" s="23">
        <f>C11-C10</f>
        <v>55.0</v>
      </c>
      <c r="E11" s="14" t="n">
        <v>3</v>
      </c>
      <c r="F11" s="24">
        <f>D11/E11</f>
        <v>18.333333333333332</v>
      </c>
    </row>
    <row r="12">
      <c r="B12" s="4" t="inlineStr">
        <is>
          <t>6-K Q2-25 (30 Jun 2025)</t>
        </is>
      </c>
      <c r="C12" s="23">
        <f>'Audiobook Inputs'!$C$15</f>
        <v>256.0</v>
      </c>
      <c r="D12" s="23">
        <f>C12-C11</f>
        <v>51.0</v>
      </c>
      <c r="E12" s="14" t="n">
        <v>3</v>
      </c>
      <c r="F12" s="24">
        <f>D12/E12</f>
        <v>17.0</v>
      </c>
    </row>
    <row r="13">
      <c r="B13" s="4" t="inlineStr">
        <is>
          <t>6-K Q3-25 (30 Sep 2025)</t>
        </is>
      </c>
      <c r="C13" s="23">
        <f>'Audiobook Inputs'!$C$16</f>
        <v>308.0</v>
      </c>
      <c r="D13" s="23">
        <f>C13-C12</f>
        <v>52.0</v>
      </c>
      <c r="E13" s="14" t="n">
        <v>3</v>
      </c>
      <c r="F13" s="24">
        <f>D13/E13</f>
        <v>17.333333333333332</v>
      </c>
    </row>
    <row r="14">
      <c r="B14" s="4" t="inlineStr">
        <is>
          <t>20-F FY25 (31 Dec 2025)</t>
        </is>
      </c>
      <c r="C14" s="23">
        <f>'Audiobook Inputs'!$C$17</f>
        <v>358.0</v>
      </c>
      <c r="D14" s="23">
        <f>C14-C13</f>
        <v>50.0</v>
      </c>
      <c r="E14" s="14" t="n">
        <v>3</v>
      </c>
      <c r="F14" s="24">
        <f>D14/E14</f>
        <v>16.666666666666668</v>
      </c>
    </row>
    <row r="15">
      <c r="B15" s="4" t="inlineStr">
        <is>
          <t>6-K Q1-26 (31 Mar 2026)</t>
        </is>
      </c>
      <c r="C15" s="23">
        <f>'Audiobook Inputs'!$C$18</f>
        <v>410.0</v>
      </c>
      <c r="D15" s="23">
        <f>C15-C14</f>
        <v>52.0</v>
      </c>
      <c r="E15" s="14" t="n">
        <v>3</v>
      </c>
      <c r="F15" s="24">
        <f>D15/E15</f>
        <v>17.333333333333332</v>
      </c>
    </row>
    <row r="16">
      <c r="B16" s="4" t="inlineStr">
        <is>
          <t>6-K Q2-26 (30 Jun 2026): verify</t>
        </is>
      </c>
      <c r="C16" s="23">
        <f>'Audiobook Inputs'!$C$19</f>
        <v>437.0</v>
      </c>
      <c r="D16" s="23">
        <f>C16-C15</f>
        <v>27.0</v>
      </c>
      <c r="E16" s="14" t="n">
        <v>3</v>
      </c>
      <c r="F16" s="24">
        <f>D16/E16</f>
        <v>9.0</v>
      </c>
    </row>
    <row r="17">
      <c r="B17" s="4" t="inlineStr">
        <is>
          <t xml:space="preserve">   of which Apr-Jun 2024 (March 2024 alone about €11M)</t>
        </is>
      </c>
      <c r="C17" s="23">
        <f>'Audiobook Inputs'!$C$11</f>
        <v>35.0</v>
      </c>
      <c r="E17" s="14" t="n">
        <v>3</v>
      </c>
      <c r="F17" s="24">
        <f>C17/E17</f>
        <v>11.666666666666666</v>
      </c>
    </row>
    <row r="18">
      <c r="B18" s="4" t="inlineStr">
        <is>
          <t>Average quarterly increment, Q2-25 to Q1-26 (x4 annualised in next column)</t>
        </is>
      </c>
      <c r="C18" s="24">
        <f>AVERAGE(D12:D15)</f>
        <v>51.25</v>
      </c>
      <c r="D18" s="23">
        <f>C18*4</f>
        <v>205.0</v>
      </c>
      <c r="H18" s="6" t="inlineStr">
        <is>
          <t>Increments ran €50-56M a quarter with no step down after the direct deals, so the figure is gross: every paid-tier stream is still reported through the MLC at the bundle rate and the direct-licensed publishers receive a top-up outside it.</t>
        </is>
      </c>
    </row>
    <row r="20">
      <c r="B20" s="21" t="inlineStr">
        <is>
          <t>Billboard cross-check (paid tiers)</t>
        </is>
      </c>
      <c r="C20" s="22" t="inlineStr">
        <is>
          <t>Q4-23</t>
        </is>
      </c>
      <c r="D20" s="22" t="inlineStr">
        <is>
          <t>Q4-25</t>
        </is>
      </c>
      <c r="E20" s="22" t="inlineStr"/>
      <c r="F20" s="22" t="inlineStr"/>
    </row>
    <row r="21">
      <c r="B21" s="4" t="inlineStr">
        <is>
          <t>Mechanical royalties paid to the MLC, $M</t>
        </is>
      </c>
      <c r="C21" s="24">
        <f>'Audiobook Inputs'!$C$23</f>
        <v>97.3</v>
      </c>
      <c r="D21" s="24">
        <f>'Audiobook Inputs'!$C$24</f>
        <v>53.3</v>
      </c>
    </row>
    <row r="22">
      <c r="B22" s="4" t="inlineStr">
        <is>
          <t>Blended per-stream rate, $</t>
        </is>
      </c>
      <c r="C22" s="25">
        <f>'Audiobook Inputs'!$C$25</f>
        <v>0.00068</v>
      </c>
      <c r="D22" s="25">
        <f>'Audiobook Inputs'!$C$26</f>
        <v>0.00033</v>
      </c>
    </row>
    <row r="23">
      <c r="B23" s="4" t="inlineStr">
        <is>
          <t>Implied streams, bn</t>
        </is>
      </c>
      <c r="C23" s="24">
        <f>C21/C22/1000</f>
        <v>143.08823529411762</v>
      </c>
      <c r="D23" s="24">
        <f>D21/D22/1000</f>
        <v>161.51515151515153</v>
      </c>
    </row>
    <row r="24">
      <c r="B24" s="4" t="inlineStr">
        <is>
          <t>Implied Q4-25 discount: streams x Q4-23 rate less paid, $M (col D); in €M (col E) vs 20-F FY25 increment (col F)</t>
        </is>
      </c>
      <c r="D24" s="24">
        <f>D23*C22*1000-D21</f>
        <v>56.530303030303045</v>
      </c>
      <c r="E24" s="24">
        <f>D24/'Audiobook Inputs'!$C$27</f>
        <v>48.73301985370953</v>
      </c>
      <c r="F24" s="24">
        <f>D14</f>
        <v>50.0</v>
      </c>
      <c r="H24" s="6" t="inlineStr">
        <is>
          <t>Two sources that share no inputs agree on a gross discount of about €50M a quarter. Streams grew between the quarters, so direct-licensed publishers have not left the blanket licence.</t>
        </is>
      </c>
    </row>
    <row r="26">
      <c r="B26" s="21" t="inlineStr">
        <is>
          <t>Gross saving, hand-back, B</t>
        </is>
      </c>
      <c r="C26" s="22" t="inlineStr">
        <is>
          <t>FY'24</t>
        </is>
      </c>
      <c r="D26" s="22" t="inlineStr">
        <is>
          <t>FY'25</t>
        </is>
      </c>
      <c r="E26" s="22" t="inlineStr">
        <is>
          <t>FY'26E</t>
        </is>
      </c>
      <c r="F26" s="22" t="inlineStr">
        <is>
          <t>FY'27E</t>
        </is>
      </c>
    </row>
    <row r="27">
      <c r="B27" s="26" t="inlineStr">
        <is>
          <t>Gross bundle saving</t>
        </is>
      </c>
      <c r="C27" s="27">
        <f>'Audiobook Inputs'!$C$13</f>
        <v>150.0</v>
      </c>
      <c r="D27" s="27">
        <f>'Audiobook Inputs'!$C$17-'Audiobook Inputs'!$C$13</f>
        <v>208.0</v>
      </c>
      <c r="E27" s="27">
        <f>'Audiobook Inputs'!$E$20</f>
        <v>205.0</v>
      </c>
      <c r="F27" s="27">
        <f>'Audiobook Inputs'!$F$20</f>
        <v>205.0</v>
      </c>
      <c r="H27" s="6" t="inlineStr">
        <is>
          <t>FY'24 and FY'25 straight from the filings; FY'26E-FY'27E are placeholders on the inputs tab.</t>
        </is>
      </c>
    </row>
    <row r="28">
      <c r="B28" s="21" t="inlineStr">
        <is>
          <t>Months on direct licence by publisher</t>
        </is>
      </c>
      <c r="C28" s="22" t="inlineStr"/>
      <c r="D28" s="22" t="inlineStr"/>
      <c r="E28" s="22" t="inlineStr"/>
      <c r="F28" s="22" t="inlineStr"/>
      <c r="G28" s="22" t="inlineStr">
        <is>
          <t>Share</t>
        </is>
      </c>
    </row>
    <row r="29">
      <c r="B29" s="4" t="inlineStr">
        <is>
          <t xml:space="preserve">   Universal Music Publishing Group</t>
        </is>
      </c>
      <c r="C29" s="14" t="n">
        <v>0</v>
      </c>
      <c r="D29" s="28">
        <f>13-'Audiobook Inputs'!$D$30</f>
        <v>11.0</v>
      </c>
      <c r="E29" s="14" t="n">
        <v>12</v>
      </c>
      <c r="F29" s="14" t="n">
        <v>12</v>
      </c>
      <c r="G29" s="29">
        <f>'Audiobook Inputs'!$C$30</f>
        <v>0.22</v>
      </c>
    </row>
    <row r="30">
      <c r="B30" s="4" t="inlineStr">
        <is>
          <t xml:space="preserve">   Warner Chappell Music</t>
        </is>
      </c>
      <c r="C30" s="14" t="n">
        <v>0</v>
      </c>
      <c r="D30" s="28">
        <f>13-'Audiobook Inputs'!$D$31</f>
        <v>10.0</v>
      </c>
      <c r="E30" s="14" t="n">
        <v>12</v>
      </c>
      <c r="F30" s="14" t="n">
        <v>12</v>
      </c>
      <c r="G30" s="29">
        <f>'Audiobook Inputs'!$C$31</f>
        <v>0.13</v>
      </c>
    </row>
    <row r="31">
      <c r="B31" s="4" t="inlineStr">
        <is>
          <t xml:space="preserve">   Kobalt</t>
        </is>
      </c>
      <c r="C31" s="14" t="n">
        <v>0</v>
      </c>
      <c r="D31" s="28">
        <f>13-'Audiobook Inputs'!$D$32</f>
        <v>4.0</v>
      </c>
      <c r="E31" s="14" t="n">
        <v>12</v>
      </c>
      <c r="F31" s="14" t="n">
        <v>12</v>
      </c>
      <c r="G31" s="29">
        <f>'Audiobook Inputs'!$C$32</f>
        <v>0.05</v>
      </c>
    </row>
    <row r="32">
      <c r="B32" s="4" t="inlineStr">
        <is>
          <t xml:space="preserve">   Sony Music Publishing</t>
        </is>
      </c>
      <c r="C32" s="14" t="n">
        <v>0</v>
      </c>
      <c r="D32" s="28">
        <f>13-'Audiobook Inputs'!$D$33</f>
        <v>3.0</v>
      </c>
      <c r="E32" s="14" t="n">
        <v>12</v>
      </c>
      <c r="F32" s="14" t="n">
        <v>12</v>
      </c>
      <c r="G32" s="29">
        <f>'Audiobook Inputs'!$C$33</f>
        <v>0.26</v>
      </c>
    </row>
    <row r="33">
      <c r="B33" s="4" t="inlineStr">
        <is>
          <t xml:space="preserve">   BMG</t>
        </is>
      </c>
      <c r="C33" s="14" t="n">
        <v>0</v>
      </c>
      <c r="D33" s="28">
        <f>13-'Audiobook Inputs'!$D$34</f>
        <v>2.0</v>
      </c>
      <c r="E33" s="14" t="n">
        <v>12</v>
      </c>
      <c r="F33" s="14" t="n">
        <v>12</v>
      </c>
      <c r="G33" s="29">
        <f>'Audiobook Inputs'!$C$34</f>
        <v>0.03</v>
      </c>
    </row>
    <row r="34">
      <c r="B34" s="4" t="inlineStr">
        <is>
          <t xml:space="preserve">   Sum of shares on direct licences (independents are the remainder)</t>
        </is>
      </c>
      <c r="G34" s="29">
        <f>SUM(G29:G33)</f>
        <v>0.69</v>
      </c>
    </row>
    <row r="35">
      <c r="B35" s="4" t="inlineStr">
        <is>
          <t xml:space="preserve">   Restoration of the discount in the direct deals</t>
        </is>
      </c>
      <c r="G35" s="29">
        <f>'Audiobook Inputs'!$C$35</f>
        <v>0.75</v>
      </c>
    </row>
    <row r="36">
      <c r="B36" s="4" t="inlineStr">
        <is>
          <t>Hand-back = gross x sum(share x months / 12) x restoration</t>
        </is>
      </c>
      <c r="C36" s="23">
        <f>C27*SUMPRODUCT($G$29:$G$33,C29:C33)/12*$G$35</f>
        <v>0.0</v>
      </c>
      <c r="D36" s="23">
        <f>D27*SUMPRODUCT($G$29:$G$33,D29:D33)/12*$G$35</f>
        <v>61.879999999999995</v>
      </c>
      <c r="E36" s="23">
        <f>E27*SUMPRODUCT($G$29:$G$33,E29:E33)/12*$G$35</f>
        <v>106.0875</v>
      </c>
      <c r="F36" s="23">
        <f>F27*SUMPRODUCT($G$29:$G$33,F29:F33)/12*$G$35</f>
        <v>106.0875</v>
      </c>
    </row>
    <row r="37">
      <c r="B37" s="26" t="inlineStr">
        <is>
          <t>B: Net bundle saving retained by Spotify</t>
        </is>
      </c>
      <c r="C37" s="27">
        <f>C27-C36</f>
        <v>150.0</v>
      </c>
      <c r="D37" s="27">
        <f>D27-D36</f>
        <v>146.12</v>
      </c>
      <c r="E37" s="27">
        <f>E27-E36</f>
        <v>98.9125</v>
      </c>
      <c r="F37" s="27">
        <f>IF('Audiobook Inputs'!$C$36=1,F27*$G$34*(1-$G$35),F27-F36)</f>
        <v>98.9125</v>
      </c>
      <c r="H37" s="6" t="inlineStr">
        <is>
          <t>FY'27E: if the MLC switch on the inputs tab is 1, the independents' share of the saving goes to zero.</t>
        </is>
      </c>
    </row>
    <row r="39">
      <c r="B39" s="7" t="inlineStr">
        <is>
          <t>2. Audiobook Licensing Cost (C)</t>
        </is>
      </c>
    </row>
    <row r="40">
      <c r="B40" s="30" t="inlineStr">
        <is>
          <t>% y/y Growth</t>
        </is>
      </c>
      <c r="D40" s="31">
        <f>'Audiobook Inputs'!$D$40</f>
        <v>0.58</v>
      </c>
      <c r="E40" s="31">
        <f>'Audiobook Inputs'!$E$40</f>
        <v>0.43</v>
      </c>
      <c r="F40" s="31">
        <f>'Audiobook Inputs'!$F$40</f>
        <v>0.3</v>
      </c>
      <c r="H40" s="6" t="inlineStr">
        <is>
          <t>FY'26E-FY'27E follow the case selector on the inputs tab (Bear / Base / Bull rows).</t>
        </is>
      </c>
    </row>
    <row r="41">
      <c r="B41" s="26" t="inlineStr">
        <is>
          <t>C: Licensing cost paid to book publishers</t>
        </is>
      </c>
      <c r="C41" s="27">
        <f>'Audiobook Inputs'!$C$39</f>
        <v>190.0</v>
      </c>
      <c r="D41" s="27">
        <f>C41*(1+D40)</f>
        <v>300.2</v>
      </c>
      <c r="E41" s="27">
        <f>D41*(1+E40)</f>
        <v>429.28599999999994</v>
      </c>
      <c r="F41" s="27">
        <f>E41*(1+F40)</f>
        <v>558.0717999999999</v>
      </c>
      <c r="H41" s="6" t="inlineStr">
        <is>
          <t>FY'24 anchored on Spotify's 'hundreds of millions of dollars a year' (Oct-24); grown by consumption.</t>
        </is>
      </c>
    </row>
    <row r="43">
      <c r="B43" s="7" t="inlineStr">
        <is>
          <t>3. Paid Audiobook Revenue (A)</t>
        </is>
      </c>
    </row>
    <row r="44">
      <c r="B44" s="26" t="inlineStr">
        <is>
          <t>A: Paid audiobook revenue</t>
        </is>
      </c>
      <c r="C44" s="27">
        <f>'Audiobook Inputs'!$C$46</f>
        <v>5.0</v>
      </c>
      <c r="D44" s="27">
        <f>'Audiobook Inputs'!$D$46</f>
        <v>30.0</v>
      </c>
      <c r="E44" s="27">
        <f>'Audiobook Inputs'!$E$46</f>
        <v>75.0</v>
      </c>
      <c r="F44" s="27">
        <f>'Audiobook Inputs'!$F$46</f>
        <v>120.0</v>
      </c>
      <c r="H44" s="6" t="inlineStr">
        <is>
          <t>Counted in full: C is grown on total consumption, so it already carries the publisher cost of paid hours.</t>
        </is>
      </c>
    </row>
    <row r="46">
      <c r="B46" s="7" t="inlineStr">
        <is>
          <t>4. Net Contribution to Gross Profit and Gross Margin</t>
        </is>
      </c>
    </row>
    <row r="47">
      <c r="B47" s="4" t="inlineStr">
        <is>
          <t>B: Net bundle saving retained</t>
        </is>
      </c>
      <c r="C47" s="23">
        <f>C37</f>
        <v>150.0</v>
      </c>
      <c r="D47" s="23">
        <f>D37</f>
        <v>146.12</v>
      </c>
      <c r="E47" s="23">
        <f>E37</f>
        <v>98.9125</v>
      </c>
      <c r="F47" s="23">
        <f>F37</f>
        <v>98.9125</v>
      </c>
    </row>
    <row r="48">
      <c r="B48" s="4" t="inlineStr">
        <is>
          <t>A: Paid audiobook revenue</t>
        </is>
      </c>
      <c r="C48" s="23">
        <f>C44</f>
        <v>5.0</v>
      </c>
      <c r="D48" s="23">
        <f>D44</f>
        <v>30.0</v>
      </c>
      <c r="E48" s="23">
        <f>E44</f>
        <v>75.0</v>
      </c>
      <c r="F48" s="23">
        <f>F44</f>
        <v>120.0</v>
      </c>
    </row>
    <row r="49">
      <c r="B49" s="4" t="inlineStr">
        <is>
          <t>Less C: Licensing cost paid to book publishers</t>
        </is>
      </c>
      <c r="C49" s="23">
        <f>-C41</f>
        <v>-190.0</v>
      </c>
      <c r="D49" s="23">
        <f>-D41</f>
        <v>-300.2</v>
      </c>
      <c r="E49" s="23">
        <f>-E41</f>
        <v>-429.28599999999994</v>
      </c>
      <c r="F49" s="23">
        <f>-F41</f>
        <v>-558.0717999999999</v>
      </c>
    </row>
    <row r="50">
      <c r="B50" s="32" t="inlineStr">
        <is>
          <t>Audiobook Contribution to Gross Profit (N)</t>
        </is>
      </c>
      <c r="C50" s="33">
        <f>C47+C48+C49</f>
        <v>-35.0</v>
      </c>
      <c r="D50" s="33">
        <f>D47+D48+D49</f>
        <v>-124.07999999999998</v>
      </c>
      <c r="E50" s="33">
        <f>E47+E48+E49</f>
        <v>-255.37349999999995</v>
      </c>
      <c r="F50" s="33">
        <f>F47+F48+F49</f>
        <v>-339.1592999999999</v>
      </c>
      <c r="H50" s="6" t="inlineStr">
        <is>
          <t>Add this row to IS gross profit (FY columns) to embed the audiobook effect at the level.</t>
        </is>
      </c>
    </row>
    <row r="51">
      <c r="B51" s="4" t="inlineStr">
        <is>
          <t>Total Revenue</t>
        </is>
      </c>
      <c r="C51" s="23">
        <f>'Audiobook Inputs'!$C$7</f>
        <v>15673.0</v>
      </c>
      <c r="D51" s="23">
        <f>'Audiobook Inputs'!$D$7</f>
        <v>17186.0</v>
      </c>
      <c r="E51" s="23">
        <f>'Audiobook Inputs'!$E$7</f>
        <v>19500.0</v>
      </c>
      <c r="F51" s="23">
        <f>'Audiobook Inputs'!$F$7</f>
        <v>21300.0</v>
      </c>
    </row>
    <row r="52">
      <c r="B52" s="30" t="inlineStr">
        <is>
          <t>% Contribution to Gross Margin, bp</t>
        </is>
      </c>
      <c r="C52" s="34">
        <f>C50/C51*10000</f>
        <v>-22.331397945511387</v>
      </c>
      <c r="D52" s="34">
        <f>D50/D51*10000</f>
        <v>-72.19830094262771</v>
      </c>
      <c r="E52" s="34">
        <f>E50/E51*10000</f>
        <v>-130.96076923076922</v>
      </c>
      <c r="F52" s="34">
        <f>F50/F51*10000</f>
        <v>-159.22971830985912</v>
      </c>
      <c r="H52" s="6" t="inlineStr">
        <is>
          <t>Level: what audiobooks did to gross margin in each year versus no audiobooks.</t>
        </is>
      </c>
    </row>
    <row r="53">
      <c r="B53" s="4" t="inlineStr">
        <is>
          <t>Y/y Change in Contribution, €M</t>
        </is>
      </c>
      <c r="D53" s="23">
        <f>D50-C50</f>
        <v>-89.07999999999998</v>
      </c>
      <c r="E53" s="23">
        <f>E50-D50</f>
        <v>-131.29349999999997</v>
      </c>
      <c r="F53" s="23">
        <f>F50-E50</f>
        <v>-83.78579999999997</v>
      </c>
    </row>
    <row r="54">
      <c r="B54" s="32" t="inlineStr">
        <is>
          <t>Y/y Gross Margin Headwind, bp</t>
        </is>
      </c>
      <c r="C54" s="35" t="n"/>
      <c r="D54" s="36">
        <f>D53/D51*10000</f>
        <v>-51.832887233794935</v>
      </c>
      <c r="E54" s="36">
        <f>E53/E51*10000</f>
        <v>-67.32999999999998</v>
      </c>
      <c r="F54" s="36">
        <f>F53/F51*10000</f>
        <v>-39.33605633802816</v>
      </c>
      <c r="H54" s="6" t="inlineStr">
        <is>
          <t>Subtract from the model's y/y gross-margin expansion (negative = drag). Use either this row or the €M contribution row, not both.</t>
        </is>
      </c>
    </row>
    <row r="55">
      <c r="B55" s="30" t="inlineStr">
        <is>
          <t xml:space="preserve">   of which music publishers reclaim the bundle saving (change in B)</t>
        </is>
      </c>
      <c r="D55" s="23">
        <f>D47-C47</f>
        <v>-3.8799999999999955</v>
      </c>
      <c r="E55" s="23">
        <f>E47-D47</f>
        <v>-47.20750000000001</v>
      </c>
      <c r="F55" s="23">
        <f>F47-E47</f>
        <v>0.0</v>
      </c>
    </row>
    <row r="56">
      <c r="B56" s="30" t="inlineStr">
        <is>
          <t xml:space="preserve">   of which book publishers paid on consumption (change in C)</t>
        </is>
      </c>
      <c r="D56" s="23">
        <f>D49-C49</f>
        <v>-110.19999999999999</v>
      </c>
      <c r="E56" s="23">
        <f>E49-D49</f>
        <v>-129.08599999999996</v>
      </c>
      <c r="F56" s="23">
        <f>F49-E49</f>
        <v>-128.7858</v>
      </c>
    </row>
    <row r="57">
      <c r="B57" s="30" t="inlineStr">
        <is>
          <t xml:space="preserve">   of which paid audiobook revenue (change in A)</t>
        </is>
      </c>
      <c r="D57" s="23">
        <f>D48-C48</f>
        <v>25.0</v>
      </c>
      <c r="E57" s="23">
        <f>E48-D48</f>
        <v>45.0</v>
      </c>
      <c r="F57" s="23">
        <f>F48-E48</f>
        <v>45.0</v>
      </c>
    </row>
    <row r="58">
      <c r="B58" s="4" t="inlineStr">
        <is>
          <t>Consensus y/y gross-margin expansion, bp (context)</t>
        </is>
      </c>
      <c r="E58" s="34">
        <f>'Audiobook Inputs'!$E$50</f>
        <v>115.0</v>
      </c>
      <c r="F58" s="34">
        <f>'Audiobook Inputs'!$F$50</f>
        <v>130.0</v>
      </c>
    </row>
    <row r="59">
      <c r="B59" s="30" t="inlineStr">
        <is>
          <t>Headwind as % of consensus expansion (context)</t>
        </is>
      </c>
      <c r="E59" s="29">
        <f>-E54/E58</f>
        <v>0.5854782608695651</v>
      </c>
      <c r="F59" s="29">
        <f>-F54/F58</f>
        <v>0.3025850487540627</v>
      </c>
      <c r="H59" s="6" t="inlineStr">
        <is>
          <t>Absolute drag, not delta to consensus: the Street already embeds some audiobook cost.</t>
        </is>
      </c>
    </row>
    <row r="60">
      <c r="B60" s="4" t="inlineStr">
        <is>
          <t>Memo, excluded: June 2024 US price increase, annualised €M</t>
        </is>
      </c>
      <c r="C60" s="23">
        <f>'Audiobook Inputs'!$C$53</f>
        <v>500.0</v>
      </c>
    </row>
    <row r="62">
      <c r="B62" s="7" t="inlineStr">
        <is>
          <t>5. Sensitivity: growth assigned to audiobook licensing cost (applied to FY'26E and FY'27E; B, A and revenue held)</t>
        </is>
      </c>
    </row>
    <row r="63">
      <c r="B63" s="21" t="inlineStr">
        <is>
          <t>Licensing cost growth p.a.</t>
        </is>
      </c>
      <c r="C63" s="22" t="inlineStr">
        <is>
          <t>N FY'26E, €M</t>
        </is>
      </c>
      <c r="D63" s="22" t="inlineStr">
        <is>
          <t>N FY'27E, €M</t>
        </is>
      </c>
      <c r="E63" s="22" t="inlineStr">
        <is>
          <t>Headwind FY'26E, bp</t>
        </is>
      </c>
      <c r="F63" s="22" t="inlineStr">
        <is>
          <t>Headwind FY'27E, bp</t>
        </is>
      </c>
    </row>
    <row r="64">
      <c r="B64" s="21" t="n"/>
      <c r="C64" s="13" t="n">
        <v>0.2</v>
      </c>
      <c r="D64" s="23">
        <f>$E$37+$E$44-$D$41*(1+C64)</f>
        <v>-186.32749999999996</v>
      </c>
      <c r="E64" s="23">
        <f>$F$37+$F$44-$D$41*(1+C64)^2</f>
        <v>-213.37549999999996</v>
      </c>
      <c r="F64" s="34">
        <f>(D64-$D$50)/$E$51*10000</f>
        <v>-31.92179487179486</v>
      </c>
      <c r="G64" s="34">
        <f>(E64-D64)/$F$51*10000</f>
        <v>-12.698591549295775</v>
      </c>
    </row>
    <row r="65">
      <c r="B65" s="21" t="n"/>
      <c r="C65" s="13" t="n">
        <v>0.3</v>
      </c>
      <c r="D65" s="23">
        <f>$E$37+$E$44-$D$41*(1+C65)</f>
        <v>-216.3475</v>
      </c>
      <c r="E65" s="23">
        <f>$F$37+$F$44-$D$41*(1+C65)^2</f>
        <v>-288.42550000000006</v>
      </c>
      <c r="F65" s="34">
        <f>(D65-$D$50)/$E$51*10000</f>
        <v>-47.31666666666667</v>
      </c>
      <c r="G65" s="34">
        <f>(E65-D65)/$F$51*10000</f>
        <v>-33.839436619718334</v>
      </c>
    </row>
    <row r="66">
      <c r="B66" s="21" t="inlineStr">
        <is>
          <t xml:space="preserve">   Base growth, FY'26E</t>
        </is>
      </c>
      <c r="C66" s="13" t="n">
        <v>0.43</v>
      </c>
      <c r="D66" s="23">
        <f>$E$37+$E$44-$D$41*(1+C66)</f>
        <v>-255.37349999999995</v>
      </c>
      <c r="E66" s="23">
        <f>$F$37+$F$44-$D$41*(1+C66)^2</f>
        <v>-394.9664799999998</v>
      </c>
      <c r="F66" s="34">
        <f>(D66-$D$50)/$E$51*10000</f>
        <v>-67.32999999999998</v>
      </c>
      <c r="G66" s="34">
        <f>(E66-D66)/$F$51*10000</f>
        <v>-65.53661032863843</v>
      </c>
    </row>
    <row r="67">
      <c r="B67" s="21" t="n"/>
      <c r="C67" s="13" t="n">
        <v>0.5</v>
      </c>
      <c r="D67" s="23">
        <f>$E$37+$E$44-$D$41*(1+C67)</f>
        <v>-276.38749999999993</v>
      </c>
      <c r="E67" s="23">
        <f>$F$37+$F$44-$D$41*(1+C67)^2</f>
        <v>-456.5374999999999</v>
      </c>
      <c r="F67" s="34">
        <f>(D67-$D$50)/$E$51*10000</f>
        <v>-78.10641025641023</v>
      </c>
      <c r="G67" s="34">
        <f>(E67-D67)/$F$51*10000</f>
        <v>-84.57746478873239</v>
      </c>
    </row>
    <row r="68">
      <c r="B68" s="21" t="n"/>
      <c r="C68" s="13" t="n">
        <v>0.6</v>
      </c>
      <c r="D68" s="23">
        <f>$E$37+$E$44-$D$41*(1+C68)</f>
        <v>-306.4075</v>
      </c>
      <c r="E68" s="23">
        <f>$F$37+$F$44-$D$41*(1+C68)^2</f>
        <v>-549.5995000000001</v>
      </c>
      <c r="F68" s="34">
        <f>(D68-$D$50)/$E$51*10000</f>
        <v>-93.50128205128208</v>
      </c>
      <c r="G68" s="34">
        <f>(E68-D68)/$F$51*10000</f>
        <v>-114.174647887324</v>
      </c>
    </row>
    <row r="69">
      <c r="B69" s="26" t="inlineStr">
        <is>
          <t xml:space="preserve">   Bridge base case (43% in FY'26E, 30% in FY'27E)</t>
        </is>
      </c>
      <c r="C69" s="37" t="n"/>
      <c r="D69" s="27">
        <f>E50</f>
        <v>-255.37349999999995</v>
      </c>
      <c r="E69" s="27">
        <f>F50</f>
        <v>-339.1592999999999</v>
      </c>
      <c r="F69" s="38">
        <f>E54</f>
        <v>-67.32999999999998</v>
      </c>
      <c r="G69" s="39">
        <f>F54</f>
        <v>-39.33605633802816</v>
      </c>
      <c r="H69" s="6" t="inlineStr">
        <is>
          <t>The headwind is negative in every row; its size scales with the cost growth, which rests on listeners +60% (disclosed) and a 0.7x haircut to cost (estimate).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SPOT</dc:creator>
  <dcterms:created xsi:type="dcterms:W3CDTF">2026-10-02T17:39:18Z</dcterms:created>
  <dcterms:modified xsi:type="dcterms:W3CDTF">2026-10-02T17:39:18Z</dcterms:modified>
  <cp:lastModifiedBy>SPOT</cp:lastModifiedBy>
</cp:coreProperties>
</file>