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evenue &amp; GM" sheetId="3" state="visible" r:id="rId3"/>
    <sheet xmlns:r="http://schemas.openxmlformats.org/officeDocument/2006/relationships" name="DM build" sheetId="4" state="visible" r:id="rId4"/>
    <sheet xmlns:r="http://schemas.openxmlformats.org/officeDocument/2006/relationships" name="Triangulation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x"/>
    <numFmt numFmtId="166" formatCode="#,##0.0"/>
    <numFmt numFmtId="167" formatCode="+0;-0;0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2514E"/>
      <sz val="9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52514E"/>
      <sz val="10"/>
    </font>
    <font>
      <name val="Arial"/>
      <b val="1"/>
      <sz val="11"/>
    </font>
    <font>
      <name val="Arial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0EFEC"/>
      </patternFill>
    </fill>
  </fills>
  <borders count="2">
    <border>
      <left/>
      <right/>
      <top/>
      <bottom/>
      <diagonal/>
    </border>
    <border>
      <top style="thin">
        <color rgb="00C3C2B7"/>
      </top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5" fillId="3" borderId="0" applyAlignment="1" pivotButton="0" quotePrefix="0" xfId="0">
      <alignment horizontal="right"/>
    </xf>
    <xf numFmtId="0" fontId="7" fillId="0" borderId="0" pivotButton="0" quotePrefix="0" xfId="0"/>
    <xf numFmtId="164" fontId="8" fillId="0" borderId="0" applyAlignment="1" pivotButton="0" quotePrefix="0" xfId="0">
      <alignment horizontal="right"/>
    </xf>
    <xf numFmtId="10" fontId="8" fillId="0" borderId="0" applyAlignment="1" pivotButton="0" quotePrefix="0" xfId="0">
      <alignment horizontal="right"/>
    </xf>
    <xf numFmtId="10" fontId="7" fillId="0" borderId="0" applyAlignment="1" pivotButton="0" quotePrefix="0" xfId="0">
      <alignment horizontal="right"/>
    </xf>
    <xf numFmtId="9" fontId="8" fillId="0" borderId="0" applyAlignment="1" pivotButton="0" quotePrefix="0" xfId="0">
      <alignment horizontal="right"/>
    </xf>
    <xf numFmtId="1" fontId="8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5" fillId="3" borderId="0" pivotButton="0" quotePrefix="0" xfId="0"/>
    <xf numFmtId="167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9" fontId="4" fillId="3" borderId="0" applyAlignment="1" pivotButton="0" quotePrefix="0" xfId="0">
      <alignment horizontal="right"/>
    </xf>
    <xf numFmtId="9" fontId="4" fillId="0" borderId="0" applyAlignment="1" pivotButton="0" quotePrefix="0" xfId="0">
      <alignment horizontal="right"/>
    </xf>
    <xf numFmtId="1" fontId="4" fillId="2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3" fontId="7" fillId="0" borderId="0" applyAlignment="1" pivotButton="0" quotePrefix="0" xfId="0">
      <alignment horizontal="right"/>
    </xf>
    <xf numFmtId="2" fontId="4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3" fontId="4" fillId="2" borderId="0" applyAlignment="1" pivotButton="0" quotePrefix="0" xfId="0">
      <alignment horizontal="right"/>
    </xf>
    <xf numFmtId="164" fontId="4" fillId="2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9" fontId="4" fillId="2" borderId="0" applyAlignment="1" pivotButton="0" quotePrefix="0" xfId="0">
      <alignment horizontal="right"/>
    </xf>
    <xf numFmtId="3" fontId="3" fillId="0" borderId="0" applyAlignment="1" pivotButton="0" quotePrefix="0" xfId="0">
      <alignment horizontal="right"/>
    </xf>
    <xf numFmtId="164" fontId="7" fillId="0" borderId="0" applyAlignment="1" pivotButton="0" quotePrefix="0" xfId="0">
      <alignment horizontal="right"/>
    </xf>
    <xf numFmtId="166" fontId="7" fillId="0" borderId="0" applyAlignment="1" pivotButton="0" quotePrefix="0" xfId="0">
      <alignment horizontal="right"/>
    </xf>
    <xf numFmtId="2" fontId="8" fillId="0" borderId="0" applyAlignment="1" pivotButton="0" quotePrefix="0" xfId="0">
      <alignment horizontal="right"/>
    </xf>
    <xf numFmtId="3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9" fontId="7" fillId="0" borderId="0" applyAlignment="1" pivotButton="0" quotePrefix="0" xfId="0">
      <alignment horizontal="right"/>
    </xf>
    <xf numFmtId="10" fontId="3" fillId="0" borderId="1" applyAlignment="1" pivotButton="0" quotePrefix="0" xfId="0">
      <alignment horizontal="right"/>
    </xf>
    <xf numFmtId="1" fontId="3" fillId="0" borderId="0" applyAlignment="1" pivotButton="0" quotePrefix="0" xfId="0">
      <alignment horizontal="right"/>
    </xf>
    <xf numFmtId="0" fontId="5" fillId="3" borderId="0" applyAlignment="1" pivotButton="0" quotePrefix="0" xfId="0">
      <alignment vertical="top" wrapText="1"/>
    </xf>
    <xf numFmtId="2" fontId="4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0B0B0B"/>
                </a:solidFill>
                <a:latin typeface="Arial"/>
              </a:defRPr>
            </a:pPr>
            <a:r>
              <a:rPr sz="1200" b="1">
                <a:solidFill>
                  <a:srgbClr val="0B0B0B"/>
                </a:solidFill>
                <a:latin typeface="Arial"/>
              </a:rPr>
              <a:t>Discovery Mode gross margin contribution (bp)</a:t>
            </a:r>
          </a:p>
        </rich>
      </tx>
      <overlay val="0"/>
    </title>
    <plotArea>
      <lineChart>
        <grouping val="standard"/>
        <ser>
          <idx val="0"/>
          <order val="0"/>
          <tx>
            <v>Bear</v>
          </tx>
          <spPr>
            <a:ln xmlns:a="http://schemas.openxmlformats.org/drawingml/2006/main" w="22000">
              <a:solidFill>
                <a:srgbClr val="1BAF7A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BAF7A"/>
              </a:solidFill>
              <a:ln xmlns:a="http://schemas.openxmlformats.org/drawingml/2006/main">
                <a:solidFill>
                  <a:srgbClr val="1BAF7A"/>
                </a:solidFill>
                <a:prstDash val="solid"/>
              </a:ln>
            </spPr>
          </marker>
          <cat>
            <numRef>
              <f>'DM build'!$C$4:$L$4</f>
            </numRef>
          </cat>
          <val>
            <numRef>
              <f>'DM build'!$C$15:$L$15</f>
            </numRef>
          </val>
          <smooth val="0"/>
        </ser>
        <ser>
          <idx val="1"/>
          <order val="1"/>
          <tx>
            <v>Base</v>
          </tx>
          <spPr>
            <a:ln xmlns:a="http://schemas.openxmlformats.org/drawingml/2006/main"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cat>
            <numRef>
              <f>'DM build'!$C$4:$L$4</f>
            </numRef>
          </cat>
          <val>
            <numRef>
              <f>'DM build'!$C$28:$L$28</f>
            </numRef>
          </val>
          <smooth val="0"/>
        </ser>
        <ser>
          <idx val="2"/>
          <order val="2"/>
          <tx>
            <v>Bull</v>
          </tx>
          <spPr>
            <a:ln xmlns:a="http://schemas.openxmlformats.org/drawingml/2006/main"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EB6834"/>
              </a:solidFill>
              <a:ln xmlns:a="http://schemas.openxmlformats.org/drawingml/2006/main">
                <a:solidFill>
                  <a:srgbClr val="EB6834"/>
                </a:solidFill>
                <a:prstDash val="solid"/>
              </a:ln>
            </spPr>
          </marker>
          <cat>
            <numRef>
              <f>'DM build'!$C$4:$L$4</f>
            </numRef>
          </cat>
          <val>
            <numRef>
              <f>'DM build'!$C$41:$L$41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1E0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0B0B0B"/>
                    </a:solidFill>
                    <a:latin typeface="Arial"/>
                  </a:defRPr>
                </a:pPr>
                <a:r>
                  <a:rPr sz="900" b="0">
                    <a:solidFill>
                      <a:srgbClr val="0B0B0B"/>
                    </a:solidFill>
                    <a:latin typeface="Arial"/>
                  </a:rPr>
                  <a:t>bp of gross margin</a:t>
                </a:r>
              </a:p>
            </rich>
          </tx>
          <overlay val="0"/>
        </title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>
              <a:solidFill>
                <a:srgbClr val="52514E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>
              <a:solidFill>
                <a:srgbClr val="52514E"/>
              </a:solidFill>
              <a:latin typeface="Arial"/>
            </a:defRPr>
          </a:pPr>
          <a:r>
            <a:t/>
          </a:r>
          <a:endParaRPr sz="900">
            <a:solidFill>
              <a:srgbClr val="52514E"/>
            </a:solidFill>
            <a:latin typeface="Arial"/>
          </a:endParaRP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1">
                <a:solidFill>
                  <a:srgbClr val="0B0B0B"/>
                </a:solidFill>
                <a:latin typeface="Arial"/>
              </a:defRPr>
            </a:pPr>
            <a:r>
              <a:rPr sz="1200" b="1">
                <a:solidFill>
                  <a:srgbClr val="0B0B0B"/>
                </a:solidFill>
                <a:latin typeface="Arial"/>
              </a:rPr>
              <a:t>Discovery Mode gross profit (EUR m)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Bear</v>
          </tx>
          <spPr>
            <a:solidFill xmlns:a="http://schemas.openxmlformats.org/drawingml/2006/main">
              <a:srgbClr val="1BAF7A"/>
            </a:solidFill>
            <a:ln xmlns:a="http://schemas.openxmlformats.org/drawingml/2006/main">
              <a:noFill/>
              <a:prstDash val="solid"/>
            </a:ln>
          </spPr>
          <cat>
            <numRef>
              <f>'DM build'!$G$4:$L$4</f>
            </numRef>
          </cat>
          <val>
            <numRef>
              <f>'DM build'!$G$14:$L$14</f>
            </numRef>
          </val>
        </ser>
        <ser>
          <idx val="1"/>
          <order val="1"/>
          <tx>
            <v>Base</v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noFill/>
              <a:prstDash val="solid"/>
            </a:ln>
          </spPr>
          <cat>
            <numRef>
              <f>'DM build'!$G$4:$L$4</f>
            </numRef>
          </cat>
          <val>
            <numRef>
              <f>'DM build'!$G$27:$L$27</f>
            </numRef>
          </val>
        </ser>
        <ser>
          <idx val="2"/>
          <order val="2"/>
          <tx>
            <v>Bull</v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noFill/>
              <a:prstDash val="solid"/>
            </a:ln>
          </spPr>
          <cat>
            <numRef>
              <f>'DM build'!$G$4:$L$4</f>
            </numRef>
          </cat>
          <val>
            <numRef>
              <f>'DM build'!$G$40:$L$40</f>
            </numRef>
          </val>
        </ser>
        <gapWidth val="8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>
              <a:solidFill>
                <a:srgbClr val="52514E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1E0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900" b="0">
                    <a:solidFill>
                      <a:srgbClr val="0B0B0B"/>
                    </a:solidFill>
                    <a:latin typeface="Arial"/>
                  </a:defRPr>
                </a:pPr>
                <a:r>
                  <a:rPr sz="900" b="0">
                    <a:solidFill>
                      <a:srgbClr val="0B0B0B"/>
                    </a:solidFill>
                    <a:latin typeface="Arial"/>
                  </a:rPr>
                  <a:t>EUR m</a:t>
                </a:r>
              </a:p>
            </rich>
          </tx>
          <overlay val="0"/>
        </title>
        <numFmt formatCode="#,##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>
                <a:solidFill>
                  <a:srgbClr val="52514E"/>
                </a:solidFill>
                <a:latin typeface="Arial"/>
              </a:defRPr>
            </a:pPr>
            <a:r>
              <a:t/>
            </a:r>
            <a:endParaRPr sz="900">
              <a:solidFill>
                <a:srgbClr val="52514E"/>
              </a:solidFill>
              <a:latin typeface="Arial"/>
            </a:endParaRPr>
          </a:p>
        </txPr>
        <crossAx val="10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900">
              <a:solidFill>
                <a:srgbClr val="52514E"/>
              </a:solidFill>
              <a:latin typeface="Arial"/>
            </a:defRPr>
          </a:pPr>
          <a:r>
            <a:t/>
          </a:r>
          <a:endParaRPr sz="900">
            <a:solidFill>
              <a:srgbClr val="52514E"/>
            </a:solidFill>
            <a:latin typeface="Arial"/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53</row>
      <rowOff>0</rowOff>
    </from>
    <ext cx="72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73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6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Spotify Discovery Mode: from autoplay share of streams to gross margin</t>
        </is>
      </c>
    </row>
    <row r="2" ht="40" customHeight="1">
      <c r="A2" s="2" t="inlineStr">
        <is>
          <t>Chain: share of music streams in DM contexts (Radio, Autoplay, Mixes)  x  share of those that are DM-enrolled  x  30% commission  x  recording royalties as % of music revenue  x  music share of revenue  =  DM saving as % of revenue. The model is anchored to your view that Discovery Mode is at least 80% of Marketplace gross profit (Inputs section F); the public-bounds estimate is shown beside it for reference.</t>
        </is>
      </c>
    </row>
    <row r="4">
      <c r="A4" s="3" t="inlineStr">
        <is>
          <t>Selected scenario</t>
        </is>
      </c>
      <c r="B4" s="4" t="str">
        <f>CHOOSE(Inputs!$B$4,"Bear","Base","Bull")</f>
        <v>Base</v>
      </c>
      <c r="C4" s="5" t="inlineStr">
        <is>
          <t>(Inputs!B4)</t>
        </is>
      </c>
      <c r="E4" s="3" t="inlineStr">
        <is>
          <t>Calibration mode</t>
        </is>
      </c>
      <c r="F4" s="4" t="str">
        <f>CHOOSE(Inputs!$B$50+1,"0: as entered","1: hold s_dm, re-level s_ctx","2: hold s_ctx, re-level s_dm","3: re-level both")</f>
        <v>1: hold s_dm, re-level s_ctx</v>
      </c>
      <c r="I4" s="5" t="inlineStr">
        <is>
          <t>(Inputs!B50)</t>
        </is>
      </c>
    </row>
    <row r="6">
      <c r="A6" s="6" t="inlineStr">
        <is>
          <t>The chain, FY2025 (Base)</t>
        </is>
      </c>
      <c r="B6" s="7" t="inlineStr">
        <is>
          <t>Model (anchored)</t>
        </is>
      </c>
      <c r="C6" s="7" t="inlineStr">
        <is>
          <t>Public bounds only</t>
        </is>
      </c>
    </row>
    <row r="7">
      <c r="A7" s="8" t="inlineStr">
        <is>
          <t>Share of music streams in Discovery Mode contexts (s_ctx)</t>
        </is>
      </c>
      <c r="B7" s="9">
        <f>'DM build'!G20</f>
        <v>0.605729007287179</v>
      </c>
      <c r="C7" s="9">
        <f>Inputs!G13</f>
        <v>0.14</v>
      </c>
    </row>
    <row r="8">
      <c r="A8" s="8" t="inlineStr">
        <is>
          <t>Share of those streams that are DM-enrolled (s_dm)</t>
        </is>
      </c>
      <c r="B8" s="9">
        <f>'DM build'!G21</f>
        <v>0.33</v>
      </c>
      <c r="C8" s="9">
        <f>Inputs!G20</f>
        <v>0.33</v>
      </c>
    </row>
    <row r="9">
      <c r="A9" s="3" t="inlineStr">
        <is>
          <t>-&gt; Discovery Mode streams as % of all music streams</t>
        </is>
      </c>
      <c r="B9" s="10">
        <f>'DM build'!G22</f>
        <v>0.199890572404769</v>
      </c>
      <c r="C9" s="11">
        <f>C7*C8</f>
        <v>0.0462</v>
      </c>
    </row>
    <row r="10">
      <c r="A10" s="8" t="inlineStr">
        <is>
          <t>x Commission on recording royalties (d)</t>
        </is>
      </c>
      <c r="B10" s="12">
        <f>'DM build'!G23</f>
        <v>0.3</v>
      </c>
      <c r="C10" s="12">
        <f>Inputs!G27</f>
        <v>0.3</v>
      </c>
    </row>
    <row r="11">
      <c r="A11" s="8" t="inlineStr">
        <is>
          <t>x Recording royalties % of music revenue x music share of revenue</t>
        </is>
      </c>
      <c r="B11" s="9">
        <f>Inputs!$C$8*Inputs!$C$9</f>
        <v>0.4968</v>
      </c>
      <c r="C11" s="9">
        <f>Inputs!$C$8*Inputs!$C$9</f>
        <v>0.4968</v>
      </c>
    </row>
    <row r="12">
      <c r="A12" s="3" t="inlineStr">
        <is>
          <t>-&gt; Discovery Mode saving as % of total revenue</t>
        </is>
      </c>
      <c r="B12" s="10">
        <f>'DM build'!G25</f>
        <v>0.0297916909112068</v>
      </c>
      <c r="C12" s="11">
        <f>C9*C10*C11</f>
        <v>0.006885648</v>
      </c>
    </row>
    <row r="13">
      <c r="A13" s="3" t="inlineStr">
        <is>
          <t>-&gt; Gross margin contribution (bp)</t>
        </is>
      </c>
      <c r="B13" s="13">
        <f>'DM build'!G28</f>
        <v>297.916909112068</v>
      </c>
      <c r="C13" s="14">
        <f>C12*10000</f>
        <v>68.85648</v>
      </c>
    </row>
    <row r="14">
      <c r="A14" s="3" t="inlineStr">
        <is>
          <t>-&gt; Discovery Mode gross profit (EUR m)</t>
        </is>
      </c>
      <c r="B14" s="15">
        <f>'DM build'!G27</f>
        <v>512</v>
      </c>
      <c r="C14" s="15">
        <f>C12*'Revenue &amp; GM'!G13</f>
        <v>118.336746528</v>
      </c>
    </row>
    <row r="16">
      <c r="A16" s="6" t="inlineStr">
        <is>
          <t>Marketplace anchor (Inputs section F)</t>
        </is>
      </c>
    </row>
    <row r="17">
      <c r="A17" s="8" t="inlineStr">
        <is>
          <t>Marketplace gross profit FY2025, implied (EUR m)</t>
        </is>
      </c>
      <c r="B17" s="15">
        <f>Inputs!G53</f>
        <v>640</v>
      </c>
    </row>
    <row r="18">
      <c r="A18" s="8" t="inlineStr">
        <is>
          <t>Discovery Mode share of Marketplace gross profit (your view)</t>
        </is>
      </c>
      <c r="B18" s="12">
        <f>Inputs!G54</f>
        <v>0.8</v>
      </c>
    </row>
    <row r="19">
      <c r="A19" s="8" t="inlineStr">
        <is>
          <t>Anchor: Discovery Mode gross profit FY2025 (EUR m)  /  bp of gross margin</t>
        </is>
      </c>
      <c r="B19" s="15">
        <f>Inputs!G55</f>
        <v>512</v>
      </c>
      <c r="C19" s="13">
        <f>Inputs!G56*10000</f>
        <v>297.916909112068</v>
      </c>
    </row>
    <row r="20">
      <c r="A20" s="8" t="inlineStr">
        <is>
          <t>DM streams as % of music streams: required by anchor  /  as entered (public bounds)</t>
        </is>
      </c>
      <c r="B20" s="9">
        <f>Inputs!G57</f>
        <v>0.199890572404769</v>
      </c>
      <c r="C20" s="9">
        <f>Inputs!G13*Inputs!G20</f>
        <v>0.0462</v>
      </c>
    </row>
    <row r="21">
      <c r="A21" s="8" t="inlineStr">
        <is>
          <t>Re-level factor on the product (required / as entered)</t>
        </is>
      </c>
      <c r="B21" s="16">
        <f>Inputs!G57/(Inputs!G13*Inputs!G20)</f>
        <v>4.32663576633699</v>
      </c>
    </row>
    <row r="22">
      <c r="A22" s="8" t="inlineStr">
        <is>
          <t>Calibrated FY2025 (Base): s_ctx  /  s_dm</t>
        </is>
      </c>
      <c r="B22" s="9">
        <f>Inputs!G67</f>
        <v>0.605729007287179</v>
      </c>
      <c r="C22" s="9">
        <f>Inputs!G73</f>
        <v>0.33</v>
      </c>
    </row>
    <row r="23">
      <c r="A23" s="8" t="inlineStr">
        <is>
          <t>Plausibility</t>
        </is>
      </c>
      <c r="B23" s="17" t="str">
        <f>IF(Inputs!G67&gt;0.25,"s_ctx ABOVE the ~25% public bound","s_ctx within public bound")</f>
        <v>s_ctx ABOVE the ~25% public bound</v>
      </c>
      <c r="C23" s="17" t="str">
        <f>IF(Inputs!G73&gt;0.57,"s_dm ABOVE the ~57% no-majors ceiling","s_dm within ceiling")</f>
        <v>s_dm within ceiling</v>
      </c>
    </row>
    <row r="25">
      <c r="A25" s="6" t="inlineStr">
        <is>
          <t>Scenario outputs (anchored)</t>
        </is>
      </c>
    </row>
    <row r="26">
      <c r="A26" s="18" t="inlineStr">
        <is>
          <t>Scenario</t>
        </is>
      </c>
      <c r="B26" s="7" t="inlineStr">
        <is>
          <t>FY2025A bp</t>
        </is>
      </c>
      <c r="C26" s="7" t="inlineStr">
        <is>
          <t>FY2030E bp</t>
        </is>
      </c>
      <c r="D26" s="7" t="inlineStr">
        <is>
          <t>Change bp</t>
        </is>
      </c>
      <c r="E26" s="7" t="inlineStr">
        <is>
          <t>FY2030E EUR m</t>
        </is>
      </c>
      <c r="F26" s="7" t="inlineStr">
        <is>
          <t>s_ctx FY2030</t>
        </is>
      </c>
      <c r="G26" s="7" t="inlineStr">
        <is>
          <t>s_dm FY2030</t>
        </is>
      </c>
      <c r="H26" s="7" t="inlineStr">
        <is>
          <t>d FY2030</t>
        </is>
      </c>
    </row>
    <row r="27">
      <c r="A27" s="3" t="inlineStr">
        <is>
          <t>Bear</t>
        </is>
      </c>
      <c r="B27" s="13">
        <f>'DM build'!G15</f>
        <v>297.916909112068</v>
      </c>
      <c r="C27" s="13">
        <f>'DM build'!L15</f>
        <v>235.223090926723</v>
      </c>
      <c r="D27" s="19">
        <f>C27-B27</f>
        <v>-62.6938181853447</v>
      </c>
      <c r="E27" s="15">
        <f>'DM build'!L14</f>
        <v>692.545607120769</v>
      </c>
      <c r="F27" s="9">
        <f>'DM build'!L7</f>
        <v>0.742708127077526</v>
      </c>
      <c r="G27" s="9">
        <f>'DM build'!L8</f>
        <v>0.255</v>
      </c>
      <c r="H27" s="12">
        <f>'DM build'!L10</f>
        <v>0.25</v>
      </c>
    </row>
    <row r="28">
      <c r="A28" s="3" t="inlineStr">
        <is>
          <t>Base</t>
        </is>
      </c>
      <c r="B28" s="13">
        <f>'DM build'!G28</f>
        <v>297.916909112068</v>
      </c>
      <c r="C28" s="13">
        <f>'DM build'!L28</f>
        <v>322.508509112068</v>
      </c>
      <c r="D28" s="19">
        <f>C28-B28</f>
        <v>24.5916</v>
      </c>
      <c r="E28" s="15">
        <f>'DM build'!L27</f>
        <v>949.531996899955</v>
      </c>
      <c r="F28" s="9">
        <f>'DM build'!L20</f>
        <v>0.569448874749392</v>
      </c>
      <c r="G28" s="9">
        <f>'DM build'!L21</f>
        <v>0.38</v>
      </c>
      <c r="H28" s="12">
        <f>'DM build'!L23</f>
        <v>0.3</v>
      </c>
    </row>
    <row r="29">
      <c r="A29" s="3" t="inlineStr">
        <is>
          <t>Bull</t>
        </is>
      </c>
      <c r="B29" s="13">
        <f>'DM build'!G41</f>
        <v>297.916909112068</v>
      </c>
      <c r="C29" s="13">
        <f>'DM build'!L41</f>
        <v>393.004429112068</v>
      </c>
      <c r="D29" s="19">
        <f>C29-B29</f>
        <v>95.0875199999999</v>
      </c>
      <c r="E29" s="15">
        <f>'DM build'!L40</f>
        <v>1157.08661887007</v>
      </c>
      <c r="F29" s="9">
        <f>'DM build'!L33</f>
        <v>0.527381144809538</v>
      </c>
      <c r="G29" s="9">
        <f>'DM build'!L34</f>
        <v>0.5</v>
      </c>
      <c r="H29" s="12">
        <f>'DM build'!L36</f>
        <v>0.3</v>
      </c>
    </row>
    <row r="31">
      <c r="A31" s="8" t="inlineStr">
        <is>
          <t>FY2030E reported gross margin, selected scenario on your ex-DM path</t>
        </is>
      </c>
      <c r="B31" s="9">
        <f>'Revenue &amp; GM'!L24</f>
        <v>0.347254342124986</v>
      </c>
      <c r="D31" s="5" t="inlineStr">
        <is>
          <t>Investor Day target 35-40%</t>
        </is>
      </c>
    </row>
    <row r="32">
      <c r="A32" s="8" t="inlineStr">
        <is>
          <t>Share of FY2021-25 reported margin expansion explained by Discovery Mode</t>
        </is>
      </c>
      <c r="B32" s="12">
        <f>'Revenue &amp; GM'!C34</f>
        <v>0.479304592093188</v>
      </c>
    </row>
    <row r="33">
      <c r="A33" s="8" t="inlineStr">
        <is>
          <t xml:space="preserve">  ... as a share of the 'about a third from music' management cited (above 100% = DM alone exceeds the music third)</t>
        </is>
      </c>
      <c r="B33" s="12">
        <f>'Revenue &amp; GM'!C36</f>
        <v>1.43791377627956</v>
      </c>
    </row>
    <row r="35">
      <c r="A35" s="6" t="inlineStr">
        <is>
          <t>What the evidence supports</t>
        </is>
      </c>
    </row>
    <row r="36" ht="48" customHeight="1">
      <c r="A36" s="20" t="inlineStr">
        <is>
          <t>1. Spotify keeps the commission. The 20-F says cost of revenue 'reflects discounts provided by certain rights holders in return for promotional activities in connection with marketplace programs', and every 2025-26 letter attributes Premium margin gains to 'music costs net of marketplace programs'. The 30% is a gross-margin item, not a redistribution to other labels.</t>
        </is>
      </c>
    </row>
    <row r="37" ht="48" customHeight="1">
      <c r="A37" s="20" t="inlineStr">
        <is>
          <t>2. Public bounds alone (DM contexts at 9-20% of music streams, 14% base; 33% of those enrolled) give about 70bp and EUR 120m for FY2025. Your anchor (Discovery Mode at least 80% of roughly EUR 640m Marketplace gross profit) gives about 300bp and EUR 510m, 4.3x larger. The model now runs on the anchor; column C of the chain keeps the public-bounds figure visible.</t>
        </is>
      </c>
    </row>
    <row r="38" ht="48" customHeight="1">
      <c r="A38" s="20" t="inlineStr">
        <is>
          <t>3. To hit the anchor, DM streams must be about a fifth of all music streams. Holding your 33% enrollment, DM contexts must carry ~60% of streams, above Spotify's own 'majority of streams are active'. Re-levelling both unknowns gives roughly 30% x 70%, which needs either an Autoplay share far larger than the 25bn-stream sample captured or enrollment beyond the no-majors ceiling. The calibration mode (Inputs!B50) picks which variable absorbs it; the plausibility row flags the result.</t>
        </is>
      </c>
    </row>
    <row r="39" ht="48" customHeight="1">
      <c r="A39" s="20" t="inlineStr">
        <is>
          <t>4. On the anchor, Discovery Mode explains about half of the FY2021-25 margin expansion, more than management's 'about a third from music' leaves for all of music. Either the '4x' recap overstates Marketplace gross profit, or the music third was framed over a different period. This is the first thing to test against the Tegus calls (Topic 2 of the triangulation matrix).</t>
        </is>
      </c>
    </row>
    <row r="40" ht="48" customHeight="1">
      <c r="A40" s="20" t="inlineStr">
        <is>
          <t>5. Forecast on the anchor: roughly 235bp Bear, 325bp Base, 395bp Bull by FY2030, i.e. the scenario deltas from the public-bounds build carried onto the anchored FY2025 level. Lean-back growth still does not reach DM automatically: AI DJ, Smart Shuffle and Discover Weekly are not DM contexts, so the Bull needs a context expansion or a major label.</t>
        </is>
      </c>
    </row>
    <row r="42">
      <c r="A42" s="6" t="inlineStr">
        <is>
          <t>Sensitivity: FY2030 gross margin contribution (bp) to the two unknowns, at Base commission and royalty assumptions</t>
        </is>
      </c>
    </row>
    <row r="43">
      <c r="A43" s="18" t="inlineStr">
        <is>
          <t>s_ctx (context share of music streams)  ↓   |   s_dm (DM share of context streams)  →</t>
        </is>
      </c>
      <c r="B43" s="21" t="n">
        <v>0.2</v>
      </c>
      <c r="C43" s="21" t="n">
        <v>0.33</v>
      </c>
      <c r="D43" s="21" t="n">
        <v>0.4</v>
      </c>
      <c r="E43" s="21" t="n">
        <v>0.5</v>
      </c>
      <c r="F43" s="21" t="n">
        <v>0.6</v>
      </c>
      <c r="G43" s="21" t="n">
        <v>0.8</v>
      </c>
      <c r="H43" s="21" t="n">
        <v>1</v>
      </c>
    </row>
    <row r="44">
      <c r="A44" s="22" t="n">
        <v>0.1</v>
      </c>
      <c r="B44" s="14">
        <f>$A44*B$43*Inputs!$L$27*Inputs!$C$8*Inputs!$C$9*10000</f>
        <v>29.808</v>
      </c>
      <c r="C44" s="14">
        <f>$A44*C$43*Inputs!$L$27*Inputs!$C$8*Inputs!$C$9*10000</f>
        <v>49.1832</v>
      </c>
      <c r="D44" s="14">
        <f>$A44*D$43*Inputs!$L$27*Inputs!$C$8*Inputs!$C$9*10000</f>
        <v>59.616</v>
      </c>
      <c r="E44" s="14">
        <f>$A44*E$43*Inputs!$L$27*Inputs!$C$8*Inputs!$C$9*10000</f>
        <v>74.52</v>
      </c>
      <c r="F44" s="14">
        <f>$A44*F$43*Inputs!$L$27*Inputs!$C$8*Inputs!$C$9*10000</f>
        <v>89.424</v>
      </c>
      <c r="G44" s="14">
        <f>$A44*G$43*Inputs!$L$27*Inputs!$C$8*Inputs!$C$9*10000</f>
        <v>119.232</v>
      </c>
      <c r="H44" s="14">
        <f>$A44*H$43*Inputs!$L$27*Inputs!$C$8*Inputs!$C$9*10000</f>
        <v>149.04</v>
      </c>
    </row>
    <row r="45">
      <c r="A45" s="22" t="n">
        <v>0.14</v>
      </c>
      <c r="B45" s="14">
        <f>$A45*B$43*Inputs!$L$27*Inputs!$C$8*Inputs!$C$9*10000</f>
        <v>41.7312</v>
      </c>
      <c r="C45" s="14">
        <f>$A45*C$43*Inputs!$L$27*Inputs!$C$8*Inputs!$C$9*10000</f>
        <v>68.85648</v>
      </c>
      <c r="D45" s="14">
        <f>$A45*D$43*Inputs!$L$27*Inputs!$C$8*Inputs!$C$9*10000</f>
        <v>83.4624</v>
      </c>
      <c r="E45" s="14">
        <f>$A45*E$43*Inputs!$L$27*Inputs!$C$8*Inputs!$C$9*10000</f>
        <v>104.328</v>
      </c>
      <c r="F45" s="14">
        <f>$A45*F$43*Inputs!$L$27*Inputs!$C$8*Inputs!$C$9*10000</f>
        <v>125.1936</v>
      </c>
      <c r="G45" s="14">
        <f>$A45*G$43*Inputs!$L$27*Inputs!$C$8*Inputs!$C$9*10000</f>
        <v>166.9248</v>
      </c>
      <c r="H45" s="14">
        <f>$A45*H$43*Inputs!$L$27*Inputs!$C$8*Inputs!$C$9*10000</f>
        <v>208.656</v>
      </c>
    </row>
    <row r="46">
      <c r="A46" s="22" t="n">
        <v>0.2</v>
      </c>
      <c r="B46" s="14">
        <f>$A46*B$43*Inputs!$L$27*Inputs!$C$8*Inputs!$C$9*10000</f>
        <v>59.616</v>
      </c>
      <c r="C46" s="14">
        <f>$A46*C$43*Inputs!$L$27*Inputs!$C$8*Inputs!$C$9*10000</f>
        <v>98.3664</v>
      </c>
      <c r="D46" s="14">
        <f>$A46*D$43*Inputs!$L$27*Inputs!$C$8*Inputs!$C$9*10000</f>
        <v>119.232</v>
      </c>
      <c r="E46" s="14">
        <f>$A46*E$43*Inputs!$L$27*Inputs!$C$8*Inputs!$C$9*10000</f>
        <v>149.04</v>
      </c>
      <c r="F46" s="14">
        <f>$A46*F$43*Inputs!$L$27*Inputs!$C$8*Inputs!$C$9*10000</f>
        <v>178.848</v>
      </c>
      <c r="G46" s="14">
        <f>$A46*G$43*Inputs!$L$27*Inputs!$C$8*Inputs!$C$9*10000</f>
        <v>238.464</v>
      </c>
      <c r="H46" s="14">
        <f>$A46*H$43*Inputs!$L$27*Inputs!$C$8*Inputs!$C$9*10000</f>
        <v>298.08</v>
      </c>
    </row>
    <row r="47">
      <c r="A47" s="22" t="n">
        <v>0.3</v>
      </c>
      <c r="B47" s="14">
        <f>$A47*B$43*Inputs!$L$27*Inputs!$C$8*Inputs!$C$9*10000</f>
        <v>89.424</v>
      </c>
      <c r="C47" s="14">
        <f>$A47*C$43*Inputs!$L$27*Inputs!$C$8*Inputs!$C$9*10000</f>
        <v>147.5496</v>
      </c>
      <c r="D47" s="14">
        <f>$A47*D$43*Inputs!$L$27*Inputs!$C$8*Inputs!$C$9*10000</f>
        <v>178.848</v>
      </c>
      <c r="E47" s="14">
        <f>$A47*E$43*Inputs!$L$27*Inputs!$C$8*Inputs!$C$9*10000</f>
        <v>223.56</v>
      </c>
      <c r="F47" s="14">
        <f>$A47*F$43*Inputs!$L$27*Inputs!$C$8*Inputs!$C$9*10000</f>
        <v>268.272</v>
      </c>
      <c r="G47" s="14">
        <f>$A47*G$43*Inputs!$L$27*Inputs!$C$8*Inputs!$C$9*10000</f>
        <v>357.696</v>
      </c>
      <c r="H47" s="14">
        <f>$A47*H$43*Inputs!$L$27*Inputs!$C$8*Inputs!$C$9*10000</f>
        <v>447.12</v>
      </c>
    </row>
    <row r="48">
      <c r="A48" s="22" t="n">
        <v>0.4</v>
      </c>
      <c r="B48" s="14">
        <f>$A48*B$43*Inputs!$L$27*Inputs!$C$8*Inputs!$C$9*10000</f>
        <v>119.232</v>
      </c>
      <c r="C48" s="14">
        <f>$A48*C$43*Inputs!$L$27*Inputs!$C$8*Inputs!$C$9*10000</f>
        <v>196.7328</v>
      </c>
      <c r="D48" s="14">
        <f>$A48*D$43*Inputs!$L$27*Inputs!$C$8*Inputs!$C$9*10000</f>
        <v>238.464</v>
      </c>
      <c r="E48" s="14">
        <f>$A48*E$43*Inputs!$L$27*Inputs!$C$8*Inputs!$C$9*10000</f>
        <v>298.08</v>
      </c>
      <c r="F48" s="14">
        <f>$A48*F$43*Inputs!$L$27*Inputs!$C$8*Inputs!$C$9*10000</f>
        <v>357.696</v>
      </c>
      <c r="G48" s="14">
        <f>$A48*G$43*Inputs!$L$27*Inputs!$C$8*Inputs!$C$9*10000</f>
        <v>476.928</v>
      </c>
      <c r="H48" s="14">
        <f>$A48*H$43*Inputs!$L$27*Inputs!$C$8*Inputs!$C$9*10000</f>
        <v>596.16</v>
      </c>
    </row>
    <row r="49">
      <c r="A49" s="22" t="n">
        <v>0.5</v>
      </c>
      <c r="B49" s="14">
        <f>$A49*B$43*Inputs!$L$27*Inputs!$C$8*Inputs!$C$9*10000</f>
        <v>149.04</v>
      </c>
      <c r="C49" s="14">
        <f>$A49*C$43*Inputs!$L$27*Inputs!$C$8*Inputs!$C$9*10000</f>
        <v>245.916</v>
      </c>
      <c r="D49" s="14">
        <f>$A49*D$43*Inputs!$L$27*Inputs!$C$8*Inputs!$C$9*10000</f>
        <v>298.08</v>
      </c>
      <c r="E49" s="14">
        <f>$A49*E$43*Inputs!$L$27*Inputs!$C$8*Inputs!$C$9*10000</f>
        <v>372.6</v>
      </c>
      <c r="F49" s="14">
        <f>$A49*F$43*Inputs!$L$27*Inputs!$C$8*Inputs!$C$9*10000</f>
        <v>447.12</v>
      </c>
      <c r="G49" s="14">
        <f>$A49*G$43*Inputs!$L$27*Inputs!$C$8*Inputs!$C$9*10000</f>
        <v>596.16</v>
      </c>
      <c r="H49" s="14">
        <f>$A49*H$43*Inputs!$L$27*Inputs!$C$8*Inputs!$C$9*10000</f>
        <v>745.2</v>
      </c>
    </row>
    <row r="50">
      <c r="A50" s="22" t="n">
        <v>0.6</v>
      </c>
      <c r="B50" s="14">
        <f>$A50*B$43*Inputs!$L$27*Inputs!$C$8*Inputs!$C$9*10000</f>
        <v>178.848</v>
      </c>
      <c r="C50" s="14">
        <f>$A50*C$43*Inputs!$L$27*Inputs!$C$8*Inputs!$C$9*10000</f>
        <v>295.0992</v>
      </c>
      <c r="D50" s="14">
        <f>$A50*D$43*Inputs!$L$27*Inputs!$C$8*Inputs!$C$9*10000</f>
        <v>357.696</v>
      </c>
      <c r="E50" s="14">
        <f>$A50*E$43*Inputs!$L$27*Inputs!$C$8*Inputs!$C$9*10000</f>
        <v>447.12</v>
      </c>
      <c r="F50" s="14">
        <f>$A50*F$43*Inputs!$L$27*Inputs!$C$8*Inputs!$C$9*10000</f>
        <v>536.544</v>
      </c>
      <c r="G50" s="14">
        <f>$A50*G$43*Inputs!$L$27*Inputs!$C$8*Inputs!$C$9*10000</f>
        <v>715.392</v>
      </c>
      <c r="H50" s="14">
        <f>$A50*H$43*Inputs!$L$27*Inputs!$C$8*Inputs!$C$9*10000</f>
        <v>894.24</v>
      </c>
    </row>
    <row r="51">
      <c r="A51" s="5" t="inlineStr">
        <is>
          <t>Each cell = s_ctx x s_dm x d (Base FY2030) x r_rec x m x 10,000. Anchored Base FY2030 sits near 57% x 38% in mode 1, or ~31% x ~71% in mode 3; public-bounds Base is 16.5% x 38%.</t>
        </is>
      </c>
    </row>
    <row r="53">
      <c r="A53" s="6" t="inlineStr">
        <is>
          <t>Chart 1. Discovery Mode gross margin contribution by scenario (bp)</t>
        </is>
      </c>
    </row>
    <row r="73">
      <c r="A73" s="6" t="inlineStr">
        <is>
          <t>Chart 2. Discovery Mode gross profit by scenario (EUR m)</t>
        </is>
      </c>
    </row>
    <row r="93">
      <c r="A93" s="6" t="inlineStr">
        <is>
          <t>Legend</t>
        </is>
      </c>
    </row>
    <row r="94" ht="28" customHeight="1">
      <c r="A94" s="2" t="inlineStr">
        <is>
          <t>Blue text = hardcoded input (change freely). Black = formula. Green = link to another sheet. Yellow fill = the cells to edit first: scenario selector (Inputs!B4), calibration mode (Inputs!B50), DM share of Marketplace (Inputs!G54), revenue override (row 40), ex-DM margin steps or override (rows 45-46).</t>
        </is>
      </c>
    </row>
    <row r="95" ht="28" customHeight="1">
      <c r="A95" s="2" t="inlineStr">
        <is>
          <t>Sheets: Inputs (assumptions, anchor and calibration) -&gt; DM build (three scenarios side by side) -&gt; Revenue &amp; GM (bridge) ; Triangulation (where the two unknowns come from) ; Financials (reported data) ; Sources.</t>
        </is>
      </c>
    </row>
    <row r="96" ht="28" customHeight="1">
      <c r="A96" s="2" t="inlineStr">
        <is>
          <t>To wire into your revenue build: paste revenue into Inputs row 40 and your ex-DM margin into Inputs row 46, or link 'Revenue &amp; GM'!row 22 (DM % of revenue) and row 27 (DM EUR) straight into your cost of revenue line.</t>
        </is>
      </c>
    </row>
  </sheetData>
  <mergeCells count="9">
    <mergeCell ref="A94:J94"/>
    <mergeCell ref="A37:J37"/>
    <mergeCell ref="A36:J36"/>
    <mergeCell ref="A40:J40"/>
    <mergeCell ref="A39:J39"/>
    <mergeCell ref="A95:J95"/>
    <mergeCell ref="A38:J38"/>
    <mergeCell ref="A2:J2"/>
    <mergeCell ref="A96:J9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79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Inputs and scenarios (blue = hardcoded input; black = formula)</t>
        </is>
      </c>
    </row>
    <row r="2">
      <c r="A2" s="5" t="inlineStr">
        <is>
          <t>Change the scenario selector or any blue cell. History (FY2021-25) uses the same estimate in every scenario; scenarios diverge from FY2026.</t>
        </is>
      </c>
    </row>
    <row r="4">
      <c r="A4" s="3" t="inlineStr">
        <is>
          <t>Scenario selector (1 = Bear, 2 = Base, 3 = Bull)</t>
        </is>
      </c>
      <c r="B4" s="23" t="n">
        <v>2</v>
      </c>
      <c r="C4" s="3" t="str">
        <f>CHOOSE($B$4,"Bear","Base","Bull")</f>
        <v>Base</v>
      </c>
    </row>
    <row r="6">
      <c r="A6" s="18" t="inlineStr">
        <is>
          <t>Assumption</t>
        </is>
      </c>
      <c r="B6" s="18" t="inlineStr">
        <is>
          <t>Unit</t>
        </is>
      </c>
      <c r="C6" s="7" t="inlineStr">
        <is>
          <t>FY2021A</t>
        </is>
      </c>
      <c r="D6" s="7" t="inlineStr">
        <is>
          <t>FY2022A</t>
        </is>
      </c>
      <c r="E6" s="7" t="inlineStr">
        <is>
          <t>FY2023A</t>
        </is>
      </c>
      <c r="F6" s="7" t="inlineStr">
        <is>
          <t>FY2024A</t>
        </is>
      </c>
      <c r="G6" s="7" t="inlineStr">
        <is>
          <t>FY2025A</t>
        </is>
      </c>
      <c r="H6" s="7" t="inlineStr">
        <is>
          <t>FY2026E</t>
        </is>
      </c>
      <c r="I6" s="7" t="inlineStr">
        <is>
          <t>FY2027E</t>
        </is>
      </c>
      <c r="J6" s="7" t="inlineStr">
        <is>
          <t>FY2028E</t>
        </is>
      </c>
      <c r="K6" s="7" t="inlineStr">
        <is>
          <t>FY2029E</t>
        </is>
      </c>
      <c r="L6" s="7" t="inlineStr">
        <is>
          <t>FY2030E</t>
        </is>
      </c>
    </row>
    <row r="7">
      <c r="A7" s="6" t="inlineStr">
        <is>
          <t>Constants</t>
        </is>
      </c>
    </row>
    <row r="8">
      <c r="A8" s="8" t="inlineStr">
        <is>
          <t>Recording royalties as % of music revenue (r_rec)</t>
        </is>
      </c>
      <c r="B8" s="5" t="inlineStr">
        <is>
          <t>% of music rev</t>
        </is>
      </c>
      <c r="C8" s="24" t="n">
        <v>0.54</v>
      </c>
      <c r="D8" s="5" t="inlineStr">
        <is>
          <t>Spotify does not disclose. MIDiA per-stream split 30% DSP / 56% recording / 14% publishing; FY2025 Premium cost of revenue 66% of Premium revenue incl. publishing, delivery, audiobooks. Range 50-58%.</t>
        </is>
      </c>
    </row>
    <row r="9">
      <c r="A9" s="8" t="inlineStr">
        <is>
          <t>Music share of total revenue (m)</t>
        </is>
      </c>
      <c r="B9" s="5" t="inlineStr">
        <is>
          <t>% of total rev</t>
        </is>
      </c>
      <c r="C9" s="24" t="n">
        <v>0.92</v>
      </c>
      <c r="D9" s="5" t="inlineStr">
        <is>
          <t>Podcast advertising, audiobook a-la-carte and other non-music revenue carry no Discovery Mode commission. Assumption.</t>
        </is>
      </c>
    </row>
    <row r="11">
      <c r="A11" s="6" t="inlineStr">
        <is>
          <t>A. DM-eligible context share of music streams (Spotify Radio + Autoplay + Spotify Mixes) - s_ctx</t>
        </is>
      </c>
    </row>
    <row r="12">
      <c r="A12" s="8" t="inlineStr">
        <is>
          <t xml:space="preserve">  Bear</t>
        </is>
      </c>
      <c r="B12" s="5" t="inlineStr">
        <is>
          <t>% of music streams</t>
        </is>
      </c>
      <c r="C12" s="24" t="n">
        <v>0.09</v>
      </c>
      <c r="D12" s="24" t="n">
        <v>0.09</v>
      </c>
      <c r="E12" s="24" t="n">
        <v>0.095</v>
      </c>
      <c r="F12" s="24" t="n">
        <v>0.13</v>
      </c>
      <c r="G12" s="24" t="n">
        <v>0.14</v>
      </c>
      <c r="H12" s="24" t="n">
        <v>0.14</v>
      </c>
      <c r="I12" s="24" t="n">
        <v>0.14</v>
      </c>
      <c r="J12" s="24" t="n">
        <v>0.14</v>
      </c>
      <c r="K12" s="24" t="n">
        <v>0.14</v>
      </c>
      <c r="L12" s="24" t="n">
        <v>0.14</v>
      </c>
    </row>
    <row r="13">
      <c r="A13" s="8" t="inlineStr">
        <is>
          <t xml:space="preserve">  Base</t>
        </is>
      </c>
      <c r="B13" s="5" t="inlineStr">
        <is>
          <t>% of music streams</t>
        </is>
      </c>
      <c r="C13" s="24" t="n">
        <v>0.09</v>
      </c>
      <c r="D13" s="24" t="n">
        <v>0.09</v>
      </c>
      <c r="E13" s="24" t="n">
        <v>0.095</v>
      </c>
      <c r="F13" s="24" t="n">
        <v>0.13</v>
      </c>
      <c r="G13" s="24" t="n">
        <v>0.14</v>
      </c>
      <c r="H13" s="24" t="n">
        <v>0.145</v>
      </c>
      <c r="I13" s="24" t="n">
        <v>0.15</v>
      </c>
      <c r="J13" s="24" t="n">
        <v>0.155</v>
      </c>
      <c r="K13" s="24" t="n">
        <v>0.16</v>
      </c>
      <c r="L13" s="24" t="n">
        <v>0.165</v>
      </c>
    </row>
    <row r="14">
      <c r="A14" s="8" t="inlineStr">
        <is>
          <t xml:space="preserve">  Bull</t>
        </is>
      </c>
      <c r="B14" s="5" t="inlineStr">
        <is>
          <t>% of music streams</t>
        </is>
      </c>
      <c r="C14" s="24" t="n">
        <v>0.09</v>
      </c>
      <c r="D14" s="24" t="n">
        <v>0.09</v>
      </c>
      <c r="E14" s="24" t="n">
        <v>0.095</v>
      </c>
      <c r="F14" s="24" t="n">
        <v>0.13</v>
      </c>
      <c r="G14" s="24" t="n">
        <v>0.14</v>
      </c>
      <c r="H14" s="24" t="n">
        <v>0.15</v>
      </c>
      <c r="I14" s="24" t="n">
        <v>0.19</v>
      </c>
      <c r="J14" s="24" t="n">
        <v>0.2</v>
      </c>
      <c r="K14" s="24" t="n">
        <v>0.21</v>
      </c>
      <c r="L14" s="24" t="n">
        <v>0.22</v>
      </c>
    </row>
    <row r="15">
      <c r="A15" s="3" t="inlineStr">
        <is>
          <t xml:space="preserve">  Selected scenario</t>
        </is>
      </c>
      <c r="B15" s="5" t="inlineStr">
        <is>
          <t>% of music streams</t>
        </is>
      </c>
      <c r="C15" s="25">
        <f>CHOOSE($B$4,C12,C13,C14)</f>
        <v>0.09</v>
      </c>
      <c r="D15" s="25">
        <f>CHOOSE($B$4,D12,D13,D14)</f>
        <v>0.09</v>
      </c>
      <c r="E15" s="25">
        <f>CHOOSE($B$4,E12,E13,E14)</f>
        <v>0.095</v>
      </c>
      <c r="F15" s="25">
        <f>CHOOSE($B$4,F12,F13,F14)</f>
        <v>0.13</v>
      </c>
      <c r="G15" s="25">
        <f>CHOOSE($B$4,G12,G13,G14)</f>
        <v>0.14</v>
      </c>
      <c r="H15" s="25">
        <f>CHOOSE($B$4,H12,H13,H14)</f>
        <v>0.145</v>
      </c>
      <c r="I15" s="25">
        <f>CHOOSE($B$4,I12,I13,I14)</f>
        <v>0.15</v>
      </c>
      <c r="J15" s="25">
        <f>CHOOSE($B$4,J12,J13,J14)</f>
        <v>0.155</v>
      </c>
      <c r="K15" s="25">
        <f>CHOOSE($B$4,K12,K13,K14)</f>
        <v>0.16</v>
      </c>
      <c r="L15" s="25">
        <f>CHOOSE($B$4,L12,L13,L14)</f>
        <v>0.165</v>
      </c>
    </row>
    <row r="16" ht="28" customHeight="1">
      <c r="A16" s="2" t="inlineStr">
        <is>
          <t>History: Radio + Autoplay only until Daily Mix joined Discovery Mode on 3 Jan 2024 and Artist/Genre/Decade/Mood Mixes through 2024 (+3.5pp step). FY2025 base 14% sits inside the 9-20% triangulated range (see Triangulation sheet). Bear: flat. Base: +0.5pp a year as lean-back listening grows. Bull: +1pp a year plus a +3pp step in FY2027 if Spotify extends Discovery Mode to Smart Shuffle or other personalised surfaces (not a DM context today).</t>
        </is>
      </c>
    </row>
    <row r="18">
      <c r="A18" s="6" t="inlineStr">
        <is>
          <t>B. Discovery Mode-enrolled share of DM-context streams - s_dm</t>
        </is>
      </c>
    </row>
    <row r="19">
      <c r="A19" s="8" t="inlineStr">
        <is>
          <t xml:space="preserve">  Bear</t>
        </is>
      </c>
      <c r="B19" s="5" t="inlineStr">
        <is>
          <t>% of context streams</t>
        </is>
      </c>
      <c r="C19" s="24" t="n">
        <v>0.05</v>
      </c>
      <c r="D19" s="24" t="n">
        <v>0.1</v>
      </c>
      <c r="E19" s="24" t="n">
        <v>0.2</v>
      </c>
      <c r="F19" s="24" t="n">
        <v>0.28</v>
      </c>
      <c r="G19" s="24" t="n">
        <v>0.33</v>
      </c>
      <c r="H19" s="24" t="n">
        <v>0.315</v>
      </c>
      <c r="I19" s="24" t="n">
        <v>0.3</v>
      </c>
      <c r="J19" s="24" t="n">
        <v>0.285</v>
      </c>
      <c r="K19" s="24" t="n">
        <v>0.27</v>
      </c>
      <c r="L19" s="24" t="n">
        <v>0.255</v>
      </c>
    </row>
    <row r="20">
      <c r="A20" s="8" t="inlineStr">
        <is>
          <t xml:space="preserve">  Base</t>
        </is>
      </c>
      <c r="B20" s="5" t="inlineStr">
        <is>
          <t>% of context streams</t>
        </is>
      </c>
      <c r="C20" s="24" t="n">
        <v>0.05</v>
      </c>
      <c r="D20" s="24" t="n">
        <v>0.1</v>
      </c>
      <c r="E20" s="24" t="n">
        <v>0.2</v>
      </c>
      <c r="F20" s="24" t="n">
        <v>0.28</v>
      </c>
      <c r="G20" s="24" t="n">
        <v>0.33</v>
      </c>
      <c r="H20" s="24" t="n">
        <v>0.34</v>
      </c>
      <c r="I20" s="24" t="n">
        <v>0.35</v>
      </c>
      <c r="J20" s="24" t="n">
        <v>0.36</v>
      </c>
      <c r="K20" s="24" t="n">
        <v>0.37</v>
      </c>
      <c r="L20" s="24" t="n">
        <v>0.38</v>
      </c>
    </row>
    <row r="21">
      <c r="A21" s="8" t="inlineStr">
        <is>
          <t xml:space="preserve">  Bull</t>
        </is>
      </c>
      <c r="B21" s="5" t="inlineStr">
        <is>
          <t>% of context streams</t>
        </is>
      </c>
      <c r="C21" s="24" t="n">
        <v>0.05</v>
      </c>
      <c r="D21" s="24" t="n">
        <v>0.1</v>
      </c>
      <c r="E21" s="24" t="n">
        <v>0.2</v>
      </c>
      <c r="F21" s="24" t="n">
        <v>0.28</v>
      </c>
      <c r="G21" s="24" t="n">
        <v>0.33</v>
      </c>
      <c r="H21" s="24" t="n">
        <v>0.35</v>
      </c>
      <c r="I21" s="24" t="n">
        <v>0.43</v>
      </c>
      <c r="J21" s="24" t="n">
        <v>0.455</v>
      </c>
      <c r="K21" s="24" t="n">
        <v>0.48</v>
      </c>
      <c r="L21" s="24" t="n">
        <v>0.5</v>
      </c>
    </row>
    <row r="22">
      <c r="A22" s="3" t="inlineStr">
        <is>
          <t xml:space="preserve">  Selected scenario</t>
        </is>
      </c>
      <c r="B22" s="5" t="inlineStr">
        <is>
          <t>% of context streams</t>
        </is>
      </c>
      <c r="C22" s="25">
        <f>CHOOSE($B$4,C19,C20,C21)</f>
        <v>0.05</v>
      </c>
      <c r="D22" s="25">
        <f>CHOOSE($B$4,D19,D20,D21)</f>
        <v>0.1</v>
      </c>
      <c r="E22" s="25">
        <f>CHOOSE($B$4,E19,E20,E21)</f>
        <v>0.2</v>
      </c>
      <c r="F22" s="25">
        <f>CHOOSE($B$4,F19,F20,F21)</f>
        <v>0.28</v>
      </c>
      <c r="G22" s="25">
        <f>CHOOSE($B$4,G19,G20,G21)</f>
        <v>0.33</v>
      </c>
      <c r="H22" s="25">
        <f>CHOOSE($B$4,H19,H20,H21)</f>
        <v>0.34</v>
      </c>
      <c r="I22" s="25">
        <f>CHOOSE($B$4,I19,I20,I21)</f>
        <v>0.35</v>
      </c>
      <c r="J22" s="25">
        <f>CHOOSE($B$4,J19,J20,J21)</f>
        <v>0.36</v>
      </c>
      <c r="K22" s="25">
        <f>CHOOSE($B$4,K19,K20,K21)</f>
        <v>0.37</v>
      </c>
      <c r="L22" s="25">
        <f>CHOOSE($B$4,L19,L20,L21)</f>
        <v>0.38</v>
      </c>
    </row>
    <row r="23" ht="28" customHeight="1">
      <c r="A23" s="2" t="inlineStr">
        <is>
          <t>FY2025 = your 33% assumption; the Triangulation sheet shows it is consistent with ~28% of streams outside the majors and Merlin, about half of that catalog enrolled, and a ~3x in-context boost. History ramps from the Nov 2020 US beta (Radio/Autoplay, few licensors) through self-serve access for all distributors (Mar 2023). Bear: -1.5pp a year as the per-track boost fades and enrollment churns (the r/musicmarketing evidence). Base: +1pp a year toward a ~40% no-majors ceiling. Bull: a major label opts in during FY2027 (+8pp step), then +2.5pp a year toward 50%.</t>
        </is>
      </c>
    </row>
    <row r="25">
      <c r="A25" s="6" t="inlineStr">
        <is>
          <t>C. Discovery Mode commission on recording royalties in DM contexts - d</t>
        </is>
      </c>
    </row>
    <row r="26">
      <c r="A26" s="8" t="inlineStr">
        <is>
          <t xml:space="preserve">  Bear</t>
        </is>
      </c>
      <c r="B26" s="5" t="inlineStr">
        <is>
          <t>% of royalty</t>
        </is>
      </c>
      <c r="C26" s="24" t="n">
        <v>0.3</v>
      </c>
      <c r="D26" s="24" t="n">
        <v>0.3</v>
      </c>
      <c r="E26" s="24" t="n">
        <v>0.3</v>
      </c>
      <c r="F26" s="24" t="n">
        <v>0.3</v>
      </c>
      <c r="G26" s="24" t="n">
        <v>0.3</v>
      </c>
      <c r="H26" s="24" t="n">
        <v>0.3</v>
      </c>
      <c r="I26" s="24" t="n">
        <v>0.3</v>
      </c>
      <c r="J26" s="24" t="n">
        <v>0.25</v>
      </c>
      <c r="K26" s="24" t="n">
        <v>0.25</v>
      </c>
      <c r="L26" s="24" t="n">
        <v>0.25</v>
      </c>
    </row>
    <row r="27">
      <c r="A27" s="8" t="inlineStr">
        <is>
          <t xml:space="preserve">  Base</t>
        </is>
      </c>
      <c r="B27" s="5" t="inlineStr">
        <is>
          <t>% of royalty</t>
        </is>
      </c>
      <c r="C27" s="24" t="n">
        <v>0.3</v>
      </c>
      <c r="D27" s="24" t="n">
        <v>0.3</v>
      </c>
      <c r="E27" s="24" t="n">
        <v>0.3</v>
      </c>
      <c r="F27" s="24" t="n">
        <v>0.3</v>
      </c>
      <c r="G27" s="24" t="n">
        <v>0.3</v>
      </c>
      <c r="H27" s="24" t="n">
        <v>0.3</v>
      </c>
      <c r="I27" s="24" t="n">
        <v>0.3</v>
      </c>
      <c r="J27" s="24" t="n">
        <v>0.3</v>
      </c>
      <c r="K27" s="24" t="n">
        <v>0.3</v>
      </c>
      <c r="L27" s="24" t="n">
        <v>0.3</v>
      </c>
    </row>
    <row r="28">
      <c r="A28" s="8" t="inlineStr">
        <is>
          <t xml:space="preserve">  Bull</t>
        </is>
      </c>
      <c r="B28" s="5" t="inlineStr">
        <is>
          <t>% of royalty</t>
        </is>
      </c>
      <c r="C28" s="24" t="n">
        <v>0.3</v>
      </c>
      <c r="D28" s="24" t="n">
        <v>0.3</v>
      </c>
      <c r="E28" s="24" t="n">
        <v>0.3</v>
      </c>
      <c r="F28" s="24" t="n">
        <v>0.3</v>
      </c>
      <c r="G28" s="24" t="n">
        <v>0.3</v>
      </c>
      <c r="H28" s="24" t="n">
        <v>0.3</v>
      </c>
      <c r="I28" s="24" t="n">
        <v>0.3</v>
      </c>
      <c r="J28" s="24" t="n">
        <v>0.3</v>
      </c>
      <c r="K28" s="24" t="n">
        <v>0.3</v>
      </c>
      <c r="L28" s="24" t="n">
        <v>0.3</v>
      </c>
    </row>
    <row r="29">
      <c r="A29" s="3" t="inlineStr">
        <is>
          <t xml:space="preserve">  Selected scenario</t>
        </is>
      </c>
      <c r="B29" s="5" t="inlineStr">
        <is>
          <t>% of royalty</t>
        </is>
      </c>
      <c r="C29" s="25">
        <f>CHOOSE($B$4,C26,C27,C28)</f>
        <v>0.3</v>
      </c>
      <c r="D29" s="25">
        <f>CHOOSE($B$4,D26,D27,D28)</f>
        <v>0.3</v>
      </c>
      <c r="E29" s="25">
        <f>CHOOSE($B$4,E26,E27,E28)</f>
        <v>0.3</v>
      </c>
      <c r="F29" s="25">
        <f>CHOOSE($B$4,F26,F27,F28)</f>
        <v>0.3</v>
      </c>
      <c r="G29" s="25">
        <f>CHOOSE($B$4,G26,G27,G28)</f>
        <v>0.3</v>
      </c>
      <c r="H29" s="25">
        <f>CHOOSE($B$4,H26,H27,H28)</f>
        <v>0.3</v>
      </c>
      <c r="I29" s="25">
        <f>CHOOSE($B$4,I26,I27,I28)</f>
        <v>0.3</v>
      </c>
      <c r="J29" s="25">
        <f>CHOOSE($B$4,J26,J27,J28)</f>
        <v>0.3</v>
      </c>
      <c r="K29" s="25">
        <f>CHOOSE($B$4,K26,K27,K28)</f>
        <v>0.3</v>
      </c>
      <c r="L29" s="25">
        <f>CHOOSE($B$4,L26,L27,L28)</f>
        <v>0.3</v>
      </c>
    </row>
    <row r="30" ht="28" customHeight="1">
      <c r="A30" s="2" t="inlineStr">
        <is>
          <t>Spotify for Artists: 'A 30% commission is applied to recording royalties generated from all streams of selected songs ... in Discovery Mode contexts.' Unchanged under the Sept 2025 terms. Bear cuts it to 25% from FY2028 for regulatory or litigation pressure (House Judiciary letters 2021-22; Capolongo class action Nov 2025).</t>
        </is>
      </c>
    </row>
    <row r="32">
      <c r="A32" s="6" t="inlineStr">
        <is>
          <t>D. Revenue build inputs (placeholder; paste your own revenue in row 40 to override)</t>
        </is>
      </c>
    </row>
    <row r="33">
      <c r="A33" s="8" t="inlineStr">
        <is>
          <t>Premium subscribers, year end</t>
        </is>
      </c>
      <c r="B33" s="5" t="inlineStr">
        <is>
          <t>m</t>
        </is>
      </c>
      <c r="C33" s="26" t="n">
        <v>180</v>
      </c>
      <c r="D33" s="26" t="n">
        <v>205</v>
      </c>
      <c r="E33" s="26" t="n">
        <v>236</v>
      </c>
      <c r="F33" s="26" t="n">
        <v>263</v>
      </c>
      <c r="G33" s="26" t="n">
        <v>290</v>
      </c>
      <c r="H33" s="27">
        <f>G33+H34</f>
        <v>318</v>
      </c>
      <c r="I33" s="27">
        <f>H33+I34</f>
        <v>344</v>
      </c>
      <c r="J33" s="27">
        <f>I33+J34</f>
        <v>368</v>
      </c>
      <c r="K33" s="27">
        <f>J33+K34</f>
        <v>390</v>
      </c>
      <c r="L33" s="27">
        <f>K33+L34</f>
        <v>410</v>
      </c>
    </row>
    <row r="34">
      <c r="A34" s="8" t="inlineStr">
        <is>
          <t xml:space="preserve">  Net subscriber additions</t>
        </is>
      </c>
      <c r="B34" s="5" t="inlineStr">
        <is>
          <t>m</t>
        </is>
      </c>
      <c r="H34" s="26" t="n">
        <v>28</v>
      </c>
      <c r="I34" s="26" t="n">
        <v>26</v>
      </c>
      <c r="J34" s="26" t="n">
        <v>24</v>
      </c>
      <c r="K34" s="26" t="n">
        <v>22</v>
      </c>
      <c r="L34" s="26" t="n">
        <v>20</v>
      </c>
    </row>
    <row r="35">
      <c r="A35" s="8" t="inlineStr">
        <is>
          <t>Premium ARPU (monthly)</t>
        </is>
      </c>
      <c r="B35" s="5" t="inlineStr">
        <is>
          <t>EUR</t>
        </is>
      </c>
      <c r="C35" s="28" t="n">
        <v>4.29</v>
      </c>
      <c r="D35" s="28" t="n">
        <v>4.52</v>
      </c>
      <c r="E35" s="28" t="n">
        <v>4.39</v>
      </c>
      <c r="F35" s="28" t="n">
        <v>4.69</v>
      </c>
      <c r="G35" s="28" t="n">
        <v>4.63</v>
      </c>
      <c r="H35" s="29">
        <f>G35*(1+H36)</f>
        <v>4.88465</v>
      </c>
      <c r="I35" s="29">
        <f>H35*(1+I36)</f>
        <v>5.080036</v>
      </c>
      <c r="J35" s="29">
        <f>I35*(1+J36)</f>
        <v>5.28323744</v>
      </c>
      <c r="K35" s="29">
        <f>J35*(1+K36)</f>
        <v>5.4681507504</v>
      </c>
      <c r="L35" s="29">
        <f>K35*(1+L36)</f>
        <v>5.659536026664</v>
      </c>
    </row>
    <row r="36">
      <c r="A36" s="8" t="inlineStr">
        <is>
          <t xml:space="preserve">  ARPU growth</t>
        </is>
      </c>
      <c r="B36" s="5" t="inlineStr">
        <is>
          <t>%</t>
        </is>
      </c>
      <c r="H36" s="24" t="n">
        <v>0.055</v>
      </c>
      <c r="I36" s="24" t="n">
        <v>0.04</v>
      </c>
      <c r="J36" s="24" t="n">
        <v>0.04</v>
      </c>
      <c r="K36" s="24" t="n">
        <v>0.035</v>
      </c>
      <c r="L36" s="24" t="n">
        <v>0.035</v>
      </c>
    </row>
    <row r="37">
      <c r="A37" s="8" t="inlineStr">
        <is>
          <t>Premium revenue, reported</t>
        </is>
      </c>
      <c r="B37" s="5" t="inlineStr">
        <is>
          <t>EUR m</t>
        </is>
      </c>
      <c r="C37" s="26" t="n">
        <v>8460</v>
      </c>
      <c r="D37" s="26" t="n">
        <v>10251</v>
      </c>
      <c r="E37" s="26" t="n">
        <v>11566</v>
      </c>
      <c r="F37" s="26" t="n">
        <v>13819</v>
      </c>
      <c r="G37" s="26" t="n">
        <v>15350</v>
      </c>
    </row>
    <row r="38">
      <c r="A38" s="8" t="inlineStr">
        <is>
          <t>Ad-Supported revenue, reported / growth</t>
        </is>
      </c>
      <c r="B38" s="5" t="inlineStr">
        <is>
          <t>EUR m</t>
        </is>
      </c>
      <c r="C38" s="26" t="n">
        <v>1208</v>
      </c>
      <c r="D38" s="26" t="n">
        <v>1476</v>
      </c>
      <c r="E38" s="26" t="n">
        <v>1681</v>
      </c>
      <c r="F38" s="26" t="n">
        <v>1854</v>
      </c>
      <c r="G38" s="26" t="n">
        <v>1836</v>
      </c>
    </row>
    <row r="39">
      <c r="A39" s="8" t="inlineStr">
        <is>
          <t xml:space="preserve">  Ad-Supported revenue growth</t>
        </is>
      </c>
      <c r="B39" s="5" t="inlineStr">
        <is>
          <t>%</t>
        </is>
      </c>
      <c r="H39" s="24" t="n">
        <v>0.02</v>
      </c>
      <c r="I39" s="24" t="n">
        <v>0.05</v>
      </c>
      <c r="J39" s="24" t="n">
        <v>0.05</v>
      </c>
      <c r="K39" s="24" t="n">
        <v>0.05</v>
      </c>
      <c r="L39" s="24" t="n">
        <v>0.05</v>
      </c>
    </row>
    <row r="40">
      <c r="A40" s="3" t="inlineStr">
        <is>
          <t>Total revenue OVERRIDE (paste your revenue build here; blank = use placeholder)</t>
        </is>
      </c>
      <c r="B40" s="5" t="inlineStr">
        <is>
          <t>EUR m</t>
        </is>
      </c>
      <c r="H40" s="30" t="n"/>
      <c r="I40" s="30" t="n"/>
      <c r="J40" s="30" t="n"/>
      <c r="K40" s="30" t="n"/>
      <c r="L40" s="30" t="n"/>
    </row>
    <row r="41">
      <c r="A41" s="8" t="inlineStr">
        <is>
          <t>Cost of revenue, reported</t>
        </is>
      </c>
      <c r="B41" s="5" t="inlineStr">
        <is>
          <t>EUR m</t>
        </is>
      </c>
      <c r="C41" s="26" t="n">
        <v>7077</v>
      </c>
      <c r="D41" s="26" t="n">
        <v>8801</v>
      </c>
      <c r="E41" s="26" t="n">
        <v>9849</v>
      </c>
      <c r="F41" s="26" t="n">
        <v>10955</v>
      </c>
      <c r="G41" s="26" t="n">
        <v>11690</v>
      </c>
    </row>
    <row r="42" ht="28" customHeight="1">
      <c r="A42" s="2" t="inlineStr">
        <is>
          <t>History from 20-F filings (FY2021-FY2025); see Financials sheet. FY2026 run-rate check: H1 2026 revenue EUR 9.31bn, Q3 2026 guide ~EUR 5.0bn. The placeholder build is deliberately simple; the model only needs a revenue line to turn the DM % into EUR.</t>
        </is>
      </c>
    </row>
    <row r="44">
      <c r="A44" s="6" t="inlineStr">
        <is>
          <t>E. Gross margin EXCLUDING Discovery Mode, forecast</t>
        </is>
      </c>
    </row>
    <row r="45">
      <c r="A45" s="8" t="inlineStr">
        <is>
          <t>Ex-DM gross margin change y/y (applied to the derived FY2025 ex-DM base)</t>
        </is>
      </c>
      <c r="B45" s="5" t="inlineStr">
        <is>
          <t>bp</t>
        </is>
      </c>
      <c r="H45" s="23" t="n">
        <v>50</v>
      </c>
      <c r="I45" s="23" t="n">
        <v>50</v>
      </c>
      <c r="J45" s="23" t="n">
        <v>50</v>
      </c>
      <c r="K45" s="23" t="n">
        <v>50</v>
      </c>
      <c r="L45" s="23" t="n">
        <v>50</v>
      </c>
    </row>
    <row r="46">
      <c r="A46" s="3" t="inlineStr">
        <is>
          <t>Ex-DM gross margin OVERRIDE (paste your model's ex-DM margin level; blank = FY2025 base + steps)</t>
        </is>
      </c>
      <c r="B46" s="5" t="inlineStr">
        <is>
          <t>% of revenue</t>
        </is>
      </c>
      <c r="H46" s="31" t="n"/>
      <c r="I46" s="31" t="n"/>
      <c r="J46" s="31" t="n"/>
      <c r="K46" s="31" t="n"/>
      <c r="L46" s="31" t="n"/>
    </row>
    <row r="47" ht="28" customHeight="1">
      <c r="A47" s="2" t="inlineStr">
        <is>
          <t>History ex-DM is derived on the Revenue &amp; GM sheet (reported margin less the DM contribution), so it re-bases automatically when the DM level changes. Everything above DM in the margin stack (podcast turnaround, bundle mechanicals, price floors, Marquee, delivery costs) belongs here.</t>
        </is>
      </c>
    </row>
    <row r="49">
      <c r="A49" s="6" t="inlineStr">
        <is>
          <t>F. Marketplace anchor and calibration (your view: Discovery Mode is at least 80% of Marketplace gross profit)</t>
        </is>
      </c>
    </row>
    <row r="50">
      <c r="A50" s="3" t="inlineStr">
        <is>
          <t>Calibration mode (0 = as entered; 1 = hold s_dm, re-level s_ctx; 2 = hold s_ctx, re-level s_dm; 3 = re-level both)</t>
        </is>
      </c>
      <c r="B50" s="23" t="n">
        <v>1</v>
      </c>
      <c r="C50" s="3" t="str">
        <f>CHOOSE($B$50+1,"as entered (public bounds)","hold s_dm, re-level s_ctx","hold s_ctx, re-level s_dm","re-level both equally")</f>
        <v>hold s_dm, re-level s_ctx</v>
      </c>
    </row>
    <row r="51">
      <c r="A51" s="8" t="inlineStr">
        <is>
          <t>Marketplace gross profit FY2021</t>
        </is>
      </c>
      <c r="B51" s="5" t="inlineStr">
        <is>
          <t>EUR m</t>
        </is>
      </c>
      <c r="C51" s="26" t="n">
        <v>160</v>
      </c>
      <c r="D51" s="5" t="inlineStr">
        <is>
          <t>Investor Day 8 Jun 2022: 'more than EUR 160m' (Marquee, Showcase, Discovery Mode and related tools).</t>
        </is>
      </c>
    </row>
    <row r="52">
      <c r="A52" s="8" t="inlineStr">
        <is>
          <t>Marketplace gross profit multiple, FY2025 vs FY2021</t>
        </is>
      </c>
      <c r="B52" s="5" t="inlineStr">
        <is>
          <t>x</t>
        </is>
      </c>
      <c r="C52" s="32" t="n">
        <v>4</v>
      </c>
      <c r="D52" s="5" t="inlineStr">
        <is>
          <t>Third-party recap of Investor Day 21 May 2026 ('about 4x 2021'). Not an official EUR figure.</t>
        </is>
      </c>
    </row>
    <row r="53">
      <c r="A53" s="8" t="inlineStr">
        <is>
          <t>Marketplace gross profit by year (geometric interpolation)</t>
        </is>
      </c>
      <c r="B53" s="5" t="inlineStr">
        <is>
          <t>EUR m</t>
        </is>
      </c>
      <c r="C53" s="27">
        <f>$C$51*$C$52^(0/4)</f>
        <v>160</v>
      </c>
      <c r="D53" s="27">
        <f>$C$51*$C$52^(1/4)</f>
        <v>226.274169979695</v>
      </c>
      <c r="E53" s="27">
        <f>$C$51*$C$52^(2/4)</f>
        <v>320</v>
      </c>
      <c r="F53" s="27">
        <f>$C$51*$C$52^(3/4)</f>
        <v>452.54833995939</v>
      </c>
      <c r="G53" s="27">
        <f>$C$51*$C$52^(4/4)</f>
        <v>640</v>
      </c>
    </row>
    <row r="54">
      <c r="A54" s="8" t="inlineStr">
        <is>
          <t>Discovery Mode share of Marketplace gross profit</t>
        </is>
      </c>
      <c r="B54" s="5" t="inlineStr">
        <is>
          <t>%</t>
        </is>
      </c>
      <c r="C54" s="22" t="n">
        <v>0.3</v>
      </c>
      <c r="D54" s="22" t="n">
        <v>0.5</v>
      </c>
      <c r="E54" s="22" t="n">
        <v>0.65</v>
      </c>
      <c r="F54" s="22" t="n">
        <v>0.75</v>
      </c>
      <c r="G54" s="33" t="n">
        <v>0.8</v>
      </c>
    </row>
    <row r="55">
      <c r="A55" s="3" t="inlineStr">
        <is>
          <t>Anchor: Discovery Mode gross profit</t>
        </is>
      </c>
      <c r="B55" s="5" t="inlineStr">
        <is>
          <t>EUR m</t>
        </is>
      </c>
      <c r="C55" s="34">
        <f>C53*C54</f>
        <v>48</v>
      </c>
      <c r="D55" s="34">
        <f>D53*D54</f>
        <v>113.137084989848</v>
      </c>
      <c r="E55" s="34">
        <f>E53*E54</f>
        <v>208</v>
      </c>
      <c r="F55" s="34">
        <f>F53*F54</f>
        <v>339.411254969543</v>
      </c>
      <c r="G55" s="34">
        <f>G53*G54</f>
        <v>512</v>
      </c>
    </row>
    <row r="56">
      <c r="A56" s="8" t="inlineStr">
        <is>
          <t>Anchor: Discovery Mode saving as % of total revenue</t>
        </is>
      </c>
      <c r="B56" s="5" t="inlineStr">
        <is>
          <t>% of total rev</t>
        </is>
      </c>
      <c r="C56" s="10">
        <f>C55/'Revenue &amp; GM'!C13</f>
        <v>0.00496483243690526</v>
      </c>
      <c r="D56" s="10">
        <f>D55/'Revenue &amp; GM'!D13</f>
        <v>0.00964757269462331</v>
      </c>
      <c r="E56" s="10">
        <f>E55/'Revenue &amp; GM'!E13</f>
        <v>0.0157016683022571</v>
      </c>
      <c r="F56" s="10">
        <f>F55/'Revenue &amp; GM'!F13</f>
        <v>0.0216557937197437</v>
      </c>
      <c r="G56" s="10">
        <f>G55/'Revenue &amp; GM'!G13</f>
        <v>0.0297916909112068</v>
      </c>
    </row>
    <row r="57">
      <c r="A57" s="8" t="inlineStr">
        <is>
          <t>Anchor: DM streams as % of all music streams required (= row 56 / (d x r_rec x m), Base commission)</t>
        </is>
      </c>
      <c r="B57" s="5" t="inlineStr">
        <is>
          <t>% of music streams</t>
        </is>
      </c>
      <c r="C57" s="35">
        <f>C56/(C27*$C$8*$C$9)</f>
        <v>0.0333120802261491</v>
      </c>
      <c r="D57" s="35">
        <f>D56/(D27*$C$8*$C$9)</f>
        <v>0.0647314324652665</v>
      </c>
      <c r="E57" s="35">
        <f>E56/(E27*$C$8*$C$9)</f>
        <v>0.105352041748907</v>
      </c>
      <c r="F57" s="35">
        <f>F56/(F27*$C$8*$C$9)</f>
        <v>0.145301890229091</v>
      </c>
      <c r="G57" s="35">
        <f>G56/(G27*$C$8*$C$9)</f>
        <v>0.199890572404769</v>
      </c>
    </row>
    <row r="59">
      <c r="A59" s="3" t="inlineStr">
        <is>
          <t>Calibrated DM streams as % of music streams (P), by scenario</t>
        </is>
      </c>
      <c r="D59" s="5" t="inlineStr">
        <is>
          <t>History = anchor. Forecast = anchored FY2025 level + the scenario's change in s_ctx x s_dm versus FY2025 as entered, so scenario deltas carry over in full.</t>
        </is>
      </c>
    </row>
    <row r="60">
      <c r="A60" s="8" t="inlineStr">
        <is>
          <t xml:space="preserve">  Bear</t>
        </is>
      </c>
      <c r="B60" s="5" t="inlineStr">
        <is>
          <t>% of music streams</t>
        </is>
      </c>
      <c r="C60" s="35">
        <f>IF($B$50=0,C12*C19,C$57)</f>
        <v>0.0333120802261491</v>
      </c>
      <c r="D60" s="35">
        <f>IF($B$50=0,D12*D19,D$57)</f>
        <v>0.0647314324652665</v>
      </c>
      <c r="E60" s="35">
        <f>IF($B$50=0,E12*E19,E$57)</f>
        <v>0.105352041748907</v>
      </c>
      <c r="F60" s="35">
        <f>IF($B$50=0,F12*F19,F$57)</f>
        <v>0.145301890229091</v>
      </c>
      <c r="G60" s="35">
        <f>IF($B$50=0,G12*G19,G$57)</f>
        <v>0.199890572404769</v>
      </c>
      <c r="H60" s="35">
        <f>IF($B$50=0,H12*H19,MIN(1,H12*H19+($G$57-$G$13*$G$20)))</f>
        <v>0.197790572404769</v>
      </c>
      <c r="I60" s="35">
        <f>IF($B$50=0,I12*I19,MIN(1,I12*I19+($G$57-$G$13*$G$20)))</f>
        <v>0.195690572404769</v>
      </c>
      <c r="J60" s="35">
        <f>IF($B$50=0,J12*J19,MIN(1,J12*J19+($G$57-$G$13*$G$20)))</f>
        <v>0.193590572404769</v>
      </c>
      <c r="K60" s="35">
        <f>IF($B$50=0,K12*K19,MIN(1,K12*K19+($G$57-$G$13*$G$20)))</f>
        <v>0.191490572404769</v>
      </c>
      <c r="L60" s="35">
        <f>IF($B$50=0,L12*L19,MIN(1,L12*L19+($G$57-$G$13*$G$20)))</f>
        <v>0.189390572404769</v>
      </c>
    </row>
    <row r="61">
      <c r="A61" s="8" t="inlineStr">
        <is>
          <t xml:space="preserve">  Base</t>
        </is>
      </c>
      <c r="B61" s="5" t="inlineStr">
        <is>
          <t>% of music streams</t>
        </is>
      </c>
      <c r="C61" s="35">
        <f>IF($B$50=0,C13*C20,C$57)</f>
        <v>0.0333120802261491</v>
      </c>
      <c r="D61" s="35">
        <f>IF($B$50=0,D13*D20,D$57)</f>
        <v>0.0647314324652665</v>
      </c>
      <c r="E61" s="35">
        <f>IF($B$50=0,E13*E20,E$57)</f>
        <v>0.105352041748907</v>
      </c>
      <c r="F61" s="35">
        <f>IF($B$50=0,F13*F20,F$57)</f>
        <v>0.145301890229091</v>
      </c>
      <c r="G61" s="35">
        <f>IF($B$50=0,G13*G20,G$57)</f>
        <v>0.199890572404769</v>
      </c>
      <c r="H61" s="35">
        <f>IF($B$50=0,H13*H20,MIN(1,H13*H20+($G$57-$G$13*$G$20)))</f>
        <v>0.202990572404769</v>
      </c>
      <c r="I61" s="35">
        <f>IF($B$50=0,I13*I20,MIN(1,I13*I20+($G$57-$G$13*$G$20)))</f>
        <v>0.206190572404769</v>
      </c>
      <c r="J61" s="35">
        <f>IF($B$50=0,J13*J20,MIN(1,J13*J20+($G$57-$G$13*$G$20)))</f>
        <v>0.209490572404769</v>
      </c>
      <c r="K61" s="35">
        <f>IF($B$50=0,K13*K20,MIN(1,K13*K20+($G$57-$G$13*$G$20)))</f>
        <v>0.212890572404769</v>
      </c>
      <c r="L61" s="35">
        <f>IF($B$50=0,L13*L20,MIN(1,L13*L20+($G$57-$G$13*$G$20)))</f>
        <v>0.216390572404769</v>
      </c>
    </row>
    <row r="62">
      <c r="A62" s="8" t="inlineStr">
        <is>
          <t xml:space="preserve">  Bull</t>
        </is>
      </c>
      <c r="B62" s="5" t="inlineStr">
        <is>
          <t>% of music streams</t>
        </is>
      </c>
      <c r="C62" s="35">
        <f>IF($B$50=0,C14*C21,C$57)</f>
        <v>0.0333120802261491</v>
      </c>
      <c r="D62" s="35">
        <f>IF($B$50=0,D14*D21,D$57)</f>
        <v>0.0647314324652665</v>
      </c>
      <c r="E62" s="35">
        <f>IF($B$50=0,E14*E21,E$57)</f>
        <v>0.105352041748907</v>
      </c>
      <c r="F62" s="35">
        <f>IF($B$50=0,F14*F21,F$57)</f>
        <v>0.145301890229091</v>
      </c>
      <c r="G62" s="35">
        <f>IF($B$50=0,G14*G21,G$57)</f>
        <v>0.199890572404769</v>
      </c>
      <c r="H62" s="35">
        <f>IF($B$50=0,H14*H21,MIN(1,H14*H21+($G$57-$G$13*$G$20)))</f>
        <v>0.206190572404769</v>
      </c>
      <c r="I62" s="35">
        <f>IF($B$50=0,I14*I21,MIN(1,I14*I21+($G$57-$G$13*$G$20)))</f>
        <v>0.235390572404769</v>
      </c>
      <c r="J62" s="35">
        <f>IF($B$50=0,J14*J21,MIN(1,J14*J21+($G$57-$G$13*$G$20)))</f>
        <v>0.244690572404769</v>
      </c>
      <c r="K62" s="35">
        <f>IF($B$50=0,K14*K21,MIN(1,K14*K21+($G$57-$G$13*$G$20)))</f>
        <v>0.254490572404769</v>
      </c>
      <c r="L62" s="35">
        <f>IF($B$50=0,L14*L21,MIN(1,L14*L21+($G$57-$G$13*$G$20)))</f>
        <v>0.263690572404769</v>
      </c>
    </row>
    <row r="63">
      <c r="A63" s="3" t="inlineStr">
        <is>
          <t xml:space="preserve">  Selected scenario</t>
        </is>
      </c>
      <c r="B63" s="5" t="inlineStr">
        <is>
          <t>% of music streams</t>
        </is>
      </c>
      <c r="C63" s="25">
        <f>CHOOSE($B$4,C60,C61,C62)</f>
        <v>0.0333120802261491</v>
      </c>
      <c r="D63" s="25">
        <f>CHOOSE($B$4,D60,D61,D62)</f>
        <v>0.0647314324652665</v>
      </c>
      <c r="E63" s="25">
        <f>CHOOSE($B$4,E60,E61,E62)</f>
        <v>0.105352041748907</v>
      </c>
      <c r="F63" s="25">
        <f>CHOOSE($B$4,F60,F61,F62)</f>
        <v>0.145301890229091</v>
      </c>
      <c r="G63" s="25">
        <f>CHOOSE($B$4,G60,G61,G62)</f>
        <v>0.199890572404769</v>
      </c>
      <c r="H63" s="25">
        <f>CHOOSE($B$4,H60,H61,H62)</f>
        <v>0.202990572404769</v>
      </c>
      <c r="I63" s="25">
        <f>CHOOSE($B$4,I60,I61,I62)</f>
        <v>0.206190572404769</v>
      </c>
      <c r="J63" s="25">
        <f>CHOOSE($B$4,J60,J61,J62)</f>
        <v>0.209490572404769</v>
      </c>
      <c r="K63" s="25">
        <f>CHOOSE($B$4,K60,K61,K62)</f>
        <v>0.212890572404769</v>
      </c>
      <c r="L63" s="25">
        <f>CHOOSE($B$4,L60,L61,L62)</f>
        <v>0.216390572404769</v>
      </c>
    </row>
    <row r="65">
      <c r="A65" s="3" t="inlineStr">
        <is>
          <t>Calibrated s_ctx, by scenario (decomposition of P per calibration mode) - USED BY THE MODEL</t>
        </is>
      </c>
    </row>
    <row r="66">
      <c r="A66" s="8" t="inlineStr">
        <is>
          <t xml:space="preserve">  Bear</t>
        </is>
      </c>
      <c r="B66" s="5" t="inlineStr">
        <is>
          <t>% of music streams</t>
        </is>
      </c>
      <c r="C66" s="35">
        <f>CHOOSE($B$50+1,C12,MIN(1,C60/C19),C12,MIN(1,C12*SQRT(C60/(C12*C19))))</f>
        <v>0.666241604522981</v>
      </c>
      <c r="D66" s="35">
        <f>CHOOSE($B$50+1,D12,MIN(1,D60/D19),D12,MIN(1,D12*SQRT(D60/(D12*D19))))</f>
        <v>0.647314324652665</v>
      </c>
      <c r="E66" s="35">
        <f>CHOOSE($B$50+1,E12,MIN(1,E60/E19),E12,MIN(1,E12*SQRT(E60/(E12*E19))))</f>
        <v>0.526760208744535</v>
      </c>
      <c r="F66" s="35">
        <f>CHOOSE($B$50+1,F12,MIN(1,F60/F19),F12,MIN(1,F12*SQRT(F60/(F12*F19))))</f>
        <v>0.518935322246753</v>
      </c>
      <c r="G66" s="35">
        <f>CHOOSE($B$50+1,G12,MIN(1,G60/G19),G12,MIN(1,G12*SQRT(G60/(G12*G19))))</f>
        <v>0.605729007287179</v>
      </c>
      <c r="H66" s="35">
        <f>CHOOSE($B$50+1,H12,MIN(1,H60/H19),H12,MIN(1,H12*SQRT(H60/(H12*H19))))</f>
        <v>0.627906579062759</v>
      </c>
      <c r="I66" s="35">
        <f>CHOOSE($B$50+1,I12,MIN(1,I60/I19),I12,MIN(1,I12*SQRT(I60/(I12*I19))))</f>
        <v>0.652301908015897</v>
      </c>
      <c r="J66" s="35">
        <f>CHOOSE($B$50+1,J12,MIN(1,J60/J19),J12,MIN(1,J12*SQRT(J60/(J12*J19))))</f>
        <v>0.679265166332523</v>
      </c>
      <c r="K66" s="35">
        <f>CHOOSE($B$50+1,K12,MIN(1,K60/K19),K12,MIN(1,K12*SQRT(K60/(K12*K19))))</f>
        <v>0.709224342239886</v>
      </c>
      <c r="L66" s="35">
        <f>CHOOSE($B$50+1,L12,MIN(1,L60/L19),L12,MIN(1,L12*SQRT(L60/(L12*L19))))</f>
        <v>0.742708127077526</v>
      </c>
    </row>
    <row r="67">
      <c r="A67" s="8" t="inlineStr">
        <is>
          <t xml:space="preserve">  Base</t>
        </is>
      </c>
      <c r="B67" s="5" t="inlineStr">
        <is>
          <t>% of music streams</t>
        </is>
      </c>
      <c r="C67" s="35">
        <f>CHOOSE($B$50+1,C13,MIN(1,C61/C20),C13,MIN(1,C13*SQRT(C61/(C13*C20))))</f>
        <v>0.666241604522981</v>
      </c>
      <c r="D67" s="35">
        <f>CHOOSE($B$50+1,D13,MIN(1,D61/D20),D13,MIN(1,D13*SQRT(D61/(D13*D20))))</f>
        <v>0.647314324652665</v>
      </c>
      <c r="E67" s="35">
        <f>CHOOSE($B$50+1,E13,MIN(1,E61/E20),E13,MIN(1,E13*SQRT(E61/(E13*E20))))</f>
        <v>0.526760208744535</v>
      </c>
      <c r="F67" s="35">
        <f>CHOOSE($B$50+1,F13,MIN(1,F61/F20),F13,MIN(1,F13*SQRT(F61/(F13*F20))))</f>
        <v>0.518935322246753</v>
      </c>
      <c r="G67" s="35">
        <f>CHOOSE($B$50+1,G13,MIN(1,G61/G20),G13,MIN(1,G13*SQRT(G61/(G13*G20))))</f>
        <v>0.605729007287179</v>
      </c>
      <c r="H67" s="35">
        <f>CHOOSE($B$50+1,H13,MIN(1,H61/H20),H13,MIN(1,H13*SQRT(H61/(H13*H20))))</f>
        <v>0.597031095308145</v>
      </c>
      <c r="I67" s="35">
        <f>CHOOSE($B$50+1,I13,MIN(1,I61/I20),I13,MIN(1,I13*SQRT(I61/(I13*I20))))</f>
        <v>0.589115921156483</v>
      </c>
      <c r="J67" s="35">
        <f>CHOOSE($B$50+1,J13,MIN(1,J61/J20),J13,MIN(1,J13*SQRT(J61/(J13*J20))))</f>
        <v>0.581918256679914</v>
      </c>
      <c r="K67" s="35">
        <f>CHOOSE($B$50+1,K13,MIN(1,K61/K20),K13,MIN(1,K13*SQRT(K61/(K13*K20))))</f>
        <v>0.575379925418295</v>
      </c>
      <c r="L67" s="35">
        <f>CHOOSE($B$50+1,L13,MIN(1,L61/L20),L13,MIN(1,L13*SQRT(L61/(L13*L20))))</f>
        <v>0.569448874749392</v>
      </c>
    </row>
    <row r="68">
      <c r="A68" s="8" t="inlineStr">
        <is>
          <t xml:space="preserve">  Bull</t>
        </is>
      </c>
      <c r="B68" s="5" t="inlineStr">
        <is>
          <t>% of music streams</t>
        </is>
      </c>
      <c r="C68" s="35">
        <f>CHOOSE($B$50+1,C14,MIN(1,C62/C21),C14,MIN(1,C14*SQRT(C62/(C14*C21))))</f>
        <v>0.666241604522981</v>
      </c>
      <c r="D68" s="35">
        <f>CHOOSE($B$50+1,D14,MIN(1,D62/D21),D14,MIN(1,D14*SQRT(D62/(D14*D21))))</f>
        <v>0.647314324652665</v>
      </c>
      <c r="E68" s="35">
        <f>CHOOSE($B$50+1,E14,MIN(1,E62/E21),E14,MIN(1,E14*SQRT(E62/(E14*E21))))</f>
        <v>0.526760208744535</v>
      </c>
      <c r="F68" s="35">
        <f>CHOOSE($B$50+1,F14,MIN(1,F62/F21),F14,MIN(1,F14*SQRT(F62/(F14*F21))))</f>
        <v>0.518935322246753</v>
      </c>
      <c r="G68" s="35">
        <f>CHOOSE($B$50+1,G14,MIN(1,G62/G21),G14,MIN(1,G14*SQRT(G62/(G14*G21))))</f>
        <v>0.605729007287179</v>
      </c>
      <c r="H68" s="35">
        <f>CHOOSE($B$50+1,H14,MIN(1,H62/H21),H14,MIN(1,H14*SQRT(H62/(H14*H21))))</f>
        <v>0.589115921156483</v>
      </c>
      <c r="I68" s="35">
        <f>CHOOSE($B$50+1,I14,MIN(1,I62/I21),I14,MIN(1,I14*SQRT(I62/(I14*I21))))</f>
        <v>0.547419935825044</v>
      </c>
      <c r="J68" s="35">
        <f>CHOOSE($B$50+1,J14,MIN(1,J62/J21),J14,MIN(1,J14*SQRT(J62/(J14*J21))))</f>
        <v>0.53778147781268</v>
      </c>
      <c r="K68" s="35">
        <f>CHOOSE($B$50+1,K14,MIN(1,K62/K21),K14,MIN(1,K14*SQRT(K62/(K14*K21))))</f>
        <v>0.530188692509936</v>
      </c>
      <c r="L68" s="35">
        <f>CHOOSE($B$50+1,L14,MIN(1,L62/L21),L14,MIN(1,L14*SQRT(L62/(L14*L21))))</f>
        <v>0.527381144809538</v>
      </c>
    </row>
    <row r="69">
      <c r="A69" s="3" t="inlineStr">
        <is>
          <t xml:space="preserve">  Selected scenario</t>
        </is>
      </c>
      <c r="B69" s="5" t="inlineStr">
        <is>
          <t>% of music streams</t>
        </is>
      </c>
      <c r="C69" s="25">
        <f>CHOOSE($B$4,C66,C67,C68)</f>
        <v>0.666241604522981</v>
      </c>
      <c r="D69" s="25">
        <f>CHOOSE($B$4,D66,D67,D68)</f>
        <v>0.647314324652665</v>
      </c>
      <c r="E69" s="25">
        <f>CHOOSE($B$4,E66,E67,E68)</f>
        <v>0.526760208744535</v>
      </c>
      <c r="F69" s="25">
        <f>CHOOSE($B$4,F66,F67,F68)</f>
        <v>0.518935322246753</v>
      </c>
      <c r="G69" s="25">
        <f>CHOOSE($B$4,G66,G67,G68)</f>
        <v>0.605729007287179</v>
      </c>
      <c r="H69" s="25">
        <f>CHOOSE($B$4,H66,H67,H68)</f>
        <v>0.597031095308145</v>
      </c>
      <c r="I69" s="25">
        <f>CHOOSE($B$4,I66,I67,I68)</f>
        <v>0.589115921156483</v>
      </c>
      <c r="J69" s="25">
        <f>CHOOSE($B$4,J66,J67,J68)</f>
        <v>0.581918256679914</v>
      </c>
      <c r="K69" s="25">
        <f>CHOOSE($B$4,K66,K67,K68)</f>
        <v>0.575379925418295</v>
      </c>
      <c r="L69" s="25">
        <f>CHOOSE($B$4,L66,L67,L68)</f>
        <v>0.569448874749392</v>
      </c>
    </row>
    <row r="71">
      <c r="A71" s="3" t="inlineStr">
        <is>
          <t>Calibrated s_dm, by scenario - USED BY THE MODEL</t>
        </is>
      </c>
    </row>
    <row r="72">
      <c r="A72" s="8" t="inlineStr">
        <is>
          <t xml:space="preserve">  Bear</t>
        </is>
      </c>
      <c r="B72" s="5" t="inlineStr">
        <is>
          <t>% of context streams</t>
        </is>
      </c>
      <c r="C72" s="35">
        <f>CHOOSE($B$50+1,C19,C19,MIN(1,C60/C12),MIN(1,C19*SQRT(C60/(C12*C19))))</f>
        <v>0.05</v>
      </c>
      <c r="D72" s="35">
        <f>CHOOSE($B$50+1,D19,D19,MIN(1,D60/D12),MIN(1,D19*SQRT(D60/(D12*D19))))</f>
        <v>0.1</v>
      </c>
      <c r="E72" s="35">
        <f>CHOOSE($B$50+1,E19,E19,MIN(1,E60/E12),MIN(1,E19*SQRT(E60/(E12*E19))))</f>
        <v>0.2</v>
      </c>
      <c r="F72" s="35">
        <f>CHOOSE($B$50+1,F19,F19,MIN(1,F60/F12),MIN(1,F19*SQRT(F60/(F12*F19))))</f>
        <v>0.28</v>
      </c>
      <c r="G72" s="35">
        <f>CHOOSE($B$50+1,G19,G19,MIN(1,G60/G12),MIN(1,G19*SQRT(G60/(G12*G19))))</f>
        <v>0.33</v>
      </c>
      <c r="H72" s="35">
        <f>CHOOSE($B$50+1,H19,H19,MIN(1,H60/H12),MIN(1,H19*SQRT(H60/(H12*H19))))</f>
        <v>0.315</v>
      </c>
      <c r="I72" s="35">
        <f>CHOOSE($B$50+1,I19,I19,MIN(1,I60/I12),MIN(1,I19*SQRT(I60/(I12*I19))))</f>
        <v>0.3</v>
      </c>
      <c r="J72" s="35">
        <f>CHOOSE($B$50+1,J19,J19,MIN(1,J60/J12),MIN(1,J19*SQRT(J60/(J12*J19))))</f>
        <v>0.285</v>
      </c>
      <c r="K72" s="35">
        <f>CHOOSE($B$50+1,K19,K19,MIN(1,K60/K12),MIN(1,K19*SQRT(K60/(K12*K19))))</f>
        <v>0.27</v>
      </c>
      <c r="L72" s="35">
        <f>CHOOSE($B$50+1,L19,L19,MIN(1,L60/L12),MIN(1,L19*SQRT(L60/(L12*L19))))</f>
        <v>0.255</v>
      </c>
    </row>
    <row r="73">
      <c r="A73" s="8" t="inlineStr">
        <is>
          <t xml:space="preserve">  Base</t>
        </is>
      </c>
      <c r="B73" s="5" t="inlineStr">
        <is>
          <t>% of context streams</t>
        </is>
      </c>
      <c r="C73" s="35">
        <f>CHOOSE($B$50+1,C20,C20,MIN(1,C61/C13),MIN(1,C20*SQRT(C61/(C13*C20))))</f>
        <v>0.05</v>
      </c>
      <c r="D73" s="35">
        <f>CHOOSE($B$50+1,D20,D20,MIN(1,D61/D13),MIN(1,D20*SQRT(D61/(D13*D20))))</f>
        <v>0.1</v>
      </c>
      <c r="E73" s="35">
        <f>CHOOSE($B$50+1,E20,E20,MIN(1,E61/E13),MIN(1,E20*SQRT(E61/(E13*E20))))</f>
        <v>0.2</v>
      </c>
      <c r="F73" s="35">
        <f>CHOOSE($B$50+1,F20,F20,MIN(1,F61/F13),MIN(1,F20*SQRT(F61/(F13*F20))))</f>
        <v>0.28</v>
      </c>
      <c r="G73" s="35">
        <f>CHOOSE($B$50+1,G20,G20,MIN(1,G61/G13),MIN(1,G20*SQRT(G61/(G13*G20))))</f>
        <v>0.33</v>
      </c>
      <c r="H73" s="35">
        <f>CHOOSE($B$50+1,H20,H20,MIN(1,H61/H13),MIN(1,H20*SQRT(H61/(H13*H20))))</f>
        <v>0.34</v>
      </c>
      <c r="I73" s="35">
        <f>CHOOSE($B$50+1,I20,I20,MIN(1,I61/I13),MIN(1,I20*SQRT(I61/(I13*I20))))</f>
        <v>0.35</v>
      </c>
      <c r="J73" s="35">
        <f>CHOOSE($B$50+1,J20,J20,MIN(1,J61/J13),MIN(1,J20*SQRT(J61/(J13*J20))))</f>
        <v>0.36</v>
      </c>
      <c r="K73" s="35">
        <f>CHOOSE($B$50+1,K20,K20,MIN(1,K61/K13),MIN(1,K20*SQRT(K61/(K13*K20))))</f>
        <v>0.37</v>
      </c>
      <c r="L73" s="35">
        <f>CHOOSE($B$50+1,L20,L20,MIN(1,L61/L13),MIN(1,L20*SQRT(L61/(L13*L20))))</f>
        <v>0.38</v>
      </c>
    </row>
    <row r="74">
      <c r="A74" s="8" t="inlineStr">
        <is>
          <t xml:space="preserve">  Bull</t>
        </is>
      </c>
      <c r="B74" s="5" t="inlineStr">
        <is>
          <t>% of context streams</t>
        </is>
      </c>
      <c r="C74" s="35">
        <f>CHOOSE($B$50+1,C21,C21,MIN(1,C62/C14),MIN(1,C21*SQRT(C62/(C14*C21))))</f>
        <v>0.05</v>
      </c>
      <c r="D74" s="35">
        <f>CHOOSE($B$50+1,D21,D21,MIN(1,D62/D14),MIN(1,D21*SQRT(D62/(D14*D21))))</f>
        <v>0.1</v>
      </c>
      <c r="E74" s="35">
        <f>CHOOSE($B$50+1,E21,E21,MIN(1,E62/E14),MIN(1,E21*SQRT(E62/(E14*E21))))</f>
        <v>0.2</v>
      </c>
      <c r="F74" s="35">
        <f>CHOOSE($B$50+1,F21,F21,MIN(1,F62/F14),MIN(1,F21*SQRT(F62/(F14*F21))))</f>
        <v>0.28</v>
      </c>
      <c r="G74" s="35">
        <f>CHOOSE($B$50+1,G21,G21,MIN(1,G62/G14),MIN(1,G21*SQRT(G62/(G14*G21))))</f>
        <v>0.33</v>
      </c>
      <c r="H74" s="35">
        <f>CHOOSE($B$50+1,H21,H21,MIN(1,H62/H14),MIN(1,H21*SQRT(H62/(H14*H21))))</f>
        <v>0.35</v>
      </c>
      <c r="I74" s="35">
        <f>CHOOSE($B$50+1,I21,I21,MIN(1,I62/I14),MIN(1,I21*SQRT(I62/(I14*I21))))</f>
        <v>0.43</v>
      </c>
      <c r="J74" s="35">
        <f>CHOOSE($B$50+1,J21,J21,MIN(1,J62/J14),MIN(1,J21*SQRT(J62/(J14*J21))))</f>
        <v>0.455</v>
      </c>
      <c r="K74" s="35">
        <f>CHOOSE($B$50+1,K21,K21,MIN(1,K62/K14),MIN(1,K21*SQRT(K62/(K14*K21))))</f>
        <v>0.48</v>
      </c>
      <c r="L74" s="35">
        <f>CHOOSE($B$50+1,L21,L21,MIN(1,L62/L14),MIN(1,L21*SQRT(L62/(L14*L21))))</f>
        <v>0.5</v>
      </c>
    </row>
    <row r="75">
      <c r="A75" s="3" t="inlineStr">
        <is>
          <t xml:space="preserve">  Selected scenario</t>
        </is>
      </c>
      <c r="B75" s="5" t="inlineStr">
        <is>
          <t>% of context streams</t>
        </is>
      </c>
      <c r="C75" s="25">
        <f>CHOOSE($B$4,C72,C73,C74)</f>
        <v>0.05</v>
      </c>
      <c r="D75" s="25">
        <f>CHOOSE($B$4,D72,D73,D74)</f>
        <v>0.1</v>
      </c>
      <c r="E75" s="25">
        <f>CHOOSE($B$4,E72,E73,E74)</f>
        <v>0.2</v>
      </c>
      <c r="F75" s="25">
        <f>CHOOSE($B$4,F72,F73,F74)</f>
        <v>0.28</v>
      </c>
      <c r="G75" s="25">
        <f>CHOOSE($B$4,G72,G73,G74)</f>
        <v>0.33</v>
      </c>
      <c r="H75" s="25">
        <f>CHOOSE($B$4,H72,H73,H74)</f>
        <v>0.34</v>
      </c>
      <c r="I75" s="25">
        <f>CHOOSE($B$4,I72,I73,I74)</f>
        <v>0.35</v>
      </c>
      <c r="J75" s="25">
        <f>CHOOSE($B$4,J72,J73,J74)</f>
        <v>0.36</v>
      </c>
      <c r="K75" s="25">
        <f>CHOOSE($B$4,K72,K73,K74)</f>
        <v>0.37</v>
      </c>
      <c r="L75" s="25">
        <f>CHOOSE($B$4,L72,L73,L74)</f>
        <v>0.38</v>
      </c>
    </row>
    <row r="77">
      <c r="A77" s="8" t="inlineStr">
        <is>
          <t>Plausibility check, FY2025 Base calibrated: s_ctx vs ~25% public bound ('majority of streams are active'; DM contexts a subset of programmed)</t>
        </is>
      </c>
      <c r="B77" s="35">
        <f>G67</f>
        <v>0.605729007287179</v>
      </c>
      <c r="C77" s="3" t="str">
        <f>IF(G67&gt;0.25,"ABOVE public bound","within public bound")</f>
        <v>ABOVE public bound</v>
      </c>
    </row>
    <row r="78">
      <c r="A78" s="8" t="inlineStr">
        <is>
          <t>Plausibility check, FY2025 Base calibrated: s_dm vs ~57% no-majors ceiling (Triangulation section B)</t>
        </is>
      </c>
      <c r="B78" s="35">
        <f>G73</f>
        <v>0.33</v>
      </c>
      <c r="C78" s="3" t="str">
        <f>IF(G73&gt;0.57,"ABOVE no-majors ceiling","within ceiling")</f>
        <v>within ceiling</v>
      </c>
    </row>
    <row r="79" ht="28" customHeight="1">
      <c r="A79" s="2" t="inlineStr">
        <is>
          <t>Mode 1 honours the 33% enrollment assumption and lets the context share absorb the anchor. Mode 3 splits the gap between both unknowns. Mode 0 switches the anchor off and runs the public-bounds inputs from sections A and B. A capped value (100%) means the anchor cannot be reached inside the chain with the other inputs as set.</t>
        </is>
      </c>
    </row>
  </sheetData>
  <mergeCells count="6">
    <mergeCell ref="A30:L30"/>
    <mergeCell ref="A16:L16"/>
    <mergeCell ref="A42:L42"/>
    <mergeCell ref="A47:L47"/>
    <mergeCell ref="A23:L23"/>
    <mergeCell ref="A79:L79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Revenue build and gross margin bridge (selected scenario)</t>
        </is>
      </c>
    </row>
    <row r="2">
      <c r="A2" s="5" t="inlineStr">
        <is>
          <t>Green = link to another sheet; black = formula. Reported gross margin = margin ex-DM + Discovery Mode contribution.</t>
        </is>
      </c>
    </row>
    <row r="4">
      <c r="A4" s="18" t="inlineStr">
        <is>
          <t>EUR m unless stated</t>
        </is>
      </c>
      <c r="B4" s="18" t="inlineStr">
        <is>
          <t>Unit</t>
        </is>
      </c>
      <c r="C4" s="7" t="inlineStr">
        <is>
          <t>FY2021A</t>
        </is>
      </c>
      <c r="D4" s="7" t="inlineStr">
        <is>
          <t>FY2022A</t>
        </is>
      </c>
      <c r="E4" s="7" t="inlineStr">
        <is>
          <t>FY2023A</t>
        </is>
      </c>
      <c r="F4" s="7" t="inlineStr">
        <is>
          <t>FY2024A</t>
        </is>
      </c>
      <c r="G4" s="7" t="inlineStr">
        <is>
          <t>FY2025A</t>
        </is>
      </c>
      <c r="H4" s="7" t="inlineStr">
        <is>
          <t>FY2026E</t>
        </is>
      </c>
      <c r="I4" s="7" t="inlineStr">
        <is>
          <t>FY2027E</t>
        </is>
      </c>
      <c r="J4" s="7" t="inlineStr">
        <is>
          <t>FY2028E</t>
        </is>
      </c>
      <c r="K4" s="7" t="inlineStr">
        <is>
          <t>FY2029E</t>
        </is>
      </c>
      <c r="L4" s="7" t="inlineStr">
        <is>
          <t>FY2030E</t>
        </is>
      </c>
    </row>
    <row r="5">
      <c r="A5" s="6" t="inlineStr">
        <is>
          <t>Revenue</t>
        </is>
      </c>
    </row>
    <row r="6">
      <c r="A6" s="8" t="inlineStr">
        <is>
          <t>Premium subscribers, year end</t>
        </is>
      </c>
      <c r="B6" s="5" t="inlineStr">
        <is>
          <t>m</t>
        </is>
      </c>
      <c r="C6" s="15">
        <f>Inputs!C33</f>
        <v>180</v>
      </c>
      <c r="D6" s="15">
        <f>Inputs!D33</f>
        <v>205</v>
      </c>
      <c r="E6" s="15">
        <f>Inputs!E33</f>
        <v>236</v>
      </c>
      <c r="F6" s="15">
        <f>Inputs!F33</f>
        <v>263</v>
      </c>
      <c r="G6" s="15">
        <f>Inputs!G33</f>
        <v>290</v>
      </c>
      <c r="H6" s="15">
        <f>Inputs!H33</f>
        <v>318</v>
      </c>
      <c r="I6" s="15">
        <f>Inputs!I33</f>
        <v>344</v>
      </c>
      <c r="J6" s="15">
        <f>Inputs!J33</f>
        <v>368</v>
      </c>
      <c r="K6" s="15">
        <f>Inputs!K33</f>
        <v>390</v>
      </c>
      <c r="L6" s="15">
        <f>Inputs!L33</f>
        <v>410</v>
      </c>
    </row>
    <row r="7">
      <c r="A7" s="8" t="inlineStr">
        <is>
          <t>Average subscribers</t>
        </is>
      </c>
      <c r="B7" s="5" t="inlineStr">
        <is>
          <t>m</t>
        </is>
      </c>
      <c r="D7" s="36">
        <f>(C6+D6)/2</f>
        <v>192.5</v>
      </c>
      <c r="E7" s="36">
        <f>(D6+E6)/2</f>
        <v>220.5</v>
      </c>
      <c r="F7" s="36">
        <f>(E6+F6)/2</f>
        <v>249.5</v>
      </c>
      <c r="G7" s="36">
        <f>(F6+G6)/2</f>
        <v>276.5</v>
      </c>
      <c r="H7" s="36">
        <f>(G6+H6)/2</f>
        <v>304</v>
      </c>
      <c r="I7" s="36">
        <f>(H6+I6)/2</f>
        <v>331</v>
      </c>
      <c r="J7" s="36">
        <f>(I6+J6)/2</f>
        <v>356</v>
      </c>
      <c r="K7" s="36">
        <f>(J6+K6)/2</f>
        <v>379</v>
      </c>
      <c r="L7" s="36">
        <f>(K6+L6)/2</f>
        <v>400</v>
      </c>
    </row>
    <row r="8">
      <c r="A8" s="8" t="inlineStr">
        <is>
          <t>Premium ARPU (monthly)</t>
        </is>
      </c>
      <c r="B8" s="5" t="inlineStr">
        <is>
          <t>EUR</t>
        </is>
      </c>
      <c r="C8" s="37">
        <f>Inputs!C35</f>
        <v>4.29</v>
      </c>
      <c r="D8" s="37">
        <f>Inputs!D35</f>
        <v>4.52</v>
      </c>
      <c r="E8" s="37">
        <f>Inputs!E35</f>
        <v>4.39</v>
      </c>
      <c r="F8" s="37">
        <f>Inputs!F35</f>
        <v>4.69</v>
      </c>
      <c r="G8" s="37">
        <f>Inputs!G35</f>
        <v>4.63</v>
      </c>
      <c r="H8" s="37">
        <f>Inputs!H35</f>
        <v>4.88465</v>
      </c>
      <c r="I8" s="37">
        <f>Inputs!I35</f>
        <v>5.080036</v>
      </c>
      <c r="J8" s="37">
        <f>Inputs!J35</f>
        <v>5.28323744</v>
      </c>
      <c r="K8" s="37">
        <f>Inputs!K35</f>
        <v>5.4681507504</v>
      </c>
      <c r="L8" s="37">
        <f>Inputs!L35</f>
        <v>5.659536026664</v>
      </c>
    </row>
    <row r="9">
      <c r="A9" s="8" t="inlineStr">
        <is>
          <t>Premium revenue</t>
        </is>
      </c>
      <c r="B9" s="5" t="inlineStr">
        <is>
          <t>EUR m</t>
        </is>
      </c>
      <c r="C9" s="15">
        <f>Inputs!C37</f>
        <v>8460</v>
      </c>
      <c r="D9" s="15">
        <f>Inputs!D37</f>
        <v>10251</v>
      </c>
      <c r="E9" s="15">
        <f>Inputs!E37</f>
        <v>11566</v>
      </c>
      <c r="F9" s="15">
        <f>Inputs!F37</f>
        <v>13819</v>
      </c>
      <c r="G9" s="15">
        <f>Inputs!G37</f>
        <v>15350</v>
      </c>
      <c r="H9" s="27">
        <f>H7*H8*12</f>
        <v>17819.2032</v>
      </c>
      <c r="I9" s="27">
        <f>I7*I8*12</f>
        <v>20177.902992</v>
      </c>
      <c r="J9" s="27">
        <f>J7*J8*12</f>
        <v>22569.99034368</v>
      </c>
      <c r="K9" s="27">
        <f>K7*K8*12</f>
        <v>24869.1496128192</v>
      </c>
      <c r="L9" s="27">
        <f>L7*L8*12</f>
        <v>27165.7729279872</v>
      </c>
    </row>
    <row r="10">
      <c r="A10" s="8" t="inlineStr">
        <is>
          <t>Ad-Supported revenue</t>
        </is>
      </c>
      <c r="B10" s="5" t="inlineStr">
        <is>
          <t>EUR m</t>
        </is>
      </c>
      <c r="C10" s="15">
        <f>Inputs!C38</f>
        <v>1208</v>
      </c>
      <c r="D10" s="15">
        <f>Inputs!D38</f>
        <v>1476</v>
      </c>
      <c r="E10" s="15">
        <f>Inputs!E38</f>
        <v>1681</v>
      </c>
      <c r="F10" s="15">
        <f>Inputs!F38</f>
        <v>1854</v>
      </c>
      <c r="G10" s="15">
        <f>Inputs!G38</f>
        <v>1836</v>
      </c>
      <c r="H10" s="27">
        <f>G10*(1+Inputs!H39)</f>
        <v>1872.72</v>
      </c>
      <c r="I10" s="27">
        <f>H10*(1+Inputs!I39)</f>
        <v>1966.356</v>
      </c>
      <c r="J10" s="27">
        <f>I10*(1+Inputs!J39)</f>
        <v>2064.6738</v>
      </c>
      <c r="K10" s="27">
        <f>J10*(1+Inputs!K39)</f>
        <v>2167.90749</v>
      </c>
      <c r="L10" s="27">
        <f>K10*(1+Inputs!L39)</f>
        <v>2276.3028645</v>
      </c>
    </row>
    <row r="11">
      <c r="A11" s="8" t="inlineStr">
        <is>
          <t>Total revenue, placeholder build</t>
        </is>
      </c>
      <c r="B11" s="5" t="inlineStr">
        <is>
          <t>EUR m</t>
        </is>
      </c>
      <c r="C11" s="27">
        <f>C9+C10</f>
        <v>9668</v>
      </c>
      <c r="D11" s="27">
        <f>D9+D10</f>
        <v>11727</v>
      </c>
      <c r="E11" s="27">
        <f>E9+E10</f>
        <v>13247</v>
      </c>
      <c r="F11" s="27">
        <f>F9+F10</f>
        <v>15673</v>
      </c>
      <c r="G11" s="27">
        <f>G9+G10</f>
        <v>17186</v>
      </c>
      <c r="H11" s="27">
        <f>H9+H10</f>
        <v>19691.9232</v>
      </c>
      <c r="I11" s="27">
        <f>I9+I10</f>
        <v>22144.258992</v>
      </c>
      <c r="J11" s="27">
        <f>J9+J10</f>
        <v>24634.66414368</v>
      </c>
      <c r="K11" s="27">
        <f>K9+K10</f>
        <v>27037.0571028192</v>
      </c>
      <c r="L11" s="27">
        <f>L9+L10</f>
        <v>29442.0757924872</v>
      </c>
    </row>
    <row r="12">
      <c r="A12" s="8" t="inlineStr">
        <is>
          <t>Total revenue override (from Inputs row 40)</t>
        </is>
      </c>
      <c r="B12" s="5" t="inlineStr">
        <is>
          <t>EUR m</t>
        </is>
      </c>
      <c r="H12" s="15" t="str">
        <f>IF(Inputs!H40="","",Inputs!H40)</f>
        <v/>
      </c>
      <c r="I12" s="15" t="str">
        <f>IF(Inputs!I40="","",Inputs!I40)</f>
        <v/>
      </c>
      <c r="J12" s="15" t="str">
        <f>IF(Inputs!J40="","",Inputs!J40)</f>
        <v/>
      </c>
      <c r="K12" s="15" t="str">
        <f>IF(Inputs!K40="","",Inputs!K40)</f>
        <v/>
      </c>
      <c r="L12" s="15" t="str">
        <f>IF(Inputs!L40="","",Inputs!L40)</f>
        <v/>
      </c>
    </row>
    <row r="13">
      <c r="A13" s="3" t="inlineStr">
        <is>
          <t>Total revenue USED</t>
        </is>
      </c>
      <c r="B13" s="5" t="inlineStr">
        <is>
          <t>EUR m</t>
        </is>
      </c>
      <c r="C13" s="38">
        <f>C11</f>
        <v>9668</v>
      </c>
      <c r="D13" s="38">
        <f>D11</f>
        <v>11727</v>
      </c>
      <c r="E13" s="38">
        <f>E11</f>
        <v>13247</v>
      </c>
      <c r="F13" s="38">
        <f>F11</f>
        <v>15673</v>
      </c>
      <c r="G13" s="38">
        <f>G11</f>
        <v>17186</v>
      </c>
      <c r="H13" s="38">
        <f>IF(H12="",H11,H12)</f>
        <v>19691.9232</v>
      </c>
      <c r="I13" s="38">
        <f>IF(I12="",I11,I12)</f>
        <v>22144.258992</v>
      </c>
      <c r="J13" s="38">
        <f>IF(J12="",J11,J12)</f>
        <v>24634.66414368</v>
      </c>
      <c r="K13" s="38">
        <f>IF(K12="",K11,K12)</f>
        <v>27037.0571028192</v>
      </c>
      <c r="L13" s="38">
        <f>IF(L12="",L11,L12)</f>
        <v>29442.0757924872</v>
      </c>
    </row>
    <row r="14">
      <c r="A14" s="8" t="inlineStr">
        <is>
          <t xml:space="preserve">  growth</t>
        </is>
      </c>
      <c r="B14" s="5" t="inlineStr">
        <is>
          <t>%</t>
        </is>
      </c>
      <c r="D14" s="35">
        <f>D13/C13-1</f>
        <v>0.212970624741415</v>
      </c>
      <c r="E14" s="35">
        <f>E13/D13-1</f>
        <v>0.129615417412808</v>
      </c>
      <c r="F14" s="35">
        <f>F13/E13-1</f>
        <v>0.183135804333057</v>
      </c>
      <c r="G14" s="35">
        <f>G13/F13-1</f>
        <v>0.0965354431187393</v>
      </c>
      <c r="H14" s="35">
        <f>H13/G13-1</f>
        <v>0.145811893401606</v>
      </c>
      <c r="I14" s="35">
        <f>I13/H13-1</f>
        <v>0.124535108485493</v>
      </c>
      <c r="J14" s="35">
        <f>J13/I13-1</f>
        <v>0.112462790133538</v>
      </c>
      <c r="K14" s="35">
        <f>K13/J13-1</f>
        <v>0.0975208326416548</v>
      </c>
      <c r="L14" s="35">
        <f>L13/K13-1</f>
        <v>0.0889526800391758</v>
      </c>
    </row>
    <row r="16">
      <c r="A16" s="6" t="inlineStr">
        <is>
          <t>Reported cost base (history)</t>
        </is>
      </c>
    </row>
    <row r="17">
      <c r="A17" s="8" t="inlineStr">
        <is>
          <t>Cost of revenue, reported</t>
        </is>
      </c>
      <c r="B17" s="5" t="inlineStr">
        <is>
          <t>EUR m</t>
        </is>
      </c>
      <c r="C17" s="15">
        <f>Inputs!C41</f>
        <v>7077</v>
      </c>
      <c r="D17" s="15">
        <f>Inputs!D41</f>
        <v>8801</v>
      </c>
      <c r="E17" s="15">
        <f>Inputs!E41</f>
        <v>9849</v>
      </c>
      <c r="F17" s="15">
        <f>Inputs!F41</f>
        <v>10955</v>
      </c>
      <c r="G17" s="15">
        <f>Inputs!G41</f>
        <v>11690</v>
      </c>
    </row>
    <row r="18">
      <c r="A18" s="8" t="inlineStr">
        <is>
          <t>Gross profit, reported</t>
        </is>
      </c>
      <c r="B18" s="5" t="inlineStr">
        <is>
          <t>EUR m</t>
        </is>
      </c>
      <c r="C18" s="27">
        <f>C13-C17</f>
        <v>2591</v>
      </c>
      <c r="D18" s="27">
        <f>D13-D17</f>
        <v>2926</v>
      </c>
      <c r="E18" s="27">
        <f>E13-E17</f>
        <v>3398</v>
      </c>
      <c r="F18" s="27">
        <f>F13-F17</f>
        <v>4718</v>
      </c>
      <c r="G18" s="27">
        <f>G13-G17</f>
        <v>5496</v>
      </c>
    </row>
    <row r="19">
      <c r="A19" s="8" t="inlineStr">
        <is>
          <t>Gross margin, reported</t>
        </is>
      </c>
      <c r="B19" s="5" t="inlineStr">
        <is>
          <t>%</t>
        </is>
      </c>
      <c r="C19" s="35">
        <f>C18/C13</f>
        <v>0.267997517583782</v>
      </c>
      <c r="D19" s="35">
        <f>D18/D13</f>
        <v>0.249509678519656</v>
      </c>
      <c r="E19" s="35">
        <f>E18/E13</f>
        <v>0.256510908130143</v>
      </c>
      <c r="F19" s="35">
        <f>F18/F13</f>
        <v>0.301027244305494</v>
      </c>
      <c r="G19" s="35">
        <f>G18/G13</f>
        <v>0.319795182124986</v>
      </c>
    </row>
    <row r="21">
      <c r="A21" s="6" t="inlineStr">
        <is>
          <t>Gross margin bridge</t>
        </is>
      </c>
    </row>
    <row r="22">
      <c r="A22" s="8" t="inlineStr">
        <is>
          <t>Discovery Mode contribution (selected scenario)</t>
        </is>
      </c>
      <c r="B22" s="5" t="inlineStr">
        <is>
          <t>% of revenue</t>
        </is>
      </c>
      <c r="C22" s="10">
        <f>'DM build'!C51</f>
        <v>0.00496483243690526</v>
      </c>
      <c r="D22" s="10">
        <f>'DM build'!D51</f>
        <v>0.00964757269462331</v>
      </c>
      <c r="E22" s="10">
        <f>'DM build'!E51</f>
        <v>0.0157016683022571</v>
      </c>
      <c r="F22" s="10">
        <f>'DM build'!F51</f>
        <v>0.0216557937197437</v>
      </c>
      <c r="G22" s="10">
        <f>'DM build'!G51</f>
        <v>0.0297916909112068</v>
      </c>
      <c r="H22" s="10">
        <f>'DM build'!H51</f>
        <v>0.0302537149112068</v>
      </c>
      <c r="I22" s="10">
        <f>'DM build'!I51</f>
        <v>0.0307306429112068</v>
      </c>
      <c r="J22" s="10">
        <f>'DM build'!J51</f>
        <v>0.0312224749112068</v>
      </c>
      <c r="K22" s="10">
        <f>'DM build'!K51</f>
        <v>0.0317292109112068</v>
      </c>
      <c r="L22" s="10">
        <f>'DM build'!L51</f>
        <v>0.0322508509112068</v>
      </c>
    </row>
    <row r="23">
      <c r="A23" s="8" t="inlineStr">
        <is>
          <t>Gross margin ex-Discovery Mode</t>
        </is>
      </c>
      <c r="B23" s="5" t="inlineStr">
        <is>
          <t>%</t>
        </is>
      </c>
      <c r="C23" s="35">
        <f>C19-C22</f>
        <v>0.263032685146876</v>
      </c>
      <c r="D23" s="35">
        <f>D19-D22</f>
        <v>0.239862105825032</v>
      </c>
      <c r="E23" s="35">
        <f>E19-E22</f>
        <v>0.240809239827886</v>
      </c>
      <c r="F23" s="35">
        <f>F19-F22</f>
        <v>0.27937145058575</v>
      </c>
      <c r="G23" s="35">
        <f>G19-G22</f>
        <v>0.290003491213779</v>
      </c>
      <c r="H23" s="9">
        <f>IF(Inputs!H46="",G23+Inputs!H45/10000,Inputs!H46)</f>
        <v>0.295003491213779</v>
      </c>
      <c r="I23" s="9">
        <f>IF(Inputs!I46="",H23+Inputs!I45/10000,Inputs!I46)</f>
        <v>0.300003491213779</v>
      </c>
      <c r="J23" s="9">
        <f>IF(Inputs!J46="",I23+Inputs!J45/10000,Inputs!J46)</f>
        <v>0.305003491213779</v>
      </c>
      <c r="K23" s="9">
        <f>IF(Inputs!K46="",J23+Inputs!K45/10000,Inputs!K46)</f>
        <v>0.310003491213779</v>
      </c>
      <c r="L23" s="9">
        <f>IF(Inputs!L46="",K23+Inputs!L45/10000,Inputs!L46)</f>
        <v>0.315003491213779</v>
      </c>
    </row>
    <row r="24">
      <c r="A24" s="3" t="inlineStr">
        <is>
          <t>Gross margin (reported history / forecast)</t>
        </is>
      </c>
      <c r="B24" s="5" t="inlineStr">
        <is>
          <t>%</t>
        </is>
      </c>
      <c r="C24" s="39">
        <f>C19</f>
        <v>0.267997517583782</v>
      </c>
      <c r="D24" s="39">
        <f>D19</f>
        <v>0.249509678519656</v>
      </c>
      <c r="E24" s="39">
        <f>E19</f>
        <v>0.256510908130143</v>
      </c>
      <c r="F24" s="39">
        <f>F19</f>
        <v>0.301027244305494</v>
      </c>
      <c r="G24" s="39">
        <f>G19</f>
        <v>0.319795182124986</v>
      </c>
      <c r="H24" s="39">
        <f>H23+H22</f>
        <v>0.325257206124986</v>
      </c>
      <c r="I24" s="39">
        <f>I23+I22</f>
        <v>0.330734134124986</v>
      </c>
      <c r="J24" s="39">
        <f>J23+J22</f>
        <v>0.336225966124985</v>
      </c>
      <c r="K24" s="39">
        <f>K23+K22</f>
        <v>0.341732702124985</v>
      </c>
      <c r="L24" s="39">
        <f>L23+L22</f>
        <v>0.347254342124986</v>
      </c>
    </row>
    <row r="25">
      <c r="A25" s="8" t="inlineStr">
        <is>
          <t>Gross profit</t>
        </is>
      </c>
      <c r="B25" s="5" t="inlineStr">
        <is>
          <t>EUR m</t>
        </is>
      </c>
      <c r="C25" s="27">
        <f>C18</f>
        <v>2591</v>
      </c>
      <c r="D25" s="27">
        <f>D18</f>
        <v>2926</v>
      </c>
      <c r="E25" s="27">
        <f>E18</f>
        <v>3398</v>
      </c>
      <c r="F25" s="27">
        <f>F18</f>
        <v>4718</v>
      </c>
      <c r="G25" s="27">
        <f>G18</f>
        <v>5496</v>
      </c>
      <c r="H25" s="27">
        <f>H13*H24</f>
        <v>6404.93992325978</v>
      </c>
      <c r="I25" s="27">
        <f>I13*I24</f>
        <v>7323.86232355854</v>
      </c>
      <c r="J25" s="27">
        <f>J13*J24</f>
        <v>8282.81375187335</v>
      </c>
      <c r="K25" s="27">
        <f>K13*K24</f>
        <v>9239.44658125394</v>
      </c>
      <c r="L25" s="27">
        <f>L13*L24</f>
        <v>10223.8886601141</v>
      </c>
    </row>
    <row r="26">
      <c r="A26" s="8" t="inlineStr">
        <is>
          <t>Cost of revenue</t>
        </is>
      </c>
      <c r="B26" s="5" t="inlineStr">
        <is>
          <t>EUR m</t>
        </is>
      </c>
      <c r="C26" s="27">
        <f>C17</f>
        <v>7077</v>
      </c>
      <c r="D26" s="27">
        <f>D17</f>
        <v>8801</v>
      </c>
      <c r="E26" s="27">
        <f>E17</f>
        <v>9849</v>
      </c>
      <c r="F26" s="27">
        <f>F17</f>
        <v>10955</v>
      </c>
      <c r="G26" s="27">
        <f>G17</f>
        <v>11690</v>
      </c>
      <c r="H26" s="27">
        <f>H13-H25</f>
        <v>13286.9832767402</v>
      </c>
      <c r="I26" s="27">
        <f>I13-I25</f>
        <v>14820.3966684415</v>
      </c>
      <c r="J26" s="27">
        <f>J13-J25</f>
        <v>16351.8503918067</v>
      </c>
      <c r="K26" s="27">
        <f>K13-K25</f>
        <v>17797.6105215653</v>
      </c>
      <c r="L26" s="27">
        <f>L13-L25</f>
        <v>19218.1871323731</v>
      </c>
    </row>
    <row r="27">
      <c r="A27" s="8" t="inlineStr">
        <is>
          <t xml:space="preserve">  of which Discovery Mode commission retained (gross profit from DM)</t>
        </is>
      </c>
      <c r="B27" s="5" t="inlineStr">
        <is>
          <t>EUR m</t>
        </is>
      </c>
      <c r="C27" s="27">
        <f>C22*C13</f>
        <v>48</v>
      </c>
      <c r="D27" s="27">
        <f>D22*D13</f>
        <v>113.137084989848</v>
      </c>
      <c r="E27" s="27">
        <f>E22*E13</f>
        <v>208</v>
      </c>
      <c r="F27" s="27">
        <f>F22*F13</f>
        <v>339.411254969543</v>
      </c>
      <c r="G27" s="27">
        <f>G22*G13</f>
        <v>512</v>
      </c>
      <c r="H27" s="27">
        <f>H22*H13</f>
        <v>595.753830546179</v>
      </c>
      <c r="I27" s="27">
        <f>I22*I13</f>
        <v>680.507315616432</v>
      </c>
      <c r="J27" s="27">
        <f>J22*J13</f>
        <v>769.155183172054</v>
      </c>
      <c r="K27" s="27">
        <f>K22*K13</f>
        <v>857.864487233692</v>
      </c>
      <c r="L27" s="27">
        <f>L22*L13</f>
        <v>949.531996899955</v>
      </c>
    </row>
    <row r="28">
      <c r="A28" s="8" t="inlineStr">
        <is>
          <t xml:space="preserve">  Discovery Mode contribution</t>
        </is>
      </c>
      <c r="B28" s="5" t="inlineStr">
        <is>
          <t>bp of GM</t>
        </is>
      </c>
      <c r="C28" s="14">
        <f>C22*10000</f>
        <v>49.6483243690526</v>
      </c>
      <c r="D28" s="14">
        <f>D22*10000</f>
        <v>96.4757269462331</v>
      </c>
      <c r="E28" s="14">
        <f>E22*10000</f>
        <v>157.016683022571</v>
      </c>
      <c r="F28" s="14">
        <f>F22*10000</f>
        <v>216.557937197437</v>
      </c>
      <c r="G28" s="14">
        <f>G22*10000</f>
        <v>297.916909112068</v>
      </c>
      <c r="H28" s="14">
        <f>H22*10000</f>
        <v>302.537149112068</v>
      </c>
      <c r="I28" s="14">
        <f>I22*10000</f>
        <v>307.306429112068</v>
      </c>
      <c r="J28" s="14">
        <f>J22*10000</f>
        <v>312.224749112068</v>
      </c>
      <c r="K28" s="14">
        <f>K22*10000</f>
        <v>317.292109112068</v>
      </c>
      <c r="L28" s="14">
        <f>L22*10000</f>
        <v>322.508509112068</v>
      </c>
    </row>
    <row r="29">
      <c r="A29" s="8" t="inlineStr">
        <is>
          <t xml:space="preserve">  Change in DM contribution, y/y</t>
        </is>
      </c>
      <c r="B29" s="5" t="inlineStr">
        <is>
          <t>bp</t>
        </is>
      </c>
      <c r="D29" s="19">
        <f>D28-C28</f>
        <v>46.8274025771806</v>
      </c>
      <c r="E29" s="19">
        <f>E28-D28</f>
        <v>60.540956076338</v>
      </c>
      <c r="F29" s="19">
        <f>F28-E28</f>
        <v>59.5412541748657</v>
      </c>
      <c r="G29" s="19">
        <f>G28-F28</f>
        <v>81.3589719146311</v>
      </c>
      <c r="H29" s="19">
        <f>H28-G28</f>
        <v>4.62023999999997</v>
      </c>
      <c r="I29" s="19">
        <f>I28-H28</f>
        <v>4.76927999999998</v>
      </c>
      <c r="J29" s="19">
        <f>J28-I28</f>
        <v>4.91831999999994</v>
      </c>
      <c r="K29" s="19">
        <f>K28-J28</f>
        <v>5.06736000000001</v>
      </c>
      <c r="L29" s="19">
        <f>L28-K28</f>
        <v>5.21640000000008</v>
      </c>
    </row>
    <row r="31">
      <c r="A31" s="6" t="inlineStr">
        <is>
          <t>History check: how much of the FY2021-FY2025 margin expansion can Discovery Mode explain?</t>
        </is>
      </c>
    </row>
    <row r="32">
      <c r="A32" s="8" t="inlineStr">
        <is>
          <t>Reported gross margin expansion FY2021 -&gt; FY2025</t>
        </is>
      </c>
      <c r="B32" s="5" t="inlineStr">
        <is>
          <t>bp</t>
        </is>
      </c>
      <c r="C32" s="14">
        <f>(G24-C24)*10000</f>
        <v>517.976645412039</v>
      </c>
    </row>
    <row r="33">
      <c r="A33" s="8" t="inlineStr">
        <is>
          <t>Discovery Mode contribution change FY2021 -&gt; FY2025</t>
        </is>
      </c>
      <c r="B33" s="5" t="inlineStr">
        <is>
          <t>bp</t>
        </is>
      </c>
      <c r="C33" s="14">
        <f>G28-C28</f>
        <v>248.268584743015</v>
      </c>
    </row>
    <row r="34">
      <c r="A34" s="8" t="inlineStr">
        <is>
          <t>Share of the expansion explained by Discovery Mode</t>
        </is>
      </c>
      <c r="B34" s="5" t="inlineStr">
        <is>
          <t>%</t>
        </is>
      </c>
      <c r="C34" s="40">
        <f>C33/C32</f>
        <v>0.479304592093188</v>
      </c>
    </row>
    <row r="35">
      <c r="A35" s="5" t="inlineStr">
        <is>
          <t>Cross-check: Investor Day 2026 said 'about a third of the gross margin expansion came from the music business' (music = price/mix, marketplace incl. DM, bundle mechanicals).</t>
        </is>
      </c>
    </row>
    <row r="36">
      <c r="A36" s="8" t="inlineStr">
        <is>
          <t>Share of the music-driven third explained by Discovery Mode</t>
        </is>
      </c>
      <c r="B36" s="5" t="inlineStr">
        <is>
          <t>%</t>
        </is>
      </c>
      <c r="C36" s="40">
        <f>C34/(1/3)</f>
        <v>1.43791377627956</v>
      </c>
    </row>
    <row r="38">
      <c r="A38" s="6" t="inlineStr">
        <is>
          <t>FY2030 check against management targets</t>
        </is>
      </c>
    </row>
    <row r="39">
      <c r="A39" s="8" t="inlineStr">
        <is>
          <t>FY2030 gross margin, this model (selected scenario + your ex-DM path)</t>
        </is>
      </c>
      <c r="B39" s="5" t="inlineStr">
        <is>
          <t>%</t>
        </is>
      </c>
      <c r="C39" s="35">
        <f>L24</f>
        <v>0.347254342124986</v>
      </c>
    </row>
    <row r="40">
      <c r="A40" s="8" t="inlineStr">
        <is>
          <t>Investor Day 21 May 2026 target range, FY2030</t>
        </is>
      </c>
      <c r="B40" s="5" t="inlineStr">
        <is>
          <t>%</t>
        </is>
      </c>
      <c r="C40" s="22" t="n">
        <v>0.35</v>
      </c>
      <c r="D40" s="22" t="n">
        <v>0.4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Discovery Mode gross margin build, all three scenarios</t>
        </is>
      </c>
    </row>
    <row r="2">
      <c r="A2" s="5" t="inlineStr">
        <is>
          <t>DM saving as % of revenue = s_ctx x s_dm x d x r_rec x m, using the CALIBRATED s_ctx and s_dm from Inputs section F (anchored to Marketplace gross profit unless calibration mode = 0). Spotify retains the commission (20-F: cost of revenue 'reflects discounts provided by certain rights holders in return for promotional activities in connection with marketplace programs').</t>
        </is>
      </c>
    </row>
    <row r="4">
      <c r="A4" s="18" t="inlineStr">
        <is>
          <t>EUR m unless stated</t>
        </is>
      </c>
      <c r="B4" s="18" t="inlineStr">
        <is>
          <t>Unit</t>
        </is>
      </c>
      <c r="C4" s="7" t="inlineStr">
        <is>
          <t>FY2021A</t>
        </is>
      </c>
      <c r="D4" s="7" t="inlineStr">
        <is>
          <t>FY2022A</t>
        </is>
      </c>
      <c r="E4" s="7" t="inlineStr">
        <is>
          <t>FY2023A</t>
        </is>
      </c>
      <c r="F4" s="7" t="inlineStr">
        <is>
          <t>FY2024A</t>
        </is>
      </c>
      <c r="G4" s="7" t="inlineStr">
        <is>
          <t>FY2025A</t>
        </is>
      </c>
      <c r="H4" s="7" t="inlineStr">
        <is>
          <t>FY2026E</t>
        </is>
      </c>
      <c r="I4" s="7" t="inlineStr">
        <is>
          <t>FY2027E</t>
        </is>
      </c>
      <c r="J4" s="7" t="inlineStr">
        <is>
          <t>FY2028E</t>
        </is>
      </c>
      <c r="K4" s="7" t="inlineStr">
        <is>
          <t>FY2029E</t>
        </is>
      </c>
      <c r="L4" s="7" t="inlineStr">
        <is>
          <t>FY2030E</t>
        </is>
      </c>
    </row>
    <row r="6">
      <c r="A6" s="6" t="inlineStr">
        <is>
          <t>Bear scenario</t>
        </is>
      </c>
    </row>
    <row r="7">
      <c r="A7" s="8" t="inlineStr">
        <is>
          <t>DM-eligible context share of music streams (s_ctx)</t>
        </is>
      </c>
      <c r="B7" s="5" t="inlineStr">
        <is>
          <t>% of music streams</t>
        </is>
      </c>
      <c r="C7" s="9">
        <f>Inputs!C66</f>
        <v>0.666241604522981</v>
      </c>
      <c r="D7" s="9">
        <f>Inputs!D66</f>
        <v>0.647314324652665</v>
      </c>
      <c r="E7" s="9">
        <f>Inputs!E66</f>
        <v>0.526760208744535</v>
      </c>
      <c r="F7" s="9">
        <f>Inputs!F66</f>
        <v>0.518935322246753</v>
      </c>
      <c r="G7" s="9">
        <f>Inputs!G66</f>
        <v>0.605729007287179</v>
      </c>
      <c r="H7" s="9">
        <f>Inputs!H66</f>
        <v>0.627906579062759</v>
      </c>
      <c r="I7" s="9">
        <f>Inputs!I66</f>
        <v>0.652301908015897</v>
      </c>
      <c r="J7" s="9">
        <f>Inputs!J66</f>
        <v>0.679265166332523</v>
      </c>
      <c r="K7" s="9">
        <f>Inputs!K66</f>
        <v>0.709224342239886</v>
      </c>
      <c r="L7" s="9">
        <f>Inputs!L66</f>
        <v>0.742708127077526</v>
      </c>
    </row>
    <row r="8">
      <c r="A8" s="8" t="inlineStr">
        <is>
          <t>DM-enrolled share of context streams (s_dm)</t>
        </is>
      </c>
      <c r="B8" s="5" t="inlineStr">
        <is>
          <t>% of context streams</t>
        </is>
      </c>
      <c r="C8" s="9">
        <f>Inputs!C72</f>
        <v>0.05</v>
      </c>
      <c r="D8" s="9">
        <f>Inputs!D72</f>
        <v>0.1</v>
      </c>
      <c r="E8" s="9">
        <f>Inputs!E72</f>
        <v>0.2</v>
      </c>
      <c r="F8" s="9">
        <f>Inputs!F72</f>
        <v>0.28</v>
      </c>
      <c r="G8" s="9">
        <f>Inputs!G72</f>
        <v>0.33</v>
      </c>
      <c r="H8" s="9">
        <f>Inputs!H72</f>
        <v>0.315</v>
      </c>
      <c r="I8" s="9">
        <f>Inputs!I72</f>
        <v>0.3</v>
      </c>
      <c r="J8" s="9">
        <f>Inputs!J72</f>
        <v>0.285</v>
      </c>
      <c r="K8" s="9">
        <f>Inputs!K72</f>
        <v>0.27</v>
      </c>
      <c r="L8" s="9">
        <f>Inputs!L72</f>
        <v>0.255</v>
      </c>
    </row>
    <row r="9">
      <c r="A9" s="8" t="inlineStr">
        <is>
          <t>Discovery Mode streams as % of all music streams</t>
        </is>
      </c>
      <c r="B9" s="5" t="inlineStr">
        <is>
          <t>% of music streams</t>
        </is>
      </c>
      <c r="C9" s="11">
        <f>C7*C8</f>
        <v>0.0333120802261491</v>
      </c>
      <c r="D9" s="11">
        <f>D7*D8</f>
        <v>0.0647314324652665</v>
      </c>
      <c r="E9" s="11">
        <f>E7*E8</f>
        <v>0.105352041748907</v>
      </c>
      <c r="F9" s="11">
        <f>F7*F8</f>
        <v>0.145301890229091</v>
      </c>
      <c r="G9" s="11">
        <f>G7*G8</f>
        <v>0.199890572404769</v>
      </c>
      <c r="H9" s="11">
        <f>H7*H8</f>
        <v>0.197790572404769</v>
      </c>
      <c r="I9" s="11">
        <f>I7*I8</f>
        <v>0.195690572404769</v>
      </c>
      <c r="J9" s="11">
        <f>J7*J8</f>
        <v>0.193590572404769</v>
      </c>
      <c r="K9" s="11">
        <f>K7*K8</f>
        <v>0.191490572404769</v>
      </c>
      <c r="L9" s="11">
        <f>L7*L8</f>
        <v>0.189390572404769</v>
      </c>
    </row>
    <row r="10">
      <c r="A10" s="8" t="inlineStr">
        <is>
          <t>Commission on recording royalties (d)</t>
        </is>
      </c>
      <c r="B10" s="5" t="inlineStr">
        <is>
          <t>% of royalty</t>
        </is>
      </c>
      <c r="C10" s="9">
        <f>Inputs!C26</f>
        <v>0.3</v>
      </c>
      <c r="D10" s="9">
        <f>Inputs!D26</f>
        <v>0.3</v>
      </c>
      <c r="E10" s="9">
        <f>Inputs!E26</f>
        <v>0.3</v>
      </c>
      <c r="F10" s="9">
        <f>Inputs!F26</f>
        <v>0.3</v>
      </c>
      <c r="G10" s="9">
        <f>Inputs!G26</f>
        <v>0.3</v>
      </c>
      <c r="H10" s="9">
        <f>Inputs!H26</f>
        <v>0.3</v>
      </c>
      <c r="I10" s="9">
        <f>Inputs!I26</f>
        <v>0.3</v>
      </c>
      <c r="J10" s="9">
        <f>Inputs!J26</f>
        <v>0.25</v>
      </c>
      <c r="K10" s="9">
        <f>Inputs!K26</f>
        <v>0.25</v>
      </c>
      <c r="L10" s="9">
        <f>Inputs!L26</f>
        <v>0.25</v>
      </c>
    </row>
    <row r="11">
      <c r="A11" s="8" t="inlineStr">
        <is>
          <t>Recording royalties % of music revenue (r_rec) x music share of revenue (m)</t>
        </is>
      </c>
      <c r="B11" s="5" t="inlineStr">
        <is>
          <t>% of total rev</t>
        </is>
      </c>
      <c r="C11" s="9">
        <f>Inputs!$C$8*Inputs!$C$9</f>
        <v>0.4968</v>
      </c>
      <c r="D11" s="9">
        <f>Inputs!$C$8*Inputs!$C$9</f>
        <v>0.4968</v>
      </c>
      <c r="E11" s="9">
        <f>Inputs!$C$8*Inputs!$C$9</f>
        <v>0.4968</v>
      </c>
      <c r="F11" s="9">
        <f>Inputs!$C$8*Inputs!$C$9</f>
        <v>0.4968</v>
      </c>
      <c r="G11" s="9">
        <f>Inputs!$C$8*Inputs!$C$9</f>
        <v>0.4968</v>
      </c>
      <c r="H11" s="9">
        <f>Inputs!$C$8*Inputs!$C$9</f>
        <v>0.4968</v>
      </c>
      <c r="I11" s="9">
        <f>Inputs!$C$8*Inputs!$C$9</f>
        <v>0.4968</v>
      </c>
      <c r="J11" s="9">
        <f>Inputs!$C$8*Inputs!$C$9</f>
        <v>0.4968</v>
      </c>
      <c r="K11" s="9">
        <f>Inputs!$C$8*Inputs!$C$9</f>
        <v>0.4968</v>
      </c>
      <c r="L11" s="9">
        <f>Inputs!$C$8*Inputs!$C$9</f>
        <v>0.4968</v>
      </c>
    </row>
    <row r="12">
      <c r="A12" s="3" t="inlineStr">
        <is>
          <t>DM saving as % of total revenue</t>
        </is>
      </c>
      <c r="B12" s="5" t="inlineStr">
        <is>
          <t>% of total rev</t>
        </is>
      </c>
      <c r="C12" s="41">
        <f>C9*C10*C11</f>
        <v>0.00496483243690526</v>
      </c>
      <c r="D12" s="41">
        <f>D9*D10*D11</f>
        <v>0.00964757269462331</v>
      </c>
      <c r="E12" s="41">
        <f>E9*E10*E11</f>
        <v>0.0157016683022571</v>
      </c>
      <c r="F12" s="41">
        <f>F9*F10*F11</f>
        <v>0.0216557937197437</v>
      </c>
      <c r="G12" s="41">
        <f>G9*G10*G11</f>
        <v>0.0297916909112068</v>
      </c>
      <c r="H12" s="41">
        <f>H9*H10*H11</f>
        <v>0.0294787069112068</v>
      </c>
      <c r="I12" s="41">
        <f>I9*I10*I11</f>
        <v>0.0291657229112068</v>
      </c>
      <c r="J12" s="41">
        <f>J9*J10*J11</f>
        <v>0.0240439490926723</v>
      </c>
      <c r="K12" s="41">
        <f>K9*K10*K11</f>
        <v>0.0237831290926723</v>
      </c>
      <c r="L12" s="41">
        <f>L9*L10*L11</f>
        <v>0.0235223090926723</v>
      </c>
    </row>
    <row r="13">
      <c r="A13" s="8" t="inlineStr">
        <is>
          <t>Total revenue used</t>
        </is>
      </c>
      <c r="B13" s="5" t="inlineStr">
        <is>
          <t>EUR m</t>
        </is>
      </c>
      <c r="C13" s="15">
        <f>'Revenue &amp; GM'!C13</f>
        <v>9668</v>
      </c>
      <c r="D13" s="15">
        <f>'Revenue &amp; GM'!D13</f>
        <v>11727</v>
      </c>
      <c r="E13" s="15">
        <f>'Revenue &amp; GM'!E13</f>
        <v>13247</v>
      </c>
      <c r="F13" s="15">
        <f>'Revenue &amp; GM'!F13</f>
        <v>15673</v>
      </c>
      <c r="G13" s="15">
        <f>'Revenue &amp; GM'!G13</f>
        <v>17186</v>
      </c>
      <c r="H13" s="15">
        <f>'Revenue &amp; GM'!H13</f>
        <v>19691.9232</v>
      </c>
      <c r="I13" s="15">
        <f>'Revenue &amp; GM'!I13</f>
        <v>22144.258992</v>
      </c>
      <c r="J13" s="15">
        <f>'Revenue &amp; GM'!J13</f>
        <v>24634.66414368</v>
      </c>
      <c r="K13" s="15">
        <f>'Revenue &amp; GM'!K13</f>
        <v>27037.0571028192</v>
      </c>
      <c r="L13" s="15">
        <f>'Revenue &amp; GM'!L13</f>
        <v>29442.0757924872</v>
      </c>
    </row>
    <row r="14">
      <c r="A14" s="3" t="inlineStr">
        <is>
          <t>Discovery Mode gross profit</t>
        </is>
      </c>
      <c r="B14" s="5" t="inlineStr">
        <is>
          <t>EUR m</t>
        </is>
      </c>
      <c r="C14" s="34">
        <f>C12*C13</f>
        <v>48</v>
      </c>
      <c r="D14" s="34">
        <f>D12*D13</f>
        <v>113.137084989848</v>
      </c>
      <c r="E14" s="34">
        <f>E12*E13</f>
        <v>208</v>
      </c>
      <c r="F14" s="34">
        <f>F12*F13</f>
        <v>339.411254969543</v>
      </c>
      <c r="G14" s="34">
        <f>G12*G13</f>
        <v>512</v>
      </c>
      <c r="H14" s="34">
        <f>H12*H13</f>
        <v>580.492432530793</v>
      </c>
      <c r="I14" s="34">
        <f>I12*I13</f>
        <v>645.853321834671</v>
      </c>
      <c r="J14" s="34">
        <f>J12*J13</f>
        <v>592.314610585722</v>
      </c>
      <c r="K14" s="34">
        <f>K12*K13</f>
        <v>643.025819362302</v>
      </c>
      <c r="L14" s="34">
        <f>L12*L13</f>
        <v>692.545607120769</v>
      </c>
    </row>
    <row r="15">
      <c r="A15" s="3" t="inlineStr">
        <is>
          <t>Gross margin contribution</t>
        </is>
      </c>
      <c r="B15" s="5" t="inlineStr">
        <is>
          <t>bp</t>
        </is>
      </c>
      <c r="C15" s="42">
        <f>C12*10000</f>
        <v>49.6483243690526</v>
      </c>
      <c r="D15" s="42">
        <f>D12*10000</f>
        <v>96.4757269462331</v>
      </c>
      <c r="E15" s="42">
        <f>E12*10000</f>
        <v>157.016683022571</v>
      </c>
      <c r="F15" s="42">
        <f>F12*10000</f>
        <v>216.557937197437</v>
      </c>
      <c r="G15" s="42">
        <f>G12*10000</f>
        <v>297.916909112068</v>
      </c>
      <c r="H15" s="42">
        <f>H12*10000</f>
        <v>294.787069112068</v>
      </c>
      <c r="I15" s="42">
        <f>I12*10000</f>
        <v>291.657229112068</v>
      </c>
      <c r="J15" s="42">
        <f>J12*10000</f>
        <v>240.439490926723</v>
      </c>
      <c r="K15" s="42">
        <f>K12*10000</f>
        <v>237.831290926723</v>
      </c>
      <c r="L15" s="42">
        <f>L12*10000</f>
        <v>235.223090926723</v>
      </c>
    </row>
    <row r="16">
      <c r="A16" s="8" t="inlineStr">
        <is>
          <t xml:space="preserve">  change y/y</t>
        </is>
      </c>
      <c r="B16" s="5" t="inlineStr">
        <is>
          <t>bp</t>
        </is>
      </c>
      <c r="D16" s="19">
        <f>D15-C15</f>
        <v>46.8274025771806</v>
      </c>
      <c r="E16" s="19">
        <f>E15-D15</f>
        <v>60.540956076338</v>
      </c>
      <c r="F16" s="19">
        <f>F15-E15</f>
        <v>59.5412541748657</v>
      </c>
      <c r="G16" s="19">
        <f>G15-F15</f>
        <v>81.3589719146311</v>
      </c>
      <c r="H16" s="19">
        <f>H15-G15</f>
        <v>-3.12984000000006</v>
      </c>
      <c r="I16" s="19">
        <f>I15-H15</f>
        <v>-3.12984</v>
      </c>
      <c r="J16" s="19">
        <f>J15-I15</f>
        <v>-51.2177381853447</v>
      </c>
      <c r="K16" s="19">
        <f>K15-J15</f>
        <v>-2.60820000000001</v>
      </c>
      <c r="L16" s="19">
        <f>L15-K15</f>
        <v>-2.60819999999998</v>
      </c>
    </row>
    <row r="19">
      <c r="A19" s="6" t="inlineStr">
        <is>
          <t>Base scenario</t>
        </is>
      </c>
    </row>
    <row r="20">
      <c r="A20" s="8" t="inlineStr">
        <is>
          <t>DM-eligible context share of music streams (s_ctx)</t>
        </is>
      </c>
      <c r="B20" s="5" t="inlineStr">
        <is>
          <t>% of music streams</t>
        </is>
      </c>
      <c r="C20" s="9">
        <f>Inputs!C67</f>
        <v>0.666241604522981</v>
      </c>
      <c r="D20" s="9">
        <f>Inputs!D67</f>
        <v>0.647314324652665</v>
      </c>
      <c r="E20" s="9">
        <f>Inputs!E67</f>
        <v>0.526760208744535</v>
      </c>
      <c r="F20" s="9">
        <f>Inputs!F67</f>
        <v>0.518935322246753</v>
      </c>
      <c r="G20" s="9">
        <f>Inputs!G67</f>
        <v>0.605729007287179</v>
      </c>
      <c r="H20" s="9">
        <f>Inputs!H67</f>
        <v>0.597031095308145</v>
      </c>
      <c r="I20" s="9">
        <f>Inputs!I67</f>
        <v>0.589115921156483</v>
      </c>
      <c r="J20" s="9">
        <f>Inputs!J67</f>
        <v>0.581918256679914</v>
      </c>
      <c r="K20" s="9">
        <f>Inputs!K67</f>
        <v>0.575379925418295</v>
      </c>
      <c r="L20" s="9">
        <f>Inputs!L67</f>
        <v>0.569448874749392</v>
      </c>
    </row>
    <row r="21">
      <c r="A21" s="8" t="inlineStr">
        <is>
          <t>DM-enrolled share of context streams (s_dm)</t>
        </is>
      </c>
      <c r="B21" s="5" t="inlineStr">
        <is>
          <t>% of context streams</t>
        </is>
      </c>
      <c r="C21" s="9">
        <f>Inputs!C73</f>
        <v>0.05</v>
      </c>
      <c r="D21" s="9">
        <f>Inputs!D73</f>
        <v>0.1</v>
      </c>
      <c r="E21" s="9">
        <f>Inputs!E73</f>
        <v>0.2</v>
      </c>
      <c r="F21" s="9">
        <f>Inputs!F73</f>
        <v>0.28</v>
      </c>
      <c r="G21" s="9">
        <f>Inputs!G73</f>
        <v>0.33</v>
      </c>
      <c r="H21" s="9">
        <f>Inputs!H73</f>
        <v>0.34</v>
      </c>
      <c r="I21" s="9">
        <f>Inputs!I73</f>
        <v>0.35</v>
      </c>
      <c r="J21" s="9">
        <f>Inputs!J73</f>
        <v>0.36</v>
      </c>
      <c r="K21" s="9">
        <f>Inputs!K73</f>
        <v>0.37</v>
      </c>
      <c r="L21" s="9">
        <f>Inputs!L73</f>
        <v>0.38</v>
      </c>
    </row>
    <row r="22">
      <c r="A22" s="8" t="inlineStr">
        <is>
          <t>Discovery Mode streams as % of all music streams</t>
        </is>
      </c>
      <c r="B22" s="5" t="inlineStr">
        <is>
          <t>% of music streams</t>
        </is>
      </c>
      <c r="C22" s="11">
        <f>C20*C21</f>
        <v>0.0333120802261491</v>
      </c>
      <c r="D22" s="11">
        <f>D20*D21</f>
        <v>0.0647314324652665</v>
      </c>
      <c r="E22" s="11">
        <f>E20*E21</f>
        <v>0.105352041748907</v>
      </c>
      <c r="F22" s="11">
        <f>F20*F21</f>
        <v>0.145301890229091</v>
      </c>
      <c r="G22" s="11">
        <f>G20*G21</f>
        <v>0.199890572404769</v>
      </c>
      <c r="H22" s="11">
        <f>H20*H21</f>
        <v>0.202990572404769</v>
      </c>
      <c r="I22" s="11">
        <f>I20*I21</f>
        <v>0.206190572404769</v>
      </c>
      <c r="J22" s="11">
        <f>J20*J21</f>
        <v>0.209490572404769</v>
      </c>
      <c r="K22" s="11">
        <f>K20*K21</f>
        <v>0.212890572404769</v>
      </c>
      <c r="L22" s="11">
        <f>L20*L21</f>
        <v>0.216390572404769</v>
      </c>
    </row>
    <row r="23">
      <c r="A23" s="8" t="inlineStr">
        <is>
          <t>Commission on recording royalties (d)</t>
        </is>
      </c>
      <c r="B23" s="5" t="inlineStr">
        <is>
          <t>% of royalty</t>
        </is>
      </c>
      <c r="C23" s="9">
        <f>Inputs!C27</f>
        <v>0.3</v>
      </c>
      <c r="D23" s="9">
        <f>Inputs!D27</f>
        <v>0.3</v>
      </c>
      <c r="E23" s="9">
        <f>Inputs!E27</f>
        <v>0.3</v>
      </c>
      <c r="F23" s="9">
        <f>Inputs!F27</f>
        <v>0.3</v>
      </c>
      <c r="G23" s="9">
        <f>Inputs!G27</f>
        <v>0.3</v>
      </c>
      <c r="H23" s="9">
        <f>Inputs!H27</f>
        <v>0.3</v>
      </c>
      <c r="I23" s="9">
        <f>Inputs!I27</f>
        <v>0.3</v>
      </c>
      <c r="J23" s="9">
        <f>Inputs!J27</f>
        <v>0.3</v>
      </c>
      <c r="K23" s="9">
        <f>Inputs!K27</f>
        <v>0.3</v>
      </c>
      <c r="L23" s="9">
        <f>Inputs!L27</f>
        <v>0.3</v>
      </c>
    </row>
    <row r="24">
      <c r="A24" s="8" t="inlineStr">
        <is>
          <t>Recording royalties % of music revenue (r_rec) x music share of revenue (m)</t>
        </is>
      </c>
      <c r="B24" s="5" t="inlineStr">
        <is>
          <t>% of total rev</t>
        </is>
      </c>
      <c r="C24" s="9">
        <f>Inputs!$C$8*Inputs!$C$9</f>
        <v>0.4968</v>
      </c>
      <c r="D24" s="9">
        <f>Inputs!$C$8*Inputs!$C$9</f>
        <v>0.4968</v>
      </c>
      <c r="E24" s="9">
        <f>Inputs!$C$8*Inputs!$C$9</f>
        <v>0.4968</v>
      </c>
      <c r="F24" s="9">
        <f>Inputs!$C$8*Inputs!$C$9</f>
        <v>0.4968</v>
      </c>
      <c r="G24" s="9">
        <f>Inputs!$C$8*Inputs!$C$9</f>
        <v>0.4968</v>
      </c>
      <c r="H24" s="9">
        <f>Inputs!$C$8*Inputs!$C$9</f>
        <v>0.4968</v>
      </c>
      <c r="I24" s="9">
        <f>Inputs!$C$8*Inputs!$C$9</f>
        <v>0.4968</v>
      </c>
      <c r="J24" s="9">
        <f>Inputs!$C$8*Inputs!$C$9</f>
        <v>0.4968</v>
      </c>
      <c r="K24" s="9">
        <f>Inputs!$C$8*Inputs!$C$9</f>
        <v>0.4968</v>
      </c>
      <c r="L24" s="9">
        <f>Inputs!$C$8*Inputs!$C$9</f>
        <v>0.4968</v>
      </c>
    </row>
    <row r="25">
      <c r="A25" s="3" t="inlineStr">
        <is>
          <t>DM saving as % of total revenue</t>
        </is>
      </c>
      <c r="B25" s="5" t="inlineStr">
        <is>
          <t>% of total rev</t>
        </is>
      </c>
      <c r="C25" s="41">
        <f>C22*C23*C24</f>
        <v>0.00496483243690526</v>
      </c>
      <c r="D25" s="41">
        <f>D22*D23*D24</f>
        <v>0.00964757269462331</v>
      </c>
      <c r="E25" s="41">
        <f>E22*E23*E24</f>
        <v>0.0157016683022571</v>
      </c>
      <c r="F25" s="41">
        <f>F22*F23*F24</f>
        <v>0.0216557937197437</v>
      </c>
      <c r="G25" s="41">
        <f>G22*G23*G24</f>
        <v>0.0297916909112068</v>
      </c>
      <c r="H25" s="41">
        <f>H22*H23*H24</f>
        <v>0.0302537149112068</v>
      </c>
      <c r="I25" s="41">
        <f>I22*I23*I24</f>
        <v>0.0307306429112068</v>
      </c>
      <c r="J25" s="41">
        <f>J22*J23*J24</f>
        <v>0.0312224749112068</v>
      </c>
      <c r="K25" s="41">
        <f>K22*K23*K24</f>
        <v>0.0317292109112068</v>
      </c>
      <c r="L25" s="41">
        <f>L22*L23*L24</f>
        <v>0.0322508509112068</v>
      </c>
    </row>
    <row r="26">
      <c r="A26" s="8" t="inlineStr">
        <is>
          <t>Total revenue used</t>
        </is>
      </c>
      <c r="B26" s="5" t="inlineStr">
        <is>
          <t>EUR m</t>
        </is>
      </c>
      <c r="C26" s="15">
        <f>'Revenue &amp; GM'!C13</f>
        <v>9668</v>
      </c>
      <c r="D26" s="15">
        <f>'Revenue &amp; GM'!D13</f>
        <v>11727</v>
      </c>
      <c r="E26" s="15">
        <f>'Revenue &amp; GM'!E13</f>
        <v>13247</v>
      </c>
      <c r="F26" s="15">
        <f>'Revenue &amp; GM'!F13</f>
        <v>15673</v>
      </c>
      <c r="G26" s="15">
        <f>'Revenue &amp; GM'!G13</f>
        <v>17186</v>
      </c>
      <c r="H26" s="15">
        <f>'Revenue &amp; GM'!H13</f>
        <v>19691.9232</v>
      </c>
      <c r="I26" s="15">
        <f>'Revenue &amp; GM'!I13</f>
        <v>22144.258992</v>
      </c>
      <c r="J26" s="15">
        <f>'Revenue &amp; GM'!J13</f>
        <v>24634.66414368</v>
      </c>
      <c r="K26" s="15">
        <f>'Revenue &amp; GM'!K13</f>
        <v>27037.0571028192</v>
      </c>
      <c r="L26" s="15">
        <f>'Revenue &amp; GM'!L13</f>
        <v>29442.0757924872</v>
      </c>
    </row>
    <row r="27">
      <c r="A27" s="3" t="inlineStr">
        <is>
          <t>Discovery Mode gross profit</t>
        </is>
      </c>
      <c r="B27" s="5" t="inlineStr">
        <is>
          <t>EUR m</t>
        </is>
      </c>
      <c r="C27" s="34">
        <f>C25*C26</f>
        <v>48</v>
      </c>
      <c r="D27" s="34">
        <f>D25*D26</f>
        <v>113.137084989848</v>
      </c>
      <c r="E27" s="34">
        <f>E25*E26</f>
        <v>208</v>
      </c>
      <c r="F27" s="34">
        <f>F25*F26</f>
        <v>339.411254969543</v>
      </c>
      <c r="G27" s="34">
        <f>G25*G26</f>
        <v>512</v>
      </c>
      <c r="H27" s="34">
        <f>H25*H26</f>
        <v>595.753830546179</v>
      </c>
      <c r="I27" s="34">
        <f>I25*I26</f>
        <v>680.507315616432</v>
      </c>
      <c r="J27" s="34">
        <f>J25*J26</f>
        <v>769.155183172054</v>
      </c>
      <c r="K27" s="34">
        <f>K25*K26</f>
        <v>857.864487233692</v>
      </c>
      <c r="L27" s="34">
        <f>L25*L26</f>
        <v>949.531996899955</v>
      </c>
    </row>
    <row r="28">
      <c r="A28" s="3" t="inlineStr">
        <is>
          <t>Gross margin contribution</t>
        </is>
      </c>
      <c r="B28" s="5" t="inlineStr">
        <is>
          <t>bp</t>
        </is>
      </c>
      <c r="C28" s="42">
        <f>C25*10000</f>
        <v>49.6483243690526</v>
      </c>
      <c r="D28" s="42">
        <f>D25*10000</f>
        <v>96.4757269462331</v>
      </c>
      <c r="E28" s="42">
        <f>E25*10000</f>
        <v>157.016683022571</v>
      </c>
      <c r="F28" s="42">
        <f>F25*10000</f>
        <v>216.557937197437</v>
      </c>
      <c r="G28" s="42">
        <f>G25*10000</f>
        <v>297.916909112068</v>
      </c>
      <c r="H28" s="42">
        <f>H25*10000</f>
        <v>302.537149112068</v>
      </c>
      <c r="I28" s="42">
        <f>I25*10000</f>
        <v>307.306429112068</v>
      </c>
      <c r="J28" s="42">
        <f>J25*10000</f>
        <v>312.224749112068</v>
      </c>
      <c r="K28" s="42">
        <f>K25*10000</f>
        <v>317.292109112068</v>
      </c>
      <c r="L28" s="42">
        <f>L25*10000</f>
        <v>322.508509112068</v>
      </c>
    </row>
    <row r="29">
      <c r="A29" s="8" t="inlineStr">
        <is>
          <t xml:space="preserve">  change y/y</t>
        </is>
      </c>
      <c r="B29" s="5" t="inlineStr">
        <is>
          <t>bp</t>
        </is>
      </c>
      <c r="D29" s="19">
        <f>D28-C28</f>
        <v>46.8274025771806</v>
      </c>
      <c r="E29" s="19">
        <f>E28-D28</f>
        <v>60.540956076338</v>
      </c>
      <c r="F29" s="19">
        <f>F28-E28</f>
        <v>59.5412541748657</v>
      </c>
      <c r="G29" s="19">
        <f>G28-F28</f>
        <v>81.3589719146311</v>
      </c>
      <c r="H29" s="19">
        <f>H28-G28</f>
        <v>4.62023999999997</v>
      </c>
      <c r="I29" s="19">
        <f>I28-H28</f>
        <v>4.76927999999998</v>
      </c>
      <c r="J29" s="19">
        <f>J28-I28</f>
        <v>4.91831999999994</v>
      </c>
      <c r="K29" s="19">
        <f>K28-J28</f>
        <v>5.06736000000001</v>
      </c>
      <c r="L29" s="19">
        <f>L28-K28</f>
        <v>5.21640000000008</v>
      </c>
    </row>
    <row r="32">
      <c r="A32" s="6" t="inlineStr">
        <is>
          <t>Bull scenario</t>
        </is>
      </c>
    </row>
    <row r="33">
      <c r="A33" s="8" t="inlineStr">
        <is>
          <t>DM-eligible context share of music streams (s_ctx)</t>
        </is>
      </c>
      <c r="B33" s="5" t="inlineStr">
        <is>
          <t>% of music streams</t>
        </is>
      </c>
      <c r="C33" s="9">
        <f>Inputs!C68</f>
        <v>0.666241604522981</v>
      </c>
      <c r="D33" s="9">
        <f>Inputs!D68</f>
        <v>0.647314324652665</v>
      </c>
      <c r="E33" s="9">
        <f>Inputs!E68</f>
        <v>0.526760208744535</v>
      </c>
      <c r="F33" s="9">
        <f>Inputs!F68</f>
        <v>0.518935322246753</v>
      </c>
      <c r="G33" s="9">
        <f>Inputs!G68</f>
        <v>0.605729007287179</v>
      </c>
      <c r="H33" s="9">
        <f>Inputs!H68</f>
        <v>0.589115921156483</v>
      </c>
      <c r="I33" s="9">
        <f>Inputs!I68</f>
        <v>0.547419935825044</v>
      </c>
      <c r="J33" s="9">
        <f>Inputs!J68</f>
        <v>0.53778147781268</v>
      </c>
      <c r="K33" s="9">
        <f>Inputs!K68</f>
        <v>0.530188692509936</v>
      </c>
      <c r="L33" s="9">
        <f>Inputs!L68</f>
        <v>0.527381144809538</v>
      </c>
    </row>
    <row r="34">
      <c r="A34" s="8" t="inlineStr">
        <is>
          <t>DM-enrolled share of context streams (s_dm)</t>
        </is>
      </c>
      <c r="B34" s="5" t="inlineStr">
        <is>
          <t>% of context streams</t>
        </is>
      </c>
      <c r="C34" s="9">
        <f>Inputs!C74</f>
        <v>0.05</v>
      </c>
      <c r="D34" s="9">
        <f>Inputs!D74</f>
        <v>0.1</v>
      </c>
      <c r="E34" s="9">
        <f>Inputs!E74</f>
        <v>0.2</v>
      </c>
      <c r="F34" s="9">
        <f>Inputs!F74</f>
        <v>0.28</v>
      </c>
      <c r="G34" s="9">
        <f>Inputs!G74</f>
        <v>0.33</v>
      </c>
      <c r="H34" s="9">
        <f>Inputs!H74</f>
        <v>0.35</v>
      </c>
      <c r="I34" s="9">
        <f>Inputs!I74</f>
        <v>0.43</v>
      </c>
      <c r="J34" s="9">
        <f>Inputs!J74</f>
        <v>0.455</v>
      </c>
      <c r="K34" s="9">
        <f>Inputs!K74</f>
        <v>0.48</v>
      </c>
      <c r="L34" s="9">
        <f>Inputs!L74</f>
        <v>0.5</v>
      </c>
    </row>
    <row r="35">
      <c r="A35" s="8" t="inlineStr">
        <is>
          <t>Discovery Mode streams as % of all music streams</t>
        </is>
      </c>
      <c r="B35" s="5" t="inlineStr">
        <is>
          <t>% of music streams</t>
        </is>
      </c>
      <c r="C35" s="11">
        <f>C33*C34</f>
        <v>0.0333120802261491</v>
      </c>
      <c r="D35" s="11">
        <f>D33*D34</f>
        <v>0.0647314324652665</v>
      </c>
      <c r="E35" s="11">
        <f>E33*E34</f>
        <v>0.105352041748907</v>
      </c>
      <c r="F35" s="11">
        <f>F33*F34</f>
        <v>0.145301890229091</v>
      </c>
      <c r="G35" s="11">
        <f>G33*G34</f>
        <v>0.199890572404769</v>
      </c>
      <c r="H35" s="11">
        <f>H33*H34</f>
        <v>0.206190572404769</v>
      </c>
      <c r="I35" s="11">
        <f>I33*I34</f>
        <v>0.235390572404769</v>
      </c>
      <c r="J35" s="11">
        <f>J33*J34</f>
        <v>0.244690572404769</v>
      </c>
      <c r="K35" s="11">
        <f>K33*K34</f>
        <v>0.254490572404769</v>
      </c>
      <c r="L35" s="11">
        <f>L33*L34</f>
        <v>0.263690572404769</v>
      </c>
    </row>
    <row r="36">
      <c r="A36" s="8" t="inlineStr">
        <is>
          <t>Commission on recording royalties (d)</t>
        </is>
      </c>
      <c r="B36" s="5" t="inlineStr">
        <is>
          <t>% of royalty</t>
        </is>
      </c>
      <c r="C36" s="9">
        <f>Inputs!C28</f>
        <v>0.3</v>
      </c>
      <c r="D36" s="9">
        <f>Inputs!D28</f>
        <v>0.3</v>
      </c>
      <c r="E36" s="9">
        <f>Inputs!E28</f>
        <v>0.3</v>
      </c>
      <c r="F36" s="9">
        <f>Inputs!F28</f>
        <v>0.3</v>
      </c>
      <c r="G36" s="9">
        <f>Inputs!G28</f>
        <v>0.3</v>
      </c>
      <c r="H36" s="9">
        <f>Inputs!H28</f>
        <v>0.3</v>
      </c>
      <c r="I36" s="9">
        <f>Inputs!I28</f>
        <v>0.3</v>
      </c>
      <c r="J36" s="9">
        <f>Inputs!J28</f>
        <v>0.3</v>
      </c>
      <c r="K36" s="9">
        <f>Inputs!K28</f>
        <v>0.3</v>
      </c>
      <c r="L36" s="9">
        <f>Inputs!L28</f>
        <v>0.3</v>
      </c>
    </row>
    <row r="37">
      <c r="A37" s="8" t="inlineStr">
        <is>
          <t>Recording royalties % of music revenue (r_rec) x music share of revenue (m)</t>
        </is>
      </c>
      <c r="B37" s="5" t="inlineStr">
        <is>
          <t>% of total rev</t>
        </is>
      </c>
      <c r="C37" s="9">
        <f>Inputs!$C$8*Inputs!$C$9</f>
        <v>0.4968</v>
      </c>
      <c r="D37" s="9">
        <f>Inputs!$C$8*Inputs!$C$9</f>
        <v>0.4968</v>
      </c>
      <c r="E37" s="9">
        <f>Inputs!$C$8*Inputs!$C$9</f>
        <v>0.4968</v>
      </c>
      <c r="F37" s="9">
        <f>Inputs!$C$8*Inputs!$C$9</f>
        <v>0.4968</v>
      </c>
      <c r="G37" s="9">
        <f>Inputs!$C$8*Inputs!$C$9</f>
        <v>0.4968</v>
      </c>
      <c r="H37" s="9">
        <f>Inputs!$C$8*Inputs!$C$9</f>
        <v>0.4968</v>
      </c>
      <c r="I37" s="9">
        <f>Inputs!$C$8*Inputs!$C$9</f>
        <v>0.4968</v>
      </c>
      <c r="J37" s="9">
        <f>Inputs!$C$8*Inputs!$C$9</f>
        <v>0.4968</v>
      </c>
      <c r="K37" s="9">
        <f>Inputs!$C$8*Inputs!$C$9</f>
        <v>0.4968</v>
      </c>
      <c r="L37" s="9">
        <f>Inputs!$C$8*Inputs!$C$9</f>
        <v>0.4968</v>
      </c>
    </row>
    <row r="38">
      <c r="A38" s="3" t="inlineStr">
        <is>
          <t>DM saving as % of total revenue</t>
        </is>
      </c>
      <c r="B38" s="5" t="inlineStr">
        <is>
          <t>% of total rev</t>
        </is>
      </c>
      <c r="C38" s="41">
        <f>C35*C36*C37</f>
        <v>0.00496483243690526</v>
      </c>
      <c r="D38" s="41">
        <f>D35*D36*D37</f>
        <v>0.00964757269462331</v>
      </c>
      <c r="E38" s="41">
        <f>E35*E36*E37</f>
        <v>0.0157016683022571</v>
      </c>
      <c r="F38" s="41">
        <f>F35*F36*F37</f>
        <v>0.0216557937197437</v>
      </c>
      <c r="G38" s="41">
        <f>G35*G36*G37</f>
        <v>0.0297916909112068</v>
      </c>
      <c r="H38" s="41">
        <f>H35*H36*H37</f>
        <v>0.0307306429112068</v>
      </c>
      <c r="I38" s="41">
        <f>I35*I36*I37</f>
        <v>0.0350826109112068</v>
      </c>
      <c r="J38" s="41">
        <f>J35*J36*J37</f>
        <v>0.0364686829112068</v>
      </c>
      <c r="K38" s="41">
        <f>K35*K36*K37</f>
        <v>0.0379292749112068</v>
      </c>
      <c r="L38" s="41">
        <f>L35*L36*L37</f>
        <v>0.0393004429112068</v>
      </c>
    </row>
    <row r="39">
      <c r="A39" s="8" t="inlineStr">
        <is>
          <t>Total revenue used</t>
        </is>
      </c>
      <c r="B39" s="5" t="inlineStr">
        <is>
          <t>EUR m</t>
        </is>
      </c>
      <c r="C39" s="15">
        <f>'Revenue &amp; GM'!C13</f>
        <v>9668</v>
      </c>
      <c r="D39" s="15">
        <f>'Revenue &amp; GM'!D13</f>
        <v>11727</v>
      </c>
      <c r="E39" s="15">
        <f>'Revenue &amp; GM'!E13</f>
        <v>13247</v>
      </c>
      <c r="F39" s="15">
        <f>'Revenue &amp; GM'!F13</f>
        <v>15673</v>
      </c>
      <c r="G39" s="15">
        <f>'Revenue &amp; GM'!G13</f>
        <v>17186</v>
      </c>
      <c r="H39" s="15">
        <f>'Revenue &amp; GM'!H13</f>
        <v>19691.9232</v>
      </c>
      <c r="I39" s="15">
        <f>'Revenue &amp; GM'!I13</f>
        <v>22144.258992</v>
      </c>
      <c r="J39" s="15">
        <f>'Revenue &amp; GM'!J13</f>
        <v>24634.66414368</v>
      </c>
      <c r="K39" s="15">
        <f>'Revenue &amp; GM'!K13</f>
        <v>27037.0571028192</v>
      </c>
      <c r="L39" s="15">
        <f>'Revenue &amp; GM'!L13</f>
        <v>29442.0757924872</v>
      </c>
    </row>
    <row r="40">
      <c r="A40" s="3" t="inlineStr">
        <is>
          <t>Discovery Mode gross profit</t>
        </is>
      </c>
      <c r="B40" s="5" t="inlineStr">
        <is>
          <t>EUR m</t>
        </is>
      </c>
      <c r="C40" s="34">
        <f>C38*C39</f>
        <v>48</v>
      </c>
      <c r="D40" s="34">
        <f>D38*D39</f>
        <v>113.137084989848</v>
      </c>
      <c r="E40" s="34">
        <f>E38*E39</f>
        <v>208</v>
      </c>
      <c r="F40" s="34">
        <f>F38*F39</f>
        <v>339.411254969543</v>
      </c>
      <c r="G40" s="34">
        <f>G38*G39</f>
        <v>512</v>
      </c>
      <c r="H40" s="34">
        <f>H38*H39</f>
        <v>605.145460094109</v>
      </c>
      <c r="I40" s="34">
        <f>I38*I39</f>
        <v>776.878422133328</v>
      </c>
      <c r="J40" s="34">
        <f>J38*J39</f>
        <v>898.393755279942</v>
      </c>
      <c r="K40" s="34">
        <f>K38*K39</f>
        <v>1025.49597164283</v>
      </c>
      <c r="L40" s="34">
        <f>L38*L39</f>
        <v>1157.08661887007</v>
      </c>
    </row>
    <row r="41">
      <c r="A41" s="3" t="inlineStr">
        <is>
          <t>Gross margin contribution</t>
        </is>
      </c>
      <c r="B41" s="5" t="inlineStr">
        <is>
          <t>bp</t>
        </is>
      </c>
      <c r="C41" s="42">
        <f>C38*10000</f>
        <v>49.6483243690526</v>
      </c>
      <c r="D41" s="42">
        <f>D38*10000</f>
        <v>96.4757269462331</v>
      </c>
      <c r="E41" s="42">
        <f>E38*10000</f>
        <v>157.016683022571</v>
      </c>
      <c r="F41" s="42">
        <f>F38*10000</f>
        <v>216.557937197437</v>
      </c>
      <c r="G41" s="42">
        <f>G38*10000</f>
        <v>297.916909112068</v>
      </c>
      <c r="H41" s="42">
        <f>H38*10000</f>
        <v>307.306429112068</v>
      </c>
      <c r="I41" s="42">
        <f>I38*10000</f>
        <v>350.826109112068</v>
      </c>
      <c r="J41" s="42">
        <f>J38*10000</f>
        <v>364.686829112068</v>
      </c>
      <c r="K41" s="42">
        <f>K38*10000</f>
        <v>379.292749112068</v>
      </c>
      <c r="L41" s="42">
        <f>L38*10000</f>
        <v>393.004429112068</v>
      </c>
    </row>
    <row r="42">
      <c r="A42" s="8" t="inlineStr">
        <is>
          <t xml:space="preserve">  change y/y</t>
        </is>
      </c>
      <c r="B42" s="5" t="inlineStr">
        <is>
          <t>bp</t>
        </is>
      </c>
      <c r="D42" s="19">
        <f>D41-C41</f>
        <v>46.8274025771806</v>
      </c>
      <c r="E42" s="19">
        <f>E41-D41</f>
        <v>60.540956076338</v>
      </c>
      <c r="F42" s="19">
        <f>F41-E41</f>
        <v>59.5412541748657</v>
      </c>
      <c r="G42" s="19">
        <f>G41-F41</f>
        <v>81.3589719146311</v>
      </c>
      <c r="H42" s="19">
        <f>H41-G41</f>
        <v>9.38951999999995</v>
      </c>
      <c r="I42" s="19">
        <f>I41-H41</f>
        <v>43.5196799999999</v>
      </c>
      <c r="J42" s="19">
        <f>J41-I41</f>
        <v>13.8607200000001</v>
      </c>
      <c r="K42" s="19">
        <f>K41-J41</f>
        <v>14.6059199999999</v>
      </c>
      <c r="L42" s="19">
        <f>L41-K41</f>
        <v>13.71168</v>
      </c>
    </row>
    <row r="45">
      <c r="A45" s="6" t="inlineStr">
        <is>
          <t>Selected scenario (feeds Revenue &amp; GM)</t>
        </is>
      </c>
      <c r="C45" s="3" t="str">
        <f>CHOOSE(Inputs!$B$4,"Bear","Base","Bull")</f>
        <v>Base</v>
      </c>
    </row>
    <row r="46">
      <c r="A46" s="8" t="inlineStr">
        <is>
          <t>DM-eligible context share of music streams (s_ctx)</t>
        </is>
      </c>
      <c r="B46" s="5" t="inlineStr">
        <is>
          <t>% of music streams</t>
        </is>
      </c>
      <c r="C46" s="9">
        <f>Inputs!C69</f>
        <v>0.666241604522981</v>
      </c>
      <c r="D46" s="9">
        <f>Inputs!D69</f>
        <v>0.647314324652665</v>
      </c>
      <c r="E46" s="9">
        <f>Inputs!E69</f>
        <v>0.526760208744535</v>
      </c>
      <c r="F46" s="9">
        <f>Inputs!F69</f>
        <v>0.518935322246753</v>
      </c>
      <c r="G46" s="9">
        <f>Inputs!G69</f>
        <v>0.605729007287179</v>
      </c>
      <c r="H46" s="9">
        <f>Inputs!H69</f>
        <v>0.597031095308145</v>
      </c>
      <c r="I46" s="9">
        <f>Inputs!I69</f>
        <v>0.589115921156483</v>
      </c>
      <c r="J46" s="9">
        <f>Inputs!J69</f>
        <v>0.581918256679914</v>
      </c>
      <c r="K46" s="9">
        <f>Inputs!K69</f>
        <v>0.575379925418295</v>
      </c>
      <c r="L46" s="9">
        <f>Inputs!L69</f>
        <v>0.569448874749392</v>
      </c>
    </row>
    <row r="47">
      <c r="A47" s="8" t="inlineStr">
        <is>
          <t>DM-enrolled share of context streams (s_dm)</t>
        </is>
      </c>
      <c r="B47" s="5" t="inlineStr">
        <is>
          <t>% of context streams</t>
        </is>
      </c>
      <c r="C47" s="9">
        <f>Inputs!C75</f>
        <v>0.05</v>
      </c>
      <c r="D47" s="9">
        <f>Inputs!D75</f>
        <v>0.1</v>
      </c>
      <c r="E47" s="9">
        <f>Inputs!E75</f>
        <v>0.2</v>
      </c>
      <c r="F47" s="9">
        <f>Inputs!F75</f>
        <v>0.28</v>
      </c>
      <c r="G47" s="9">
        <f>Inputs!G75</f>
        <v>0.33</v>
      </c>
      <c r="H47" s="9">
        <f>Inputs!H75</f>
        <v>0.34</v>
      </c>
      <c r="I47" s="9">
        <f>Inputs!I75</f>
        <v>0.35</v>
      </c>
      <c r="J47" s="9">
        <f>Inputs!J75</f>
        <v>0.36</v>
      </c>
      <c r="K47" s="9">
        <f>Inputs!K75</f>
        <v>0.37</v>
      </c>
      <c r="L47" s="9">
        <f>Inputs!L75</f>
        <v>0.38</v>
      </c>
    </row>
    <row r="48">
      <c r="A48" s="8" t="inlineStr">
        <is>
          <t>Discovery Mode streams as % of all music streams</t>
        </is>
      </c>
      <c r="B48" s="5" t="inlineStr">
        <is>
          <t>% of music streams</t>
        </is>
      </c>
      <c r="C48" s="11">
        <f>C46*C47</f>
        <v>0.0333120802261491</v>
      </c>
      <c r="D48" s="11">
        <f>D46*D47</f>
        <v>0.0647314324652665</v>
      </c>
      <c r="E48" s="11">
        <f>E46*E47</f>
        <v>0.105352041748907</v>
      </c>
      <c r="F48" s="11">
        <f>F46*F47</f>
        <v>0.145301890229091</v>
      </c>
      <c r="G48" s="11">
        <f>G46*G47</f>
        <v>0.199890572404769</v>
      </c>
      <c r="H48" s="11">
        <f>H46*H47</f>
        <v>0.202990572404769</v>
      </c>
      <c r="I48" s="11">
        <f>I46*I47</f>
        <v>0.206190572404769</v>
      </c>
      <c r="J48" s="11">
        <f>J46*J47</f>
        <v>0.209490572404769</v>
      </c>
      <c r="K48" s="11">
        <f>K46*K47</f>
        <v>0.212890572404769</v>
      </c>
      <c r="L48" s="11">
        <f>L46*L47</f>
        <v>0.216390572404769</v>
      </c>
    </row>
    <row r="49">
      <c r="A49" s="8" t="inlineStr">
        <is>
          <t>Commission on recording royalties (d)</t>
        </is>
      </c>
      <c r="B49" s="5" t="inlineStr">
        <is>
          <t>% of royalty</t>
        </is>
      </c>
      <c r="C49" s="9">
        <f>Inputs!C29</f>
        <v>0.3</v>
      </c>
      <c r="D49" s="9">
        <f>Inputs!D29</f>
        <v>0.3</v>
      </c>
      <c r="E49" s="9">
        <f>Inputs!E29</f>
        <v>0.3</v>
      </c>
      <c r="F49" s="9">
        <f>Inputs!F29</f>
        <v>0.3</v>
      </c>
      <c r="G49" s="9">
        <f>Inputs!G29</f>
        <v>0.3</v>
      </c>
      <c r="H49" s="9">
        <f>Inputs!H29</f>
        <v>0.3</v>
      </c>
      <c r="I49" s="9">
        <f>Inputs!I29</f>
        <v>0.3</v>
      </c>
      <c r="J49" s="9">
        <f>Inputs!J29</f>
        <v>0.3</v>
      </c>
      <c r="K49" s="9">
        <f>Inputs!K29</f>
        <v>0.3</v>
      </c>
      <c r="L49" s="9">
        <f>Inputs!L29</f>
        <v>0.3</v>
      </c>
    </row>
    <row r="50">
      <c r="A50" s="8" t="inlineStr">
        <is>
          <t>Recording royalties % of music revenue (r_rec) x music share of revenue (m)</t>
        </is>
      </c>
      <c r="B50" s="5" t="inlineStr">
        <is>
          <t>% of total rev</t>
        </is>
      </c>
      <c r="C50" s="9">
        <f>Inputs!$C$8*Inputs!$C$9</f>
        <v>0.4968</v>
      </c>
      <c r="D50" s="9">
        <f>Inputs!$C$8*Inputs!$C$9</f>
        <v>0.4968</v>
      </c>
      <c r="E50" s="9">
        <f>Inputs!$C$8*Inputs!$C$9</f>
        <v>0.4968</v>
      </c>
      <c r="F50" s="9">
        <f>Inputs!$C$8*Inputs!$C$9</f>
        <v>0.4968</v>
      </c>
      <c r="G50" s="9">
        <f>Inputs!$C$8*Inputs!$C$9</f>
        <v>0.4968</v>
      </c>
      <c r="H50" s="9">
        <f>Inputs!$C$8*Inputs!$C$9</f>
        <v>0.4968</v>
      </c>
      <c r="I50" s="9">
        <f>Inputs!$C$8*Inputs!$C$9</f>
        <v>0.4968</v>
      </c>
      <c r="J50" s="9">
        <f>Inputs!$C$8*Inputs!$C$9</f>
        <v>0.4968</v>
      </c>
      <c r="K50" s="9">
        <f>Inputs!$C$8*Inputs!$C$9</f>
        <v>0.4968</v>
      </c>
      <c r="L50" s="9">
        <f>Inputs!$C$8*Inputs!$C$9</f>
        <v>0.4968</v>
      </c>
    </row>
    <row r="51">
      <c r="A51" s="3" t="inlineStr">
        <is>
          <t>DM saving as % of total revenue</t>
        </is>
      </c>
      <c r="B51" s="5" t="inlineStr">
        <is>
          <t>% of total rev</t>
        </is>
      </c>
      <c r="C51" s="41">
        <f>C48*C49*C50</f>
        <v>0.00496483243690526</v>
      </c>
      <c r="D51" s="41">
        <f>D48*D49*D50</f>
        <v>0.00964757269462331</v>
      </c>
      <c r="E51" s="41">
        <f>E48*E49*E50</f>
        <v>0.0157016683022571</v>
      </c>
      <c r="F51" s="41">
        <f>F48*F49*F50</f>
        <v>0.0216557937197437</v>
      </c>
      <c r="G51" s="41">
        <f>G48*G49*G50</f>
        <v>0.0297916909112068</v>
      </c>
      <c r="H51" s="41">
        <f>H48*H49*H50</f>
        <v>0.0302537149112068</v>
      </c>
      <c r="I51" s="41">
        <f>I48*I49*I50</f>
        <v>0.0307306429112068</v>
      </c>
      <c r="J51" s="41">
        <f>J48*J49*J50</f>
        <v>0.0312224749112068</v>
      </c>
      <c r="K51" s="41">
        <f>K48*K49*K50</f>
        <v>0.0317292109112068</v>
      </c>
      <c r="L51" s="41">
        <f>L48*L49*L50</f>
        <v>0.0322508509112068</v>
      </c>
    </row>
    <row r="52">
      <c r="A52" s="8" t="inlineStr">
        <is>
          <t>Total revenue used</t>
        </is>
      </c>
      <c r="B52" s="5" t="inlineStr">
        <is>
          <t>EUR m</t>
        </is>
      </c>
      <c r="C52" s="15">
        <f>'Revenue &amp; GM'!C13</f>
        <v>9668</v>
      </c>
      <c r="D52" s="15">
        <f>'Revenue &amp; GM'!D13</f>
        <v>11727</v>
      </c>
      <c r="E52" s="15">
        <f>'Revenue &amp; GM'!E13</f>
        <v>13247</v>
      </c>
      <c r="F52" s="15">
        <f>'Revenue &amp; GM'!F13</f>
        <v>15673</v>
      </c>
      <c r="G52" s="15">
        <f>'Revenue &amp; GM'!G13</f>
        <v>17186</v>
      </c>
      <c r="H52" s="15">
        <f>'Revenue &amp; GM'!H13</f>
        <v>19691.9232</v>
      </c>
      <c r="I52" s="15">
        <f>'Revenue &amp; GM'!I13</f>
        <v>22144.258992</v>
      </c>
      <c r="J52" s="15">
        <f>'Revenue &amp; GM'!J13</f>
        <v>24634.66414368</v>
      </c>
      <c r="K52" s="15">
        <f>'Revenue &amp; GM'!K13</f>
        <v>27037.0571028192</v>
      </c>
      <c r="L52" s="15">
        <f>'Revenue &amp; GM'!L13</f>
        <v>29442.0757924872</v>
      </c>
    </row>
    <row r="53">
      <c r="A53" s="3" t="inlineStr">
        <is>
          <t>Discovery Mode gross profit</t>
        </is>
      </c>
      <c r="B53" s="5" t="inlineStr">
        <is>
          <t>EUR m</t>
        </is>
      </c>
      <c r="C53" s="34">
        <f>C51*C52</f>
        <v>48</v>
      </c>
      <c r="D53" s="34">
        <f>D51*D52</f>
        <v>113.137084989848</v>
      </c>
      <c r="E53" s="34">
        <f>E51*E52</f>
        <v>208</v>
      </c>
      <c r="F53" s="34">
        <f>F51*F52</f>
        <v>339.411254969543</v>
      </c>
      <c r="G53" s="34">
        <f>G51*G52</f>
        <v>512</v>
      </c>
      <c r="H53" s="34">
        <f>H51*H52</f>
        <v>595.753830546179</v>
      </c>
      <c r="I53" s="34">
        <f>I51*I52</f>
        <v>680.507315616432</v>
      </c>
      <c r="J53" s="34">
        <f>J51*J52</f>
        <v>769.155183172054</v>
      </c>
      <c r="K53" s="34">
        <f>K51*K52</f>
        <v>857.864487233692</v>
      </c>
      <c r="L53" s="34">
        <f>L51*L52</f>
        <v>949.531996899955</v>
      </c>
    </row>
    <row r="54">
      <c r="A54" s="3" t="inlineStr">
        <is>
          <t>Gross margin contribution</t>
        </is>
      </c>
      <c r="B54" s="5" t="inlineStr">
        <is>
          <t>bp</t>
        </is>
      </c>
      <c r="C54" s="42">
        <f>C51*10000</f>
        <v>49.6483243690526</v>
      </c>
      <c r="D54" s="42">
        <f>D51*10000</f>
        <v>96.4757269462331</v>
      </c>
      <c r="E54" s="42">
        <f>E51*10000</f>
        <v>157.016683022571</v>
      </c>
      <c r="F54" s="42">
        <f>F51*10000</f>
        <v>216.557937197437</v>
      </c>
      <c r="G54" s="42">
        <f>G51*10000</f>
        <v>297.916909112068</v>
      </c>
      <c r="H54" s="42">
        <f>H51*10000</f>
        <v>302.537149112068</v>
      </c>
      <c r="I54" s="42">
        <f>I51*10000</f>
        <v>307.306429112068</v>
      </c>
      <c r="J54" s="42">
        <f>J51*10000</f>
        <v>312.224749112068</v>
      </c>
      <c r="K54" s="42">
        <f>K51*10000</f>
        <v>317.292109112068</v>
      </c>
      <c r="L54" s="42">
        <f>L51*10000</f>
        <v>322.508509112068</v>
      </c>
    </row>
    <row r="55">
      <c r="A55" s="8" t="inlineStr">
        <is>
          <t xml:space="preserve">  change y/y</t>
        </is>
      </c>
      <c r="B55" s="5" t="inlineStr">
        <is>
          <t>bp</t>
        </is>
      </c>
      <c r="D55" s="19">
        <f>D54-C54</f>
        <v>46.8274025771806</v>
      </c>
      <c r="E55" s="19">
        <f>E54-D54</f>
        <v>60.540956076338</v>
      </c>
      <c r="F55" s="19">
        <f>F54-E54</f>
        <v>59.5412541748657</v>
      </c>
      <c r="G55" s="19">
        <f>G54-F54</f>
        <v>81.3589719146311</v>
      </c>
      <c r="H55" s="19">
        <f>H54-G54</f>
        <v>4.62023999999997</v>
      </c>
      <c r="I55" s="19">
        <f>I54-H54</f>
        <v>4.76927999999998</v>
      </c>
      <c r="J55" s="19">
        <f>J54-I54</f>
        <v>4.91831999999994</v>
      </c>
      <c r="K55" s="19">
        <f>K54-J54</f>
        <v>5.06736000000001</v>
      </c>
      <c r="L55" s="19">
        <f>L54-K54</f>
        <v>5.21640000000008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46" customWidth="1" min="3" max="3"/>
    <col width="40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Triangulating the two unknowns: s_ctx (context share) and s_dm (DM share of context)</t>
        </is>
      </c>
    </row>
    <row r="2">
      <c r="A2" s="5" t="inlineStr">
        <is>
          <t>Spotify has never disclosed either figure. Every row below is a public data point and what it bounds; the selection at the bottom of each section feeds Inputs.</t>
        </is>
      </c>
    </row>
    <row r="4">
      <c r="A4" s="6" t="inlineStr">
        <is>
          <t>A. What share of music streams happens in Discovery Mode contexts (Radio, Autoplay, Mixes)?</t>
        </is>
      </c>
    </row>
    <row r="5">
      <c r="A5" s="43" t="inlineStr">
        <is>
          <t>Source</t>
        </is>
      </c>
      <c r="B5" s="43" t="inlineStr">
        <is>
          <t>Date</t>
        </is>
      </c>
      <c r="C5" s="43" t="inlineStr">
        <is>
          <t>Figure (as published)</t>
        </is>
      </c>
      <c r="D5" s="43" t="inlineStr">
        <is>
          <t>Scope and what it implies for DM contexts</t>
        </is>
      </c>
      <c r="E5" s="43" t="inlineStr">
        <is>
          <t>Implied low</t>
        </is>
      </c>
      <c r="F5" s="43" t="inlineStr">
        <is>
          <t>Implied high</t>
        </is>
      </c>
      <c r="G5" s="43" t="inlineStr">
        <is>
          <t>Weight</t>
        </is>
      </c>
    </row>
    <row r="6" ht="78" customHeight="1">
      <c r="A6" s="20" t="inlineStr">
        <is>
          <t>Spotify F-1 prospectus</t>
        </is>
      </c>
      <c r="B6" s="8" t="inlineStr">
        <is>
          <t>Feb 2018</t>
        </is>
      </c>
      <c r="C6" s="20" t="inlineStr">
        <is>
          <t>'We now program approximately 31% of all listening on Spotify across these and other playlists, compared to less than 20% two years ago.'</t>
        </is>
      </c>
      <c r="D6" s="20" t="inlineStr">
        <is>
          <t>All listening; editorial + algorithmic playlists. DM contexts are a subset of programmed listening, so 31% is a ceiling for all programmed, not a DM-context estimate.</t>
        </is>
      </c>
      <c r="E6" s="22" t="n">
        <v>0.08</v>
      </c>
      <c r="F6" s="22" t="n">
        <v>0.2</v>
      </c>
      <c r="G6" s="8" t="inlineStr">
        <is>
          <t>Bound</t>
        </is>
      </c>
    </row>
    <row r="7" ht="78" customHeight="1">
      <c r="A7" s="20" t="inlineStr">
        <is>
          <t>Spotify for Artists, 'Made to Be Found'</t>
        </is>
      </c>
      <c r="B7" s="8" t="inlineStr">
        <is>
          <t>26 Jan 2022</t>
        </is>
      </c>
      <c r="C7" s="20" t="inlineStr">
        <is>
          <t>'The majority of streams' come from active sessions; 'more than half of new artist discoveries happen in programmed playlists - with over a quarter coming from Spotify Mixes, Radio, and Autoplay.'</t>
        </is>
      </c>
      <c r="D7" s="20" t="inlineStr">
        <is>
          <t>Programmed streams &lt; 50%. The 'over a quarter' is a share of discoveries, which skew to algorithmic contexts, so the stream share of Mixes/Radio/Autoplay is below 25%.</t>
        </is>
      </c>
      <c r="E7" s="22" t="n">
        <v>0.08</v>
      </c>
      <c r="F7" s="22" t="n">
        <v>0.22</v>
      </c>
      <c r="G7" s="8" t="inlineStr">
        <is>
          <t>Bound</t>
        </is>
      </c>
    </row>
    <row r="8" ht="78" customHeight="1">
      <c r="A8" s="20" t="inlineStr">
        <is>
          <t>Your Music Marketing sample, via Music Ally</t>
        </is>
      </c>
      <c r="B8" s="8" t="inlineStr">
        <is>
          <t>Feb 2024</t>
        </is>
      </c>
      <c r="C8" s="20" t="inlineStr">
        <is>
          <t>25.3bn streams, several hundred artists: 18.7% of streams from 'algorithmic playlists and mixes' (radio, Daily Mix, Discover Weekly, Release Radar, On Repeat, Repeat Rewind); 'just over 21%' in the last 12 months.</t>
        </is>
      </c>
      <c r="D8" s="20" t="inlineStr">
        <is>
          <t>Includes Discover Weekly / Release Radar / On Repeat (not DM contexts); Autoplay treatment unspecified. Stripping the non-DM playlists and adding Autoplay lands around 10-16%. Sample skews to marketed artists.</t>
        </is>
      </c>
      <c r="E8" s="22" t="n">
        <v>0.1</v>
      </c>
      <c r="F8" s="22" t="n">
        <v>0.16</v>
      </c>
      <c r="G8" s="8" t="inlineStr">
        <is>
          <t>Primary</t>
        </is>
      </c>
    </row>
    <row r="9" ht="78" customHeight="1">
      <c r="A9" s="20" t="inlineStr">
        <is>
          <t>Anderson et al. (Spotify Research) WWW 2020; Bello &amp; Garcia 2021</t>
        </is>
      </c>
      <c r="B9" s="8" t="inlineStr">
        <is>
          <t>2020-21</t>
        </is>
      </c>
      <c r="C9" s="20" t="inlineStr">
        <is>
          <t>'According to Spotify, up to one-fifth of their streams can be attributed to algorithmic recommendations.'</t>
        </is>
      </c>
      <c r="D9" s="20" t="inlineStr">
        <is>
          <t>All algorithmic recommendations, c.2019-20, before Mixes were DM contexts. Upper bound ~20% for everything algorithmic at that time.</t>
        </is>
      </c>
      <c r="E9" s="22" t="n">
        <v>0.08</v>
      </c>
      <c r="F9" s="22" t="n">
        <v>0.2</v>
      </c>
      <c r="G9" s="8" t="inlineStr">
        <is>
          <t>Bound</t>
        </is>
      </c>
    </row>
    <row r="10" ht="78" customHeight="1">
      <c r="A10" s="20" t="inlineStr">
        <is>
          <t>r/musicmarketing corpus (this project)</t>
        </is>
      </c>
      <c r="B10" s="8" t="inlineStr">
        <is>
          <t>2023-26</t>
        </is>
      </c>
      <c r="C10" s="20" t="inlineStr">
        <is>
          <t>DM-context streams as % of enrolled artists' monthly streams: 3.5%, 3.9%, 4.0%, 5.0% (artists with 500k+ monthly streams); 10%; 33%; 33%; 50% (catalog-heavy, best month). Median 7.5%, n = 8.</t>
        </is>
      </c>
      <c r="D10" s="20" t="inlineStr">
        <is>
          <t>Indie artists only. Understated where only some songs are enrolled; overstated by the DM boost. Suggests big indie acts sit in single digits while catalog-heavy acts can be a third.</t>
        </is>
      </c>
      <c r="E10" s="22" t="n">
        <v>0.04</v>
      </c>
      <c r="F10" s="22" t="n">
        <v>0.33</v>
      </c>
      <c r="G10" s="8" t="inlineStr">
        <is>
          <t>Cross-check</t>
        </is>
      </c>
    </row>
    <row r="11" ht="78" customHeight="1">
      <c r="A11" s="20" t="inlineStr">
        <is>
          <t>Spotify for Artists, Campaign Kit blog</t>
        </is>
      </c>
      <c r="B11" s="8" t="inlineStr">
        <is>
          <t>2024-25</t>
        </is>
      </c>
      <c r="C11" s="20" t="inlineStr">
        <is>
          <t>'In 2024, 35% of all discoveries ... [happened] in algorithmic contexts'; '16 billion artist discoveries every month, a third via algorithmic contexts' (2020).</t>
        </is>
      </c>
      <c r="D11" s="20" t="inlineStr">
        <is>
          <t>Discoveries, not streams. Confirms algorithmic contexts are growing in importance but gives no stream share.</t>
        </is>
      </c>
      <c r="E11" s="22" t="n"/>
      <c r="F11" s="22" t="n"/>
      <c r="G11" s="8" t="inlineStr">
        <is>
          <t>Context</t>
        </is>
      </c>
    </row>
    <row r="13">
      <c r="A13" s="8" t="inlineStr">
        <is>
          <t>Full span of the evidence rows above</t>
        </is>
      </c>
      <c r="E13" s="40">
        <f>MIN(E6:E11)</f>
        <v>0.04</v>
      </c>
      <c r="F13" s="40">
        <f>MAX(F6:F11)</f>
        <v>0.33</v>
      </c>
    </row>
    <row r="14">
      <c r="A14" s="8" t="inlineStr">
        <is>
          <t>Bound and primary rows only (excludes the indie-only Reddit cross-check)</t>
        </is>
      </c>
      <c r="E14" s="40">
        <f>MAX(E6:E9)</f>
        <v>0.1</v>
      </c>
      <c r="F14" s="40">
        <f>MIN(F6:F9)</f>
        <v>0.16</v>
      </c>
    </row>
    <row r="15">
      <c r="A15" s="8" t="inlineStr">
        <is>
          <t>Primary-source midpoint (Y2M sample, adjusted to DM contexts)</t>
        </is>
      </c>
      <c r="E15" s="35">
        <f>AVERAGE(E8:F8)</f>
        <v>0.13</v>
      </c>
    </row>
    <row r="16">
      <c r="A16" s="8" t="inlineStr">
        <is>
          <t>Bookends used for Bear / Bull (FY2025)</t>
        </is>
      </c>
      <c r="E16" s="22" t="n">
        <v>0.09</v>
      </c>
      <c r="F16" s="22" t="n">
        <v>0.2</v>
      </c>
    </row>
    <row r="17">
      <c r="A17" s="3" t="inlineStr">
        <is>
          <t>Selected FY2025 base case (feeds Inputs row 13)</t>
        </is>
      </c>
      <c r="E17" s="9">
        <f>Inputs!G13</f>
        <v>0.14</v>
      </c>
      <c r="F17" s="5" t="inlineStr">
        <is>
          <t>Low 9% / high 20% are the Bear-Bull bookends; before Mixes joined (Jan 2024) only Radio + Autoplay counted, modelled at 9-9.5%.</t>
        </is>
      </c>
    </row>
    <row r="19">
      <c r="A19" s="6" t="inlineStr">
        <is>
          <t>B. What share of DM-context streams is Discovery Mode-enrolled? (cross-check on the 33% assumption)</t>
        </is>
      </c>
    </row>
    <row r="20">
      <c r="A20" s="5" t="inlineStr">
        <is>
          <t>Logic: enrolled catalog starts with its natural share of context streams (e) and gets boosted b-fold by the DM signal inside a fixed inventory: s_dm = e*b / (e*b + (1 - e)).</t>
        </is>
      </c>
    </row>
    <row r="21" ht="40" customHeight="1">
      <c r="A21" s="20" t="inlineStr">
        <is>
          <t>Streams from rights holders outside UMG, Sony, WMG and Merlin (FY2025 20-F: the four = ~72%)</t>
        </is>
      </c>
      <c r="D21" s="2" t="inlineStr">
        <is>
          <t>20-F FY2025. These DIY distributors and non-Merlin indies are the catalog Discovery Mode is sold to today.</t>
        </is>
      </c>
      <c r="E21" s="22" t="n">
        <v>0.28</v>
      </c>
    </row>
    <row r="22" ht="40" customHeight="1">
      <c r="A22" s="20" t="inlineStr">
        <is>
          <t>Share of that catalog enrolled, weighted by context streams</t>
        </is>
      </c>
      <c r="D22" s="2" t="inlineStr">
        <is>
          <t>Assumption. Self-serve needs 25k+ monthly listeners and 3+ eligible songs; Believe says it moves 'hundreds of thousands of tracks every month' in and out.</t>
        </is>
      </c>
      <c r="E22" s="22" t="n">
        <v>0.45</v>
      </c>
    </row>
    <row r="23" ht="40" customHeight="1">
      <c r="A23" s="20" t="inlineStr">
        <is>
          <t>Add-on: Merlin members and other labels enrolling via Spotify's partnerships team</t>
        </is>
      </c>
      <c r="D23" s="2" t="inlineStr">
        <is>
          <t>Assumption (share of context streams). Majors have not opted in as far as public reporting shows.</t>
        </is>
      </c>
      <c r="E23" s="24" t="n">
        <v>0.02</v>
      </c>
    </row>
    <row r="24" ht="40" customHeight="1">
      <c r="A24" s="20" t="inlineStr">
        <is>
          <t>Natural context share of enrolled catalog, e</t>
        </is>
      </c>
      <c r="D24" s="2" t="inlineStr">
        <is>
          <t>row 1 x row 2 + row 3</t>
        </is>
      </c>
      <c r="E24" s="35">
        <f>E21*E22+E23</f>
        <v>0.146</v>
      </c>
    </row>
    <row r="25" ht="40" customHeight="1">
      <c r="A25" s="20" t="inlineStr">
        <is>
          <t>In-context boost from the DM signal, b (campaign lift + 1)</t>
        </is>
      </c>
      <c r="D25" s="2" t="inlineStr">
        <is>
          <t>Median Spotify-reported lift across 13 artist screenshots was +214% (discovery_mode_efficacy.xlsx). 2023-24 campaigns: +406%; 2025-26: +78%.</t>
        </is>
      </c>
      <c r="E25" s="28" t="n">
        <v>3.14</v>
      </c>
    </row>
    <row r="26" ht="40" customHeight="1">
      <c r="A26" s="20" t="inlineStr">
        <is>
          <t>Implied s_dm = e*b / (e*b + 1 - e)</t>
        </is>
      </c>
      <c r="D26" s="2" t="inlineStr">
        <is>
          <t>Compare with the 33% assumption in Inputs row 20.</t>
        </is>
      </c>
      <c r="E26" s="25">
        <f>E24*E25/(E24*E25+1-E24)</f>
        <v>0.349303587211606</v>
      </c>
    </row>
    <row r="28">
      <c r="A28" s="3" t="inlineStr">
        <is>
          <t>Sensitivity of implied s_dm to enrollment and the boost (what the 'ceiling' question turns on)</t>
        </is>
      </c>
    </row>
    <row r="29">
      <c r="A29" s="18" t="inlineStr">
        <is>
          <t>Natural context share of enrolled catalog, e  ↓   |   boost b  →</t>
        </is>
      </c>
      <c r="B29" s="44" t="n">
        <v>1.5</v>
      </c>
      <c r="C29" s="44" t="n">
        <v>1.78</v>
      </c>
      <c r="D29" s="44" t="n">
        <v>2</v>
      </c>
      <c r="E29" s="44" t="n">
        <v>2.5</v>
      </c>
      <c r="F29" s="44" t="n">
        <v>3.14</v>
      </c>
      <c r="G29" s="44" t="n">
        <v>4</v>
      </c>
    </row>
    <row r="30">
      <c r="A30" s="22" t="n">
        <v>0.1</v>
      </c>
      <c r="B30" s="40">
        <f>$A30*B$29/($A30*B$29+1-$A30)</f>
        <v>0.142857142857143</v>
      </c>
      <c r="C30" s="40">
        <f>$A30*C$29/($A30*C$29+1-$A30)</f>
        <v>0.165120593692022</v>
      </c>
      <c r="D30" s="40">
        <f>$A30*D$29/($A30*D$29+1-$A30)</f>
        <v>0.181818181818182</v>
      </c>
      <c r="E30" s="40">
        <f>$A30*E$29/($A30*E$29+1-$A30)</f>
        <v>0.217391304347826</v>
      </c>
      <c r="F30" s="40">
        <f>$A30*F$29/($A30*F$29+1-$A30)</f>
        <v>0.258649093904448</v>
      </c>
      <c r="G30" s="40">
        <f>$A30*G$29/($A30*G$29+1-$A30)</f>
        <v>0.307692307692308</v>
      </c>
    </row>
    <row r="31">
      <c r="A31" s="22" t="n">
        <v>0.14</v>
      </c>
      <c r="B31" s="40">
        <f>$A31*B$29/($A31*B$29+1-$A31)</f>
        <v>0.196261682242991</v>
      </c>
      <c r="C31" s="40">
        <f>$A31*C$29/($A31*C$29+1-$A31)</f>
        <v>0.224666426253155</v>
      </c>
      <c r="D31" s="40">
        <f>$A31*D$29/($A31*D$29+1-$A31)</f>
        <v>0.245614035087719</v>
      </c>
      <c r="E31" s="40">
        <f>$A31*E$29/($A31*E$29+1-$A31)</f>
        <v>0.289256198347108</v>
      </c>
      <c r="F31" s="40">
        <f>$A31*F$29/($A31*F$29+1-$A31)</f>
        <v>0.338257925515543</v>
      </c>
      <c r="G31" s="40">
        <f>$A31*G$29/($A31*G$29+1-$A31)</f>
        <v>0.394366197183099</v>
      </c>
    </row>
    <row r="32">
      <c r="A32" s="22" t="n">
        <v>0.17</v>
      </c>
      <c r="B32" s="40">
        <f>$A32*B$29/($A32*B$29+1-$A32)</f>
        <v>0.235023041474654</v>
      </c>
      <c r="C32" s="40">
        <f>$A32*C$29/($A32*C$29+1-$A32)</f>
        <v>0.267172876567191</v>
      </c>
      <c r="D32" s="40">
        <f>$A32*D$29/($A32*D$29+1-$A32)</f>
        <v>0.290598290598291</v>
      </c>
      <c r="E32" s="40">
        <f>$A32*E$29/($A32*E$29+1-$A32)</f>
        <v>0.338645418326693</v>
      </c>
      <c r="F32" s="40">
        <f>$A32*F$29/($A32*F$29+1-$A32)</f>
        <v>0.391406364569585</v>
      </c>
      <c r="G32" s="40">
        <f>$A32*G$29/($A32*G$29+1-$A32)</f>
        <v>0.450331125827815</v>
      </c>
    </row>
    <row r="33">
      <c r="A33" s="22" t="n">
        <v>0.2</v>
      </c>
      <c r="B33" s="40">
        <f>$A33*B$29/($A33*B$29+1-$A33)</f>
        <v>0.272727272727273</v>
      </c>
      <c r="C33" s="40">
        <f>$A33*C$29/($A33*C$29+1-$A33)</f>
        <v>0.307958477508651</v>
      </c>
      <c r="D33" s="40">
        <f>$A33*D$29/($A33*D$29+1-$A33)</f>
        <v>0.333333333333333</v>
      </c>
      <c r="E33" s="40">
        <f>$A33*E$29/($A33*E$29+1-$A33)</f>
        <v>0.384615384615385</v>
      </c>
      <c r="F33" s="40">
        <f>$A33*F$29/($A33*F$29+1-$A33)</f>
        <v>0.439775910364146</v>
      </c>
      <c r="G33" s="40">
        <f>$A33*G$29/($A33*G$29+1-$A33)</f>
        <v>0.5</v>
      </c>
    </row>
    <row r="34">
      <c r="A34" s="22" t="n">
        <v>0.25</v>
      </c>
      <c r="B34" s="40">
        <f>$A34*B$29/($A34*B$29+1-$A34)</f>
        <v>0.333333333333333</v>
      </c>
      <c r="C34" s="40">
        <f>$A34*C$29/($A34*C$29+1-$A34)</f>
        <v>0.372384937238494</v>
      </c>
      <c r="D34" s="40">
        <f>$A34*D$29/($A34*D$29+1-$A34)</f>
        <v>0.4</v>
      </c>
      <c r="E34" s="40">
        <f>$A34*E$29/($A34*E$29+1-$A34)</f>
        <v>0.454545454545455</v>
      </c>
      <c r="F34" s="40">
        <f>$A34*F$29/($A34*F$29+1-$A34)</f>
        <v>0.511400651465798</v>
      </c>
      <c r="G34" s="40">
        <f>$A34*G$29/($A34*G$29+1-$A34)</f>
        <v>0.571428571428571</v>
      </c>
    </row>
    <row r="35">
      <c r="A35" s="22" t="n">
        <v>0.3</v>
      </c>
      <c r="B35" s="40">
        <f>$A35*B$29/($A35*B$29+1-$A35)</f>
        <v>0.391304347826087</v>
      </c>
      <c r="C35" s="40">
        <f>$A35*C$29/($A35*C$29+1-$A35)</f>
        <v>0.432739059967585</v>
      </c>
      <c r="D35" s="40">
        <f>$A35*D$29/($A35*D$29+1-$A35)</f>
        <v>0.461538461538462</v>
      </c>
      <c r="E35" s="40">
        <f>$A35*E$29/($A35*E$29+1-$A35)</f>
        <v>0.517241379310345</v>
      </c>
      <c r="F35" s="40">
        <f>$A35*F$29/($A35*F$29+1-$A35)</f>
        <v>0.573690621193666</v>
      </c>
      <c r="G35" s="40">
        <f>$A35*G$29/($A35*G$29+1-$A35)</f>
        <v>0.631578947368421</v>
      </c>
    </row>
    <row r="36" ht="28" customHeight="1">
      <c r="A36" s="2" t="inlineStr">
        <is>
          <t>Reading: with ~28% of streams outside the majors and Merlin, e cannot exceed ~30% unless a major opts in, which caps s_dm near 45-57% even at a 2-3x boost. If the per-track boost has faded to the 2025-26 level (b ~1.8), holding 33% needs enrollment closer to 70% of eligible catalog. That is the mechanism behind the Bear case.</t>
        </is>
      </c>
    </row>
    <row r="38">
      <c r="A38" s="6" t="inlineStr">
        <is>
          <t>C. Marketplace anchor (your view; the inputs live on Inputs sheet, section F)</t>
        </is>
      </c>
    </row>
    <row r="39" ht="30" customHeight="1">
      <c r="A39" s="20" t="inlineStr">
        <is>
          <t>Marketplace gross profit FY2021 (Investor Day 2022: 'more than EUR 160m')</t>
        </is>
      </c>
      <c r="D39" s="5" t="inlineStr">
        <is>
          <t>EUR m</t>
        </is>
      </c>
      <c r="E39" s="15">
        <f>Inputs!$C$51</f>
        <v>160</v>
      </c>
    </row>
    <row r="40" ht="30" customHeight="1">
      <c r="A40" s="20" t="inlineStr">
        <is>
          <t>Multiple by FY2025 (third-party recap of Investor Day 2026: 'about 4x')</t>
        </is>
      </c>
      <c r="D40" s="5" t="inlineStr"/>
      <c r="E40" s="16">
        <f>Inputs!$C$52</f>
        <v>4</v>
      </c>
    </row>
    <row r="41" ht="30" customHeight="1">
      <c r="A41" s="20" t="inlineStr">
        <is>
          <t>Implied Marketplace gross profit FY2025</t>
        </is>
      </c>
      <c r="D41" s="5" t="inlineStr">
        <is>
          <t>EUR m</t>
        </is>
      </c>
      <c r="E41" s="15">
        <f>Inputs!$G$53</f>
        <v>640</v>
      </c>
    </row>
    <row r="42" ht="30" customHeight="1">
      <c r="A42" s="20" t="inlineStr">
        <is>
          <t>Discovery Mode share of Marketplace gross profit FY2025 (your assumption: at least 80%)</t>
        </is>
      </c>
      <c r="D42" s="5" t="inlineStr"/>
      <c r="E42" s="12">
        <f>Inputs!$G$54</f>
        <v>0.8</v>
      </c>
    </row>
    <row r="43" ht="30" customHeight="1">
      <c r="A43" s="20" t="inlineStr">
        <is>
          <t>Anchor: Discovery Mode gross profit FY2025 / bp of gross margin</t>
        </is>
      </c>
      <c r="D43" s="5" t="inlineStr">
        <is>
          <t>EUR m / bp</t>
        </is>
      </c>
      <c r="E43" s="15">
        <f>Inputs!$G$55</f>
        <v>512</v>
      </c>
      <c r="F43" s="13">
        <f>Inputs!$G$56*10000</f>
        <v>297.916909112068</v>
      </c>
    </row>
    <row r="44" ht="30" customHeight="1">
      <c r="A44" s="20" t="inlineStr">
        <is>
          <t>DM streams as % of music streams: required by the anchor / as entered in A and B</t>
        </is>
      </c>
      <c r="D44" s="5" t="inlineStr"/>
      <c r="E44" s="9">
        <f>Inputs!$G$57</f>
        <v>0.199890572404769</v>
      </c>
      <c r="F44" s="9">
        <f>Inputs!$G$13*Inputs!$G$20</f>
        <v>0.0462</v>
      </c>
    </row>
    <row r="45" ht="30" customHeight="1">
      <c r="A45" s="20" t="inlineStr">
        <is>
          <t>Re-level factor on the product</t>
        </is>
      </c>
      <c r="D45" s="5" t="inlineStr"/>
      <c r="E45" s="16">
        <f>Inputs!$G$57/(Inputs!$G$13*Inputs!$G$20)</f>
        <v>4.32663576633699</v>
      </c>
    </row>
    <row r="46" ht="30" customHeight="1">
      <c r="A46" s="20" t="inlineStr">
        <is>
          <t>Calibrated FY2025 (Base): s_ctx / s_dm under the selected calibration mode</t>
        </is>
      </c>
      <c r="D46" s="5" t="inlineStr"/>
      <c r="E46" s="9">
        <f>Inputs!$G$67</f>
        <v>0.605729007287179</v>
      </c>
      <c r="F46" s="9">
        <f>Inputs!$G$73</f>
        <v>0.33</v>
      </c>
    </row>
    <row r="47" ht="56" customHeight="1">
      <c r="A47" s="2" t="inlineStr">
        <is>
          <t>Reading: the anchor needs Discovery Mode streams to be about a fifth of all music streams, roughly 4x the public-bounds estimate. Holding enrollment at 33%, DM contexts must carry ~60% of streams, above Spotify's own 'majority of streams are active'. Re-levelling both gives roughly 30% x 70%, which needs either an Autoplay share far larger than the 25bn-stream sample captured, or enrollment past the no-majors ceiling. The anchor rests on a third-party recap of the '4x' and on the DM share supplied; test both against the Tegus calls.</t>
        </is>
      </c>
    </row>
  </sheetData>
  <mergeCells count="17">
    <mergeCell ref="A25:C25"/>
    <mergeCell ref="A36:G36"/>
    <mergeCell ref="A41:C41"/>
    <mergeCell ref="A42:C42"/>
    <mergeCell ref="A44:C44"/>
    <mergeCell ref="A45:C45"/>
    <mergeCell ref="A23:C23"/>
    <mergeCell ref="A43:C43"/>
    <mergeCell ref="A46:C46"/>
    <mergeCell ref="A22:C22"/>
    <mergeCell ref="A40:C40"/>
    <mergeCell ref="A20:G20"/>
    <mergeCell ref="A21:C21"/>
    <mergeCell ref="A39:C39"/>
    <mergeCell ref="A26:C26"/>
    <mergeCell ref="A24:C24"/>
    <mergeCell ref="A47:G47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60" customWidth="1" min="7" max="7"/>
  </cols>
  <sheetData>
    <row r="1">
      <c r="A1" s="1" t="inlineStr">
        <is>
          <t>Spotify reported financials used in the model (EUR m unless stated)</t>
        </is>
      </c>
    </row>
    <row r="2">
      <c r="A2" s="5" t="inlineStr">
        <is>
          <t>Blue = as reported in 20-F / shareholder letters. Figures marked (v) were derived from disclosed items or search renderings and should be re-checked against the filing tables before external use.</t>
        </is>
      </c>
    </row>
    <row r="4">
      <c r="A4" s="18" t="inlineStr">
        <is>
          <t>Annual</t>
        </is>
      </c>
      <c r="B4" s="7" t="inlineStr">
        <is>
          <t>FY2021</t>
        </is>
      </c>
      <c r="C4" s="7" t="inlineStr">
        <is>
          <t>FY2022</t>
        </is>
      </c>
      <c r="D4" s="7" t="inlineStr">
        <is>
          <t>FY2023</t>
        </is>
      </c>
      <c r="E4" s="7" t="inlineStr">
        <is>
          <t>FY2024</t>
        </is>
      </c>
      <c r="F4" s="7" t="inlineStr">
        <is>
          <t>FY2025</t>
        </is>
      </c>
      <c r="G4" s="18" t="inlineStr">
        <is>
          <t>Source / note</t>
        </is>
      </c>
    </row>
    <row r="5">
      <c r="A5" s="8" t="inlineStr">
        <is>
          <t>Total revenue</t>
        </is>
      </c>
      <c r="B5" s="26" t="n">
        <v>9668</v>
      </c>
      <c r="C5" s="26" t="n">
        <v>11727</v>
      </c>
      <c r="D5" s="26" t="n">
        <v>13247</v>
      </c>
      <c r="E5" s="26" t="n">
        <v>15673</v>
      </c>
      <c r="F5" s="26" t="n">
        <v>17186</v>
      </c>
      <c r="G5" s="5" t="inlineStr">
        <is>
          <t>20-F FY2021-FY2025 [S1-S4]</t>
        </is>
      </c>
    </row>
    <row r="6">
      <c r="A6" s="8" t="inlineStr">
        <is>
          <t xml:space="preserve">  Premium revenue</t>
        </is>
      </c>
      <c r="B6" s="26" t="n">
        <v>8460</v>
      </c>
      <c r="C6" s="26" t="n">
        <v>10251</v>
      </c>
      <c r="D6" s="26" t="n">
        <v>11566</v>
      </c>
      <c r="E6" s="26" t="n">
        <v>13819</v>
      </c>
      <c r="F6" s="26" t="n">
        <v>15350</v>
      </c>
      <c r="G6" s="5" t="inlineStr">
        <is>
          <t>20-F; FY2024 (v)</t>
        </is>
      </c>
    </row>
    <row r="7">
      <c r="A7" s="8" t="inlineStr">
        <is>
          <t xml:space="preserve">  Ad-Supported revenue</t>
        </is>
      </c>
      <c r="B7" s="26" t="n">
        <v>1208</v>
      </c>
      <c r="C7" s="26" t="n">
        <v>1476</v>
      </c>
      <c r="D7" s="26" t="n">
        <v>1681</v>
      </c>
      <c r="E7" s="26" t="n">
        <v>1854</v>
      </c>
      <c r="F7" s="26" t="n">
        <v>1836</v>
      </c>
      <c r="G7" s="5" t="inlineStr">
        <is>
          <t>20-F; FY2024 (v)</t>
        </is>
      </c>
    </row>
    <row r="8">
      <c r="A8" s="8" t="inlineStr">
        <is>
          <t>Cost of revenue</t>
        </is>
      </c>
      <c r="B8" s="26" t="n">
        <v>7077</v>
      </c>
      <c r="C8" s="26" t="n">
        <v>8801</v>
      </c>
      <c r="D8" s="26" t="n">
        <v>9849</v>
      </c>
      <c r="E8" s="26" t="n">
        <v>10955</v>
      </c>
      <c r="F8" s="26" t="n">
        <v>11690</v>
      </c>
      <c r="G8" s="5" t="inlineStr">
        <is>
          <t>20-F; FY2023-24 derived from reported gross margin (v)</t>
        </is>
      </c>
    </row>
    <row r="9">
      <c r="A9" s="8" t="inlineStr">
        <is>
          <t>Gross profit</t>
        </is>
      </c>
      <c r="B9" s="27">
        <f>B5-B8</f>
        <v>2591</v>
      </c>
      <c r="C9" s="27">
        <f>C5-C8</f>
        <v>2926</v>
      </c>
      <c r="D9" s="27">
        <f>D5-D8</f>
        <v>3398</v>
      </c>
      <c r="E9" s="27">
        <f>E5-E8</f>
        <v>4718</v>
      </c>
      <c r="F9" s="27">
        <f>F5-F8</f>
        <v>5496</v>
      </c>
      <c r="G9" s="5" t="inlineStr">
        <is>
          <t>formula</t>
        </is>
      </c>
    </row>
    <row r="10">
      <c r="A10" s="8" t="inlineStr">
        <is>
          <t>Gross margin</t>
        </is>
      </c>
      <c r="B10" s="35">
        <f>B9/B5</f>
        <v>0.267997517583782</v>
      </c>
      <c r="C10" s="35">
        <f>C9/C5</f>
        <v>0.249509678519656</v>
      </c>
      <c r="D10" s="35">
        <f>D9/D5</f>
        <v>0.256510908130143</v>
      </c>
      <c r="E10" s="35">
        <f>E9/E5</f>
        <v>0.301027244305494</v>
      </c>
      <c r="F10" s="35">
        <f>F9/F5</f>
        <v>0.319795182124986</v>
      </c>
      <c r="G10" s="5" t="inlineStr">
        <is>
          <t>formula; reported: 26.8%, 25.0%, 25.6%, 30.1%, 32.0%</t>
        </is>
      </c>
    </row>
    <row r="11">
      <c r="A11" s="8" t="inlineStr">
        <is>
          <t xml:space="preserve">  Premium gross margin</t>
        </is>
      </c>
      <c r="B11" s="24" t="n">
        <v>0.29</v>
      </c>
      <c r="C11" s="24" t="n">
        <v>0.28</v>
      </c>
      <c r="D11" s="24" t="n">
        <v>0.288</v>
      </c>
      <c r="E11" s="24" t="n">
        <v>0.325</v>
      </c>
      <c r="F11" s="24" t="n">
        <v>0.337</v>
      </c>
      <c r="G11" s="5" t="inlineStr">
        <is>
          <t>20-F; FY2021-22 approx (v)</t>
        </is>
      </c>
    </row>
    <row r="12">
      <c r="A12" s="8" t="inlineStr">
        <is>
          <t xml:space="preserve">  Ad-Supported gross margin</t>
        </is>
      </c>
      <c r="B12" s="24" t="n">
        <v>0.109</v>
      </c>
      <c r="D12" s="24" t="n">
        <v>0.037</v>
      </c>
      <c r="E12" s="24" t="n">
        <v>0.124</v>
      </c>
      <c r="F12" s="24" t="n">
        <v>0.18</v>
      </c>
      <c r="G12" s="5" t="inlineStr">
        <is>
          <t>20-F; FY2022 not captured</t>
        </is>
      </c>
    </row>
    <row r="13">
      <c r="A13" s="8" t="inlineStr">
        <is>
          <t>Premium subscribers, year end (m)</t>
        </is>
      </c>
      <c r="B13" s="26" t="n">
        <v>180</v>
      </c>
      <c r="C13" s="26" t="n">
        <v>205</v>
      </c>
      <c r="D13" s="26" t="n">
        <v>236</v>
      </c>
      <c r="E13" s="26" t="n">
        <v>263</v>
      </c>
      <c r="F13" s="26" t="n">
        <v>290</v>
      </c>
      <c r="G13" s="5" t="inlineStr">
        <is>
          <t>shareholder letters</t>
        </is>
      </c>
    </row>
    <row r="14">
      <c r="A14" s="8" t="inlineStr">
        <is>
          <t>Monthly active users, year end (m)</t>
        </is>
      </c>
      <c r="B14" s="26" t="n">
        <v>406</v>
      </c>
      <c r="C14" s="26" t="n">
        <v>489</v>
      </c>
      <c r="D14" s="26" t="n">
        <v>602</v>
      </c>
      <c r="E14" s="26" t="n">
        <v>675</v>
      </c>
      <c r="F14" s="26" t="n">
        <v>751</v>
      </c>
      <c r="G14" s="5" t="inlineStr">
        <is>
          <t>shareholder letters</t>
        </is>
      </c>
    </row>
    <row r="15">
      <c r="A15" s="8" t="inlineStr">
        <is>
          <t>Premium ARPU, monthly (EUR)</t>
        </is>
      </c>
      <c r="B15" s="28" t="n">
        <v>4.29</v>
      </c>
      <c r="C15" s="28" t="n">
        <v>4.52</v>
      </c>
      <c r="D15" s="28" t="n">
        <v>4.39</v>
      </c>
      <c r="E15" s="28" t="n">
        <v>4.69</v>
      </c>
      <c r="F15" s="28" t="n">
        <v>4.63</v>
      </c>
      <c r="G15" s="5" t="inlineStr">
        <is>
          <t>shareholder letters; FY2025: FX -0.17, mix -0.14, price +0.25</t>
        </is>
      </c>
    </row>
    <row r="16">
      <c r="A16" s="8" t="inlineStr">
        <is>
          <t>Streams from UMG, Sony, WMG and Merlin (share)</t>
        </is>
      </c>
      <c r="C16" s="22" t="n">
        <v>0.75</v>
      </c>
      <c r="D16" s="22" t="n">
        <v>0.74</v>
      </c>
      <c r="E16" s="22" t="n">
        <v>0.71</v>
      </c>
      <c r="F16" s="22" t="n">
        <v>0.72</v>
      </c>
      <c r="G16" s="5" t="inlineStr">
        <is>
          <t>20-F risk factors; FY2022 via Music Ally</t>
        </is>
      </c>
    </row>
    <row r="18">
      <c r="A18" s="6" t="inlineStr">
        <is>
          <t>Quarterly (latest)</t>
        </is>
      </c>
    </row>
    <row r="19">
      <c r="A19" s="18" t="inlineStr">
        <is>
          <t>Quarter</t>
        </is>
      </c>
      <c r="B19" s="7" t="inlineStr">
        <is>
          <t>Revenue</t>
        </is>
      </c>
      <c r="C19" s="7" t="inlineStr">
        <is>
          <t>Gross margin</t>
        </is>
      </c>
      <c r="D19" s="7" t="inlineStr">
        <is>
          <t>Premium GM</t>
        </is>
      </c>
      <c r="E19" s="7" t="inlineStr">
        <is>
          <t>Ad GM</t>
        </is>
      </c>
      <c r="F19" s="7" t="inlineStr">
        <is>
          <t>Subs (m)</t>
        </is>
      </c>
      <c r="G19" s="18" t="inlineStr">
        <is>
          <t>Source / note</t>
        </is>
      </c>
    </row>
    <row r="20">
      <c r="A20" s="8" t="inlineStr">
        <is>
          <t>Q1 2025</t>
        </is>
      </c>
      <c r="B20" s="26" t="n">
        <v>4190</v>
      </c>
      <c r="C20" s="24" t="n">
        <v>0.316</v>
      </c>
      <c r="G20" s="5" t="inlineStr">
        <is>
          <t>6-K, 29 Apr 2025</t>
        </is>
      </c>
    </row>
    <row r="21">
      <c r="A21" s="8" t="inlineStr">
        <is>
          <t>Q2 2025</t>
        </is>
      </c>
      <c r="B21" s="26" t="n">
        <v>4190</v>
      </c>
      <c r="C21" s="24" t="n">
        <v>0.315</v>
      </c>
      <c r="G21" s="5" t="inlineStr">
        <is>
          <t>6-K, 29 Jul 2025</t>
        </is>
      </c>
    </row>
    <row r="22">
      <c r="A22" s="8" t="inlineStr">
        <is>
          <t>Q3 2025</t>
        </is>
      </c>
      <c r="B22" s="26" t="n">
        <v>4270</v>
      </c>
      <c r="C22" s="24" t="n">
        <v>0.316</v>
      </c>
      <c r="D22" s="24" t="n">
        <v>0.332</v>
      </c>
      <c r="E22" s="24" t="n">
        <v>0.184</v>
      </c>
      <c r="F22" s="26" t="n">
        <v>281</v>
      </c>
      <c r="G22" s="5" t="inlineStr">
        <is>
          <t>6-K, 4 Nov 2025</t>
        </is>
      </c>
    </row>
    <row r="23">
      <c r="A23" s="8" t="inlineStr">
        <is>
          <t>Q4 2025</t>
        </is>
      </c>
      <c r="B23" s="26" t="n">
        <v>4530</v>
      </c>
      <c r="C23" s="24" t="n">
        <v>0.331</v>
      </c>
      <c r="F23" s="26" t="n">
        <v>290</v>
      </c>
      <c r="G23" s="5" t="inlineStr">
        <is>
          <t>deck, 10 Feb 2026; 'content cost favorability'</t>
        </is>
      </c>
    </row>
    <row r="24">
      <c r="A24" s="8" t="inlineStr">
        <is>
          <t>Q1 2026</t>
        </is>
      </c>
      <c r="B24" s="26" t="n">
        <v>4530</v>
      </c>
      <c r="C24" s="24" t="n">
        <v>0.33</v>
      </c>
      <c r="D24" s="24" t="n">
        <v>0.348</v>
      </c>
      <c r="E24" s="24" t="n">
        <v>0.13</v>
      </c>
      <c r="F24" s="26" t="n">
        <v>293</v>
      </c>
      <c r="G24" s="5" t="inlineStr">
        <is>
          <t>6-K, 28 Apr 2026</t>
        </is>
      </c>
    </row>
    <row r="25">
      <c r="A25" s="8" t="inlineStr">
        <is>
          <t>Q2 2026</t>
        </is>
      </c>
      <c r="B25" s="26" t="n">
        <v>4780</v>
      </c>
      <c r="C25" s="24" t="n">
        <v>0.334</v>
      </c>
      <c r="D25" s="24" t="n">
        <v>0.349</v>
      </c>
      <c r="E25" s="24" t="n">
        <v>0.191</v>
      </c>
      <c r="F25" s="26" t="n">
        <v>300</v>
      </c>
      <c r="G25" s="5" t="inlineStr">
        <is>
          <t>6-K, Aug 2026; ARPU EUR 4.89 (+7.4% cc)</t>
        </is>
      </c>
    </row>
    <row r="26">
      <c r="A26" s="8" t="inlineStr">
        <is>
          <t>Q3 2026 guide</t>
        </is>
      </c>
      <c r="B26" s="26" t="n">
        <v>5000</v>
      </c>
      <c r="C26" s="24" t="n">
        <v>0.329</v>
      </c>
      <c r="G26" s="5" t="inlineStr">
        <is>
          <t>Q2 2026 letter guidance</t>
        </is>
      </c>
    </row>
    <row r="28">
      <c r="A28" s="6" t="inlineStr">
        <is>
          <t>Management statements that anchor the mechanism</t>
        </is>
      </c>
    </row>
    <row r="29" ht="30" customHeight="1">
      <c r="A29" s="20" t="inlineStr">
        <is>
          <t>20-F FY2024 and FY2025: cost of revenue 'also reflects discounts provided by certain rights holders in return for promotional activities in connection with marketplace programs'.</t>
        </is>
      </c>
    </row>
    <row r="30" ht="30" customHeight="1">
      <c r="A30" s="20" t="inlineStr">
        <is>
          <t>20-F FY2025: Premium cost of revenue rose on 'increased rates for certain licensors ... partially offset by benefits from certain marketplace programs'.</t>
        </is>
      </c>
    </row>
    <row r="31" ht="30" customHeight="1">
      <c r="A31" s="20" t="inlineStr">
        <is>
          <t>Q2 2024 call (Ben Kung): gross margin 'outperformance was driven primarily by music content cost favorability and marketplace'.</t>
        </is>
      </c>
    </row>
    <row r="32" ht="30" customHeight="1">
      <c r="A32" s="20" t="inlineStr">
        <is>
          <t>Investor Day 8 Jun 2022: Marketplace gross profit 'more than EUR 160m' in 2021 (8x 2018); Discovery Mode revenue +224% y/y with 'over 50 labels and distributors'; marketplace 'the primary factor in growing our music gross margins'.</t>
        </is>
      </c>
    </row>
    <row r="33" ht="30" customHeight="1">
      <c r="A33" s="20" t="inlineStr">
        <is>
          <t>Investor Day 21 May 2026: FY2030 targets of 35-40% gross margin and &gt;20% operating margin; 'about a third of the gross margin expansion came from the music business'; Marketplace gross profit about 4x 2021 (third-party recap).</t>
        </is>
      </c>
    </row>
    <row r="34" ht="30" customHeight="1">
      <c r="A34" s="20" t="inlineStr">
        <is>
          <t>MIDiA (2025): 'When a label uses Discovery Mode, Spotify gets an extra 17% of gross margin' on those streams, i.e. the 30% commission on a ~56% recording share.</t>
        </is>
      </c>
    </row>
  </sheetData>
  <mergeCells count="6">
    <mergeCell ref="A32:G32"/>
    <mergeCell ref="A31:G31"/>
    <mergeCell ref="A34:G34"/>
    <mergeCell ref="A30:G30"/>
    <mergeCell ref="A29:G29"/>
    <mergeCell ref="A33:G3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52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90" customWidth="1" min="3" max="3"/>
  </cols>
  <sheetData>
    <row r="1">
      <c r="A1" s="1" t="inlineStr">
        <is>
          <t>Sources</t>
        </is>
      </c>
    </row>
    <row r="2">
      <c r="A2" s="5" t="inlineStr">
        <is>
          <t>Collected 2 Oct 2026. Primary documents were read through search-engine renderings because the research environment could not fetch sec.gov and spotify.com directly; re-open before quoting externally.</t>
        </is>
      </c>
    </row>
    <row r="4">
      <c r="A4" s="18" t="inlineStr">
        <is>
          <t>#</t>
        </is>
      </c>
      <c r="B4" s="18" t="inlineStr">
        <is>
          <t>Document</t>
        </is>
      </c>
      <c r="C4" s="18" t="inlineStr">
        <is>
          <t>URL</t>
        </is>
      </c>
    </row>
    <row r="5">
      <c r="A5" s="8" t="inlineStr">
        <is>
          <t>S1</t>
        </is>
      </c>
      <c r="B5" s="8" t="inlineStr">
        <is>
          <t>Spotify 20-F FY2025</t>
        </is>
      </c>
      <c r="C5" s="8" t="inlineStr">
        <is>
          <t>https://www.sec.gov/Archives/edgar/data/1639920/000162828026006874/ck0001639920-20251231.htm</t>
        </is>
      </c>
    </row>
    <row r="6">
      <c r="A6" s="8" t="inlineStr">
        <is>
          <t>S2</t>
        </is>
      </c>
      <c r="B6" s="8" t="inlineStr">
        <is>
          <t>Spotify 20-F FY2024</t>
        </is>
      </c>
      <c r="C6" s="8" t="inlineStr">
        <is>
          <t>https://www.sec.gov/Archives/edgar/data/1639920/000163992025000003/ck0001639920-20241231.htm</t>
        </is>
      </c>
    </row>
    <row r="7">
      <c r="A7" s="8" t="inlineStr">
        <is>
          <t>S3</t>
        </is>
      </c>
      <c r="B7" s="8" t="inlineStr">
        <is>
          <t>Spotify 20-F FY2023</t>
        </is>
      </c>
      <c r="C7" s="8" t="inlineStr">
        <is>
          <t>https://www.sec.gov/Archives/edgar/data/1639920/000163992024000004/ck0001639920-20231231.htm</t>
        </is>
      </c>
    </row>
    <row r="8">
      <c r="A8" s="8" t="inlineStr">
        <is>
          <t>S4</t>
        </is>
      </c>
      <c r="B8" s="8" t="inlineStr">
        <is>
          <t>Spotify 20-F FY2022</t>
        </is>
      </c>
      <c r="C8" s="8" t="inlineStr">
        <is>
          <t>https://www.sec.gov/Archives/edgar/data/1639920/000163992023000004/ck0001639920-20221231.htm</t>
        </is>
      </c>
    </row>
    <row r="9">
      <c r="A9" s="8" t="inlineStr">
        <is>
          <t>S5</t>
        </is>
      </c>
      <c r="B9" s="8" t="inlineStr">
        <is>
          <t>Q4 2025 shareholder letter (6-K)</t>
        </is>
      </c>
      <c r="C9" s="8" t="inlineStr">
        <is>
          <t>https://www.sec.gov/Archives/edgar/data/1639920/000114036126004482/ef20065075_ex99-1.htm</t>
        </is>
      </c>
    </row>
    <row r="10">
      <c r="A10" s="8" t="inlineStr">
        <is>
          <t>S6</t>
        </is>
      </c>
      <c r="B10" s="8" t="inlineStr">
        <is>
          <t>Q1 2026 shareholder letter (6-K)</t>
        </is>
      </c>
      <c r="C10" s="8" t="inlineStr">
        <is>
          <t>https://www.sec.gov/Archives/edgar/data/0001639920/000114036126017211/ef20071303_ex99-1.htm</t>
        </is>
      </c>
    </row>
    <row r="11">
      <c r="A11" s="8" t="inlineStr">
        <is>
          <t>S7</t>
        </is>
      </c>
      <c r="B11" s="8" t="inlineStr">
        <is>
          <t>Q2 2026 shareholder letter (6-K)</t>
        </is>
      </c>
      <c r="C11" s="8" t="inlineStr">
        <is>
          <t>https://www.sec.gov/Archives/edgar/data/0001639920/000114036126031044/ef20078867_ex99-1.htm</t>
        </is>
      </c>
    </row>
    <row r="12">
      <c r="A12" s="8" t="inlineStr">
        <is>
          <t>S8</t>
        </is>
      </c>
      <c r="B12" s="8" t="inlineStr">
        <is>
          <t>Q3 2025 shareholder letter (6-K)</t>
        </is>
      </c>
      <c r="C12" s="8" t="inlineStr">
        <is>
          <t>https://www.sec.gov/Archives/edgar/data/1639920/000114036125040271/ef20057592_ex99-1.htm</t>
        </is>
      </c>
    </row>
    <row r="13">
      <c r="A13" s="8" t="inlineStr">
        <is>
          <t>S9</t>
        </is>
      </c>
      <c r="B13" s="8" t="inlineStr">
        <is>
          <t>Q4 2025 shareholder deck</t>
        </is>
      </c>
      <c r="C13" s="8" t="inlineStr">
        <is>
          <t>https://s29.q4cdn.com/175625835/files/doc_financials/2025/q4/Q4-2025-Shareholder-Deck-FINAL.pdf</t>
        </is>
      </c>
    </row>
    <row r="14">
      <c r="A14" s="8" t="inlineStr">
        <is>
          <t>S10</t>
        </is>
      </c>
      <c r="B14" s="8" t="inlineStr">
        <is>
          <t>Q2 2024 earnings call prepared remarks</t>
        </is>
      </c>
      <c r="C14" s="8" t="inlineStr">
        <is>
          <t>https://s29.q4cdn.com/175625835/files/doc_financials/2024/q2/Q2-24-Earnings-Call-Prepared-Remarks.pdf</t>
        </is>
      </c>
    </row>
    <row r="15">
      <c r="A15" s="8" t="inlineStr">
        <is>
          <t>S11</t>
        </is>
      </c>
      <c r="B15" s="8" t="inlineStr">
        <is>
          <t>Investor Day 2022 transcript (8 Jun 2022)</t>
        </is>
      </c>
      <c r="C15" s="8" t="inlineStr">
        <is>
          <t>https://s29.q4cdn.com/175625835/files/doc_presentation/SPOTIFY-2022-INVESTOR-DAY-TRANSCRIPT.pdf</t>
        </is>
      </c>
    </row>
    <row r="16">
      <c r="A16" s="8" t="inlineStr">
        <is>
          <t>S12</t>
        </is>
      </c>
      <c r="B16" s="8" t="inlineStr">
        <is>
          <t>Investor Day 2026 recap (21 May 2026)</t>
        </is>
      </c>
      <c r="C16" s="8" t="inlineStr">
        <is>
          <t>https://newsroom.spotify.com/2026-05-21/investor-day-recap/</t>
        </is>
      </c>
    </row>
    <row r="17">
      <c r="A17" s="8" t="inlineStr">
        <is>
          <t>S13</t>
        </is>
      </c>
      <c r="B17" s="8" t="inlineStr">
        <is>
          <t>Investor Day 2026 third-party notes (Marketplace ~4x 2021)</t>
        </is>
      </c>
      <c r="C17" s="8" t="inlineStr">
        <is>
          <t>https://mbideepdives.substack.com/p/some-notes-from-spotifys-2026-investor</t>
        </is>
      </c>
    </row>
    <row r="18">
      <c r="A18" s="8" t="inlineStr">
        <is>
          <t>S14</t>
        </is>
      </c>
      <c r="B18" s="8" t="inlineStr">
        <is>
          <t>Q4 2025 earnings call transcript</t>
        </is>
      </c>
      <c r="C18" s="8" t="inlineStr">
        <is>
          <t>https://www.fool.com/earnings/call-transcripts/2026/02/10/spotify-spot-q4-2025-earnings-transcript/</t>
        </is>
      </c>
    </row>
    <row r="19">
      <c r="A19" s="8" t="inlineStr">
        <is>
          <t>S15</t>
        </is>
      </c>
      <c r="B19" s="8" t="inlineStr">
        <is>
          <t>Spotify F-1 prospectus (Feb 2018): ~31% of listening programmed</t>
        </is>
      </c>
      <c r="C19" s="8" t="inlineStr">
        <is>
          <t>https://www.sec.gov/Archives/edgar/data/0001639920/000119312518063434/d494294df1.htm</t>
        </is>
      </c>
    </row>
    <row r="20">
      <c r="A20" s="8" t="inlineStr">
        <is>
          <t>S16</t>
        </is>
      </c>
      <c r="B20" s="8" t="inlineStr">
        <is>
          <t>Spotify newsroom, Discovery Mode launch (2 Nov 2020)</t>
        </is>
      </c>
      <c r="C20" s="8" t="inlineStr">
        <is>
          <t>https://newsroom.spotify.com/2020-11-02/amplifying-artist-input-in-your-personalized-recommendations/</t>
        </is>
      </c>
    </row>
    <row r="21">
      <c r="A21" s="8" t="inlineStr">
        <is>
          <t>S17</t>
        </is>
      </c>
      <c r="B21" s="8" t="inlineStr">
        <is>
          <t>Q1 2021 shareholder letter: 'promotional recording royalty rate'</t>
        </is>
      </c>
      <c r="C21" s="8" t="inlineStr">
        <is>
          <t>https://www.sec.gov/Archives/edgar/data/1639920/000119312521135262/d162701dex991.htm</t>
        </is>
      </c>
    </row>
    <row r="22">
      <c r="A22" s="8" t="inlineStr">
        <is>
          <t>S18</t>
        </is>
      </c>
      <c r="B22" s="8" t="inlineStr">
        <is>
          <t>Q2 2021 shareholder letter: test with majors, indies, distributors</t>
        </is>
      </c>
      <c r="C22" s="8" t="inlineStr">
        <is>
          <t>https://www.sec.gov/Archives/edgar/data/1639920/000119312521226476/d206900dex991.htm</t>
        </is>
      </c>
    </row>
    <row r="23">
      <c r="A23" s="8" t="inlineStr">
        <is>
          <t>S19</t>
        </is>
      </c>
      <c r="B23" s="8" t="inlineStr">
        <is>
          <t>Spotify for Artists: Using Discovery Mode (30% commission, eligibility)</t>
        </is>
      </c>
      <c r="C23" s="8" t="inlineStr">
        <is>
          <t>https://support.spotify.com/us/artists/article/using-discovery-mode-in-spotify-for-artists/</t>
        </is>
      </c>
    </row>
    <row r="24">
      <c r="A24" s="8" t="inlineStr">
        <is>
          <t>S20</t>
        </is>
      </c>
      <c r="B24" s="8" t="inlineStr">
        <is>
          <t>Spotify for Artists: Discovery Mode contexts (Radio, Autoplay, Mixes)</t>
        </is>
      </c>
      <c r="C24" s="8" t="inlineStr">
        <is>
          <t>https://support.spotify.com/us/artists/article/discovery-mode-contexts/</t>
        </is>
      </c>
    </row>
    <row r="25">
      <c r="A25" s="8" t="inlineStr">
        <is>
          <t>S21</t>
        </is>
      </c>
      <c r="B25" s="8" t="inlineStr">
        <is>
          <t>Spotify for Artists: Getting access to Discovery Mode (participating licensors)</t>
        </is>
      </c>
      <c r="C25" s="8" t="inlineStr">
        <is>
          <t>https://support.spotify.com/us/artists/article/getting-access-to-discovery-mode/</t>
        </is>
      </c>
    </row>
    <row r="26">
      <c r="A26" s="8" t="inlineStr">
        <is>
          <t>S22</t>
        </is>
      </c>
      <c r="B26" s="8" t="inlineStr">
        <is>
          <t>Spotify for Artists: Discovery Mode product page</t>
        </is>
      </c>
      <c r="C26" s="8" t="inlineStr">
        <is>
          <t>https://artists.spotify.com/discovery-mode</t>
        </is>
      </c>
    </row>
    <row r="27">
      <c r="A27" s="8" t="inlineStr">
        <is>
          <t>S23</t>
        </is>
      </c>
      <c r="B27" s="8" t="inlineStr">
        <is>
          <t>Spotify for Artists: Campaign Kit (Mixes join DM from 3 Jan 2024)</t>
        </is>
      </c>
      <c r="C27" s="8" t="inlineStr">
        <is>
          <t>https://artists.spotify.com/blog/introducing-campaign-kit-campaign-tools-made-for-music</t>
        </is>
      </c>
    </row>
    <row r="28">
      <c r="A28" s="8" t="inlineStr">
        <is>
          <t>S24</t>
        </is>
      </c>
      <c r="B28" s="8" t="inlineStr">
        <is>
          <t>Spotify for Artists: Source of streams taxonomy</t>
        </is>
      </c>
      <c r="C28" s="8" t="inlineStr">
        <is>
          <t>https://support.spotify.com/us/artists/article/source-of-streams/</t>
        </is>
      </c>
    </row>
    <row r="29">
      <c r="A29" s="8" t="inlineStr">
        <is>
          <t>S25</t>
        </is>
      </c>
      <c r="B29" s="8" t="inlineStr">
        <is>
          <t>Spotify for Artists: 'Made to Be Found' (26 Jan 2022)</t>
        </is>
      </c>
      <c r="C29" s="8" t="inlineStr">
        <is>
          <t>https://artists.spotify.com/en/blog/how-fans-discover-music-on-spotify-playlists-made-to-be-found</t>
        </is>
      </c>
    </row>
    <row r="30">
      <c r="A30" s="8" t="inlineStr">
        <is>
          <t>S26</t>
        </is>
      </c>
      <c r="B30" s="8" t="inlineStr">
        <is>
          <t>Music Ally on 'Made to Be Found'</t>
        </is>
      </c>
      <c r="C30" s="8" t="inlineStr">
        <is>
          <t>https://musically.com/2022/01/26/spotify-majority-streams-active-listening/</t>
        </is>
      </c>
    </row>
    <row r="31">
      <c r="A31" s="8" t="inlineStr">
        <is>
          <t>S27</t>
        </is>
      </c>
      <c r="B31" s="8" t="inlineStr">
        <is>
          <t>Music Ally on Your Music Marketing stream-source study (Feb 2024)</t>
        </is>
      </c>
      <c r="C31" s="8" t="inlineStr">
        <is>
          <t>https://musically.com/2024/02/23/report-explores-how-spotify-algorithms-affect-music-listening/</t>
        </is>
      </c>
    </row>
    <row r="32">
      <c r="A32" s="8" t="inlineStr">
        <is>
          <t>S28</t>
        </is>
      </c>
      <c r="B32" s="8" t="inlineStr">
        <is>
          <t>Anderson et al., Algorithmic effects on diversity of consumption on Spotify (WWW 2020)</t>
        </is>
      </c>
      <c r="C32" s="8" t="inlineStr">
        <is>
          <t>https://www.cs.toronto.edu/~ashton/pubs/alg-effects-spotify-www2020.pdf</t>
        </is>
      </c>
    </row>
    <row r="33">
      <c r="A33" s="8" t="inlineStr">
        <is>
          <t>S29</t>
        </is>
      </c>
      <c r="B33" s="8" t="inlineStr">
        <is>
          <t>Bello &amp; Garcia (2021): 'up to one-fifth of streams' algorithmic</t>
        </is>
      </c>
      <c r="C33" s="8" t="inlineStr">
        <is>
          <t>https://www.nature.com/articles/s41599-021-00855-1</t>
        </is>
      </c>
    </row>
    <row r="34">
      <c r="A34" s="8" t="inlineStr">
        <is>
          <t>S30</t>
        </is>
      </c>
      <c r="B34" s="8" t="inlineStr">
        <is>
          <t>Spotify letter to Reps. Nadler and Johnson (16 Jun 2021)</t>
        </is>
      </c>
      <c r="C34" s="8" t="inlineStr">
        <is>
          <t>https://democrats-judiciary.house.gov/sites/evo-subsites/democrats-judiciary.house.gov/files/migrated/UploadedFiles/Spotify_Ltr_to_Reps._Nadler_Johnson_6_16_21.pdf</t>
        </is>
      </c>
    </row>
    <row r="35">
      <c r="A35" s="8" t="inlineStr">
        <is>
          <t>S31</t>
        </is>
      </c>
      <c r="B35" s="8" t="inlineStr">
        <is>
          <t>Variety: second Congressional letter on Discovery Mode (Mar 2022)</t>
        </is>
      </c>
      <c r="C35" s="8" t="inlineStr">
        <is>
          <t>https://variety.com/2022/music/news/congress-spotify-troubling-discovery-mode-policy-1235226722/</t>
        </is>
      </c>
    </row>
    <row r="36">
      <c r="A36" s="8" t="inlineStr">
        <is>
          <t>S32</t>
        </is>
      </c>
      <c r="B36" s="8" t="inlineStr">
        <is>
          <t>Billboard: Capolongo class action over Discovery Mode (Nov 2025)</t>
        </is>
      </c>
      <c r="C36" s="8" t="inlineStr">
        <is>
          <t>https://www.billboard.com/pro/spotify-lawsuit-discovery-mode-modern-payola/</t>
        </is>
      </c>
    </row>
    <row r="37">
      <c r="A37" s="8" t="inlineStr">
        <is>
          <t>S33</t>
        </is>
      </c>
      <c r="B37" s="8" t="inlineStr">
        <is>
          <t>EmuBands: Discovery Mode terms update (Apr 2026)</t>
        </is>
      </c>
      <c r="C37" s="8" t="inlineStr">
        <is>
          <t>https://www.emubands.com/spotify-discovery-mode-april-2026-update/</t>
        </is>
      </c>
    </row>
    <row r="38">
      <c r="A38" s="8" t="inlineStr">
        <is>
          <t>S34</t>
        </is>
      </c>
      <c r="B38" s="8" t="inlineStr">
        <is>
          <t>MBW: Believe CEO on Discovery Mode scale (2025)</t>
        </is>
      </c>
      <c r="C38" s="8" t="inlineStr">
        <is>
          <t>https://www.musicbusinessworldwide.com/denis-ladegaillerie-sees-the-future-music/</t>
        </is>
      </c>
    </row>
    <row r="39">
      <c r="A39" s="8" t="inlineStr">
        <is>
          <t>S35</t>
        </is>
      </c>
      <c r="B39" s="8" t="inlineStr">
        <is>
          <t>MBW: indie labels vs DIY distributors on Discovery Mode (2021)</t>
        </is>
      </c>
      <c r="C39" s="8" t="inlineStr">
        <is>
          <t>https://www.musicbusinessworldwide.com/indie-labels-slam-spotifys-discovery-mode-but-diy-giants-love-it/</t>
        </is>
      </c>
    </row>
    <row r="40">
      <c r="A40" s="8" t="inlineStr">
        <is>
          <t>S36</t>
        </is>
      </c>
      <c r="B40" s="8" t="inlineStr">
        <is>
          <t>TuneCore: Discovery Mode commission pass-through</t>
        </is>
      </c>
      <c r="C40" s="8" t="inlineStr">
        <is>
          <t>https://support.tunecore.com/hc/en-us/articles/9010994114836-Spotify-Discovery-Mode</t>
        </is>
      </c>
    </row>
    <row r="41">
      <c r="A41" s="8" t="inlineStr">
        <is>
          <t>S37</t>
        </is>
      </c>
      <c r="B41" s="8" t="inlineStr">
        <is>
          <t>MIDiA: Spotify profitability and Discovery Mode margin (2025)</t>
        </is>
      </c>
      <c r="C41" s="8" t="inlineStr">
        <is>
          <t>https://www.midiaresearch.com/blog/why-spotify-only-hit-profitability-now-but-will-do-so-again</t>
        </is>
      </c>
    </row>
    <row r="42">
      <c r="A42" s="8" t="inlineStr">
        <is>
          <t>S38</t>
        </is>
      </c>
      <c r="B42" s="8" t="inlineStr">
        <is>
          <t>Variety: MIDiA per-stream split 30/56/14 (2025)</t>
        </is>
      </c>
      <c r="C42" s="8" t="inlineStr">
        <is>
          <t>https://variety.com/2025/digital/news/spotify-paid-4-billion-music-songwriters-struggling-1236334752/</t>
        </is>
      </c>
    </row>
    <row r="43">
      <c r="A43" s="8" t="inlineStr">
        <is>
          <t>S39</t>
        </is>
      </c>
      <c r="B43" s="8" t="inlineStr">
        <is>
          <t>Loud &amp; Clear 2026 highlights (2025 payouts; independents ~50%)</t>
        </is>
      </c>
      <c r="C43" s="8" t="inlineStr">
        <is>
          <t>https://newsroom.spotify.com/2026-03-11/loud-and-clear-music-economics-highlights/</t>
        </is>
      </c>
    </row>
    <row r="44">
      <c r="A44" s="8" t="inlineStr">
        <is>
          <t>S40</t>
        </is>
      </c>
      <c r="B44" s="8" t="inlineStr">
        <is>
          <t>Music Ally: DIY artists ~a quarter of Spotify music streams (2022)</t>
        </is>
      </c>
      <c r="C44" s="8" t="inlineStr">
        <is>
          <t>https://musically.com/2023/02/03/diy-artists-now-account-for-a-quarter-of-spotifys-music-streams/</t>
        </is>
      </c>
    </row>
    <row r="45">
      <c r="A45" s="8" t="inlineStr">
        <is>
          <t>S41</t>
        </is>
      </c>
      <c r="B45" s="8" t="inlineStr">
        <is>
          <t>MBW: Spotify bundling estimate (MLC suit, EUR 46m for Mar-Jun 2024)</t>
        </is>
      </c>
      <c r="C45" s="8" t="inlineStr">
        <is>
          <t>https://www.musicbusinessworldwide.com/spotify-estimates-that-it-would-have-to-pay-out-50m-if-the-mlc-wins-its-bundling-lawsuit/</t>
        </is>
      </c>
    </row>
    <row r="46">
      <c r="A46" s="8" t="inlineStr">
        <is>
          <t>S42</t>
        </is>
      </c>
      <c r="B46" s="8" t="inlineStr">
        <is>
          <t>Billboard: bundle reclassification ~$150m less US mechanicals</t>
        </is>
      </c>
      <c r="C46" s="8" t="inlineStr">
        <is>
          <t>https://www.billboard.com/business/streaming/spotify-songwriters-less-mechanical-royalties-audiobooks-bundle-1235673829/</t>
        </is>
      </c>
    </row>
    <row r="47">
      <c r="A47" s="8" t="inlineStr">
        <is>
          <t>S43</t>
        </is>
      </c>
      <c r="B47" s="8" t="inlineStr">
        <is>
          <t>MBW: Q2 2026, 300m Premium subscribers</t>
        </is>
      </c>
      <c r="C47" s="8" t="inlineStr">
        <is>
          <t>https://www.musicbusinessworldwide.com/spotify-hits-300-million-premium-subscribers-in-q2-202/</t>
        </is>
      </c>
    </row>
    <row r="48">
      <c r="A48" s="8" t="inlineStr">
        <is>
          <t>S44</t>
        </is>
      </c>
      <c r="B48" s="8" t="inlineStr">
        <is>
          <t>MBW: Q1 2026 call (DJ used by 94m subscribers)</t>
        </is>
      </c>
      <c r="C48" s="8" t="inlineStr">
        <is>
          <t>https://www.musicbusinessworldwide.com/spotifys-co-ceos-outline-ai-ambitions-and-more-on-q1-2026-earnings-call/</t>
        </is>
      </c>
    </row>
    <row r="49">
      <c r="A49" s="8" t="inlineStr">
        <is>
          <t>S45</t>
        </is>
      </c>
      <c r="B49" s="8" t="inlineStr">
        <is>
          <t>Spotify newsroom: Smart Shuffle (Mar 2023)</t>
        </is>
      </c>
      <c r="C49" s="8" t="inlineStr">
        <is>
          <t>https://newsroom.spotify.com/2023-03-08/smart-shuffle-new-life-spotify-playlists/</t>
        </is>
      </c>
    </row>
    <row r="50">
      <c r="A50" s="8" t="inlineStr">
        <is>
          <t>S46</t>
        </is>
      </c>
      <c r="B50" s="8" t="inlineStr">
        <is>
          <t>Spotify newsroom: AI DJ (Mar 2023)</t>
        </is>
      </c>
      <c r="C50" s="8" t="inlineStr">
        <is>
          <t>https://newsroom.spotify.com/2023-03-08/spotify-new-personalized-ai-dj-how-it-works/</t>
        </is>
      </c>
    </row>
    <row r="51">
      <c r="A51" s="8" t="inlineStr">
        <is>
          <t>S47</t>
        </is>
      </c>
      <c r="B51" s="8" t="inlineStr">
        <is>
          <t>r/musicmarketing Discovery Mode evidence (this repo)</t>
        </is>
      </c>
      <c r="C51" s="8" t="inlineStr">
        <is>
          <t>analysis/discovery_mode_efficacy.xlsx</t>
        </is>
      </c>
    </row>
    <row r="52">
      <c r="A52" s="8" t="inlineStr">
        <is>
          <t>S48</t>
        </is>
      </c>
      <c r="B52" s="8" t="inlineStr">
        <is>
          <t>Analyst view (2 Oct 2026): Discovery Mode is at least 80% of Marketplace gross profit</t>
        </is>
      </c>
      <c r="C52" s="8" t="inlineStr">
        <is>
          <t>user input; drives Inputs section F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2026-10-02T18:35:27Z</dcterms:created>
  <dcterms:modified xmlns:dcterms="http://purl.org/dc/terms/" xmlns:xsi="http://www.w3.org/2001/XMLSchema-instance" xsi:type="dcterms:W3CDTF">2026-10-02T18:35:27Z</dcterms:modified>
</cp:coreProperties>
</file>