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M Summary" sheetId="1" state="visible" r:id="rId1"/>
    <sheet name="DM Campaign Lifts" sheetId="2" state="visible" r:id="rId2"/>
    <sheet name="DM Artist Pairs" sheetId="3" state="visible" r:id="rId3"/>
    <sheet name="DM Engagement" sheetId="4" state="visible" r:id="rId4"/>
    <sheet name="DM On-Off Cases" sheetId="5" state="visible" r:id="rId5"/>
    <sheet name="DM Corpus" sheetId="6" state="visible" r:id="rId6"/>
  </sheets>
  <definedNames/>
  <calcPr calcId="124519" fullCalcOnLoad="1"/>
</workbook>
</file>

<file path=xl/styles.xml><?xml version="1.0" encoding="utf-8"?>
<styleSheet xmlns="http://schemas.openxmlformats.org/spreadsheetml/2006/main">
  <numFmts count="4">
    <numFmt numFmtId="164" formatCode="yyyy-mm-dd h:mm:ss"/>
    <numFmt numFmtId="165" formatCode="0%_);(0%)"/>
    <numFmt numFmtId="166" formatCode="0.0%_);(0.0%)"/>
    <numFmt numFmtId="167" formatCode="0.0&quot;x&quot;"/>
  </numFmts>
  <fonts count="8">
    <font>
      <name val="Calibri"/>
      <family val="2"/>
      <color theme="1"/>
      <sz val="11"/>
      <scheme val="minor"/>
    </font>
    <font>
      <name val="Calibri"/>
      <b val="1"/>
      <color rgb="FFFFFFFF"/>
      <sz val="11"/>
    </font>
    <font>
      <name val="Calibri"/>
      <sz val="11"/>
    </font>
    <font>
      <name val="Calibri"/>
      <i val="1"/>
      <sz val="11"/>
    </font>
    <font>
      <name val="Calibri"/>
      <b val="1"/>
      <sz val="11"/>
    </font>
    <font>
      <name val="Calibri"/>
      <color rgb="FF0070C0"/>
      <sz val="11"/>
    </font>
    <font>
      <name val="Calibri"/>
      <b val="1"/>
      <color theme="1"/>
      <sz val="11"/>
    </font>
    <font>
      <name val="Calibri"/>
      <color rgb="FF00B050"/>
      <sz val="11"/>
    </font>
  </fonts>
  <fills count="5">
    <fill>
      <patternFill/>
    </fill>
    <fill>
      <patternFill patternType="gray125"/>
    </fill>
    <fill>
      <patternFill patternType="solid">
        <fgColor rgb="FF002060"/>
      </patternFill>
    </fill>
    <fill>
      <patternFill patternType="solid">
        <fgColor rgb="FFE7E6E6"/>
      </patternFill>
    </fill>
    <fill>
      <patternFill patternType="solid">
        <fgColor rgb="FFFFFF00"/>
      </patternFill>
    </fill>
  </fills>
  <borders count="5">
    <border>
      <left/>
      <right/>
      <top/>
      <bottom/>
      <diagonal/>
    </border>
    <border>
      <top style="thin"/>
    </border>
    <border>
      <bottom style="thin"/>
    </border>
    <border>
      <left style="thin"/>
      <top style="thin"/>
      <bottom style="thin"/>
    </border>
    <border>
      <left/>
      <top style="thin"/>
      <bottom style="thin"/>
    </border>
  </borders>
  <cellStyleXfs count="1">
    <xf numFmtId="0" fontId="0" fillId="0" borderId="0"/>
  </cellStyleXfs>
  <cellXfs count="43">
    <xf numFmtId="0" fontId="0" fillId="0" borderId="0" pivotButton="0" quotePrefix="0" xfId="0"/>
    <xf numFmtId="0" fontId="1" fillId="2" borderId="0" pivotButton="0" quotePrefix="0" xfId="0"/>
    <xf numFmtId="0" fontId="1" fillId="2" borderId="0" applyAlignment="1" pivotButton="0" quotePrefix="0" xfId="0">
      <alignment horizontal="center"/>
    </xf>
    <xf numFmtId="0" fontId="2" fillId="3" borderId="0" pivotButton="0" quotePrefix="0" xfId="0"/>
    <xf numFmtId="0" fontId="3" fillId="0" borderId="0" pivotButton="0" quotePrefix="0" xfId="0"/>
    <xf numFmtId="0" fontId="4" fillId="0" borderId="0" pivotButton="0" quotePrefix="0" xfId="0"/>
    <xf numFmtId="0" fontId="2" fillId="0" borderId="0" pivotButton="0" quotePrefix="0" xfId="0"/>
    <xf numFmtId="165" fontId="7" fillId="0" borderId="0" applyAlignment="1" pivotButton="0" quotePrefix="0" xfId="0">
      <alignment horizontal="center"/>
    </xf>
    <xf numFmtId="1" fontId="7" fillId="0" borderId="0" applyAlignment="1" pivotButton="0" quotePrefix="0" xfId="0">
      <alignment horizontal="center"/>
    </xf>
    <xf numFmtId="0" fontId="3" fillId="0" borderId="0" applyAlignment="1" pivotButton="0" quotePrefix="0" xfId="0">
      <alignment wrapText="1"/>
    </xf>
    <xf numFmtId="166" fontId="7" fillId="0" borderId="0" applyAlignment="1" pivotButton="0" quotePrefix="0" xfId="0">
      <alignment horizontal="center"/>
    </xf>
    <xf numFmtId="37" fontId="7" fillId="0" borderId="0" applyAlignment="1" pivotButton="0" quotePrefix="0" xfId="0">
      <alignment horizontal="center"/>
    </xf>
    <xf numFmtId="0" fontId="1" fillId="2" borderId="0" applyAlignment="1" pivotButton="0" quotePrefix="0" xfId="0">
      <alignment horizontal="center" wrapText="1"/>
    </xf>
    <xf numFmtId="17" fontId="5" fillId="0" borderId="0" applyAlignment="1" pivotButton="0" quotePrefix="0" xfId="0">
      <alignment horizontal="center"/>
    </xf>
    <xf numFmtId="0" fontId="5" fillId="0" borderId="0" applyAlignment="1" pivotButton="0" quotePrefix="0" xfId="0">
      <alignment horizontal="center"/>
    </xf>
    <xf numFmtId="37" fontId="5" fillId="0" borderId="0" applyAlignment="1" pivotButton="0" quotePrefix="0" xfId="0">
      <alignment horizontal="center"/>
    </xf>
    <xf numFmtId="165" fontId="2" fillId="0" borderId="0" applyAlignment="1" pivotButton="0" quotePrefix="0" xfId="0">
      <alignment horizontal="center"/>
    </xf>
    <xf numFmtId="0" fontId="2" fillId="0" borderId="0" applyAlignment="1" pivotButton="0" quotePrefix="0" xfId="0">
      <alignment horizontal="center"/>
    </xf>
    <xf numFmtId="166" fontId="5" fillId="0" borderId="0" applyAlignment="1" pivotButton="0" quotePrefix="0" xfId="0">
      <alignment horizontal="center"/>
    </xf>
    <xf numFmtId="1" fontId="5" fillId="0" borderId="0" applyAlignment="1" pivotButton="0" quotePrefix="0" xfId="0">
      <alignment horizontal="center"/>
    </xf>
    <xf numFmtId="0" fontId="4" fillId="0" borderId="1" pivotButton="0" quotePrefix="0" xfId="0"/>
    <xf numFmtId="0" fontId="6" fillId="0" borderId="1" pivotButton="0" quotePrefix="0" xfId="0"/>
    <xf numFmtId="165" fontId="4" fillId="0" borderId="1" applyAlignment="1" pivotButton="0" quotePrefix="0" xfId="0">
      <alignment horizontal="center"/>
    </xf>
    <xf numFmtId="1" fontId="4" fillId="0" borderId="1" applyAlignment="1" pivotButton="0" quotePrefix="0" xfId="0">
      <alignment horizontal="center"/>
    </xf>
    <xf numFmtId="0" fontId="3" fillId="0" borderId="1" applyAlignment="1" pivotButton="0" quotePrefix="0" xfId="0">
      <alignment wrapText="1"/>
    </xf>
    <xf numFmtId="165" fontId="4" fillId="0" borderId="0" applyAlignment="1" pivotButton="0" quotePrefix="0" xfId="0">
      <alignment horizontal="center"/>
    </xf>
    <xf numFmtId="1" fontId="2" fillId="0" borderId="0" applyAlignment="1" pivotButton="0" quotePrefix="0" xfId="0">
      <alignment horizontal="center"/>
    </xf>
    <xf numFmtId="15" fontId="5" fillId="0" borderId="0" applyAlignment="1" pivotButton="0" quotePrefix="0" xfId="0">
      <alignment horizontal="center"/>
    </xf>
    <xf numFmtId="0" fontId="4" fillId="0" borderId="2" applyAlignment="1" pivotButton="0" quotePrefix="0" xfId="0">
      <alignment horizontal="center"/>
    </xf>
    <xf numFmtId="0" fontId="4" fillId="0" borderId="2" applyAlignment="1" pivotButton="0" quotePrefix="0" xfId="0">
      <alignment horizontal="center" wrapText="1"/>
    </xf>
    <xf numFmtId="1" fontId="5" fillId="0" borderId="0" applyAlignment="1" pivotButton="0" quotePrefix="0" xfId="0">
      <alignment horizontal="left"/>
    </xf>
    <xf numFmtId="37" fontId="2" fillId="0" borderId="0" applyAlignment="1" pivotButton="0" quotePrefix="0" xfId="0">
      <alignment horizontal="center"/>
    </xf>
    <xf numFmtId="0" fontId="7" fillId="0" borderId="0" pivotButton="0" quotePrefix="0" xfId="0"/>
    <xf numFmtId="166" fontId="2" fillId="0" borderId="0" applyAlignment="1" pivotButton="0" quotePrefix="0" xfId="0">
      <alignment horizontal="center"/>
    </xf>
    <xf numFmtId="0" fontId="5" fillId="0" borderId="0" pivotButton="0" quotePrefix="0" xfId="0"/>
    <xf numFmtId="166" fontId="4" fillId="0" borderId="1" applyAlignment="1" pivotButton="0" quotePrefix="0" xfId="0">
      <alignment horizontal="center"/>
    </xf>
    <xf numFmtId="166" fontId="4" fillId="0" borderId="0" applyAlignment="1" pivotButton="0" quotePrefix="0" xfId="0">
      <alignment horizontal="center"/>
    </xf>
    <xf numFmtId="0" fontId="4" fillId="4" borderId="3" pivotButton="0" quotePrefix="0" xfId="0"/>
    <xf numFmtId="0" fontId="6" fillId="4" borderId="4" pivotButton="0" quotePrefix="0" xfId="0"/>
    <xf numFmtId="167" fontId="4" fillId="4" borderId="4" applyAlignment="1" pivotButton="0" quotePrefix="0" xfId="0">
      <alignment horizontal="center"/>
    </xf>
    <xf numFmtId="165" fontId="5" fillId="0" borderId="0" applyAlignment="1" pivotButton="0" quotePrefix="0" xfId="0">
      <alignment horizontal="center"/>
    </xf>
    <xf numFmtId="10" fontId="5" fillId="0" borderId="0" applyAlignment="1" pivotButton="0" quotePrefix="0" xfId="0">
      <alignment horizontal="center"/>
    </xf>
    <xf numFmtId="1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roundedCorners val="0"/>
  <style val="2"/>
  <chart>
    <title>
      <tx>
        <rich>
          <a:bodyPr/>
          <a:p>
            <a:pPr>
              <a:defRPr/>
            </a:pPr>
            <a:r>
              <a:t>Spotify-reported Discovery Mode lift by campaign (vs prior 28 days)</a:t>
            </a:r>
          </a:p>
        </rich>
      </tx>
    </title>
    <plotArea>
      <barChart>
        <barDir val="col"/>
        <grouping val="clustered"/>
        <ser>
          <idx val="0"/>
          <order val="0"/>
          <tx>
            <strRef>
              <f>'DM Campaign Lifts'!$J$2</f>
            </strRef>
          </tx>
          <spPr>
            <a:ln>
              <a:prstDash val="solid"/>
            </a:ln>
          </spPr>
          <cat>
            <numRef>
              <f>'DM Campaign Lifts'!$B$7:$B$13</f>
            </numRef>
          </cat>
          <val>
            <numRef>
              <f>'DM Campaign Lifts'!$J$7:$J$13</f>
            </numRef>
          </val>
        </ser>
        <ser>
          <idx val="1"/>
          <order val="1"/>
          <tx>
            <strRef>
              <f>'DM Campaign Lifts'!$K$2</f>
            </strRef>
          </tx>
          <spPr>
            <a:ln>
              <a:prstDash val="solid"/>
            </a:ln>
          </spPr>
          <cat>
            <numRef>
              <f>'DM Campaign Lifts'!$B$7:$B$13</f>
            </numRef>
          </cat>
          <val>
            <numRef>
              <f>'DM Campaign Lifts'!$K$7:$K$13</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Lift vs prior 28 days</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roundedCorners val="0"/>
  <style val="2"/>
  <chart>
    <title>
      <tx>
        <rich>
          <a:bodyPr/>
          <a:p>
            <a:pPr>
              <a:defRPr/>
            </a:pPr>
            <a:r>
              <a:t>Saves + playlist adds per listener: Discovery Mode campaigns vs overall audience</a:t>
            </a:r>
          </a:p>
        </rich>
      </tx>
    </title>
    <plotArea>
      <barChart>
        <barDir val="bar"/>
        <grouping val="clustered"/>
        <ser>
          <idx val="0"/>
          <order val="0"/>
          <tx>
            <strRef>
              <f>'DM Engagement'!$G$2</f>
            </strRef>
          </tx>
          <spPr>
            <a:ln>
              <a:prstDash val="solid"/>
            </a:ln>
          </spPr>
          <cat>
            <numRef>
              <f>'DM Engagement'!$B$7:$B$18</f>
            </numRef>
          </cat>
          <val>
            <numRef>
              <f>'DM Engagement'!$G$7:$G$18</f>
            </numRef>
          </val>
        </ser>
        <ser>
          <idx val="1"/>
          <order val="1"/>
          <tx>
            <strRef>
              <f>'DM Engagement'!$H$2</f>
            </strRef>
          </tx>
          <spPr>
            <a:ln>
              <a:prstDash val="solid"/>
            </a:ln>
          </spPr>
          <cat>
            <numRef>
              <f>'DM Engagement'!$B$7:$B$18</f>
            </numRef>
          </cat>
          <val>
            <numRef>
              <f>'DM Engagement'!$H$7:$H$18</f>
            </numRef>
          </val>
        </ser>
        <gapWidth val="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Saves + adds per listener</a:t>
                </a:r>
              </a:p>
            </rich>
          </tx>
        </title>
        <numFmt formatCode="0%" sourceLinked="0"/>
        <majorTickMark val="none"/>
        <minorTickMark val="none"/>
        <crossAx val="10"/>
        <crosses val="max"/>
      </valAx>
    </plotArea>
    <legend>
      <legendPos val="b"/>
    </legend>
    <plotVisOnly val="1"/>
    <dispBlanksAs val="gap"/>
  </chart>
</chartSpace>
</file>

<file path=xl/charts/chart3.xml><?xml version="1.0" encoding="utf-8"?>
<chartSpace xmlns:a="http://schemas.openxmlformats.org/drawingml/2006/main" xmlns="http://schemas.openxmlformats.org/drawingml/2006/chart">
  <roundedCorners val="0"/>
  <style val="2"/>
  <chart>
    <title>
      <tx>
        <rich>
          <a:bodyPr/>
          <a:p>
            <a:pPr>
              <a:defRPr/>
            </a:pPr>
            <a:r>
              <a:t>Direction of first-hand reports by artist size at the start</a:t>
            </a:r>
          </a:p>
        </rich>
      </tx>
    </title>
    <plotArea>
      <barChart>
        <barDir val="bar"/>
        <grouping val="stacked"/>
        <ser>
          <idx val="0"/>
          <order val="0"/>
          <tx>
            <strRef>
              <f>'DM Artist Pairs'!$C$34</f>
            </strRef>
          </tx>
          <spPr>
            <a:ln>
              <a:prstDash val="solid"/>
            </a:ln>
          </spPr>
          <cat>
            <numRef>
              <f>'DM Artist Pairs'!$B$35:$B$37</f>
            </numRef>
          </cat>
          <val>
            <numRef>
              <f>'DM Artist Pairs'!$C$35:$C$37</f>
            </numRef>
          </val>
        </ser>
        <ser>
          <idx val="1"/>
          <order val="1"/>
          <tx>
            <strRef>
              <f>'DM Artist Pairs'!$D$34</f>
            </strRef>
          </tx>
          <spPr>
            <a:ln>
              <a:prstDash val="solid"/>
            </a:ln>
          </spPr>
          <cat>
            <numRef>
              <f>'DM Artist Pairs'!$B$35:$B$37</f>
            </numRef>
          </cat>
          <val>
            <numRef>
              <f>'DM Artist Pairs'!$D$35:$D$37</f>
            </numRef>
          </val>
        </ser>
        <ser>
          <idx val="2"/>
          <order val="2"/>
          <tx>
            <strRef>
              <f>'DM Artist Pairs'!$E$34</f>
            </strRef>
          </tx>
          <spPr>
            <a:ln>
              <a:prstDash val="solid"/>
            </a:ln>
          </spPr>
          <cat>
            <numRef>
              <f>'DM Artist Pairs'!$B$35:$B$37</f>
            </numRef>
          </cat>
          <val>
            <numRef>
              <f>'DM Artist Pairs'!$E$35:$E$37</f>
            </numRef>
          </val>
        </ser>
        <gapWidth val="6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Number of reports</a:t>
                </a:r>
              </a:p>
            </rich>
          </tx>
        </title>
        <numFmt formatCode="0" sourceLinked="0"/>
        <majorTickMark val="none"/>
        <minorTickMark val="none"/>
        <crossAx val="10"/>
        <crosses val="max"/>
      </valAx>
    </plotArea>
    <legend>
      <legendPos val="b"/>
    </legend>
    <plotVisOnly val="1"/>
    <dispBlanksAs val="gap"/>
  </chart>
</chartSpace>
</file>

<file path=xl/charts/chart4.xml><?xml version="1.0" encoding="utf-8"?>
<chartSpace xmlns:a="http://schemas.openxmlformats.org/drawingml/2006/main" xmlns="http://schemas.openxmlformats.org/drawingml/2006/chart">
  <roundedCorners val="0"/>
  <style val="2"/>
  <chart>
    <title>
      <tx>
        <rich>
          <a:bodyPr/>
          <a:p>
            <a:pPr>
              <a:defRPr/>
            </a:pPr>
            <a:r>
              <a:t>Spotify-reported Discovery Mode lift by campaign (vs prior 28 days)</a:t>
            </a:r>
          </a:p>
        </rich>
      </tx>
    </title>
    <plotArea>
      <barChart>
        <barDir val="col"/>
        <grouping val="clustered"/>
        <ser>
          <idx val="0"/>
          <order val="0"/>
          <tx>
            <strRef>
              <f>'DM Campaign Lifts'!$J$2</f>
            </strRef>
          </tx>
          <spPr>
            <a:ln>
              <a:prstDash val="solid"/>
            </a:ln>
          </spPr>
          <cat>
            <numRef>
              <f>'DM Campaign Lifts'!$B$7:$B$13</f>
            </numRef>
          </cat>
          <val>
            <numRef>
              <f>'DM Campaign Lifts'!$J$7:$J$13</f>
            </numRef>
          </val>
        </ser>
        <ser>
          <idx val="1"/>
          <order val="1"/>
          <tx>
            <strRef>
              <f>'DM Campaign Lifts'!$K$2</f>
            </strRef>
          </tx>
          <spPr>
            <a:ln>
              <a:prstDash val="solid"/>
            </a:ln>
          </spPr>
          <cat>
            <numRef>
              <f>'DM Campaign Lifts'!$B$7:$B$13</f>
            </numRef>
          </cat>
          <val>
            <numRef>
              <f>'DM Campaign Lifts'!$K$7:$K$13</f>
            </numRef>
          </val>
        </ser>
        <gapWidth val="6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Lift vs prior 28 days</a:t>
                </a:r>
              </a:p>
            </rich>
          </tx>
        </title>
        <numFmt formatCode="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roundedCorners val="0"/>
  <style val="2"/>
  <chart>
    <title>
      <tx>
        <rich>
          <a:bodyPr/>
          <a:p>
            <a:pPr>
              <a:defRPr/>
            </a:pPr>
            <a:r>
              <a:t>Direction of first-hand reports by artist size at the start</a:t>
            </a:r>
          </a:p>
        </rich>
      </tx>
    </title>
    <plotArea>
      <barChart>
        <barDir val="bar"/>
        <grouping val="stacked"/>
        <ser>
          <idx val="0"/>
          <order val="0"/>
          <tx>
            <strRef>
              <f>'DM Artist Pairs'!$C$34</f>
            </strRef>
          </tx>
          <spPr>
            <a:ln>
              <a:prstDash val="solid"/>
            </a:ln>
          </spPr>
          <cat>
            <numRef>
              <f>'DM Artist Pairs'!$B$35:$B$37</f>
            </numRef>
          </cat>
          <val>
            <numRef>
              <f>'DM Artist Pairs'!$C$35:$C$37</f>
            </numRef>
          </val>
        </ser>
        <ser>
          <idx val="1"/>
          <order val="1"/>
          <tx>
            <strRef>
              <f>'DM Artist Pairs'!$D$34</f>
            </strRef>
          </tx>
          <spPr>
            <a:ln>
              <a:prstDash val="solid"/>
            </a:ln>
          </spPr>
          <cat>
            <numRef>
              <f>'DM Artist Pairs'!$B$35:$B$37</f>
            </numRef>
          </cat>
          <val>
            <numRef>
              <f>'DM Artist Pairs'!$D$35:$D$37</f>
            </numRef>
          </val>
        </ser>
        <ser>
          <idx val="2"/>
          <order val="2"/>
          <tx>
            <strRef>
              <f>'DM Artist Pairs'!$E$34</f>
            </strRef>
          </tx>
          <spPr>
            <a:ln>
              <a:prstDash val="solid"/>
            </a:ln>
          </spPr>
          <cat>
            <numRef>
              <f>'DM Artist Pairs'!$B$35:$B$37</f>
            </numRef>
          </cat>
          <val>
            <numRef>
              <f>'DM Artist Pairs'!$E$35:$E$37</f>
            </numRef>
          </val>
        </ser>
        <gapWidth val="6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Number of reports</a:t>
                </a:r>
              </a:p>
            </rich>
          </tx>
        </title>
        <numFmt formatCode="0" sourceLinked="0"/>
        <majorTickMark val="none"/>
        <minorTickMark val="none"/>
        <crossAx val="10"/>
        <crosses val="max"/>
      </valAx>
    </plotArea>
    <legend>
      <legendPos val="b"/>
    </legend>
    <plotVisOnly val="1"/>
    <dispBlanksAs val="gap"/>
  </chart>
</chartSpace>
</file>

<file path=xl/charts/chart6.xml><?xml version="1.0" encoding="utf-8"?>
<chartSpace xmlns:a="http://schemas.openxmlformats.org/drawingml/2006/main" xmlns="http://schemas.openxmlformats.org/drawingml/2006/chart">
  <roundedCorners val="0"/>
  <style val="2"/>
  <chart>
    <title>
      <tx>
        <rich>
          <a:bodyPr/>
          <a:p>
            <a:pPr>
              <a:defRPr/>
            </a:pPr>
            <a:r>
              <a:t>Saves + playlist adds per listener: Discovery Mode campaigns vs overall audience</a:t>
            </a:r>
          </a:p>
        </rich>
      </tx>
    </title>
    <plotArea>
      <barChart>
        <barDir val="bar"/>
        <grouping val="clustered"/>
        <ser>
          <idx val="0"/>
          <order val="0"/>
          <tx>
            <strRef>
              <f>'DM Engagement'!$G$2</f>
            </strRef>
          </tx>
          <spPr>
            <a:ln>
              <a:prstDash val="solid"/>
            </a:ln>
          </spPr>
          <cat>
            <numRef>
              <f>'DM Engagement'!$B$7:$B$18</f>
            </numRef>
          </cat>
          <val>
            <numRef>
              <f>'DM Engagement'!$G$7:$G$18</f>
            </numRef>
          </val>
        </ser>
        <ser>
          <idx val="1"/>
          <order val="1"/>
          <tx>
            <strRef>
              <f>'DM Engagement'!$H$2</f>
            </strRef>
          </tx>
          <spPr>
            <a:ln>
              <a:prstDash val="solid"/>
            </a:ln>
          </spPr>
          <cat>
            <numRef>
              <f>'DM Engagement'!$B$7:$B$18</f>
            </numRef>
          </cat>
          <val>
            <numRef>
              <f>'DM Engagement'!$H$7:$H$18</f>
            </numRef>
          </val>
        </ser>
        <gapWidth val="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Saves + adds per listener</a:t>
                </a:r>
              </a:p>
            </rich>
          </tx>
        </title>
        <numFmt formatCode="0%" sourceLinked="0"/>
        <majorTickMark val="none"/>
        <minorTickMark val="none"/>
        <crossAx val="10"/>
        <crosses val="max"/>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27</row>
      <rowOff>0</rowOff>
    </from>
    <ext cx="6480000" cy="306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45</row>
      <rowOff>0</rowOff>
    </from>
    <ext cx="648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68</row>
      <rowOff>0</rowOff>
    </from>
    <ext cx="6480000" cy="23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31</row>
      <rowOff>0</rowOff>
    </from>
    <ext cx="648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41</row>
      <rowOff>0</rowOff>
    </from>
    <ext cx="6480000" cy="23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B1:H84"/>
  <sheetViews>
    <sheetView showGridLines="0" workbookViewId="0">
      <pane ySplit="3" topLeftCell="A4" activePane="bottomLeft" state="frozen"/>
      <selection pane="bottomLeft" activeCell="A1" sqref="A1"/>
    </sheetView>
  </sheetViews>
  <sheetFormatPr baseColWidth="8" defaultRowHeight="15"/>
  <cols>
    <col width="58" customWidth="1" min="2" max="2"/>
    <col width="13" customWidth="1" min="3" max="3"/>
    <col width="13" customWidth="1" min="4" max="4"/>
    <col width="78" customWidth="1" min="8" max="8"/>
  </cols>
  <sheetData>
    <row r="1"/>
    <row r="2">
      <c r="B2" s="1" t="inlineStr">
        <is>
          <t>Discovery Mode Efficacy Summary</t>
        </is>
      </c>
      <c r="C2" s="2" t="inlineStr">
        <is>
          <t>Value</t>
        </is>
      </c>
      <c r="D2" s="2" t="inlineStr">
        <is>
          <t>n</t>
        </is>
      </c>
      <c r="E2" s="1" t="n"/>
      <c r="F2" s="1" t="n"/>
      <c r="G2" s="1" t="n"/>
      <c r="H2" s="1" t="inlineStr">
        <is>
          <t>Notes</t>
        </is>
      </c>
    </row>
    <row r="3">
      <c r="B3" s="3" t="n"/>
      <c r="C3" s="3" t="n"/>
      <c r="D3" s="3" t="n"/>
      <c r="E3" s="3" t="n"/>
      <c r="F3" s="3" t="n"/>
      <c r="G3" s="3" t="n"/>
      <c r="H3" s="3" t="n"/>
    </row>
    <row r="4">
      <c r="B4" s="4" t="inlineStr">
        <is>
          <t>Evidence from 70 first-hand artist reports on r/musicmarketing (Oct 2020 - Oct 2026) and 35 Spotify for Artists screenshots. Green = link to a data tab; the tabs that follow hold the inputs and formulas.</t>
        </is>
      </c>
    </row>
    <row r="6">
      <c r="B6" s="5" t="inlineStr">
        <is>
          <t>1. Key Numbers</t>
        </is>
      </c>
    </row>
    <row r="7" ht="30" customHeight="1">
      <c r="B7" s="6" t="inlineStr">
        <is>
          <t>Median Spotify-reported lift, campaigns Aug 2023 - Nov 2024</t>
        </is>
      </c>
      <c r="C7" s="7">
        <f>'DM Campaign Lifts'!$H$15</f>
        <v>4.05916950094411</v>
      </c>
      <c r="D7" s="8">
        <f>'DM Campaign Lifts'!$I$15</f>
        <v>4</v>
      </c>
      <c r="H7" s="9" t="inlineStr">
        <is>
          <t>Radio, Autoplay and Mixes streams during the campaign vs the 28 days before, as reported in the Spotify for Artists campaign screenshot.</t>
        </is>
      </c>
    </row>
    <row r="8" ht="30" customHeight="1">
      <c r="B8" s="6" t="inlineStr">
        <is>
          <t>Median Spotify-reported lift, campaigns Jan 2025 - Jul 2026</t>
        </is>
      </c>
      <c r="C8" s="7">
        <f>'DM Campaign Lifts'!$H$16</f>
        <v>0.7799165120593692</v>
      </c>
      <c r="D8" s="8">
        <f>'DM Campaign Lifts'!$I$16</f>
        <v>3</v>
      </c>
      <c r="H8" s="9" t="inlineStr">
        <is>
          <t>Same measure, later campaigns: a fraction of the 2023-24 lifts even on Spotify's own flattering metric.</t>
        </is>
      </c>
    </row>
    <row r="9">
      <c r="B9" s="6" t="inlineStr">
        <is>
          <t>Median saves + adds per Discovery Mode listener</t>
        </is>
      </c>
      <c r="C9" s="10">
        <f>'DM Engagement'!$F$20</f>
        <v>0.0124223831203865</v>
      </c>
      <c r="D9" s="8">
        <f>COUNT('DM Engagement'!$F$7:$F$14)</f>
        <v>8</v>
      </c>
      <c r="H9" s="9" t="inlineStr">
        <is>
          <t>(Saves + playlist adds) / campaign listeners, from the campaign reports.</t>
        </is>
      </c>
    </row>
    <row r="10" ht="30" customHeight="1">
      <c r="B10" s="6" t="inlineStr">
        <is>
          <t>Median saves per listener, artists' overall audience</t>
        </is>
      </c>
      <c r="C10" s="10">
        <f>'DM Engagement'!$F$21</f>
        <v>0.19854953666769998</v>
      </c>
      <c r="D10" s="8">
        <f>COUNT('DM Engagement'!$F$15:$F$18)</f>
        <v>4</v>
      </c>
      <c r="H10" s="9" t="inlineStr">
        <is>
          <t>Saves / listeners from four artists' 12-month dashboards. Different artists and definitions, so read as orders of magnitude.</t>
        </is>
      </c>
    </row>
    <row r="11">
      <c r="B11" s="6" t="inlineStr">
        <is>
          <t>Share of first-hand reports that went up, artists under 10k listeners</t>
        </is>
      </c>
      <c r="C11" s="7">
        <f>'DM Artist Pairs'!$G$35</f>
        <v>1</v>
      </c>
      <c r="D11" s="8">
        <f>'DM Artist Pairs'!$F$35</f>
        <v>8</v>
      </c>
      <c r="H11" s="9" t="inlineStr">
        <is>
          <t>Hand-coded set of 70 first-hand reports; 26 stated an audience size.</t>
        </is>
      </c>
    </row>
    <row r="12">
      <c r="B12" s="6" t="inlineStr">
        <is>
          <t>Share of first-hand reports that went up, artists with 10k+ listeners</t>
        </is>
      </c>
      <c r="C12" s="7">
        <f>'DM Artist Pairs'!$G$38</f>
        <v>0.3888888888888889</v>
      </c>
      <c r="D12" s="8">
        <f>'DM Artist Pairs'!$F$38</f>
        <v>18</v>
      </c>
      <c r="H12" s="9" t="inlineStr">
        <is>
          <t>Above 10k listeners the reports are a coin flip.</t>
        </is>
      </c>
    </row>
    <row r="13">
      <c r="B13" s="6" t="inlineStr">
        <is>
          <t>First-hand reports saying Discover Weekly / algorithmic streams fell</t>
        </is>
      </c>
      <c r="C13" s="11">
        <f>'DM Corpus'!$C$16</f>
        <v>12</v>
      </c>
      <c r="D13" s="8">
        <f>'DM Corpus'!$C$11</f>
        <v>70</v>
      </c>
      <c r="H13" s="9" t="inlineStr">
        <is>
          <t>n = all first-hand reports coded.</t>
        </is>
      </c>
    </row>
    <row r="14" ht="30" customHeight="1">
      <c r="B14" s="6" t="inlineStr">
        <is>
          <t>Median Discovery Mode share of monthly streams, established artists</t>
        </is>
      </c>
      <c r="C14" s="10">
        <f>'DM Corpus'!$C$59</f>
        <v>0.07500000000000001</v>
      </c>
      <c r="D14" s="8">
        <f>'DM Corpus'!$D$59</f>
        <v>8</v>
      </c>
      <c r="H14" s="9" t="inlineStr">
        <is>
          <t>Established artists (500k+ monthly streams) report 3-5%; catalog-heavy artists up to a third.</t>
        </is>
      </c>
    </row>
    <row r="16">
      <c r="B16" s="5" t="inlineStr">
        <is>
          <t>2. The Argument</t>
        </is>
      </c>
    </row>
    <row r="17" ht="75" customHeight="1">
      <c r="B17" s="6" t="inlineStr">
        <is>
          <t>Mechanism first: a relative boost inside a fixed pool</t>
        </is>
      </c>
      <c r="H17" s="9" t="inlineStr">
        <is>
          <t>Discovery Mode is a relative boost inside a fixed pool of Radio and Autoplay slots. Every new enrollee dilutes the others, so the per-track payoff must fall as enrollment grows. Symptoms: in one Dec 2023 campaign 4 of 6 enrolled songs got zero Discovery Mode streams; in 2025 one artist found 7 of 12 enrolled songs at 0-100 radio streams while still enrolled.</t>
        </is>
      </c>
    </row>
    <row r="18" ht="30" customHeight="1">
      <c r="B18" s="6" t="inlineStr">
        <is>
          <t>Spotify's own lift metric is shrinking</t>
        </is>
      </c>
      <c r="H18" s="9" t="inlineStr">
        <is>
          <t>Even on the flattering Radio/Autoplay-only measure, the 2025-26 campaign reports show a fraction of the 2023-24 lifts (chart 1 below; DM Campaign Lifts tab).</t>
        </is>
      </c>
    </row>
    <row r="19" ht="60" customHeight="1">
      <c r="B19" s="6" t="inlineStr">
        <is>
          <t>The lift is hollow</t>
        </is>
      </c>
      <c r="H19" s="9" t="inlineStr">
        <is>
          <t>The one artist who checked total streams found Spotify claiming +55% while the song's total fell. Discovery Mode listeners keep the song about 1% of the time versus roughly 20% for an artist's normal audience, and the latest campaign in the set has the lowest engagement of all (chart 2 below; DM Engagement tab).</t>
        </is>
      </c>
    </row>
    <row r="20" ht="60" customHeight="1">
      <c r="B20" s="6" t="inlineStr">
        <is>
          <t>Enrollment has become defensive</t>
        </is>
      </c>
      <c r="H20" s="9" t="inlineStr">
        <is>
          <t>Artists who stay say they re-enrolled out of fear or 'would not take it out again'; opting out halved one song's daily streams. For a new artist the pitch is now 'give up 30% to avoid losing ground', not 'give up 30% to grow' (DM On-Off Cases tab).</t>
        </is>
      </c>
    </row>
    <row r="21" ht="45" customHeight="1">
      <c r="B21" s="6" t="inlineStr">
        <is>
          <t>It still works only where the royalties barely matter</t>
        </is>
      </c>
      <c r="H21" s="9" t="inlineStr">
        <is>
          <t>Every report from artists under 10k listeners went up; above 10k it is a coin flip (chart 3 below; DM Artist Pairs tab). The addressable pool for the margin lever is the long tail.</t>
        </is>
      </c>
    </row>
    <row r="23">
      <c r="B23" s="5" t="inlineStr">
        <is>
          <t>3. Where It Breaks</t>
        </is>
      </c>
    </row>
    <row r="24" ht="60" customHeight="1">
      <c r="B24" s="6" t="inlineStr">
        <is>
          <t>Time trend in the artist-reported pairs</t>
        </is>
      </c>
      <c r="H24" s="9" t="inlineStr">
        <is>
          <t>The 18 artist-reported before/after pairs trend toward 'Up' over time (2023: 1 up / 5 down; 2025-26: 3 up / 0 down). The defensible reading is mix shift: the 2023 losers were 30k-80k-listener artists in the early rollout, the later winners are mostly small. State that; do not rely on the pairs for the time claim.</t>
        </is>
      </c>
    </row>
    <row r="25" ht="45" customHeight="1">
      <c r="B25" s="6" t="inlineStr">
        <is>
          <t>Sample size and selection</t>
        </is>
      </c>
      <c r="H25" s="9" t="inlineStr">
        <is>
          <t>Sample sizes are tiny (7 campaign lifts, 18 pairs) and self-selected from one subreddit. The 2026 platform-wide drops some artists report could be an algorithm change unrelated to the program.</t>
        </is>
      </c>
    </row>
    <row r="27">
      <c r="B27" s="5" t="inlineStr">
        <is>
          <t>4. Charts</t>
        </is>
      </c>
    </row>
    <row r="84">
      <c r="B84" s="4" t="inlineStr">
        <is>
          <t>Colour key: blue = hard-coded input read from the post or screenshot (notes give the post id); black = formula; green = link to another tab.</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Q30"/>
  <sheetViews>
    <sheetView showGridLines="0" workbookViewId="0">
      <pane ySplit="3" topLeftCell="A4" activePane="bottomLeft" state="frozen"/>
      <selection pane="bottomLeft" activeCell="A1" sqref="A1"/>
    </sheetView>
  </sheetViews>
  <sheetFormatPr baseColWidth="8" defaultRowHeight="15"/>
  <cols>
    <col width="22" customWidth="1" min="2" max="2"/>
    <col width="10" customWidth="1" min="3" max="3"/>
    <col width="18" customWidth="1" min="4" max="4"/>
    <col width="10" customWidth="1" min="5" max="5"/>
    <col width="14" customWidth="1" min="6" max="6"/>
    <col width="14" customWidth="1" min="7" max="7"/>
    <col width="10" customWidth="1" min="8" max="8"/>
    <col width="10" customWidth="1" min="9" max="9"/>
    <col width="11" customWidth="1" min="10" max="10"/>
    <col width="11" customWidth="1" min="11" max="11"/>
    <col width="12" customWidth="1" min="12" max="12"/>
    <col width="12" customWidth="1" min="13" max="13"/>
    <col width="13" customWidth="1" min="14" max="14"/>
    <col width="10" customWidth="1" min="15" max="15"/>
    <col width="10" customWidth="1" min="16" max="16"/>
    <col width="78" customWidth="1" min="17" max="17"/>
  </cols>
  <sheetData>
    <row r="1"/>
    <row r="2" ht="45" customHeight="1">
      <c r="B2" s="1" t="inlineStr">
        <is>
          <t>Discovery Mode Campaign Reports</t>
        </is>
      </c>
      <c r="C2" s="12" t="inlineStr">
        <is>
          <t>Month</t>
        </is>
      </c>
      <c r="D2" s="12" t="inlineStr">
        <is>
          <t>Source (post id)</t>
        </is>
      </c>
      <c r="E2" s="12" t="inlineStr">
        <is>
          <t>Songs enrolled</t>
        </is>
      </c>
      <c r="F2" s="12" t="inlineStr">
        <is>
          <t>DM-context streams, campaign</t>
        </is>
      </c>
      <c r="G2" s="12" t="inlineStr">
        <is>
          <t>DM-context streams, prior 28 days</t>
        </is>
      </c>
      <c r="H2" s="12" t="inlineStr">
        <is>
          <t>Reported lift</t>
        </is>
      </c>
      <c r="I2" s="12" t="inlineStr">
        <is>
          <t>Era</t>
        </is>
      </c>
      <c r="J2" s="12" t="inlineStr">
        <is>
          <t>Lift, 2023-24</t>
        </is>
      </c>
      <c r="K2" s="12" t="inlineStr">
        <is>
          <t>Lift, 2025-26</t>
        </is>
      </c>
      <c r="L2" s="12" t="inlineStr">
        <is>
          <t>Campaign listeners</t>
        </is>
      </c>
      <c r="M2" s="12" t="inlineStr">
        <is>
          <t>New listeners</t>
        </is>
      </c>
      <c r="N2" s="12" t="inlineStr">
        <is>
          <t>Saves + adds per listener</t>
        </is>
      </c>
      <c r="O2" s="12" t="inlineStr">
        <is>
          <t>Songs that gained</t>
        </is>
      </c>
      <c r="P2" s="12" t="inlineStr">
        <is>
          <t>Songs reported</t>
        </is>
      </c>
      <c r="Q2" s="1" t="inlineStr">
        <is>
          <t>Notes</t>
        </is>
      </c>
    </row>
    <row r="3">
      <c r="B3" s="3" t="n"/>
      <c r="C3" s="3" t="n"/>
      <c r="D3" s="3" t="n"/>
      <c r="E3" s="3" t="n"/>
      <c r="F3" s="3" t="n"/>
      <c r="G3" s="3" t="n"/>
      <c r="H3" s="3" t="n"/>
      <c r="I3" s="3" t="n"/>
      <c r="J3" s="3" t="n"/>
      <c r="K3" s="3" t="n"/>
      <c r="L3" s="3" t="n"/>
      <c r="M3" s="3" t="n"/>
      <c r="N3" s="3" t="n"/>
      <c r="O3" s="3" t="n"/>
      <c r="P3" s="3" t="n"/>
      <c r="Q3" s="3" t="n"/>
    </row>
    <row r="4">
      <c r="B4" s="4" t="inlineStr">
        <is>
          <t>Streams in Radio, Autoplay and Mixes during the campaign vs the 28 days before, as shown in artists' Spotify for Artists screenshots.</t>
        </is>
      </c>
    </row>
    <row r="6">
      <c r="B6" s="5" t="inlineStr">
        <is>
          <t>1. Campaign Reports With a Prior-28-Day Figure</t>
        </is>
      </c>
    </row>
    <row r="7">
      <c r="B7" s="6" t="inlineStr">
        <is>
          <t>Aug 2023</t>
        </is>
      </c>
      <c r="C7" s="13" t="n">
        <v>45139</v>
      </c>
      <c r="D7" s="14" t="inlineStr">
        <is>
          <t>15woi7w</t>
        </is>
      </c>
      <c r="F7" s="15" t="n">
        <v>445475</v>
      </c>
      <c r="G7" s="15" t="n">
        <v>91662</v>
      </c>
      <c r="H7" s="16">
        <f>IF(G7="","",F7/G7-1)</f>
        <v>3.8599746896205627</v>
      </c>
      <c r="I7" s="17" t="str">
        <f>IF(YEAR(C7)&lt;=2024,"2023-24","2025-26")</f>
        <v>2023-24</v>
      </c>
      <c r="J7" s="16">
        <f>IF(I7="2023-24",H7,"")</f>
        <v>3.8599746896205627</v>
      </c>
      <c r="K7" s="16" t="str">
        <f>IF(I7="2025-26",H7,"")</f>
        <v/>
      </c>
      <c r="L7" s="15" t="n">
        <v>192090</v>
      </c>
      <c r="M7" s="15" t="n">
        <v>105307</v>
      </c>
      <c r="N7" s="18" t="n">
        <v>0.01057316882711229</v>
      </c>
      <c r="Q7" s="9" t="inlineStr">
        <is>
          <t>Aug 1-20 only; 'results insane'.</t>
        </is>
      </c>
    </row>
    <row r="8">
      <c r="B8" s="6" t="inlineStr">
        <is>
          <t>Oct 2024 (a)</t>
        </is>
      </c>
      <c r="C8" s="13" t="n">
        <v>45566</v>
      </c>
      <c r="D8" s="14" t="inlineStr">
        <is>
          <t>1g1fk0o</t>
        </is>
      </c>
      <c r="E8" s="19" t="n">
        <v>8</v>
      </c>
      <c r="F8" s="15" t="n">
        <v>5658</v>
      </c>
      <c r="G8" s="15" t="n">
        <v>1076</v>
      </c>
      <c r="H8" s="16">
        <f>IF(G8="","",F8/G8-1)</f>
        <v>4.258364312267658</v>
      </c>
      <c r="I8" s="17" t="str">
        <f>IF(YEAR(C8)&lt;=2024,"2023-24","2025-26")</f>
        <v>2023-24</v>
      </c>
      <c r="J8" s="16">
        <f>IF(I8="2023-24",H8,"")</f>
        <v>4.258364312267658</v>
      </c>
      <c r="K8" s="16" t="str">
        <f>IF(I8="2025-26",H8,"")</f>
        <v/>
      </c>
      <c r="L8" s="15" t="n">
        <v>4755</v>
      </c>
      <c r="N8" s="18" t="n">
        <v>0.01198738170347003</v>
      </c>
      <c r="O8" s="19" t="n">
        <v>8</v>
      </c>
      <c r="P8" s="19" t="n">
        <v>8</v>
      </c>
    </row>
    <row r="9">
      <c r="B9" s="6" t="inlineStr">
        <is>
          <t>Oct 2024 (b)</t>
        </is>
      </c>
      <c r="C9" s="13" t="n">
        <v>45566</v>
      </c>
      <c r="D9" s="14" t="inlineStr">
        <is>
          <t>1geig0k</t>
        </is>
      </c>
      <c r="E9" s="19" t="n">
        <v>4</v>
      </c>
      <c r="F9" s="15" t="n">
        <v>3011</v>
      </c>
      <c r="G9" s="15" t="n">
        <v>359</v>
      </c>
      <c r="H9" s="16">
        <f>IF(G9="","",F9/G9-1)</f>
        <v>7.387186629526463</v>
      </c>
      <c r="I9" s="17" t="str">
        <f>IF(YEAR(C9)&lt;=2024,"2023-24","2025-26")</f>
        <v>2023-24</v>
      </c>
      <c r="J9" s="16">
        <f>IF(I9="2023-24",H9,"")</f>
        <v>7.387186629526463</v>
      </c>
      <c r="K9" s="16" t="str">
        <f>IF(I9="2025-26",H9,"")</f>
        <v/>
      </c>
      <c r="L9" s="15" t="n">
        <v>1723</v>
      </c>
      <c r="M9" s="15" t="n">
        <v>932</v>
      </c>
      <c r="N9" s="18" t="n">
        <v>0.0481717933836332</v>
      </c>
      <c r="O9" s="19" t="n">
        <v>3</v>
      </c>
      <c r="P9" s="19" t="n">
        <v>4</v>
      </c>
    </row>
    <row r="10">
      <c r="B10" s="6" t="inlineStr">
        <is>
          <t>Nov 2024</t>
        </is>
      </c>
      <c r="C10" s="13" t="n">
        <v>45597</v>
      </c>
      <c r="D10" s="14" t="inlineStr">
        <is>
          <t>1h46nzy</t>
        </is>
      </c>
      <c r="E10" s="19" t="n">
        <v>4</v>
      </c>
      <c r="F10" s="15" t="n">
        <v>46995</v>
      </c>
      <c r="G10" s="15" t="n">
        <v>16336</v>
      </c>
      <c r="H10" s="16">
        <f>IF(G10="","",F10/G10-1)</f>
        <v>1.876775220372184</v>
      </c>
      <c r="I10" s="17" t="str">
        <f>IF(YEAR(C10)&lt;=2024,"2023-24","2025-26")</f>
        <v>2023-24</v>
      </c>
      <c r="J10" s="16">
        <f>IF(I10="2023-24",H10,"")</f>
        <v>1.876775220372184</v>
      </c>
      <c r="K10" s="16" t="str">
        <f>IF(I10="2025-26",H10,"")</f>
        <v/>
      </c>
      <c r="L10" s="15" t="n">
        <v>25167</v>
      </c>
      <c r="M10" s="15" t="n">
        <v>21328</v>
      </c>
      <c r="N10" s="18" t="n">
        <v>0.01072833472404339</v>
      </c>
      <c r="Q10" s="9" t="inlineStr">
        <is>
          <t>~25k monthly listeners.</t>
        </is>
      </c>
    </row>
    <row r="11" ht="30" customHeight="1">
      <c r="B11" s="6" t="inlineStr">
        <is>
          <t>Jan 2025</t>
        </is>
      </c>
      <c r="C11" s="13" t="n">
        <v>45658</v>
      </c>
      <c r="D11" s="14" t="inlineStr">
        <is>
          <t>1ig7963 (text)</t>
        </is>
      </c>
      <c r="E11" s="19" t="n">
        <v>1</v>
      </c>
      <c r="F11" s="15" t="n">
        <v>7404</v>
      </c>
      <c r="G11" s="15" t="n">
        <v>4777</v>
      </c>
      <c r="H11" s="16">
        <f>IF(G11="","",F11/G11-1)</f>
        <v>0.5499267322587398</v>
      </c>
      <c r="I11" s="17" t="str">
        <f>IF(YEAR(C11)&lt;=2024,"2023-24","2025-26")</f>
        <v>2025-26</v>
      </c>
      <c r="J11" s="16" t="str">
        <f>IF(I11="2023-24",H11,"")</f>
        <v/>
      </c>
      <c r="K11" s="16">
        <f>IF(I11="2025-26",H11,"")</f>
        <v>0.5499267322587398</v>
      </c>
      <c r="Q11" s="9" t="inlineStr">
        <is>
          <t>Spotify reported +55% lift, but the same song's TOTAL streams fell from ~46k/month (Oct-Dec) to 43k in Jan.</t>
        </is>
      </c>
    </row>
    <row r="12">
      <c r="B12" s="6" t="inlineStr">
        <is>
          <t>Oct 2025</t>
        </is>
      </c>
      <c r="C12" s="13" t="n">
        <v>45931</v>
      </c>
      <c r="D12" s="14" t="inlineStr">
        <is>
          <t>1omcbrg</t>
        </is>
      </c>
      <c r="E12" s="19" t="n">
        <v>7</v>
      </c>
      <c r="F12" s="15" t="n">
        <v>39156</v>
      </c>
      <c r="G12" s="15" t="n">
        <v>10195</v>
      </c>
      <c r="H12" s="16">
        <f>IF(G12="","",F12/G12-1)</f>
        <v>2.8407062285434037</v>
      </c>
      <c r="I12" s="17" t="str">
        <f>IF(YEAR(C12)&lt;=2024,"2023-24","2025-26")</f>
        <v>2025-26</v>
      </c>
      <c r="J12" s="16" t="str">
        <f>IF(I12="2023-24",H12,"")</f>
        <v/>
      </c>
      <c r="K12" s="16">
        <f>IF(I12="2025-26",H12,"")</f>
        <v>2.8407062285434037</v>
      </c>
      <c r="L12" s="15" t="n">
        <v>27807</v>
      </c>
      <c r="N12" s="18" t="n">
        <v>0.01733376487934693</v>
      </c>
      <c r="O12" s="19" t="n">
        <v>7</v>
      </c>
      <c r="P12" s="19" t="n">
        <v>7</v>
      </c>
    </row>
    <row r="13">
      <c r="B13" s="6" t="inlineStr">
        <is>
          <t>Jul 2026</t>
        </is>
      </c>
      <c r="C13" s="13" t="n">
        <v>46204</v>
      </c>
      <c r="D13" s="14" t="inlineStr">
        <is>
          <t>1uy70w1 (text)</t>
        </is>
      </c>
      <c r="E13" s="19" t="n">
        <v>3</v>
      </c>
      <c r="F13" s="15" t="n">
        <v>7675</v>
      </c>
      <c r="G13" s="15" t="n">
        <v>4312</v>
      </c>
      <c r="H13" s="16">
        <f>IF(G13="","",F13/G13-1)</f>
        <v>0.7799165120593692</v>
      </c>
      <c r="I13" s="17" t="str">
        <f>IF(YEAR(C13)&lt;=2024,"2023-24","2025-26")</f>
        <v>2025-26</v>
      </c>
      <c r="J13" s="16" t="str">
        <f>IF(I13="2023-24",H13,"")</f>
        <v/>
      </c>
      <c r="K13" s="16">
        <f>IF(I13="2025-26",H13,"")</f>
        <v>0.7799165120593692</v>
      </c>
      <c r="L13" s="15" t="n">
        <v>5911</v>
      </c>
      <c r="M13" s="15" t="n">
        <v>5243</v>
      </c>
      <c r="N13" s="18" t="n">
        <v>0.01285738453730333</v>
      </c>
      <c r="O13" s="19" t="n">
        <v>3</v>
      </c>
      <c r="P13" s="19" t="n">
        <v>3</v>
      </c>
    </row>
    <row r="15" ht="30" customHeight="1">
      <c r="B15" s="20" t="inlineStr">
        <is>
          <t>Median reported lift, 2023-24 campaigns</t>
        </is>
      </c>
      <c r="C15" s="21" t="n"/>
      <c r="D15" s="21" t="n"/>
      <c r="E15" s="21" t="n"/>
      <c r="F15" s="21" t="n"/>
      <c r="G15" s="21" t="n"/>
      <c r="H15" s="22">
        <f>MEDIAN(H7:H10)</f>
        <v>4.05916950094411</v>
      </c>
      <c r="I15" s="23">
        <f>COUNT(H7:H10)</f>
        <v>4</v>
      </c>
      <c r="J15" s="21" t="n"/>
      <c r="K15" s="21" t="n"/>
      <c r="L15" s="21" t="n"/>
      <c r="M15" s="21" t="n"/>
      <c r="N15" s="21" t="n"/>
      <c r="O15" s="21" t="n"/>
      <c r="P15" s="21" t="n"/>
      <c r="Q15" s="24" t="inlineStr">
        <is>
          <t>n in column I. Rows are sorted by campaign date, so the era split is the row break between Nov 2024 and Jan 2025.</t>
        </is>
      </c>
    </row>
    <row r="16">
      <c r="B16" s="5" t="inlineStr">
        <is>
          <t>Median reported lift, 2025-26 campaigns</t>
        </is>
      </c>
      <c r="H16" s="25">
        <f>MEDIAN(H11:H13)</f>
        <v>0.7799165120593692</v>
      </c>
      <c r="I16" s="26">
        <f>COUNT(H11:H13)</f>
        <v>3</v>
      </c>
    </row>
    <row r="17">
      <c r="B17" s="5" t="inlineStr">
        <is>
          <t>Median reported lift, all campaigns with a before figure</t>
        </is>
      </c>
      <c r="H17" s="25">
        <f>MEDIAN(H7:H13)</f>
        <v>2.8407062285434037</v>
      </c>
      <c r="I17" s="26">
        <f>COUNT(H7:H13)</f>
        <v>7</v>
      </c>
    </row>
    <row r="18">
      <c r="B18" s="5" t="inlineStr">
        <is>
          <t>Latest campaign lift as a share of the earliest</t>
        </is>
      </c>
      <c r="H18" s="25">
        <f>H13/H7</f>
        <v>0.20205223473525816</v>
      </c>
    </row>
    <row r="20">
      <c r="B20" s="5" t="inlineStr">
        <is>
          <t>2. Campaign Reports Without a Prior-28-Day Figure (engagement only)</t>
        </is>
      </c>
    </row>
    <row r="21">
      <c r="B21" s="6" t="inlineStr">
        <is>
          <t>Dec 2023</t>
        </is>
      </c>
      <c r="C21" s="13" t="n">
        <v>45261</v>
      </c>
      <c r="D21" s="14" t="inlineStr">
        <is>
          <t>18lveoc</t>
        </is>
      </c>
      <c r="E21" s="19" t="n">
        <v>6</v>
      </c>
      <c r="F21" s="15" t="n">
        <v>1816</v>
      </c>
      <c r="H21" s="16" t="str">
        <f>IF(G21="","",F21/G21-1)</f>
        <v/>
      </c>
      <c r="I21" s="17" t="str">
        <f>IF(YEAR(C21)&lt;=2024,"2023-24","2025-26")</f>
        <v>2023-24</v>
      </c>
      <c r="J21" s="16" t="str">
        <f>IF(I21="2023-24",H21,"")</f>
        <v/>
      </c>
      <c r="K21" s="16" t="str">
        <f>IF(I21="2025-26",H21,"")</f>
        <v/>
      </c>
      <c r="L21" s="15" t="n">
        <v>1306</v>
      </c>
      <c r="N21" s="18" t="n">
        <v>0.01837672281776417</v>
      </c>
      <c r="O21" s="19" t="n">
        <v>2</v>
      </c>
      <c r="P21" s="19" t="n">
        <v>6</v>
      </c>
      <c r="Q21" s="9" t="inlineStr">
        <is>
          <t>4 of 6 songs got 0 DM streams (incl. top songs).</t>
        </is>
      </c>
    </row>
    <row r="22">
      <c r="B22" s="6" t="inlineStr">
        <is>
          <t>Sep 2026</t>
        </is>
      </c>
      <c r="C22" s="13" t="n">
        <v>46266</v>
      </c>
      <c r="D22" s="14" t="inlineStr">
        <is>
          <t>1wu7cam</t>
        </is>
      </c>
      <c r="E22" s="19" t="n">
        <v>7</v>
      </c>
      <c r="F22" s="15" t="n">
        <v>27994</v>
      </c>
      <c r="H22" s="16" t="str">
        <f>IF(G22="","",F22/G22-1)</f>
        <v/>
      </c>
      <c r="I22" s="17" t="str">
        <f>IF(YEAR(C22)&lt;=2024,"2023-24","2025-26")</f>
        <v>2025-26</v>
      </c>
      <c r="J22" s="16" t="str">
        <f>IF(I22="2023-24",H22,"")</f>
        <v/>
      </c>
      <c r="K22" s="16" t="str">
        <f>IF(I22="2025-26",H22,"")</f>
        <v/>
      </c>
      <c r="L22" s="15" t="n">
        <v>22689</v>
      </c>
      <c r="N22" s="18" t="n">
        <v>0.006831504253162326</v>
      </c>
      <c r="Q22" s="9" t="inlineStr">
        <is>
          <t>Intent 0.19-1.10% per song.</t>
        </is>
      </c>
    </row>
    <row r="24">
      <c r="B24" s="5" t="inlineStr">
        <is>
          <t>3. Definitions and Sources</t>
        </is>
      </c>
    </row>
    <row r="25">
      <c r="B25" s="4" t="inlineStr">
        <is>
          <t>Reported lift = campaign streams / prior-28-day streams - 1. Where the screenshot showed only the lift, the prior-28-day figure is streams / (1 + lift).</t>
        </is>
      </c>
    </row>
    <row r="26">
      <c r="B26" s="4" t="inlineStr">
        <is>
          <t>These counts cover only Radio, Autoplay and Mixes. They do not show whether the song's total streams rose; the Jan 2025 case is the one artist who checked, and total streams fell.</t>
        </is>
      </c>
    </row>
    <row r="27">
      <c r="B27" s="4" t="inlineStr">
        <is>
          <t>Saves + adds per listener = (saves + playlist adds) / campaign listeners, from the same screenshot.</t>
        </is>
      </c>
    </row>
    <row r="28">
      <c r="B28" s="4" t="inlineStr">
        <is>
          <t>Source: screenshots posted to r/musicmarketing, identified by post id. Collected via the Arctic Shift archive, read by hand.</t>
        </is>
      </c>
    </row>
    <row r="30">
      <c r="B30" s="4" t="inlineStr">
        <is>
          <t>Colour key: blue = hard-coded input read from the post or screenshot (notes give the post id); black = formula; green = link to another tab.</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L40"/>
  <sheetViews>
    <sheetView showGridLines="0" workbookViewId="0">
      <pane ySplit="3" topLeftCell="A4" activePane="bottomLeft" state="frozen"/>
      <selection pane="bottomLeft" activeCell="A1" sqref="A1"/>
    </sheetView>
  </sheetViews>
  <sheetFormatPr baseColWidth="8" defaultRowHeight="15"/>
  <cols>
    <col width="30" customWidth="1" min="2" max="2"/>
    <col width="12" customWidth="1" min="3" max="3"/>
    <col width="8" customWidth="1" min="4" max="4"/>
    <col width="13" customWidth="1" min="5" max="5"/>
    <col width="12" customWidth="1" min="6" max="6"/>
    <col width="12" customWidth="1" min="7" max="7"/>
    <col width="12" customWidth="1" min="8" max="8"/>
    <col width="10" customWidth="1" min="9" max="9"/>
    <col width="11" customWidth="1" min="10" max="10"/>
    <col width="24" customWidth="1" min="11" max="11"/>
    <col width="78" customWidth="1" min="12" max="12"/>
  </cols>
  <sheetData>
    <row r="1"/>
    <row r="2" ht="45" customHeight="1">
      <c r="B2" s="1" t="inlineStr">
        <is>
          <t>Discovery Mode Artist Before/After Pairs</t>
        </is>
      </c>
      <c r="C2" s="12" t="inlineStr">
        <is>
          <t>Date posted</t>
        </is>
      </c>
      <c r="D2" s="12" t="inlineStr">
        <is>
          <t>Year</t>
        </is>
      </c>
      <c r="E2" s="12" t="inlineStr">
        <is>
          <t>Monthly listeners at start</t>
        </is>
      </c>
      <c r="F2" s="12" t="inlineStr">
        <is>
          <t>Size band</t>
        </is>
      </c>
      <c r="G2" s="12" t="inlineStr">
        <is>
          <t>Before</t>
        </is>
      </c>
      <c r="H2" s="12" t="inlineStr">
        <is>
          <t>After</t>
        </is>
      </c>
      <c r="I2" s="12" t="inlineStr">
        <is>
          <t>Change</t>
        </is>
      </c>
      <c r="J2" s="12" t="inlineStr">
        <is>
          <t>Direction</t>
        </is>
      </c>
      <c r="K2" s="12" t="inlineStr">
        <is>
          <t>Source (post id)</t>
        </is>
      </c>
      <c r="L2" s="1" t="inlineStr">
        <is>
          <t>Notes</t>
        </is>
      </c>
    </row>
    <row r="3">
      <c r="B3" s="3" t="n"/>
      <c r="C3" s="3" t="n"/>
      <c r="D3" s="3" t="n"/>
      <c r="E3" s="3" t="n"/>
      <c r="F3" s="3" t="n"/>
      <c r="G3" s="3" t="n"/>
      <c r="H3" s="3" t="n"/>
      <c r="I3" s="3" t="n"/>
      <c r="J3" s="3" t="n"/>
      <c r="K3" s="3" t="n"/>
      <c r="L3" s="3" t="n"/>
    </row>
    <row r="4">
      <c r="B4" s="4" t="inlineStr">
        <is>
          <t>Every first-hand report that gave both a before and an after figure. 'Flat' = change within +/-5%.</t>
        </is>
      </c>
    </row>
    <row r="6">
      <c r="B6" s="5" t="inlineStr">
        <is>
          <t>1. Before/After Pairs Reported by Artists</t>
        </is>
      </c>
    </row>
    <row r="7" ht="30" customHeight="1">
      <c r="B7" s="6" t="inlineStr">
        <is>
          <t>Monthly listeners</t>
        </is>
      </c>
      <c r="C7" s="27" t="n">
        <v>45212</v>
      </c>
      <c r="D7" s="26">
        <f>YEAR(C7)</f>
        <v>2023</v>
      </c>
      <c r="E7" s="15" t="n">
        <v>37500</v>
      </c>
      <c r="F7" s="17" t="str">
        <f>IF(E7="","not stated",IF(E7&lt;10000,"Under 10k",IF(E7&lt;50000,"10k-50k","50k+")))</f>
        <v>10k-50k</v>
      </c>
      <c r="G7" s="15" t="n">
        <v>37500</v>
      </c>
      <c r="H7" s="15" t="n">
        <v>19000</v>
      </c>
      <c r="I7" s="16">
        <f>H7/G7-1</f>
        <v>-0.4933333333333333</v>
      </c>
      <c r="J7" s="17" t="str">
        <f>IF(ABS(I7)&lt;0.05,"Flat",IF(I7&gt;0,"Up","Down"))</f>
        <v>Down</v>
      </c>
      <c r="K7" s="14" t="inlineStr">
        <is>
          <t>176v311/k2zctt7/k3tx6dh</t>
        </is>
      </c>
      <c r="L7" s="9" t="inlineStr">
        <is>
          <t>Organic 35-40k listeners; after 3 months of DM down to 19k, no follows/saves from DM, Fans Also Like 'destroyed'.</t>
        </is>
      </c>
    </row>
    <row r="8">
      <c r="B8" s="6" t="inlineStr">
        <is>
          <t>Monthly listeners</t>
        </is>
      </c>
      <c r="C8" s="27" t="n">
        <v>45213</v>
      </c>
      <c r="D8" s="26">
        <f>YEAR(C8)</f>
        <v>2023</v>
      </c>
      <c r="E8" s="15" t="n">
        <v>80000</v>
      </c>
      <c r="F8" s="17" t="str">
        <f>IF(E8="","not stated",IF(E8&lt;10000,"Under 10k",IF(E8&lt;50000,"10k-50k","50k+")))</f>
        <v>50k+</v>
      </c>
      <c r="G8" s="15" t="n">
        <v>80000</v>
      </c>
      <c r="H8" s="15" t="n">
        <v>52000</v>
      </c>
      <c r="I8" s="16">
        <f>H8/G8-1</f>
        <v>-0.35</v>
      </c>
      <c r="J8" s="17" t="str">
        <f>IF(ABS(I8)&lt;0.05,"Flat",IF(I8&gt;0,"Up","Down"))</f>
        <v>Down</v>
      </c>
      <c r="K8" s="14" t="inlineStr">
        <is>
          <t>k4ox17o</t>
        </is>
      </c>
      <c r="L8" s="9" t="inlineStr">
        <is>
          <t>Discover Weekly streams fell, radio rose; saves/adds from DM 'terrible'.</t>
        </is>
      </c>
    </row>
    <row r="9">
      <c r="B9" s="6" t="inlineStr">
        <is>
          <t>Monthly listeners</t>
        </is>
      </c>
      <c r="C9" s="27" t="n">
        <v>45213</v>
      </c>
      <c r="D9" s="26">
        <f>YEAR(C9)</f>
        <v>2023</v>
      </c>
      <c r="E9" s="15" t="n">
        <v>80000</v>
      </c>
      <c r="F9" s="17" t="str">
        <f>IF(E9="","not stated",IF(E9&lt;10000,"Under 10k",IF(E9&lt;50000,"10k-50k","50k+")))</f>
        <v>50k+</v>
      </c>
      <c r="G9" s="15" t="n">
        <v>80000</v>
      </c>
      <c r="H9" s="15" t="n">
        <v>40000</v>
      </c>
      <c r="I9" s="16">
        <f>H9/G9-1</f>
        <v>-0.5</v>
      </c>
      <c r="J9" s="17" t="str">
        <f>IF(ABS(I9)&lt;0.05,"Flat",IF(I9&gt;0,"Up","Down"))</f>
        <v>Down</v>
      </c>
      <c r="K9" s="14" t="inlineStr">
        <is>
          <t>k4pk3ug</t>
        </is>
      </c>
      <c r="L9" s="9" t="inlineStr">
        <is>
          <t>Blames Spotify pushing Discover Weekly less after DM.</t>
        </is>
      </c>
    </row>
    <row r="10" ht="30" customHeight="1">
      <c r="B10" s="6" t="inlineStr">
        <is>
          <t>Radio streams / month</t>
        </is>
      </c>
      <c r="C10" s="27" t="n">
        <v>45226</v>
      </c>
      <c r="D10" s="26">
        <f>YEAR(C10)</f>
        <v>2023</v>
      </c>
      <c r="F10" s="17" t="str">
        <f>IF(E10="","not stated",IF(E10&lt;10000,"Under 10k",IF(E10&lt;50000,"10k-50k","50k+")))</f>
        <v>not stated</v>
      </c>
      <c r="G10" s="15" t="n">
        <v>1800</v>
      </c>
      <c r="H10" s="15" t="n">
        <v>20000</v>
      </c>
      <c r="I10" s="16">
        <f>H10/G10-1</f>
        <v>10.11111111111111</v>
      </c>
      <c r="J10" s="17" t="str">
        <f>IF(ABS(I10)&lt;0.05,"Flat",IF(I10&gt;0,"Up","Down"))</f>
        <v>Up</v>
      </c>
      <c r="K10" s="14" t="inlineStr">
        <is>
          <t>k6lhdlu</t>
        </is>
      </c>
      <c r="L10" s="9" t="inlineStr">
        <is>
          <t>Radio ~1,800/month before DM -&gt; ~20,000/month after several months (releases weekly).</t>
        </is>
      </c>
    </row>
    <row r="11" ht="30" customHeight="1">
      <c r="B11" s="6" t="inlineStr">
        <is>
          <t>Monthly listeners</t>
        </is>
      </c>
      <c r="C11" s="27" t="n">
        <v>45240</v>
      </c>
      <c r="D11" s="26">
        <f>YEAR(C11)</f>
        <v>2023</v>
      </c>
      <c r="E11" s="15" t="n">
        <v>30000</v>
      </c>
      <c r="F11" s="17" t="str">
        <f>IF(E11="","not stated",IF(E11&lt;10000,"Under 10k",IF(E11&lt;50000,"10k-50k","50k+")))</f>
        <v>10k-50k</v>
      </c>
      <c r="G11" s="15" t="n">
        <v>30000</v>
      </c>
      <c r="H11" s="15" t="n">
        <v>8700</v>
      </c>
      <c r="I11" s="16">
        <f>H11/G11-1</f>
        <v>-0.71</v>
      </c>
      <c r="J11" s="17" t="str">
        <f>IF(ABS(I11)&lt;0.05,"Flat",IF(I11&gt;0,"Up","Down"))</f>
        <v>Down</v>
      </c>
      <c r="K11" s="14" t="inlineStr">
        <is>
          <t>k79yvek</t>
        </is>
      </c>
      <c r="L11" s="9" t="inlineStr">
        <is>
          <t>One song on DM in Sept (0.90% intent); skipped Oct and Discover Weekly 'suppressed'; re-enrolled out of fear.</t>
        </is>
      </c>
    </row>
    <row r="12" ht="30" customHeight="1">
      <c r="B12" s="6" t="inlineStr">
        <is>
          <t>Monthly listeners</t>
        </is>
      </c>
      <c r="C12" s="27" t="n">
        <v>45261</v>
      </c>
      <c r="D12" s="26">
        <f>YEAR(C12)</f>
        <v>2023</v>
      </c>
      <c r="E12" s="15" t="n">
        <v>30000</v>
      </c>
      <c r="F12" s="17" t="str">
        <f>IF(E12="","not stated",IF(E12&lt;10000,"Under 10k",IF(E12&lt;50000,"10k-50k","50k+")))</f>
        <v>10k-50k</v>
      </c>
      <c r="G12" s="15" t="n">
        <v>30000</v>
      </c>
      <c r="H12" s="15" t="n">
        <v>5000</v>
      </c>
      <c r="I12" s="16">
        <f>H12/G12-1</f>
        <v>-0.8333333333333334</v>
      </c>
      <c r="J12" s="17" t="str">
        <f>IF(ABS(I12)&lt;0.05,"Flat",IF(I12&gt;0,"Up","Down"))</f>
        <v>Down</v>
      </c>
      <c r="K12" s="14" t="inlineStr">
        <is>
          <t>kbb4arn</t>
        </is>
      </c>
      <c r="L12" s="9" t="inlineStr">
        <is>
          <t>Beta: first campaign gave a bump; second campaign listeners fell 30k -&gt; 5k (normal range 10-20k).</t>
        </is>
      </c>
    </row>
    <row r="13">
      <c r="B13" s="6" t="inlineStr">
        <is>
          <t>Streams / month</t>
        </is>
      </c>
      <c r="C13" s="27" t="n">
        <v>45349</v>
      </c>
      <c r="D13" s="26">
        <f>YEAR(C13)</f>
        <v>2024</v>
      </c>
      <c r="F13" s="17" t="str">
        <f>IF(E13="","not stated",IF(E13&lt;10000,"Under 10k",IF(E13&lt;50000,"10k-50k","50k+")))</f>
        <v>not stated</v>
      </c>
      <c r="G13" s="15" t="n">
        <v>10000</v>
      </c>
      <c r="H13" s="15" t="n">
        <v>50000</v>
      </c>
      <c r="I13" s="16">
        <f>H13/G13-1</f>
        <v>4</v>
      </c>
      <c r="J13" s="17" t="str">
        <f>IF(ABS(I13)&lt;0.05,"Flat",IF(I13&gt;0,"Up","Down"))</f>
        <v>Up</v>
      </c>
      <c r="K13" s="14" t="inlineStr">
        <is>
          <t>kspq2mj</t>
        </is>
      </c>
      <c r="L13" s="9" t="inlineStr">
        <is>
          <t>'Totally down to discovery mode'; not every song works.</t>
        </is>
      </c>
    </row>
    <row r="14" ht="30" customHeight="1">
      <c r="B14" s="6" t="inlineStr">
        <is>
          <t>Streams / day</t>
        </is>
      </c>
      <c r="C14" s="27" t="n">
        <v>45352</v>
      </c>
      <c r="D14" s="26">
        <f>YEAR(C14)</f>
        <v>2024</v>
      </c>
      <c r="F14" s="17" t="str">
        <f>IF(E14="","not stated",IF(E14&lt;10000,"Under 10k",IF(E14&lt;50000,"10k-50k","50k+")))</f>
        <v>not stated</v>
      </c>
      <c r="G14" s="15" t="n">
        <v>40000</v>
      </c>
      <c r="H14" s="15" t="n">
        <v>15000</v>
      </c>
      <c r="I14" s="16">
        <f>H14/G14-1</f>
        <v>-0.625</v>
      </c>
      <c r="J14" s="17" t="str">
        <f>IF(ABS(I14)&lt;0.05,"Flat",IF(I14&gt;0,"Up","Down"))</f>
        <v>Down</v>
      </c>
      <c r="K14" s="14" t="inlineStr">
        <is>
          <t>1b43vbm</t>
        </is>
      </c>
      <c r="L14" s="9" t="inlineStr">
        <is>
          <t>Song at ~40k/day; fell the month it was enrolled and never recovered; also pulled from Discover Weekly.</t>
        </is>
      </c>
    </row>
    <row r="15">
      <c r="B15" s="6" t="inlineStr">
        <is>
          <t>Radio streams / month</t>
        </is>
      </c>
      <c r="C15" s="27" t="n">
        <v>45352</v>
      </c>
      <c r="D15" s="26">
        <f>YEAR(C15)</f>
        <v>2024</v>
      </c>
      <c r="F15" s="17" t="str">
        <f>IF(E15="","not stated",IF(E15&lt;10000,"Under 10k",IF(E15&lt;50000,"10k-50k","50k+")))</f>
        <v>not stated</v>
      </c>
      <c r="G15" s="15" t="n">
        <v>4000</v>
      </c>
      <c r="H15" s="15" t="n">
        <v>150</v>
      </c>
      <c r="I15" s="16">
        <f>H15/G15-1</f>
        <v>-0.9625</v>
      </c>
      <c r="J15" s="17" t="str">
        <f>IF(ABS(I15)&lt;0.05,"Flat",IF(I15&gt;0,"Up","Down"))</f>
        <v>Down</v>
      </c>
      <c r="K15" s="14" t="inlineStr">
        <is>
          <t>ksx3w9s</t>
        </is>
      </c>
      <c r="L15" s="9" t="inlineStr">
        <is>
          <t>Last DM month: 150 streams; month without DM: 4k on radio alone.</t>
        </is>
      </c>
    </row>
    <row r="16">
      <c r="B16" s="6" t="inlineStr">
        <is>
          <t>Monthly listeners</t>
        </is>
      </c>
      <c r="C16" s="27" t="n">
        <v>45352</v>
      </c>
      <c r="D16" s="26">
        <f>YEAR(C16)</f>
        <v>2024</v>
      </c>
      <c r="E16" s="15" t="n">
        <v>2000</v>
      </c>
      <c r="F16" s="17" t="str">
        <f>IF(E16="","not stated",IF(E16&lt;10000,"Under 10k",IF(E16&lt;50000,"10k-50k","50k+")))</f>
        <v>Under 10k</v>
      </c>
      <c r="G16" s="15" t="n">
        <v>2000</v>
      </c>
      <c r="H16" s="15" t="n">
        <v>7500</v>
      </c>
      <c r="I16" s="16">
        <f>H16/G16-1</f>
        <v>2.75</v>
      </c>
      <c r="J16" s="17" t="str">
        <f>IF(ABS(I16)&lt;0.05,"Flat",IF(I16&gt;0,"Up","Down"))</f>
        <v>Up</v>
      </c>
      <c r="K16" s="14" t="inlineStr">
        <is>
          <t>kszo2zz</t>
        </is>
      </c>
    </row>
    <row r="17">
      <c r="B17" s="6" t="inlineStr">
        <is>
          <t>Streams / month</t>
        </is>
      </c>
      <c r="C17" s="27" t="n">
        <v>45364</v>
      </c>
      <c r="D17" s="26">
        <f>YEAR(C17)</f>
        <v>2024</v>
      </c>
      <c r="F17" s="17" t="str">
        <f>IF(E17="","not stated",IF(E17&lt;10000,"Under 10k",IF(E17&lt;50000,"10k-50k","50k+")))</f>
        <v>not stated</v>
      </c>
      <c r="G17" s="15" t="n">
        <v>1000000</v>
      </c>
      <c r="H17" s="15" t="n">
        <v>300000</v>
      </c>
      <c r="I17" s="16">
        <f>H17/G17-1</f>
        <v>-0.7</v>
      </c>
      <c r="J17" s="17" t="str">
        <f>IF(ABS(I17)&lt;0.05,"Flat",IF(I17&gt;0,"Up","Down"))</f>
        <v>Down</v>
      </c>
      <c r="K17" s="14" t="inlineStr">
        <is>
          <t>ktmj79o</t>
        </is>
      </c>
      <c r="L17" s="9" t="inlineStr">
        <is>
          <t>~1M streams/month -&gt; 300k 'literally overnight'; never came back after stopping.</t>
        </is>
      </c>
    </row>
    <row r="18" ht="30" customHeight="1">
      <c r="B18" s="6" t="inlineStr">
        <is>
          <t>Discover Weekly streams / week</t>
        </is>
      </c>
      <c r="C18" s="27" t="n">
        <v>45518</v>
      </c>
      <c r="D18" s="26">
        <f>YEAR(C18)</f>
        <v>2024</v>
      </c>
      <c r="F18" s="17" t="str">
        <f>IF(E18="","not stated",IF(E18&lt;10000,"Under 10k",IF(E18&lt;50000,"10k-50k","50k+")))</f>
        <v>not stated</v>
      </c>
      <c r="G18" s="15" t="n">
        <v>5000</v>
      </c>
      <c r="H18" s="15" t="n">
        <v>190</v>
      </c>
      <c r="I18" s="16">
        <f>H18/G18-1</f>
        <v>-0.962</v>
      </c>
      <c r="J18" s="17" t="str">
        <f>IF(ABS(I18)&lt;0.05,"Flat",IF(I18&gt;0,"Up","Down"))</f>
        <v>Down</v>
      </c>
      <c r="K18" s="14" t="inlineStr">
        <is>
          <t>li52lv4/lve66bg</t>
        </is>
      </c>
      <c r="L18" s="9" t="inlineStr">
        <is>
          <t>Best track ~5k DW streams/week; 3 weeks on DM = 567 DW streams total; took 4 months to recover.</t>
        </is>
      </c>
    </row>
    <row r="19">
      <c r="B19" s="6" t="inlineStr">
        <is>
          <t>Monthly listeners</t>
        </is>
      </c>
      <c r="C19" s="27" t="n">
        <v>45649</v>
      </c>
      <c r="D19" s="26">
        <f>YEAR(C19)</f>
        <v>2024</v>
      </c>
      <c r="E19" s="15" t="n">
        <v>25000</v>
      </c>
      <c r="F19" s="17" t="str">
        <f>IF(E19="","not stated",IF(E19&lt;10000,"Under 10k",IF(E19&lt;50000,"10k-50k","50k+")))</f>
        <v>10k-50k</v>
      </c>
      <c r="G19" s="15" t="n">
        <v>25000</v>
      </c>
      <c r="H19" s="15" t="n">
        <v>60000</v>
      </c>
      <c r="I19" s="16">
        <f>H19/G19-1</f>
        <v>1.4</v>
      </c>
      <c r="J19" s="17" t="str">
        <f>IF(ABS(I19)&lt;0.05,"Flat",IF(I19&gt;0,"Up","Down"))</f>
        <v>Up</v>
      </c>
      <c r="K19" s="14" t="inlineStr">
        <is>
          <t>m3i1jez</t>
        </is>
      </c>
      <c r="L19" s="9" t="inlineStr">
        <is>
          <t>~30k DM streams month 1, 40k month 2.</t>
        </is>
      </c>
    </row>
    <row r="20">
      <c r="B20" s="6" t="inlineStr">
        <is>
          <t>Monthly listeners</t>
        </is>
      </c>
      <c r="C20" s="27" t="n">
        <v>45653</v>
      </c>
      <c r="D20" s="26">
        <f>YEAR(C20)</f>
        <v>2024</v>
      </c>
      <c r="E20" s="15" t="n">
        <v>5000</v>
      </c>
      <c r="F20" s="17" t="str">
        <f>IF(E20="","not stated",IF(E20&lt;10000,"Under 10k",IF(E20&lt;50000,"10k-50k","50k+")))</f>
        <v>Under 10k</v>
      </c>
      <c r="G20" s="15" t="n">
        <v>5000</v>
      </c>
      <c r="H20" s="15" t="n">
        <v>44000</v>
      </c>
      <c r="I20" s="16">
        <f>H20/G20-1</f>
        <v>7.800000000000001</v>
      </c>
      <c r="J20" s="17" t="str">
        <f>IF(ABS(I20)&lt;0.05,"Flat",IF(I20&gt;0,"Up","Down"))</f>
        <v>Up</v>
      </c>
      <c r="K20" s="14" t="inlineStr">
        <is>
          <t>m3ys1wz</t>
        </is>
      </c>
      <c r="L20" s="9" t="inlineStr">
        <is>
          <t>Meta ads + DM; much of growth via radio.</t>
        </is>
      </c>
    </row>
    <row r="21" ht="30" customHeight="1">
      <c r="B21" s="6" t="inlineStr">
        <is>
          <t>Streams / month</t>
        </is>
      </c>
      <c r="C21" s="27" t="n">
        <v>45690</v>
      </c>
      <c r="D21" s="26">
        <f>YEAR(C21)</f>
        <v>2025</v>
      </c>
      <c r="E21" s="15" t="n">
        <v>60000</v>
      </c>
      <c r="F21" s="17" t="str">
        <f>IF(E21="","not stated",IF(E21&lt;10000,"Under 10k",IF(E21&lt;50000,"10k-50k","50k+")))</f>
        <v>50k+</v>
      </c>
      <c r="G21" s="15" t="n">
        <v>36655</v>
      </c>
      <c r="H21" s="15" t="n">
        <v>36549</v>
      </c>
      <c r="I21" s="16">
        <f>H21/G21-1</f>
        <v>-0.0028918292183877092</v>
      </c>
      <c r="J21" s="17" t="str">
        <f>IF(ABS(I21)&lt;0.05,"Flat",IF(I21&gt;0,"Up","Down"))</f>
        <v>Flat</v>
      </c>
      <c r="K21" s="14" t="inlineStr">
        <is>
          <t>1ig7963</t>
        </is>
      </c>
      <c r="L21" s="9" t="inlineStr">
        <is>
          <t>Song A: Dec 36,655 streams -&gt; Jan 36,549 while Spotify reported +69% lift. Song B: ~46k/month -&gt; 43k while Spotify credited 7,404 DM streams (+55%).</t>
        </is>
      </c>
    </row>
    <row r="22">
      <c r="B22" s="6" t="inlineStr">
        <is>
          <t>Monthly listeners</t>
        </is>
      </c>
      <c r="C22" s="27" t="n">
        <v>45909</v>
      </c>
      <c r="D22" s="26">
        <f>YEAR(C22)</f>
        <v>2025</v>
      </c>
      <c r="E22" s="15" t="n">
        <v>10000</v>
      </c>
      <c r="F22" s="17" t="str">
        <f>IF(E22="","not stated",IF(E22&lt;10000,"Under 10k",IF(E22&lt;50000,"10k-50k","50k+")))</f>
        <v>10k-50k</v>
      </c>
      <c r="G22" s="15" t="n">
        <v>10000</v>
      </c>
      <c r="H22" s="15" t="n">
        <v>20000</v>
      </c>
      <c r="I22" s="16">
        <f>H22/G22-1</f>
        <v>1</v>
      </c>
      <c r="J22" s="17" t="str">
        <f>IF(ABS(I22)&lt;0.05,"Flat",IF(I22&gt;0,"Up","Down"))</f>
        <v>Up</v>
      </c>
      <c r="K22" s="14" t="inlineStr">
        <is>
          <t>nd42847</t>
        </is>
      </c>
    </row>
    <row r="23">
      <c r="B23" s="6" t="inlineStr">
        <is>
          <t>Monthly listeners</t>
        </is>
      </c>
      <c r="C23" s="27" t="n">
        <v>45909</v>
      </c>
      <c r="D23" s="26">
        <f>YEAR(C23)</f>
        <v>2025</v>
      </c>
      <c r="E23" s="15" t="n">
        <v>100</v>
      </c>
      <c r="F23" s="17" t="str">
        <f>IF(E23="","not stated",IF(E23&lt;10000,"Under 10k",IF(E23&lt;50000,"10k-50k","50k+")))</f>
        <v>Under 10k</v>
      </c>
      <c r="G23" s="15" t="n">
        <v>100</v>
      </c>
      <c r="H23" s="15" t="n">
        <v>700</v>
      </c>
      <c r="I23" s="16">
        <f>H23/G23-1</f>
        <v>6</v>
      </c>
      <c r="J23" s="17" t="str">
        <f>IF(ABS(I23)&lt;0.05,"Flat",IF(I23&gt;0,"Up","Down"))</f>
        <v>Up</v>
      </c>
      <c r="K23" s="14" t="inlineStr">
        <is>
          <t>nd5w63f</t>
        </is>
      </c>
      <c r="L23" s="9" t="inlineStr">
        <is>
          <t>One track on DM ~800 streams/month; fans at shows cite it.</t>
        </is>
      </c>
    </row>
    <row r="24" ht="30" customHeight="1">
      <c r="B24" s="6" t="inlineStr">
        <is>
          <t>Streams / day</t>
        </is>
      </c>
      <c r="C24" s="27" t="n">
        <v>46067</v>
      </c>
      <c r="D24" s="26">
        <f>YEAR(C24)</f>
        <v>2026</v>
      </c>
      <c r="E24" s="15" t="n">
        <v>100000</v>
      </c>
      <c r="F24" s="17" t="str">
        <f>IF(E24="","not stated",IF(E24&lt;10000,"Under 10k",IF(E24&lt;50000,"10k-50k","50k+")))</f>
        <v>50k+</v>
      </c>
      <c r="G24" s="15" t="n">
        <v>500</v>
      </c>
      <c r="H24" s="15" t="n">
        <v>1000</v>
      </c>
      <c r="I24" s="16">
        <f>H24/G24-1</f>
        <v>1</v>
      </c>
      <c r="J24" s="17" t="str">
        <f>IF(ABS(I24)&lt;0.05,"Flat",IF(I24&gt;0,"Up","Down"))</f>
        <v>Up</v>
      </c>
      <c r="K24" s="14" t="inlineStr">
        <is>
          <t>1r4op37</t>
        </is>
      </c>
      <c r="L24" s="9" t="inlineStr">
        <is>
          <t>Taking the song OUT of DM cut it from ~1,000 to ~500 streams/day; 'would not take it out again'.</t>
        </is>
      </c>
    </row>
    <row r="26" ht="45" customHeight="1">
      <c r="B26" s="5" t="inlineStr">
        <is>
          <t>2. Direction by Year Posted (these 18 numeric pairs)</t>
        </is>
      </c>
      <c r="L26" s="9" t="inlineStr">
        <is>
          <t>Caveat: by year, these pairs trend toward 'Up', not away from it. The 2023 losers were all 30k-80k-listener artists in the early rollout; most later winners are small artists. Read it as a change in who posts, not proof the program improved.</t>
        </is>
      </c>
    </row>
    <row r="27" ht="30" customHeight="1">
      <c r="B27" s="4" t="inlineStr">
        <is>
          <t>Year</t>
        </is>
      </c>
      <c r="C27" s="28" t="inlineStr">
        <is>
          <t>Up</t>
        </is>
      </c>
      <c r="D27" s="28" t="inlineStr">
        <is>
          <t>Down</t>
        </is>
      </c>
      <c r="E27" s="28" t="inlineStr">
        <is>
          <t>Flat</t>
        </is>
      </c>
      <c r="F27" s="28" t="inlineStr">
        <is>
          <t>Total</t>
        </is>
      </c>
      <c r="G27" s="29" t="inlineStr">
        <is>
          <t>Avg listeners at start, Down cases</t>
        </is>
      </c>
    </row>
    <row r="28">
      <c r="B28" s="30" t="n">
        <v>2023</v>
      </c>
      <c r="C28" s="26">
        <f>COUNTIFS($D$7:$D$24,B28,$J$7:$J$24,"Up")</f>
        <v>1</v>
      </c>
      <c r="D28" s="26">
        <f>COUNTIFS($D$7:$D$24,B28,$J$7:$J$24,"Down")</f>
        <v>5</v>
      </c>
      <c r="E28" s="26">
        <f>COUNTIFS($D$7:$D$24,B28,$J$7:$J$24,"Flat")</f>
        <v>0</v>
      </c>
      <c r="F28" s="26">
        <f>SUM(C28:E28)</f>
        <v>6</v>
      </c>
      <c r="G28" s="31">
        <f>IFERROR(AVERAGEIFS($E$7:$E$24,$D$7:$D$24,B28,$J$7:$J$24,"Down"),"size not stated")</f>
        <v>51500</v>
      </c>
    </row>
    <row r="29">
      <c r="B29" s="30" t="n">
        <v>2024</v>
      </c>
      <c r="C29" s="26">
        <f>COUNTIFS($D$7:$D$24,B29,$J$7:$J$24,"Up")</f>
        <v>4</v>
      </c>
      <c r="D29" s="26">
        <f>COUNTIFS($D$7:$D$24,B29,$J$7:$J$24,"Down")</f>
        <v>4</v>
      </c>
      <c r="E29" s="26">
        <f>COUNTIFS($D$7:$D$24,B29,$J$7:$J$24,"Flat")</f>
        <v>0</v>
      </c>
      <c r="F29" s="26">
        <f>SUM(C29:E29)</f>
        <v>8</v>
      </c>
      <c r="G29" s="31" t="str">
        <f>IFERROR(AVERAGEIFS($E$7:$E$24,$D$7:$D$24,B29,$J$7:$J$24,"Down"),"size not stated")</f>
        <v>size not stated</v>
      </c>
    </row>
    <row r="30">
      <c r="B30" s="30" t="n">
        <v>2025</v>
      </c>
      <c r="C30" s="26">
        <f>COUNTIFS($D$7:$D$24,B30,$J$7:$J$24,"Up")</f>
        <v>2</v>
      </c>
      <c r="D30" s="26">
        <f>COUNTIFS($D$7:$D$24,B30,$J$7:$J$24,"Down")</f>
        <v>0</v>
      </c>
      <c r="E30" s="26">
        <f>COUNTIFS($D$7:$D$24,B30,$J$7:$J$24,"Flat")</f>
        <v>1</v>
      </c>
      <c r="F30" s="26">
        <f>SUM(C30:E30)</f>
        <v>3</v>
      </c>
      <c r="G30" s="31" t="str">
        <f>IFERROR(AVERAGEIFS($E$7:$E$24,$D$7:$D$24,B30,$J$7:$J$24,"Down"),"size not stated")</f>
        <v>size not stated</v>
      </c>
    </row>
    <row r="31">
      <c r="B31" s="30" t="n">
        <v>2026</v>
      </c>
      <c r="C31" s="26">
        <f>COUNTIFS($D$7:$D$24,B31,$J$7:$J$24,"Up")</f>
        <v>1</v>
      </c>
      <c r="D31" s="26">
        <f>COUNTIFS($D$7:$D$24,B31,$J$7:$J$24,"Down")</f>
        <v>0</v>
      </c>
      <c r="E31" s="26">
        <f>COUNTIFS($D$7:$D$24,B31,$J$7:$J$24,"Flat")</f>
        <v>0</v>
      </c>
      <c r="F31" s="26">
        <f>SUM(C31:E31)</f>
        <v>1</v>
      </c>
      <c r="G31" s="31" t="str">
        <f>IFERROR(AVERAGEIFS($E$7:$E$24,$D$7:$D$24,B31,$J$7:$J$24,"Down"),"size not stated")</f>
        <v>size not stated</v>
      </c>
    </row>
    <row r="33" ht="45" customHeight="1">
      <c r="B33" s="5" t="inlineStr">
        <is>
          <t>3. Direction by Audience Size at the Start (all first-hand reports that stated a size, n = 26)</t>
        </is>
      </c>
      <c r="L33" s="9" t="inlineStr">
        <is>
          <t>Counts come from the hand-coded set of 70 first-hand reports (not only the 18 with numbers); 26 of them stated an audience size. 'Mixed / flat' pools the report's 'mixed' and 'flat' codes.</t>
        </is>
      </c>
    </row>
    <row r="34">
      <c r="B34" s="4" t="inlineStr">
        <is>
          <t>Size band</t>
        </is>
      </c>
      <c r="C34" s="28" t="inlineStr">
        <is>
          <t>Up</t>
        </is>
      </c>
      <c r="D34" s="28" t="inlineStr">
        <is>
          <t>Mixed / flat</t>
        </is>
      </c>
      <c r="E34" s="28" t="inlineStr">
        <is>
          <t>Down</t>
        </is>
      </c>
      <c r="F34" s="28" t="inlineStr">
        <is>
          <t>Total</t>
        </is>
      </c>
      <c r="G34" s="28" t="inlineStr">
        <is>
          <t>Share up</t>
        </is>
      </c>
    </row>
    <row r="35">
      <c r="B35" s="6" t="inlineStr">
        <is>
          <t>Under 10k</t>
        </is>
      </c>
      <c r="C35" s="19" t="n">
        <v>8</v>
      </c>
      <c r="D35" s="19" t="n">
        <v>0</v>
      </c>
      <c r="E35" s="19" t="n">
        <v>0</v>
      </c>
      <c r="F35" s="26">
        <f>SUM(C35:E35)</f>
        <v>8</v>
      </c>
      <c r="G35" s="16">
        <f>C35/F35</f>
        <v>1</v>
      </c>
    </row>
    <row r="36">
      <c r="B36" s="6" t="inlineStr">
        <is>
          <t>10k-50k</t>
        </is>
      </c>
      <c r="C36" s="19" t="n">
        <v>4</v>
      </c>
      <c r="D36" s="19" t="n">
        <v>1</v>
      </c>
      <c r="E36" s="19" t="n">
        <v>4</v>
      </c>
      <c r="F36" s="26">
        <f>SUM(C36:E36)</f>
        <v>9</v>
      </c>
      <c r="G36" s="16">
        <f>C36/F36</f>
        <v>0.4444444444444444</v>
      </c>
    </row>
    <row r="37">
      <c r="B37" s="6" t="inlineStr">
        <is>
          <t>50k+</t>
        </is>
      </c>
      <c r="C37" s="19" t="n">
        <v>3</v>
      </c>
      <c r="D37" s="19" t="n">
        <v>3</v>
      </c>
      <c r="E37" s="19" t="n">
        <v>3</v>
      </c>
      <c r="F37" s="26">
        <f>SUM(C37:E37)</f>
        <v>9</v>
      </c>
      <c r="G37" s="16">
        <f>C37/F37</f>
        <v>0.3333333333333333</v>
      </c>
    </row>
    <row r="38">
      <c r="B38" s="20" t="inlineStr">
        <is>
          <t>10k and above</t>
        </is>
      </c>
      <c r="C38" s="23">
        <f>SUM(C36:C37)</f>
        <v>7</v>
      </c>
      <c r="D38" s="23">
        <f>SUM(D36:D37)</f>
        <v>4</v>
      </c>
      <c r="E38" s="23">
        <f>SUM(E36:E37)</f>
        <v>7</v>
      </c>
      <c r="F38" s="23">
        <f>SUM(C38:E38)</f>
        <v>18</v>
      </c>
      <c r="G38" s="22">
        <f>C38/F38</f>
        <v>0.3888888888888889</v>
      </c>
    </row>
    <row r="40">
      <c r="B40" s="4" t="inlineStr">
        <is>
          <t>Colour key: blue = hard-coded input read from the post or screenshot (notes give the post id); black = formula; green = link to another tab.</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I24"/>
  <sheetViews>
    <sheetView showGridLines="0" workbookViewId="0">
      <pane ySplit="3" topLeftCell="A4" activePane="bottomLeft" state="frozen"/>
      <selection pane="bottomLeft" activeCell="A1" sqref="A1"/>
    </sheetView>
  </sheetViews>
  <sheetFormatPr baseColWidth="8" defaultRowHeight="15"/>
  <cols>
    <col width="30" customWidth="1" min="2" max="2"/>
    <col width="24" customWidth="1" min="3" max="3"/>
    <col width="16" customWidth="1" min="4" max="4"/>
    <col width="12" customWidth="1" min="5" max="5"/>
    <col width="14" customWidth="1" min="6" max="6"/>
    <col width="14" customWidth="1" min="7" max="7"/>
    <col width="14" customWidth="1" min="8" max="8"/>
    <col width="78" customWidth="1" min="9" max="9"/>
  </cols>
  <sheetData>
    <row r="1"/>
    <row r="2" ht="45" customHeight="1">
      <c r="B2" s="1" t="inlineStr">
        <is>
          <t>Discovery Mode Listener Engagement</t>
        </is>
      </c>
      <c r="C2" s="12" t="inlineStr">
        <is>
          <t>Group</t>
        </is>
      </c>
      <c r="D2" s="12" t="inlineStr">
        <is>
          <t>Source (post id)</t>
        </is>
      </c>
      <c r="E2" s="12" t="inlineStr">
        <is>
          <t>Listeners</t>
        </is>
      </c>
      <c r="F2" s="12" t="inlineStr">
        <is>
          <t>Saves + adds per listener</t>
        </is>
      </c>
      <c r="G2" s="12" t="inlineStr">
        <is>
          <t>Discovery Mode listeners</t>
        </is>
      </c>
      <c r="H2" s="12" t="inlineStr">
        <is>
          <t>Overall audience</t>
        </is>
      </c>
      <c r="I2" s="1" t="inlineStr">
        <is>
          <t>Notes</t>
        </is>
      </c>
    </row>
    <row r="3">
      <c r="B3" s="3" t="n"/>
      <c r="C3" s="3" t="n"/>
      <c r="D3" s="3" t="n"/>
      <c r="E3" s="3" t="n"/>
      <c r="F3" s="3" t="n"/>
      <c r="G3" s="3" t="n"/>
      <c r="H3" s="3" t="n"/>
      <c r="I3" s="3" t="n"/>
    </row>
    <row r="4">
      <c r="B4" s="4" t="inlineStr">
        <is>
          <t>Discovery Mode campaign listeners (Spotify campaign report) vs artists' overall audience (Spotify for Artists dashboard). Columns G and H split the series for the chart.</t>
        </is>
      </c>
    </row>
    <row r="6">
      <c r="B6" s="5" t="inlineStr">
        <is>
          <t>1. Saves + Playlist Adds per Listener</t>
        </is>
      </c>
    </row>
    <row r="7" ht="30" customHeight="1">
      <c r="B7" s="6" t="inlineStr">
        <is>
          <t>Aug 2023 campaign</t>
        </is>
      </c>
      <c r="C7" s="6" t="inlineStr">
        <is>
          <t>Discovery Mode listeners</t>
        </is>
      </c>
      <c r="D7" s="32" t="str">
        <f>'DM Campaign Lifts'!$D$7</f>
        <v>15woi7w</v>
      </c>
      <c r="E7" s="11">
        <f>'DM Campaign Lifts'!$L$7</f>
        <v>192090</v>
      </c>
      <c r="F7" s="10">
        <f>'DM Campaign Lifts'!$N$7</f>
        <v>0.010573168827112</v>
      </c>
      <c r="G7" s="33">
        <f>F7</f>
        <v>0.010573168827112</v>
      </c>
      <c r="I7" s="9" t="inlineStr">
        <is>
          <t>Discovery Mode rows link to the campaign-report tab: listeners and (saves + playlist adds) / campaign listeners from the campaign screenshot.</t>
        </is>
      </c>
    </row>
    <row r="8">
      <c r="B8" s="6" t="inlineStr">
        <is>
          <t>Dec 2023 campaign</t>
        </is>
      </c>
      <c r="C8" s="6" t="inlineStr">
        <is>
          <t>Discovery Mode listeners</t>
        </is>
      </c>
      <c r="D8" s="32" t="str">
        <f>'DM Campaign Lifts'!$D$21</f>
        <v>18lveoc</v>
      </c>
      <c r="E8" s="11">
        <f>'DM Campaign Lifts'!$L$21</f>
        <v>1306</v>
      </c>
      <c r="F8" s="10">
        <f>'DM Campaign Lifts'!$N$21</f>
        <v>0.018376722817764</v>
      </c>
      <c r="G8" s="33">
        <f>F8</f>
        <v>0.018376722817764</v>
      </c>
    </row>
    <row r="9">
      <c r="B9" s="6" t="inlineStr">
        <is>
          <t>Oct 2024 campaign (a)</t>
        </is>
      </c>
      <c r="C9" s="6" t="inlineStr">
        <is>
          <t>Discovery Mode listeners</t>
        </is>
      </c>
      <c r="D9" s="32" t="str">
        <f>'DM Campaign Lifts'!$D$8</f>
        <v>1g1fk0o</v>
      </c>
      <c r="E9" s="11">
        <f>'DM Campaign Lifts'!$L$8</f>
        <v>4755</v>
      </c>
      <c r="F9" s="10">
        <f>'DM Campaign Lifts'!$N$8</f>
        <v>0.01198738170347</v>
      </c>
      <c r="G9" s="33">
        <f>F9</f>
        <v>0.01198738170347</v>
      </c>
    </row>
    <row r="10">
      <c r="B10" s="6" t="inlineStr">
        <is>
          <t>Oct 2024 campaign (b)</t>
        </is>
      </c>
      <c r="C10" s="6" t="inlineStr">
        <is>
          <t>Discovery Mode listeners</t>
        </is>
      </c>
      <c r="D10" s="32" t="str">
        <f>'DM Campaign Lifts'!$D$9</f>
        <v>1geig0k</v>
      </c>
      <c r="E10" s="11">
        <f>'DM Campaign Lifts'!$L$9</f>
        <v>1723</v>
      </c>
      <c r="F10" s="10">
        <f>'DM Campaign Lifts'!$N$9</f>
        <v>0.048171793383633</v>
      </c>
      <c r="G10" s="33">
        <f>F10</f>
        <v>0.048171793383633</v>
      </c>
    </row>
    <row r="11">
      <c r="B11" s="6" t="inlineStr">
        <is>
          <t>Nov 2024 campaign</t>
        </is>
      </c>
      <c r="C11" s="6" t="inlineStr">
        <is>
          <t>Discovery Mode listeners</t>
        </is>
      </c>
      <c r="D11" s="32" t="str">
        <f>'DM Campaign Lifts'!$D$10</f>
        <v>1h46nzy</v>
      </c>
      <c r="E11" s="11">
        <f>'DM Campaign Lifts'!$L$10</f>
        <v>25167</v>
      </c>
      <c r="F11" s="10">
        <f>'DM Campaign Lifts'!$N$10</f>
        <v>0.010728334724043</v>
      </c>
      <c r="G11" s="33">
        <f>F11</f>
        <v>0.010728334724043</v>
      </c>
    </row>
    <row r="12">
      <c r="B12" s="6" t="inlineStr">
        <is>
          <t>Oct 2025 campaign</t>
        </is>
      </c>
      <c r="C12" s="6" t="inlineStr">
        <is>
          <t>Discovery Mode listeners</t>
        </is>
      </c>
      <c r="D12" s="32" t="str">
        <f>'DM Campaign Lifts'!$D$12</f>
        <v>1omcbrg</v>
      </c>
      <c r="E12" s="11">
        <f>'DM Campaign Lifts'!$L$12</f>
        <v>27807</v>
      </c>
      <c r="F12" s="10">
        <f>'DM Campaign Lifts'!$N$12</f>
        <v>0.017333764879347</v>
      </c>
      <c r="G12" s="33">
        <f>F12</f>
        <v>0.017333764879347</v>
      </c>
    </row>
    <row r="13">
      <c r="B13" s="6" t="inlineStr">
        <is>
          <t>Jul 2026 campaign</t>
        </is>
      </c>
      <c r="C13" s="6" t="inlineStr">
        <is>
          <t>Discovery Mode listeners</t>
        </is>
      </c>
      <c r="D13" s="32" t="str">
        <f>'DM Campaign Lifts'!$D$13</f>
        <v>1uy70w1 (text)</v>
      </c>
      <c r="E13" s="11">
        <f>'DM Campaign Lifts'!$L$13</f>
        <v>5911</v>
      </c>
      <c r="F13" s="10">
        <f>'DM Campaign Lifts'!$N$13</f>
        <v>0.012857384537303</v>
      </c>
      <c r="G13" s="33">
        <f>F13</f>
        <v>0.012857384537303</v>
      </c>
    </row>
    <row r="14">
      <c r="B14" s="6" t="inlineStr">
        <is>
          <t>Sep 2026 campaign</t>
        </is>
      </c>
      <c r="C14" s="6" t="inlineStr">
        <is>
          <t>Discovery Mode listeners</t>
        </is>
      </c>
      <c r="D14" s="32" t="str">
        <f>'DM Campaign Lifts'!$D$22</f>
        <v>1wu7cam</v>
      </c>
      <c r="E14" s="11">
        <f>'DM Campaign Lifts'!$L$22</f>
        <v>22689</v>
      </c>
      <c r="F14" s="10">
        <f>'DM Campaign Lifts'!$N$22</f>
        <v>0.006831504253162</v>
      </c>
      <c r="G14" s="33">
        <f>F14</f>
        <v>0.006831504253162</v>
      </c>
    </row>
    <row r="15" ht="30" customHeight="1">
      <c r="B15" s="6" t="inlineStr">
        <is>
          <t>Artist 17gqiej, 12 months</t>
        </is>
      </c>
      <c r="C15" s="6" t="inlineStr">
        <is>
          <t>Overall audience</t>
        </is>
      </c>
      <c r="D15" s="34" t="inlineStr">
        <is>
          <t>17gqiej</t>
        </is>
      </c>
      <c r="F15" s="18" t="n">
        <v>0.2452539155196962</v>
      </c>
      <c r="H15" s="33">
        <f>F15</f>
        <v>0.245253915519696</v>
      </c>
      <c r="I15" s="9" t="inlineStr">
        <is>
          <t>Overall rate = saves / listeners from the artist's 12-month dashboard. Different artists and definitions, so read as orders of magnitude.</t>
        </is>
      </c>
    </row>
    <row r="16">
      <c r="B16" s="6" t="inlineStr">
        <is>
          <t>Artist 1q4bb7s, all time</t>
        </is>
      </c>
      <c r="C16" s="6" t="inlineStr">
        <is>
          <t>Overall audience</t>
        </is>
      </c>
      <c r="D16" s="34" t="inlineStr">
        <is>
          <t>1q4bb7s</t>
        </is>
      </c>
      <c r="F16" s="18" t="n">
        <v>0.1824858791598406</v>
      </c>
      <c r="H16" s="33">
        <f>F16</f>
        <v>0.182485879159841</v>
      </c>
    </row>
    <row r="17">
      <c r="B17" s="6" t="inlineStr">
        <is>
          <t>Artist 1rvflj9, 12 months</t>
        </is>
      </c>
      <c r="C17" s="6" t="inlineStr">
        <is>
          <t>Overall audience</t>
        </is>
      </c>
      <c r="D17" s="34" t="inlineStr">
        <is>
          <t>1rvflj9</t>
        </is>
      </c>
      <c r="F17" s="18" t="n">
        <v>0.2146131941755588</v>
      </c>
      <c r="H17" s="33">
        <f>F17</f>
        <v>0.214613194175559</v>
      </c>
    </row>
    <row r="18">
      <c r="B18" s="6" t="inlineStr">
        <is>
          <t>Kublaii (1hn3dhf), 12 months</t>
        </is>
      </c>
      <c r="C18" s="6" t="inlineStr">
        <is>
          <t>Overall audience</t>
        </is>
      </c>
      <c r="D18" s="34" t="inlineStr">
        <is>
          <t>1hn3dhf</t>
        </is>
      </c>
      <c r="F18" s="18" t="n">
        <v>0.0806229419475458</v>
      </c>
      <c r="H18" s="33">
        <f>F18</f>
        <v>0.080622941947546</v>
      </c>
    </row>
    <row r="20">
      <c r="B20" s="20" t="inlineStr">
        <is>
          <t>Median, Discovery Mode listeners</t>
        </is>
      </c>
      <c r="C20" s="21" t="n"/>
      <c r="D20" s="21" t="n"/>
      <c r="E20" s="21" t="n"/>
      <c r="F20" s="35">
        <f>MEDIAN(F7:F14)</f>
        <v>0.0124223831203865</v>
      </c>
      <c r="G20" s="21" t="n"/>
      <c r="H20" s="21" t="n"/>
      <c r="I20" s="21" t="n"/>
    </row>
    <row r="21">
      <c r="B21" s="5" t="inlineStr">
        <is>
          <t>Median, overall audience</t>
        </is>
      </c>
      <c r="F21" s="36">
        <f>MEDIAN(F15:F18)</f>
        <v>0.19854953666769998</v>
      </c>
    </row>
    <row r="22" ht="30" customHeight="1">
      <c r="B22" s="37" t="inlineStr">
        <is>
          <t>Overall audience keeps the song this many times more often</t>
        </is>
      </c>
      <c r="C22" s="38" t="n"/>
      <c r="D22" s="38" t="n"/>
      <c r="E22" s="38" t="n"/>
      <c r="F22" s="39">
        <f>F21/F20</f>
        <v>15.983208273608813</v>
      </c>
      <c r="G22" s="38" t="n"/>
      <c r="H22" s="38" t="n"/>
      <c r="I22" s="9" t="inlineStr">
        <is>
          <t>Order-of-magnitude gap: Discovery Mode listeners keep the song about 1% of the time; an artist's normal audience roughly 20%.</t>
        </is>
      </c>
    </row>
    <row r="24">
      <c r="B24" s="4" t="inlineStr">
        <is>
          <t>Colour key: blue = hard-coded input read from the post or screenshot (notes give the post id); black = formula; green = link to another tab.</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1:H16"/>
  <sheetViews>
    <sheetView showGridLines="0" workbookViewId="0">
      <pane ySplit="3" topLeftCell="A4" activePane="bottomLeft" state="frozen"/>
      <selection pane="bottomLeft" activeCell="A1" sqref="A1"/>
    </sheetView>
  </sheetViews>
  <sheetFormatPr baseColWidth="8" defaultRowHeight="15"/>
  <cols>
    <col width="32" customWidth="1" min="2" max="2"/>
    <col width="16" customWidth="1" min="3" max="3"/>
    <col width="26" customWidth="1" min="4" max="4"/>
    <col width="12" customWidth="1" min="5" max="5"/>
    <col width="12" customWidth="1" min="6" max="6"/>
    <col width="10" customWidth="1" min="7" max="7"/>
    <col width="78" customWidth="1" min="8" max="8"/>
  </cols>
  <sheetData>
    <row r="1"/>
    <row r="2">
      <c r="B2" s="1" t="inlineStr">
        <is>
          <t>Discovery Mode On/Off Cases</t>
        </is>
      </c>
      <c r="C2" s="2" t="inlineStr">
        <is>
          <t>Source (post id)</t>
        </is>
      </c>
      <c r="D2" s="2" t="inlineStr">
        <is>
          <t>Switch</t>
        </is>
      </c>
      <c r="E2" s="2" t="inlineStr">
        <is>
          <t>Before</t>
        </is>
      </c>
      <c r="F2" s="2" t="inlineStr">
        <is>
          <t>After</t>
        </is>
      </c>
      <c r="G2" s="2" t="inlineStr">
        <is>
          <t>Change</t>
        </is>
      </c>
      <c r="H2" s="1" t="inlineStr">
        <is>
          <t>Notes</t>
        </is>
      </c>
    </row>
    <row r="3">
      <c r="B3" s="3" t="n"/>
      <c r="C3" s="3" t="n"/>
      <c r="D3" s="3" t="n"/>
      <c r="E3" s="3" t="n"/>
      <c r="F3" s="3" t="n"/>
      <c r="G3" s="3" t="n"/>
      <c r="H3" s="3" t="n"/>
    </row>
    <row r="4">
      <c r="B4" s="4" t="inlineStr">
        <is>
          <t>Cases where an artist's own graphs show the switch.</t>
        </is>
      </c>
    </row>
    <row r="6">
      <c r="B6" s="5" t="inlineStr">
        <is>
          <t>1. What Happened When Discovery Mode Was Switched On or Off</t>
        </is>
      </c>
    </row>
    <row r="7" ht="30" customHeight="1">
      <c r="B7" s="6" t="inlineStr">
        <is>
          <t>Radio &amp; autoplay listeners / day</t>
        </is>
      </c>
      <c r="C7" s="34" t="inlineStr">
        <is>
          <t>1and042</t>
        </is>
      </c>
      <c r="D7" s="34" t="inlineStr">
        <is>
          <t>DM on (Apr 2023)</t>
        </is>
      </c>
      <c r="E7" s="15" t="n">
        <v>70</v>
      </c>
      <c r="F7" s="15" t="n">
        <v>900</v>
      </c>
      <c r="G7" s="16">
        <f>IF(OR(E7="",F7=""),"",F7/E7-1)</f>
        <v>11.857142857142858</v>
      </c>
      <c r="H7" s="9" t="inlineStr">
        <is>
          <t>~70/day before -&gt; ~400 right after -&gt; ~900-1,200 a year later; weekly releases throughout.</t>
        </is>
      </c>
    </row>
    <row r="8" ht="45" customHeight="1">
      <c r="B8" s="6" t="inlineStr">
        <is>
          <t>Artist streams / month</t>
        </is>
      </c>
      <c r="C8" s="34" t="inlineStr">
        <is>
          <t>1q4bb7s</t>
        </is>
      </c>
      <c r="D8" s="34" t="inlineStr">
        <is>
          <t>DM on (Dec 1, 2025)</t>
        </is>
      </c>
      <c r="E8" s="15" t="n">
        <v>195000</v>
      </c>
      <c r="F8" s="15" t="n">
        <v>280000</v>
      </c>
      <c r="G8" s="16">
        <f>IF(OR(E8="",F8=""),"",F8/E8-1)</f>
        <v>0.4358974358974359</v>
      </c>
      <c r="H8" s="9" t="inlineStr">
        <is>
          <t>Nov ~195k -&gt; Dec ~280k (back to Oct level). Song-level daily streams: 2,646 -&gt; ~4,500; 270 -&gt; ~900; 553 -&gt; ~1,300. Popularity of 4 promoted songs +4-6 points, top song -2. Followers/day unchanged.</t>
        </is>
      </c>
    </row>
    <row r="9" ht="30" customHeight="1">
      <c r="B9" s="6" t="inlineStr">
        <is>
          <t>Radio &amp; autoplay streams / day</t>
        </is>
      </c>
      <c r="C9" s="34" t="inlineStr">
        <is>
          <t>1rvflj9</t>
        </is>
      </c>
      <c r="D9" s="34" t="inlineStr">
        <is>
          <t>DM off (Oct 2025) then on</t>
        </is>
      </c>
      <c r="E9" s="15" t="n">
        <v>7000</v>
      </c>
      <c r="F9" s="15" t="n">
        <v>2000</v>
      </c>
      <c r="G9" s="16">
        <f>IF(OR(E9="",F9=""),"",F9/E9-1)</f>
        <v>-0.7142857142857143</v>
      </c>
      <c r="H9" s="9" t="inlineStr">
        <is>
          <t>~6-9k/day Jul-Sep with DM -&gt; ~2k/day in October with DM off -&gt; 6-11k/day after re-enrolling. Then an ~80% collapse in Mar 2026 with DM on.</t>
        </is>
      </c>
    </row>
    <row r="10">
      <c r="B10" s="6" t="inlineStr">
        <is>
          <t>Song streams / day</t>
        </is>
      </c>
      <c r="C10" s="34" t="inlineStr">
        <is>
          <t>1r4op37 (text)</t>
        </is>
      </c>
      <c r="D10" s="34" t="inlineStr">
        <is>
          <t>DM off</t>
        </is>
      </c>
      <c r="E10" s="15" t="n">
        <v>1000</v>
      </c>
      <c r="F10" s="15" t="n">
        <v>500</v>
      </c>
      <c r="G10" s="16">
        <f>IF(OR(E10="",F10=""),"",F10/E10-1)</f>
        <v>-0.5</v>
      </c>
      <c r="H10" s="9" t="inlineStr">
        <is>
          <t>Spotify flagged the song 'not recommended'; removing it halved daily streams.</t>
        </is>
      </c>
    </row>
    <row r="11">
      <c r="B11" s="6" t="inlineStr">
        <is>
          <t>Radio streams / month</t>
        </is>
      </c>
      <c r="C11" s="34" t="inlineStr">
        <is>
          <t>ksx3w9s (text)</t>
        </is>
      </c>
      <c r="D11" s="34" t="inlineStr">
        <is>
          <t>DM off</t>
        </is>
      </c>
      <c r="E11" s="15" t="n">
        <v>150</v>
      </c>
      <c r="F11" s="15" t="n">
        <v>4000</v>
      </c>
      <c r="G11" s="16">
        <f>IF(OR(E11="",F11=""),"",F11/E11-1)</f>
        <v>25.666666666666668</v>
      </c>
      <c r="H11" s="9" t="inlineStr">
        <is>
          <t>Opposite case: 150 DM streams in last DM month; 4k radio the month after leaving.</t>
        </is>
      </c>
    </row>
    <row r="12" ht="30" customHeight="1">
      <c r="B12" s="6" t="inlineStr">
        <is>
          <t>Song radio streams (28 days)</t>
        </is>
      </c>
      <c r="C12" s="34" t="inlineStr">
        <is>
          <t>1t81jjd</t>
        </is>
      </c>
      <c r="D12" s="34" t="inlineStr">
        <is>
          <t>DM off + Meta ads</t>
        </is>
      </c>
      <c r="F12" s="15" t="n">
        <v>74</v>
      </c>
      <c r="G12" s="16" t="str">
        <f>IF(OR(E12="",F12=""),"",F12/E12-1)</f>
        <v/>
      </c>
      <c r="H12" s="9" t="inlineStr">
        <is>
          <t>7 of 12 songs had fallen to 0-100 radio streams in DM; after opting out, radio stayed at 74 even with ads (saves +270%).</t>
        </is>
      </c>
    </row>
    <row r="14" ht="60" customHeight="1">
      <c r="B14" s="5" t="inlineStr">
        <is>
          <t>Why it matters for the framing</t>
        </is>
      </c>
      <c r="H14" s="9" t="inlineStr">
        <is>
          <t>Artists who stay enrolled describe it as defensive (re-enrolled out of fear; 'would not take it out again'). Switching off cut radio streams by 50-70% in two charted cases. For an artist deciding whether to enroll for the first time, the pitch has become 'pay 30% to avoid losing ground'.</t>
        </is>
      </c>
    </row>
    <row r="16">
      <c r="B16" s="4" t="inlineStr">
        <is>
          <t>Colour key: blue = hard-coded input read from the post or screenshot (notes give the post id); black = formula; green = link to another tab.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H70"/>
  <sheetViews>
    <sheetView showGridLines="0" workbookViewId="0">
      <pane ySplit="3" topLeftCell="A4" activePane="bottomLeft" state="frozen"/>
      <selection pane="bottomLeft" activeCell="A1" sqref="A1"/>
    </sheetView>
  </sheetViews>
  <sheetFormatPr baseColWidth="8" defaultRowHeight="15"/>
  <cols>
    <col width="58" customWidth="1" min="2" max="2"/>
    <col width="13" customWidth="1" min="3" max="3"/>
    <col width="78" customWidth="1" min="8" max="8"/>
  </cols>
  <sheetData>
    <row r="1"/>
    <row r="2">
      <c r="B2" s="1" t="inlineStr">
        <is>
          <t>Discovery Mode Corpus and Method</t>
        </is>
      </c>
      <c r="C2" s="2" t="inlineStr">
        <is>
          <t>Value</t>
        </is>
      </c>
      <c r="D2" s="1" t="n"/>
      <c r="E2" s="1" t="n"/>
      <c r="F2" s="1" t="n"/>
      <c r="G2" s="1" t="n"/>
      <c r="H2" s="1" t="inlineStr">
        <is>
          <t>Notes</t>
        </is>
      </c>
    </row>
    <row r="3">
      <c r="B3" s="3" t="n"/>
      <c r="C3" s="3" t="n"/>
      <c r="D3" s="3" t="n"/>
      <c r="E3" s="3" t="n"/>
      <c r="F3" s="3" t="n"/>
      <c r="G3" s="3" t="n"/>
      <c r="H3" s="3" t="n"/>
    </row>
    <row r="4">
      <c r="B4" s="4" t="inlineStr">
        <is>
          <t>Source corpus, the extra series quoted in posts, and how the reports were coded.</t>
        </is>
      </c>
    </row>
    <row r="6">
      <c r="B6" s="5" t="inlineStr">
        <is>
          <t>1. Corpus</t>
        </is>
      </c>
    </row>
    <row r="7">
      <c r="B7" s="6" t="inlineStr">
        <is>
          <t>r/musicmarketing posts since Oct 2020 (Arctic Shift archive)</t>
        </is>
      </c>
      <c r="C7" s="15" t="n">
        <v>27088</v>
      </c>
    </row>
    <row r="8">
      <c r="B8" s="6" t="inlineStr">
        <is>
          <t>Posts mentioning Discovery Mode</t>
        </is>
      </c>
      <c r="C8" s="15" t="n">
        <v>130</v>
      </c>
    </row>
    <row r="9">
      <c r="B9" s="6" t="inlineStr">
        <is>
          <t>Comments in those threads</t>
        </is>
      </c>
      <c r="C9" s="15" t="n">
        <v>1953</v>
      </c>
    </row>
    <row r="10">
      <c r="B10" s="6" t="inlineStr">
        <is>
          <t>Artist experiences coded</t>
        </is>
      </c>
      <c r="C10" s="15" t="n">
        <v>73</v>
      </c>
    </row>
    <row r="11">
      <c r="B11" s="6" t="inlineStr">
        <is>
          <t xml:space="preserve">   of which first-hand</t>
        </is>
      </c>
      <c r="C11" s="15" t="n">
        <v>70</v>
      </c>
    </row>
    <row r="12">
      <c r="B12" s="6" t="inlineStr">
        <is>
          <t xml:space="preserve">   first-hand: streams went up</t>
        </is>
      </c>
      <c r="C12" s="15" t="n">
        <v>39</v>
      </c>
    </row>
    <row r="13">
      <c r="B13" s="6" t="inlineStr">
        <is>
          <t xml:space="preserve">   first-hand: streams went down</t>
        </is>
      </c>
      <c r="C13" s="15" t="n">
        <v>21</v>
      </c>
    </row>
    <row r="14">
      <c r="B14" s="6" t="inlineStr">
        <is>
          <t xml:space="preserve">   first-hand: mixed</t>
        </is>
      </c>
      <c r="C14" s="15" t="n">
        <v>7</v>
      </c>
    </row>
    <row r="15">
      <c r="B15" s="6" t="inlineStr">
        <is>
          <t xml:space="preserve">   first-hand: flat</t>
        </is>
      </c>
      <c r="C15" s="15" t="n">
        <v>3</v>
      </c>
    </row>
    <row r="16">
      <c r="B16" s="6" t="inlineStr">
        <is>
          <t>First-hand reports saying Discover Weekly / algorithmic streams fell after opting in</t>
        </is>
      </c>
      <c r="C16" s="15" t="n">
        <v>12</v>
      </c>
    </row>
    <row r="17">
      <c r="B17" s="6" t="inlineStr">
        <is>
          <t>Spotify for Artists screenshots read (7 more had been deleted)</t>
        </is>
      </c>
      <c r="C17" s="15" t="n">
        <v>35</v>
      </c>
    </row>
    <row r="18">
      <c r="B18" s="20" t="inlineStr">
        <is>
          <t>Share of first-hand reports that went up</t>
        </is>
      </c>
      <c r="C18" s="22">
        <f>C12/C11</f>
        <v>0.5571428571428572</v>
      </c>
    </row>
    <row r="20" ht="30" customHeight="1">
      <c r="B20" s="5" t="inlineStr">
        <is>
          <t>2. Spotify-Reported 'Stream Lift' Figures Quoted in Posts and Screenshots</t>
        </is>
      </c>
      <c r="H20" s="9" t="inlineStr">
        <is>
          <t>Order as extracted; dates not attached, so this list cannot be used for a time trend.</t>
        </is>
      </c>
    </row>
    <row r="21">
      <c r="B21" s="6" t="inlineStr">
        <is>
          <t>Lift 1</t>
        </is>
      </c>
      <c r="C21" s="40" t="n">
        <v>2.77</v>
      </c>
    </row>
    <row r="22">
      <c r="B22" s="6" t="inlineStr">
        <is>
          <t>Lift 2</t>
        </is>
      </c>
      <c r="C22" s="40" t="n">
        <v>9.15</v>
      </c>
    </row>
    <row r="23">
      <c r="B23" s="6" t="inlineStr">
        <is>
          <t>Lift 3</t>
        </is>
      </c>
      <c r="C23" s="40" t="n">
        <v>11.92</v>
      </c>
    </row>
    <row r="24">
      <c r="B24" s="6" t="inlineStr">
        <is>
          <t>Lift 4</t>
        </is>
      </c>
      <c r="C24" s="40" t="n">
        <v>1.5</v>
      </c>
    </row>
    <row r="25">
      <c r="B25" s="6" t="inlineStr">
        <is>
          <t>Lift 5</t>
        </is>
      </c>
      <c r="C25" s="40" t="n">
        <v>20</v>
      </c>
    </row>
    <row r="26">
      <c r="B26" s="6" t="inlineStr">
        <is>
          <t>Lift 6</t>
        </is>
      </c>
      <c r="C26" s="40" t="n">
        <v>30</v>
      </c>
    </row>
    <row r="27">
      <c r="B27" s="6" t="inlineStr">
        <is>
          <t>Lift 7</t>
        </is>
      </c>
      <c r="C27" s="40" t="n">
        <v>60</v>
      </c>
    </row>
    <row r="28">
      <c r="B28" s="6" t="inlineStr">
        <is>
          <t>Lift 8</t>
        </is>
      </c>
      <c r="C28" s="40" t="n">
        <v>1.53</v>
      </c>
    </row>
    <row r="29">
      <c r="B29" s="6" t="inlineStr">
        <is>
          <t>Lift 9</t>
        </is>
      </c>
      <c r="C29" s="40" t="n">
        <v>0.6899999999999999</v>
      </c>
    </row>
    <row r="30">
      <c r="B30" s="6" t="inlineStr">
        <is>
          <t>Lift 10</t>
        </is>
      </c>
      <c r="C30" s="40" t="n">
        <v>0.55</v>
      </c>
    </row>
    <row r="31">
      <c r="B31" s="6" t="inlineStr">
        <is>
          <t>Lift 11</t>
        </is>
      </c>
      <c r="C31" s="40" t="n">
        <v>0.78</v>
      </c>
    </row>
    <row r="32">
      <c r="B32" s="6" t="inlineStr">
        <is>
          <t>Lift 12</t>
        </is>
      </c>
      <c r="C32" s="40" t="n">
        <v>2.14</v>
      </c>
    </row>
    <row r="33">
      <c r="B33" s="6" t="inlineStr">
        <is>
          <t>Lift 13</t>
        </is>
      </c>
      <c r="C33" s="40" t="n">
        <v>1.69</v>
      </c>
    </row>
    <row r="34">
      <c r="B34" s="20" t="inlineStr">
        <is>
          <t>Median</t>
        </is>
      </c>
      <c r="C34" s="22">
        <f>MEDIAN(C21:C33)</f>
        <v>2.14</v>
      </c>
    </row>
    <row r="36">
      <c r="B36" s="5" t="inlineStr">
        <is>
          <t>3. Intent Rate per Song Quoted by Artists (saves + adds / listeners)</t>
        </is>
      </c>
      <c r="H36" s="9" t="inlineStr">
        <is>
          <t>Spotify's own engagement measure for a Discovery Mode song. Order as extracted.</t>
        </is>
      </c>
    </row>
    <row r="37">
      <c r="B37" s="6" t="inlineStr">
        <is>
          <t>Intent 1</t>
        </is>
      </c>
      <c r="C37" s="41" t="n">
        <v>0.015</v>
      </c>
    </row>
    <row r="38">
      <c r="B38" s="6" t="inlineStr">
        <is>
          <t>Intent 2</t>
        </is>
      </c>
      <c r="C38" s="41" t="n">
        <v>0.008999999999999999</v>
      </c>
    </row>
    <row r="39">
      <c r="B39" s="6" t="inlineStr">
        <is>
          <t>Intent 3</t>
        </is>
      </c>
      <c r="C39" s="41" t="n">
        <v>0.02</v>
      </c>
    </row>
    <row r="40">
      <c r="B40" s="6" t="inlineStr">
        <is>
          <t>Intent 4</t>
        </is>
      </c>
      <c r="C40" s="41" t="n">
        <v>0.0266</v>
      </c>
    </row>
    <row r="41">
      <c r="B41" s="6" t="inlineStr">
        <is>
          <t>Intent 5</t>
        </is>
      </c>
      <c r="C41" s="41" t="n">
        <v>0.01</v>
      </c>
    </row>
    <row r="42">
      <c r="B42" s="6" t="inlineStr">
        <is>
          <t>Intent 6</t>
        </is>
      </c>
      <c r="C42" s="41" t="n">
        <v>0.007900000000000001</v>
      </c>
    </row>
    <row r="43">
      <c r="B43" s="6" t="inlineStr">
        <is>
          <t>Intent 7</t>
        </is>
      </c>
      <c r="C43" s="41" t="n">
        <v>0.01</v>
      </c>
    </row>
    <row r="44">
      <c r="B44" s="6" t="inlineStr">
        <is>
          <t>Intent 8</t>
        </is>
      </c>
      <c r="C44" s="41" t="n">
        <v>0.0121</v>
      </c>
    </row>
    <row r="45">
      <c r="B45" s="6" t="inlineStr">
        <is>
          <t>Intent 9</t>
        </is>
      </c>
      <c r="C45" s="41" t="n">
        <v>0.004</v>
      </c>
    </row>
    <row r="46">
      <c r="B46" s="6" t="inlineStr">
        <is>
          <t>Intent 10</t>
        </is>
      </c>
      <c r="C46" s="41" t="n">
        <v>0.007</v>
      </c>
    </row>
    <row r="47">
      <c r="B47" s="6" t="inlineStr">
        <is>
          <t>Intent 11</t>
        </is>
      </c>
      <c r="C47" s="41" t="n">
        <v>0.008999999999999999</v>
      </c>
    </row>
    <row r="48">
      <c r="B48" s="20" t="inlineStr">
        <is>
          <t>Median</t>
        </is>
      </c>
      <c r="C48" s="42">
        <f>MEDIAN(C37:C47)</f>
        <v>0.01</v>
      </c>
    </row>
    <row r="50" ht="30" customHeight="1">
      <c r="B50" s="5" t="inlineStr">
        <is>
          <t>4. Discovery Mode Share of an Artist's Monthly Streams</t>
        </is>
      </c>
      <c r="H50" s="9" t="inlineStr">
        <is>
          <t>Established artists (500k+ monthly streams) report 3-5%; catalog-heavy artists up to a third.</t>
        </is>
      </c>
    </row>
    <row r="51">
      <c r="B51" s="6" t="inlineStr">
        <is>
          <t>m8up79g</t>
        </is>
      </c>
      <c r="C51" s="18" t="n">
        <v>0.03496503496503497</v>
      </c>
    </row>
    <row r="52">
      <c r="B52" s="6" t="inlineStr">
        <is>
          <t>lzx6qd3</t>
        </is>
      </c>
      <c r="C52" s="18" t="n">
        <v>0.04</v>
      </c>
    </row>
    <row r="53">
      <c r="B53" s="6" t="inlineStr">
        <is>
          <t>m3ivdij</t>
        </is>
      </c>
      <c r="C53" s="18" t="n">
        <v>0.03879310344827586</v>
      </c>
    </row>
    <row r="54">
      <c r="B54" s="6" t="inlineStr">
        <is>
          <t>m49nghw</t>
        </is>
      </c>
      <c r="C54" s="18" t="n">
        <v>0.05</v>
      </c>
    </row>
    <row r="55">
      <c r="B55" s="6" t="inlineStr">
        <is>
          <t>1deqxiz (range 5-15%)</t>
        </is>
      </c>
      <c r="C55" s="18" t="n">
        <v>0.1</v>
      </c>
    </row>
    <row r="56">
      <c r="B56" s="6" t="inlineStr">
        <is>
          <t>mkxt4r8</t>
        </is>
      </c>
      <c r="C56" s="18" t="n">
        <v>0.3333333333333333</v>
      </c>
    </row>
    <row r="57">
      <c r="B57" s="6" t="inlineStr">
        <is>
          <t>m3suhdk</t>
        </is>
      </c>
      <c r="C57" s="18" t="n">
        <v>0.3333333333333333</v>
      </c>
    </row>
    <row r="58">
      <c r="B58" s="6" t="inlineStr">
        <is>
          <t>m3su5uz (best month)</t>
        </is>
      </c>
      <c r="C58" s="18" t="n">
        <v>0.5</v>
      </c>
    </row>
    <row r="59">
      <c r="B59" s="20" t="inlineStr">
        <is>
          <t>Median</t>
        </is>
      </c>
      <c r="C59" s="35">
        <f>MEDIAN(C51:C58)</f>
        <v>0.07500000000000001</v>
      </c>
      <c r="D59" s="23">
        <f>COUNT(C51:C58)</f>
        <v>8</v>
      </c>
    </row>
    <row r="61">
      <c r="B61" s="5" t="inlineStr">
        <is>
          <t>5. Method and Caveats</t>
        </is>
      </c>
    </row>
    <row r="62" ht="45" customHeight="1">
      <c r="B62" s="6" t="inlineStr">
        <is>
          <t>Source</t>
        </is>
      </c>
      <c r="H62" s="9" t="inlineStr">
        <is>
          <t>Every r/musicmarketing post since Oct 2020 (Arctic Shift archive), filtered to the 130 that mention Discovery Mode, plus all 1,953 comments in those threads. r/SpotifyForArtists has no posts after Feb 2020, so it could not be used.</t>
        </is>
      </c>
    </row>
    <row r="63" ht="45" customHeight="1">
      <c r="B63" s="6" t="inlineStr">
        <is>
          <t>Coding</t>
        </is>
      </c>
      <c r="H63" s="9" t="inlineStr">
        <is>
          <t>Each first-hand artist experience was read and coded by hand: audience size, the before/after measure they gave, and direction. Repeat comments by the same person were merged. Second-hand stories are excluded.</t>
        </is>
      </c>
    </row>
    <row r="64" ht="45" customHeight="1">
      <c r="B64" s="6" t="inlineStr">
        <is>
          <t>Screenshots</t>
        </is>
      </c>
      <c r="H64" s="9" t="inlineStr">
        <is>
          <t>35 screenshots were downloaded and read (7 had been deleted). Spotify campaign reports give Discovery Mode-context streams and the 'stream lift' versus the 28 days before. Where only the lift was shown, the before figure is streams / (1 + lift).</t>
        </is>
      </c>
    </row>
    <row r="65" ht="45" customHeight="1">
      <c r="B65" s="6" t="inlineStr">
        <is>
          <t>Engagement measures</t>
        </is>
      </c>
      <c r="H65" s="9" t="inlineStr">
        <is>
          <t>Engagement for Discovery Mode listeners = (saves + playlist adds) / campaign listeners. Overall rates are saves / listeners from four artists' 12-month dashboards. Different artists and definitions, so read them as orders of magnitude.</t>
        </is>
      </c>
    </row>
    <row r="66" ht="60" customHeight="1">
      <c r="B66" s="6" t="inlineStr">
        <is>
          <t>Selection</t>
        </is>
      </c>
      <c r="H66" s="9" t="inlineStr">
        <is>
          <t>These are self-selected stories. People post when results are surprising, good or bad. Discovery Mode's start often coincides with releases, ads or TikTok moments, and Spotify's algorithm changes over time (several artists report sudden platform-wide drops in 2026). None of this is a controlled experiment.</t>
        </is>
      </c>
    </row>
    <row r="67" ht="45" customHeight="1">
      <c r="B67" s="6" t="inlineStr">
        <is>
          <t>Sample sizes</t>
        </is>
      </c>
      <c r="H67" s="9" t="inlineStr">
        <is>
          <t>Small: 7 campaign reports with a before figure, 18 artist-reported before/after pairs, 26 reports with a stated audience size. The workbook illustrates a thesis; it cannot carry one on its own.</t>
        </is>
      </c>
    </row>
    <row r="68" ht="30" customHeight="1">
      <c r="B68" s="6" t="inlineStr">
        <is>
          <t>Reproduce</t>
        </is>
      </c>
      <c r="H68" s="9" t="inlineStr">
        <is>
          <t>collect_dm.py -&gt; dm_export_reading.py -&gt; dm_reports.py -&gt; dm_download_images.py -&gt; build_dm_report.py (pipeline from the earlier session; not in this repository).</t>
        </is>
      </c>
    </row>
    <row r="70">
      <c r="B70" s="4" t="inlineStr">
        <is>
          <t>Colour key: blue = hard-coded input read from the post or screenshot (notes give the post id); black = formula; green = link to another tab.</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erms:created xsi:type="dcterms:W3CDTF">2026-10-02T18:36:23Z</dcterms:created>
  <dcterms:modified xsi:type="dcterms:W3CDTF">2026-10-02T18:36:23Z</dcterms:modified>
  <cp:lastModifiedBy>Salomon, Max</cp:lastModifiedBy>
</cp:coreProperties>
</file>